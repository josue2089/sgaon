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Adminitracion Enero 26\Desarrollo de soft web\"/>
    </mc:Choice>
  </mc:AlternateContent>
  <xr:revisionPtr revIDLastSave="0" documentId="8_{9C9E6CB6-B05B-4EA9-96CF-61CA8BA0D2FE}" xr6:coauthVersionLast="43" xr6:coauthVersionMax="43" xr10:uidLastSave="{00000000-0000-0000-0000-000000000000}"/>
  <bookViews>
    <workbookView xWindow="-108" yWindow="-108" windowWidth="23256" windowHeight="12576" tabRatio="790" xr2:uid="{00000000-000D-0000-FFFF-FFFF00000000}"/>
  </bookViews>
  <sheets>
    <sheet name="HISTORICO DE MATRICULA" sheetId="7" r:id="rId1"/>
  </sheets>
  <definedNames>
    <definedName name="_xlnm._FilterDatabase" localSheetId="0" hidden="1">'HISTORICO DE MATRICULA'!$B$5:$J$551</definedName>
    <definedName name="Z_0D343C9C_1FD3_4D92_A0CE_69DDADAEDB92_.wvu.Cols" localSheetId="0" hidden="1">'HISTORICO DE MATRICULA'!$Y:$Z</definedName>
  </definedNames>
  <calcPr calcId="191029"/>
  <customWorkbookViews>
    <customWorkbookView name="kkk" guid="{0D343C9C-1FD3-4D92-A0CE-69DDADAEDB92}" maximized="1" xWindow="1" yWindow="1" windowWidth="1280" windowHeight="803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338" i="7" l="1"/>
  <c r="AD76" i="7" l="1"/>
  <c r="AE76" i="7" s="1"/>
  <c r="AA16" i="7" l="1"/>
  <c r="U12" i="7" l="1"/>
  <c r="W22" i="7" l="1"/>
  <c r="X22" i="7" s="1"/>
  <c r="W23" i="7"/>
  <c r="X23" i="7" s="1"/>
  <c r="AA26" i="7"/>
  <c r="AB26" i="7" s="1"/>
  <c r="W27" i="7"/>
  <c r="X27" i="7" s="1"/>
  <c r="AA28" i="7"/>
  <c r="AB28" i="7" s="1"/>
  <c r="X31" i="7"/>
  <c r="AA31" i="7" s="1"/>
  <c r="AH256" i="7" l="1"/>
  <c r="AH255" i="7"/>
  <c r="AI261" i="7" s="1"/>
  <c r="AG199" i="7"/>
  <c r="AH182" i="7"/>
  <c r="AF173" i="7"/>
  <c r="AE72" i="7"/>
  <c r="AF72" i="7" s="1"/>
  <c r="AI163" i="7"/>
  <c r="AF156" i="7"/>
  <c r="AF148" i="7"/>
  <c r="AE117" i="7"/>
  <c r="AE110" i="7"/>
  <c r="AF109" i="7"/>
  <c r="AE93" i="7"/>
  <c r="AE88" i="7"/>
  <c r="AE87" i="7"/>
  <c r="AA15" i="7" l="1"/>
  <c r="AB15" i="7" s="1"/>
  <c r="AD83" i="7" l="1"/>
  <c r="AE83" i="7" s="1"/>
  <c r="AD82" i="7"/>
  <c r="AE82" i="7" s="1"/>
  <c r="AD74" i="7"/>
  <c r="AE74" i="7" s="1"/>
  <c r="AD79" i="7" l="1"/>
  <c r="AE79" i="7" s="1"/>
  <c r="AD80" i="7"/>
  <c r="AE80" i="7" s="1"/>
  <c r="AD78" i="7"/>
  <c r="AE78" i="7" s="1"/>
  <c r="V63" i="7"/>
  <c r="W63" i="7" s="1"/>
  <c r="V62" i="7"/>
  <c r="W62" i="7" s="1"/>
  <c r="V61" i="7"/>
  <c r="W61" i="7" s="1"/>
  <c r="AC60" i="7"/>
  <c r="AD60" i="7" s="1"/>
  <c r="V59" i="7"/>
  <c r="W59" i="7" s="1"/>
  <c r="AC58" i="7"/>
  <c r="AD58" i="7" s="1"/>
  <c r="AC57" i="7"/>
  <c r="AD57" i="7" s="1"/>
  <c r="AB54" i="7"/>
  <c r="AC54" i="7" s="1"/>
  <c r="AA44" i="7" l="1"/>
  <c r="X30" i="7"/>
  <c r="AA30" i="7" s="1"/>
  <c r="X32" i="7" l="1"/>
  <c r="X11" i="7" l="1"/>
  <c r="AA11" i="7" s="1"/>
  <c r="AB50" i="7"/>
  <c r="AC50" i="7" s="1"/>
  <c r="AA47" i="7"/>
  <c r="AB47" i="7" s="1"/>
  <c r="AA48" i="7"/>
  <c r="AB48" i="7" s="1"/>
  <c r="AB44" i="7"/>
  <c r="AA45" i="7"/>
  <c r="AB45" i="7" s="1"/>
  <c r="X38" i="7"/>
  <c r="AA38" i="7" s="1"/>
  <c r="X39" i="7"/>
  <c r="AA39" i="7" s="1"/>
  <c r="X40" i="7"/>
  <c r="AA40" i="7" s="1"/>
  <c r="X41" i="7"/>
  <c r="AA41" i="7" s="1"/>
  <c r="X42" i="7"/>
  <c r="AA42" i="7" s="1"/>
  <c r="X43" i="7"/>
  <c r="AA43" i="7" s="1"/>
  <c r="W24" i="7"/>
  <c r="X24" i="7" s="1"/>
  <c r="X10" i="7"/>
  <c r="AA10" i="7" s="1"/>
  <c r="X9" i="7"/>
  <c r="AA9" i="7" s="1"/>
  <c r="Y30" i="7"/>
  <c r="AB16" i="7"/>
  <c r="AA49" i="7"/>
  <c r="AB49" i="7" s="1"/>
  <c r="AA46" i="7"/>
  <c r="AB46" i="7" s="1"/>
</calcChain>
</file>

<file path=xl/sharedStrings.xml><?xml version="1.0" encoding="utf-8"?>
<sst xmlns="http://schemas.openxmlformats.org/spreadsheetml/2006/main" count="2416" uniqueCount="1465">
  <si>
    <t>DOCUMENTO DE IDENTIDAD</t>
  </si>
  <si>
    <t>Nº DE CONTRATO</t>
  </si>
  <si>
    <t>TITULAR</t>
  </si>
  <si>
    <t>TELEFONO</t>
  </si>
  <si>
    <t>INSCRIPCIÓN</t>
  </si>
  <si>
    <t>FECHA</t>
  </si>
  <si>
    <t>ALUMNO</t>
  </si>
  <si>
    <t>0001</t>
  </si>
  <si>
    <t>DARVING DA SILVA</t>
  </si>
  <si>
    <t>MANUEL DA SILVA</t>
  </si>
  <si>
    <t>0003</t>
  </si>
  <si>
    <t>JHON KELLY</t>
  </si>
  <si>
    <t>0004</t>
  </si>
  <si>
    <t>GLAVIER ALDANA</t>
  </si>
  <si>
    <t>GLERYS NORIEGA</t>
  </si>
  <si>
    <t>0005</t>
  </si>
  <si>
    <t>IRMA ROJAS</t>
  </si>
  <si>
    <t>0006</t>
  </si>
  <si>
    <t>ROBERT PIMENTEL</t>
  </si>
  <si>
    <t>ROGER PIMENTEL</t>
  </si>
  <si>
    <t>COSTO DEL PROGRAMA</t>
  </si>
  <si>
    <t>0007</t>
  </si>
  <si>
    <t>JENNIFER PIMENTEL</t>
  </si>
  <si>
    <t>0008</t>
  </si>
  <si>
    <t>MAXIMILIAN HUBER</t>
  </si>
  <si>
    <t>MELANYE PADRON</t>
  </si>
  <si>
    <t>0009</t>
  </si>
  <si>
    <t>AMERICO ALVARADO</t>
  </si>
  <si>
    <t>0010</t>
  </si>
  <si>
    <t>JUAN JAHN</t>
  </si>
  <si>
    <t>0011</t>
  </si>
  <si>
    <t>JULIO RODRIGUEZ</t>
  </si>
  <si>
    <t>EUDES RODRIGUEZ</t>
  </si>
  <si>
    <t>0014</t>
  </si>
  <si>
    <t>SABRINA BAUMGARTNER</t>
  </si>
  <si>
    <t>RAFAEL BAUMGARTNER</t>
  </si>
  <si>
    <t>0015</t>
  </si>
  <si>
    <t>MARIAM ARANGUREN</t>
  </si>
  <si>
    <t>MARIAN ARANGUREN</t>
  </si>
  <si>
    <t>0016</t>
  </si>
  <si>
    <t>JOSE PEREZ</t>
  </si>
  <si>
    <t>ANA BARBERA</t>
  </si>
  <si>
    <t>0017</t>
  </si>
  <si>
    <t>VALENTINA PEREZ</t>
  </si>
  <si>
    <t>0018</t>
  </si>
  <si>
    <t>YURAIMA INFANTE</t>
  </si>
  <si>
    <t>0019</t>
  </si>
  <si>
    <t>GIOVANNA LEAL</t>
  </si>
  <si>
    <t>0020</t>
  </si>
  <si>
    <t>MAIGUALIDA MACHADO</t>
  </si>
  <si>
    <t>0022</t>
  </si>
  <si>
    <t>DIEGO ZAMBRANO</t>
  </si>
  <si>
    <t>FRANKLIN ZAMBRANO</t>
  </si>
  <si>
    <t>0023</t>
  </si>
  <si>
    <t>LISBETH CANELON</t>
  </si>
  <si>
    <t>0024</t>
  </si>
  <si>
    <t>DAYANA ROJAS</t>
  </si>
  <si>
    <t>0025</t>
  </si>
  <si>
    <t>ONEIDA OLIVACHE</t>
  </si>
  <si>
    <t>0026</t>
  </si>
  <si>
    <t>LAURA CHIRINOS</t>
  </si>
  <si>
    <t>0027</t>
  </si>
  <si>
    <t>DEISY SEPULVEDA</t>
  </si>
  <si>
    <t>0028</t>
  </si>
  <si>
    <t>EDUARDO RODRIGUEZ</t>
  </si>
  <si>
    <t>CONTADO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</si>
  <si>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</si>
  <si>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</si>
  <si>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</si>
  <si>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</si>
  <si>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</si>
  <si>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</si>
  <si>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</si>
  <si>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</si>
  <si>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</si>
  <si>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</si>
  <si>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</si>
  <si>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</si>
  <si>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Nº Cuotas</t>
  </si>
  <si>
    <t>10</t>
  </si>
  <si>
    <t>0</t>
  </si>
  <si>
    <t>12</t>
  </si>
  <si>
    <t>13</t>
  </si>
  <si>
    <t>0029</t>
  </si>
  <si>
    <t>ALEJANDRA RONDÓN</t>
  </si>
  <si>
    <t>MARCOS RONDÓN</t>
  </si>
  <si>
    <t>0033</t>
  </si>
  <si>
    <t>LISETH SALCEDO</t>
  </si>
  <si>
    <t>LEONARDO SALCEDO</t>
  </si>
  <si>
    <t>FLC San Antonio, C.A.                   RIF J- 40271932-9</t>
  </si>
  <si>
    <t>0034</t>
  </si>
  <si>
    <t>DOUGLAS SOSA</t>
  </si>
  <si>
    <t>0035</t>
  </si>
  <si>
    <t>0036</t>
  </si>
  <si>
    <t>ASHLYN ORTEGA</t>
  </si>
  <si>
    <t>GREGORIA ROLLINS</t>
  </si>
  <si>
    <t>ALEXANDRA GARCIA</t>
  </si>
  <si>
    <t>0037</t>
  </si>
  <si>
    <t>ENMANUEL RIVERA</t>
  </si>
  <si>
    <t>THAIS MONASTERIOS</t>
  </si>
  <si>
    <t>0038</t>
  </si>
  <si>
    <t>ANA PAOLA RIVERA</t>
  </si>
  <si>
    <t>0039</t>
  </si>
  <si>
    <t>MARIA SIOM</t>
  </si>
  <si>
    <t>GERONIMO SILVIO</t>
  </si>
  <si>
    <t>0040</t>
  </si>
  <si>
    <t>0041</t>
  </si>
  <si>
    <t>YOANA MALDONADO</t>
  </si>
  <si>
    <t>GABRIELA LABASTIDAS</t>
  </si>
  <si>
    <t>0042</t>
  </si>
  <si>
    <t>JORGE SANDOVAL</t>
  </si>
  <si>
    <t>JORGE SABDOVAL</t>
  </si>
  <si>
    <t>0043</t>
  </si>
  <si>
    <t>MARIA MALDONADO</t>
  </si>
  <si>
    <t>0044</t>
  </si>
  <si>
    <t>STEVEN TELLO</t>
  </si>
  <si>
    <t>LUIS TELLO</t>
  </si>
  <si>
    <t>0045</t>
  </si>
  <si>
    <t>JOSE CAMARINHA</t>
  </si>
  <si>
    <t>14,202,246</t>
  </si>
  <si>
    <t>0046</t>
  </si>
  <si>
    <t>ESTEVEZ RUYMAN</t>
  </si>
  <si>
    <t>0047</t>
  </si>
  <si>
    <t>ANDREA AGUILAR</t>
  </si>
  <si>
    <t>04123182446</t>
  </si>
  <si>
    <t>0048</t>
  </si>
  <si>
    <t>MIRIAM ROJAS</t>
  </si>
  <si>
    <t>DERVIS CISNEROS</t>
  </si>
  <si>
    <t>0049</t>
  </si>
  <si>
    <t>NOHELIA CAÑIZALES</t>
  </si>
  <si>
    <t>MATILDE DA SILVA</t>
  </si>
  <si>
    <t>0050</t>
  </si>
  <si>
    <t>RAFAEL CAÑIZALES</t>
  </si>
  <si>
    <t>0051</t>
  </si>
  <si>
    <t>ALEXANDRA ISAACCURA</t>
  </si>
  <si>
    <t>YANARISA LINARES</t>
  </si>
  <si>
    <t>0052</t>
  </si>
  <si>
    <t>LEYDI HIDALGO</t>
  </si>
  <si>
    <t>0053</t>
  </si>
  <si>
    <t>JUAN ORTEGA</t>
  </si>
  <si>
    <t>0054</t>
  </si>
  <si>
    <t>JOSMAR OSORIO</t>
  </si>
  <si>
    <t>0055</t>
  </si>
  <si>
    <t>VICTORIA CALLES</t>
  </si>
  <si>
    <t>YILMAR MOSQUERA</t>
  </si>
  <si>
    <t>0056</t>
  </si>
  <si>
    <t>0057</t>
  </si>
  <si>
    <t>0058</t>
  </si>
  <si>
    <t>DOROTY RIZZO</t>
  </si>
  <si>
    <t>GIUSEPP RIZZO</t>
  </si>
  <si>
    <t>LAURA PARRA</t>
  </si>
  <si>
    <t>YESENIA AZUAJE</t>
  </si>
  <si>
    <t>0059</t>
  </si>
  <si>
    <t>LUIS BONILLA</t>
  </si>
  <si>
    <t>0060</t>
  </si>
  <si>
    <t>VALERIA BONILLA</t>
  </si>
  <si>
    <t>ALDO ZUCARO</t>
  </si>
  <si>
    <t>0061</t>
  </si>
  <si>
    <t>MARIA VIELMA</t>
  </si>
  <si>
    <t>MARIELA RODRIGUEZ</t>
  </si>
  <si>
    <t>0062</t>
  </si>
  <si>
    <t>ROSSMARY COSME</t>
  </si>
  <si>
    <t>0063</t>
  </si>
  <si>
    <t>5</t>
  </si>
  <si>
    <t>MARIA SALMA</t>
  </si>
  <si>
    <t>0064</t>
  </si>
  <si>
    <t>JOSE ALBANI</t>
  </si>
  <si>
    <t>0065</t>
  </si>
  <si>
    <t>ERIKA ANGEL</t>
  </si>
  <si>
    <t>0066</t>
  </si>
  <si>
    <t>ROSA LOPEZ</t>
  </si>
  <si>
    <t>JESUS  MAURI</t>
  </si>
  <si>
    <t>JESUS MAURI</t>
  </si>
  <si>
    <t>0067</t>
  </si>
  <si>
    <t>0068</t>
  </si>
  <si>
    <t>ROSA HURTADO</t>
  </si>
  <si>
    <t>0069</t>
  </si>
  <si>
    <t>MAILET SILVA</t>
  </si>
  <si>
    <t>0070</t>
  </si>
  <si>
    <t>CECILIA HURTADO</t>
  </si>
  <si>
    <t>0071</t>
  </si>
  <si>
    <t>JULIANA LOPEZ</t>
  </si>
  <si>
    <t>0072</t>
  </si>
  <si>
    <t>EDUARDO BELLO</t>
  </si>
  <si>
    <t>0073</t>
  </si>
  <si>
    <t>GRACIELA HERNANDEZ</t>
  </si>
  <si>
    <t>0074</t>
  </si>
  <si>
    <t>MARIETTA MORALES</t>
  </si>
  <si>
    <t xml:space="preserve">CONTADO </t>
  </si>
  <si>
    <t>0075</t>
  </si>
  <si>
    <t>0078</t>
  </si>
  <si>
    <t>EVELIN MEDINA</t>
  </si>
  <si>
    <t>0079</t>
  </si>
  <si>
    <t>YORLEYDIS RIVERA</t>
  </si>
  <si>
    <t>FLC SAN ANTONIO</t>
  </si>
  <si>
    <t>8+83769</t>
  </si>
  <si>
    <t>0080</t>
  </si>
  <si>
    <t>ROSSANE DI FILIPO</t>
  </si>
  <si>
    <t>ROSSANA DI FILIPO</t>
  </si>
  <si>
    <t>0081</t>
  </si>
  <si>
    <t>YESSICA MENDOZA</t>
  </si>
  <si>
    <t>NEISA CALIXTO</t>
  </si>
  <si>
    <t>0082</t>
  </si>
  <si>
    <t>ROY SABINO</t>
  </si>
  <si>
    <t>0076</t>
  </si>
  <si>
    <t>0077</t>
  </si>
  <si>
    <t>IVAN DE GOUVEIA</t>
  </si>
  <si>
    <t>YXSANI REVETTI</t>
  </si>
  <si>
    <t>SAMANTHA ALVAREZ</t>
  </si>
  <si>
    <t>0083</t>
  </si>
  <si>
    <t>MAYBELIN RODRIGUEZ</t>
  </si>
  <si>
    <t>0084</t>
  </si>
  <si>
    <t>ARIANYS HERNANDEZ</t>
  </si>
  <si>
    <t>0085</t>
  </si>
  <si>
    <t>ANDRI SANCHEZ</t>
  </si>
  <si>
    <t>0086</t>
  </si>
  <si>
    <t>0087</t>
  </si>
  <si>
    <t>ANGEL MARQUEZ</t>
  </si>
  <si>
    <t>ANA CEDEÑO</t>
  </si>
  <si>
    <t>MERCEDEZ MARQUEZ</t>
  </si>
  <si>
    <t>0088</t>
  </si>
  <si>
    <t>0089</t>
  </si>
  <si>
    <t>0090</t>
  </si>
  <si>
    <t>0091</t>
  </si>
  <si>
    <t>0092</t>
  </si>
  <si>
    <t>0093</t>
  </si>
  <si>
    <t>0094</t>
  </si>
  <si>
    <t>ORIANA SOSA</t>
  </si>
  <si>
    <t>MELITZA CASTILLO</t>
  </si>
  <si>
    <t>TANIA GARCIA</t>
  </si>
  <si>
    <t>FERNANDO MORALES</t>
  </si>
  <si>
    <t>2</t>
  </si>
  <si>
    <t>MARELYS GONZALEZ</t>
  </si>
  <si>
    <t>ADRIAN ALEJANDRO MARIN MEDINA</t>
  </si>
  <si>
    <t>YELITZA MARIN</t>
  </si>
  <si>
    <t>ASTRID DIAS</t>
  </si>
  <si>
    <t>LUISANA LAUNAY</t>
  </si>
  <si>
    <t>0095</t>
  </si>
  <si>
    <t>JAVIER CABRERA</t>
  </si>
  <si>
    <t>YASIREE OLIVEROS</t>
  </si>
  <si>
    <t>0096</t>
  </si>
  <si>
    <t>ORIANNA LORENZI</t>
  </si>
  <si>
    <t>LIDIA LORENZI</t>
  </si>
  <si>
    <t>0097,</t>
  </si>
  <si>
    <t>0098</t>
  </si>
  <si>
    <t>0099</t>
  </si>
  <si>
    <t>LILIANA VASQUEZ</t>
  </si>
  <si>
    <t>0100</t>
  </si>
  <si>
    <t>0101</t>
  </si>
  <si>
    <t>0102</t>
  </si>
  <si>
    <t>0103</t>
  </si>
  <si>
    <t>0104</t>
  </si>
  <si>
    <t>0105</t>
  </si>
  <si>
    <t>0106</t>
  </si>
  <si>
    <t>RONALD DIAZ</t>
  </si>
  <si>
    <t>JACKSON AROCHA</t>
  </si>
  <si>
    <t>DANIS ABREU</t>
  </si>
  <si>
    <t>DANIEL ABREU</t>
  </si>
  <si>
    <t>0107</t>
  </si>
  <si>
    <t>0108</t>
  </si>
  <si>
    <t>0109</t>
  </si>
  <si>
    <t>0110</t>
  </si>
  <si>
    <t>0111</t>
  </si>
  <si>
    <t>0112</t>
  </si>
  <si>
    <t>0114</t>
  </si>
  <si>
    <t>0115</t>
  </si>
  <si>
    <t>0116</t>
  </si>
  <si>
    <t>0117</t>
  </si>
  <si>
    <t>0118</t>
  </si>
  <si>
    <t>MARIA PRIETO</t>
  </si>
  <si>
    <t>NATHALIA LIMO</t>
  </si>
  <si>
    <t>ROSA LIMO</t>
  </si>
  <si>
    <t>NATHALY LIMO</t>
  </si>
  <si>
    <t>AMANDA GELDERT</t>
  </si>
  <si>
    <t>AURA GELDERT</t>
  </si>
  <si>
    <t>MARY ARIAS</t>
  </si>
  <si>
    <t>GUSTAVO ROJAS</t>
  </si>
  <si>
    <t>0119</t>
  </si>
  <si>
    <t>0120</t>
  </si>
  <si>
    <t>0121</t>
  </si>
  <si>
    <t>0122</t>
  </si>
  <si>
    <t>0123</t>
  </si>
  <si>
    <t>SILVESTRE MARCHAN</t>
  </si>
  <si>
    <t>0124</t>
  </si>
  <si>
    <t>0125</t>
  </si>
  <si>
    <t>0126</t>
  </si>
  <si>
    <t>KARELYS MORENO</t>
  </si>
  <si>
    <t>VIRGINIA TROYA</t>
  </si>
  <si>
    <t>0113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</si>
  <si>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</si>
  <si>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</si>
  <si>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</si>
  <si>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</si>
  <si>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</si>
  <si>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</si>
  <si>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</si>
  <si>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</si>
  <si>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</si>
  <si>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</si>
  <si>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</si>
  <si>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</si>
  <si>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1</t>
  </si>
  <si>
    <t>ISAAC DOS REIS</t>
  </si>
  <si>
    <t>CRISDALIDA MORAIMA</t>
  </si>
  <si>
    <t>0139</t>
  </si>
  <si>
    <t>0140</t>
  </si>
  <si>
    <t>JUAN MORILLO</t>
  </si>
  <si>
    <t>KARELY RODRIGUEZ</t>
  </si>
  <si>
    <t>ISAIAS DOS REIS</t>
  </si>
  <si>
    <t>JOSE DOS REIES</t>
  </si>
  <si>
    <t>AITOR RODRIGUEZ</t>
  </si>
  <si>
    <t>MIRLE MARTINEZ</t>
  </si>
  <si>
    <t>0141</t>
  </si>
  <si>
    <t>ARON MARTINEZ</t>
  </si>
  <si>
    <t>MIRLE RODRIGUEZ</t>
  </si>
  <si>
    <t>ORIANA ALFONZO</t>
  </si>
  <si>
    <t>MARIANA ALFONZO</t>
  </si>
  <si>
    <t>DANIEL BURGLER</t>
  </si>
  <si>
    <t>THOMAS BURGLER</t>
  </si>
  <si>
    <t>DAVID GARRIDO</t>
  </si>
  <si>
    <t>RUBEN GARRIDO</t>
  </si>
  <si>
    <t>MAIRA ARIANZA</t>
  </si>
  <si>
    <t>CESAR ADRIANZA</t>
  </si>
  <si>
    <t>SAMUEL ESPINOZA</t>
  </si>
  <si>
    <t>SÑRA QUEVEDO</t>
  </si>
  <si>
    <t>ARIANNA CARDENAS</t>
  </si>
  <si>
    <t>ADRIAN CARDENAS</t>
  </si>
  <si>
    <t>ARIAN CARDENAS</t>
  </si>
  <si>
    <t>ARIANA CARDENAS</t>
  </si>
  <si>
    <t>YAJAIRA GUILLEN</t>
  </si>
  <si>
    <t>ADRIANA CASTRO</t>
  </si>
  <si>
    <t>MIRIAM CARABALLO</t>
  </si>
  <si>
    <t>GABRIELA TALAMANQUEZ</t>
  </si>
  <si>
    <t>ANA ELORZA</t>
  </si>
  <si>
    <t>JANNIE GONZALEZ</t>
  </si>
  <si>
    <t>JEEN GONZALEZ</t>
  </si>
  <si>
    <t>VALERIA VELIZ</t>
  </si>
  <si>
    <t>EVELYN JIMENEZ</t>
  </si>
  <si>
    <t>FRANK ZURITA</t>
  </si>
  <si>
    <t>MORAIZA CASADO</t>
  </si>
  <si>
    <t>VICTTORIA CARRASCO</t>
  </si>
  <si>
    <t>KAREN DIAZ</t>
  </si>
  <si>
    <t>0142</t>
  </si>
  <si>
    <t>FRANYELIS BRICEÑO</t>
  </si>
  <si>
    <t>FRANCISCO BRICEÑO</t>
  </si>
  <si>
    <t xml:space="preserve">1 </t>
  </si>
  <si>
    <t>GISELLE OSORIO</t>
  </si>
  <si>
    <t>SAIRY DOMINGUEZ</t>
  </si>
  <si>
    <t>JUAN LEAL</t>
  </si>
  <si>
    <t>JORGE LEAL</t>
  </si>
  <si>
    <t>JUAN PABLO LEAL</t>
  </si>
  <si>
    <t>JOSHUA MARCHAN</t>
  </si>
  <si>
    <t>ANNA MAGLIO</t>
  </si>
  <si>
    <t>ADRIANA ADAMO</t>
  </si>
  <si>
    <t>ANDREA RIOS</t>
  </si>
  <si>
    <t>MARILUZ</t>
  </si>
  <si>
    <t>JUAN DIEGO GIL</t>
  </si>
  <si>
    <t>GUSTAVO GIL</t>
  </si>
  <si>
    <t>BRIANA DUARTE</t>
  </si>
  <si>
    <t>AUGUSTO DUARTE</t>
  </si>
  <si>
    <t>IRENE ADAMO</t>
  </si>
  <si>
    <t>0143</t>
  </si>
  <si>
    <t>SOPHIA GONZALEZ</t>
  </si>
  <si>
    <t>THAILYN VILLA</t>
  </si>
  <si>
    <t>BEATRIZ GIRON</t>
  </si>
  <si>
    <t>JULIO PRADO</t>
  </si>
  <si>
    <t>ANDRES PRADO</t>
  </si>
  <si>
    <t>0144</t>
  </si>
  <si>
    <t>0145</t>
  </si>
  <si>
    <t>0146</t>
  </si>
  <si>
    <t>0147</t>
  </si>
  <si>
    <t>0148</t>
  </si>
  <si>
    <t>0149</t>
  </si>
  <si>
    <t>JORGE PEÑA</t>
  </si>
  <si>
    <t>ISABEL HERNANDEZ</t>
  </si>
  <si>
    <t>SAMUEL LEDEZMA</t>
  </si>
  <si>
    <t>ALEXADER LEDEZMA</t>
  </si>
  <si>
    <t>ALONSO MUÑOZ</t>
  </si>
  <si>
    <t>MAYELE EGAÑEZ</t>
  </si>
  <si>
    <t>ANGEL GARCIA</t>
  </si>
  <si>
    <t>NIUSMELYS HERNANDEZ</t>
  </si>
  <si>
    <t>ENMANUEL GARRIDO</t>
  </si>
  <si>
    <t>MARYORI OSORIO</t>
  </si>
  <si>
    <t>LENNA MEDINA</t>
  </si>
  <si>
    <t>OSWALDO MEDINA</t>
  </si>
  <si>
    <t>0156</t>
  </si>
  <si>
    <t>RONALD CAPOTE</t>
  </si>
  <si>
    <t>ROYBEL BARRIOS</t>
  </si>
  <si>
    <t>0150</t>
  </si>
  <si>
    <t>VANESSA PARRA</t>
  </si>
  <si>
    <t>YOLINES GRATEROL</t>
  </si>
  <si>
    <t>ROSA MARIA LIMO</t>
  </si>
  <si>
    <t>0151</t>
  </si>
  <si>
    <t>0152</t>
  </si>
  <si>
    <t>0153</t>
  </si>
  <si>
    <t>0154</t>
  </si>
  <si>
    <t>0155</t>
  </si>
  <si>
    <t>0157</t>
  </si>
  <si>
    <t>0158</t>
  </si>
  <si>
    <t>0159</t>
  </si>
  <si>
    <t>0160</t>
  </si>
  <si>
    <t>0161</t>
  </si>
  <si>
    <t>0162</t>
  </si>
  <si>
    <t>0163</t>
  </si>
  <si>
    <t>NEILLYS VILLAROEL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</si>
  <si>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</si>
  <si>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</si>
  <si>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</si>
  <si>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</si>
  <si>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</si>
  <si>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</si>
  <si>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</si>
  <si>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</si>
  <si>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</si>
  <si>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</si>
  <si>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</si>
  <si>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</si>
  <si>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</si>
  <si>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</si>
  <si>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</si>
  <si>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</si>
  <si>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ALEJANDRO AVALOS</t>
  </si>
  <si>
    <t>KARELYS RODRIGUEZ</t>
  </si>
  <si>
    <t>GUSTAVO VELIZ</t>
  </si>
  <si>
    <t>MARISOL RONDON</t>
  </si>
  <si>
    <t>SINAHI TOVAR</t>
  </si>
  <si>
    <t>RENATHA BLANCO</t>
  </si>
  <si>
    <t>YESICA VIVAS</t>
  </si>
  <si>
    <t>MIGUEL VIVAS</t>
  </si>
  <si>
    <t>ANDREA MEJIAS</t>
  </si>
  <si>
    <t>LUIS BRICEÑO</t>
  </si>
  <si>
    <t>MARY DIAZ</t>
  </si>
  <si>
    <t>DAYANARA FUENTES</t>
  </si>
  <si>
    <t>FRANK LEAL</t>
  </si>
  <si>
    <t>MARJORYE GUERRA</t>
  </si>
  <si>
    <t>MARYORIE GUERRA</t>
  </si>
  <si>
    <t>ZARA PARACO</t>
  </si>
  <si>
    <t>RUBEN RONDON</t>
  </si>
  <si>
    <t>MARISOL FERNANDEZ</t>
  </si>
  <si>
    <t>DAVID FERREIRA</t>
  </si>
  <si>
    <t>MARIA REVETTE</t>
  </si>
  <si>
    <t>CANDIMAR VELAZQUES</t>
  </si>
  <si>
    <t>MARLENE DE SOSA</t>
  </si>
  <si>
    <t>ESTEFANIA RODRIGUEZ</t>
  </si>
  <si>
    <t>LEVYS LAFFONT</t>
  </si>
  <si>
    <t>NANCY PINEDA</t>
  </si>
  <si>
    <t>SAMUEL RONDON</t>
  </si>
  <si>
    <t>VERONICA MEDINA</t>
  </si>
  <si>
    <t>GABRIEL MEDEROS</t>
  </si>
  <si>
    <t>HERMINIA ROJAS</t>
  </si>
  <si>
    <t>WILMER SALTRON</t>
  </si>
  <si>
    <t>NORBELYS ASCANIO</t>
  </si>
  <si>
    <t>YODAMYS HERNANDEZ</t>
  </si>
  <si>
    <t>SARAH HERNANDES</t>
  </si>
  <si>
    <t>GABRIELA SALAS</t>
  </si>
  <si>
    <t>AARON ROJAS</t>
  </si>
  <si>
    <t>ARANET SHMIDT</t>
  </si>
  <si>
    <t>DIOSMARY GERIK</t>
  </si>
  <si>
    <t>HEIDI CONTRERAS</t>
  </si>
  <si>
    <t>EXONERADA</t>
  </si>
  <si>
    <t>DARVIN DA SILVA</t>
  </si>
  <si>
    <t>EXONERADO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</si>
  <si>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</si>
  <si>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</si>
  <si>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</si>
  <si>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</si>
  <si>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</si>
  <si>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</si>
  <si>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</si>
  <si>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</si>
  <si>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</si>
  <si>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</si>
  <si>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</si>
  <si>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</si>
  <si>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</si>
  <si>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</si>
  <si>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YENNY QUINTERO</t>
  </si>
  <si>
    <t>JUAN ACONCHA</t>
  </si>
  <si>
    <t>JOSE ACONCHA</t>
  </si>
  <si>
    <t>DIEGO ZAMORA</t>
  </si>
  <si>
    <t>JOSELENA NOGALES</t>
  </si>
  <si>
    <t>GABRIEL RUIZ</t>
  </si>
  <si>
    <t>ENZO LA BRUZZO</t>
  </si>
  <si>
    <t>ABEL ADRIAN ROJAS</t>
  </si>
  <si>
    <t>ABEL RICARDO ROJAS</t>
  </si>
  <si>
    <t>ANDRES ROJAS</t>
  </si>
  <si>
    <t>STEFANY ROJAS</t>
  </si>
  <si>
    <t xml:space="preserve">ANGELINA VIDAL </t>
  </si>
  <si>
    <t>JAQUELINE CARRASQUERO</t>
  </si>
  <si>
    <t>HUGO REYES</t>
  </si>
  <si>
    <t>TAMARA LEIRA</t>
  </si>
  <si>
    <t>ARAMIS GUEDEZ</t>
  </si>
  <si>
    <t>ELEAZAR GUEDEZ</t>
  </si>
  <si>
    <t>SOPHIA GUEDEZ</t>
  </si>
  <si>
    <t>BRUNO FERREIRA</t>
  </si>
  <si>
    <t>MANUEL FERREIRA</t>
  </si>
  <si>
    <t>0194</t>
  </si>
  <si>
    <t>0195</t>
  </si>
  <si>
    <t>0196</t>
  </si>
  <si>
    <t>0197</t>
  </si>
  <si>
    <t>0198</t>
  </si>
  <si>
    <t>0199</t>
  </si>
  <si>
    <t>MARIA FERREIRA</t>
  </si>
  <si>
    <t>3</t>
  </si>
  <si>
    <t>JAVIER GONZALEZ</t>
  </si>
  <si>
    <t>ROSA DIAZ</t>
  </si>
  <si>
    <t>NATASHA ALVAREZ</t>
  </si>
  <si>
    <t>ZURIMA GONZALEZ</t>
  </si>
  <si>
    <t>JOSHUA ALVAREZ</t>
  </si>
  <si>
    <t>DORIAN SEIJAS</t>
  </si>
  <si>
    <t>ANDRES SEIJAS</t>
  </si>
  <si>
    <t>JOSE ALEXANDER JIMENEZ</t>
  </si>
  <si>
    <t>AYMARA FLORES</t>
  </si>
  <si>
    <t>KATHERINNE HERNANDEZ</t>
  </si>
  <si>
    <t>ADRIAN MONROY</t>
  </si>
  <si>
    <t>BIAGIO BRAUCCI</t>
  </si>
  <si>
    <t>CONVENIO</t>
  </si>
  <si>
    <t>K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</si>
  <si>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</si>
  <si>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</si>
  <si>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</si>
  <si>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</si>
  <si>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</si>
  <si>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</si>
  <si>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</si>
  <si>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</si>
  <si>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</si>
  <si>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</si>
  <si>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</si>
  <si>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</si>
  <si>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</si>
  <si>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</si>
  <si>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</si>
  <si>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</si>
  <si>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</si>
  <si>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</si>
  <si>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</si>
  <si>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</si>
  <si>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</si>
  <si>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</si>
  <si>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</si>
  <si>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</si>
  <si>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</si>
  <si>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</si>
  <si>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</si>
  <si>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</si>
  <si>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</si>
  <si>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</si>
  <si>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</si>
  <si>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</si>
  <si>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</si>
  <si>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</si>
  <si>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</si>
  <si>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FRANCO AMUNDARAY</t>
  </si>
  <si>
    <t>ATAY LUQUE</t>
  </si>
  <si>
    <t>LUZ ADRIANA RODRIGUEZ</t>
  </si>
  <si>
    <t>CELINA CORONADO</t>
  </si>
  <si>
    <t>LIVIA ROMERO</t>
  </si>
  <si>
    <t>SAMUEL GONZALEZ</t>
  </si>
  <si>
    <t>CRISEIDA LA ROQUE</t>
  </si>
  <si>
    <t>HECTOR GARCES</t>
  </si>
  <si>
    <t>SILVIA DE FIGUEREDO</t>
  </si>
  <si>
    <t>MARISELA NEXANS</t>
  </si>
  <si>
    <t>DANIEL GARCES</t>
  </si>
  <si>
    <t>PAULA NAVARRO</t>
  </si>
  <si>
    <t>JAVIER DIAZ SEQUERA</t>
  </si>
  <si>
    <t>JAVIER DIAZ LATOUCHE</t>
  </si>
  <si>
    <t>DASHA MENESES</t>
  </si>
  <si>
    <t>NORKIS MILANO</t>
  </si>
  <si>
    <t>SOPHIA SANTIAGO</t>
  </si>
  <si>
    <t>JESUS SANTIAGO</t>
  </si>
  <si>
    <t>RECHELLY GUEVARA</t>
  </si>
  <si>
    <t>JOSE GUEVARA</t>
  </si>
  <si>
    <t>DAVID LUGO</t>
  </si>
  <si>
    <t>JOHALY FRANQUINEZ</t>
  </si>
  <si>
    <t>VICTORIA CASTAÑEDA</t>
  </si>
  <si>
    <t>MARIA COLMENARES</t>
  </si>
  <si>
    <t>CARMEN TORREALBA</t>
  </si>
  <si>
    <t>DEBORAH MORALES</t>
  </si>
  <si>
    <t>MARIA LIENDO</t>
  </si>
  <si>
    <t>SARAH MORALES</t>
  </si>
  <si>
    <t>SHARY LAFFONT</t>
  </si>
  <si>
    <t>BARBARA CASTAÑEDA</t>
  </si>
  <si>
    <t>GIOVANNI SALINAS</t>
  </si>
  <si>
    <t xml:space="preserve"> </t>
  </si>
  <si>
    <t>MIZAEL  ZAMBRANO</t>
  </si>
  <si>
    <t>ASHLEY BURKE</t>
  </si>
  <si>
    <t>BETTY SABORIO</t>
  </si>
  <si>
    <t>ISABELLA EXPOSITO</t>
  </si>
  <si>
    <t>DELIA MEJIA</t>
  </si>
  <si>
    <t>ARIANA MARTINEZ</t>
  </si>
  <si>
    <t>YALITHCE CAÑIZALES</t>
  </si>
  <si>
    <t>LUIS D´ESTEFANO</t>
  </si>
  <si>
    <t>STEPHANY D´ESTEFANO</t>
  </si>
  <si>
    <t>ALEJANDRO GALICIA</t>
  </si>
  <si>
    <t>JULIMIN ESTEVEZ</t>
  </si>
  <si>
    <t>NEHEMIAS LOPEZ</t>
  </si>
  <si>
    <t>ICOA GONZALEZ</t>
  </si>
  <si>
    <t>ORIANA BERROTERAN</t>
  </si>
  <si>
    <t>COLOMBIA GUZMAN</t>
  </si>
  <si>
    <t>SOFIA QUIROZ</t>
  </si>
  <si>
    <t>ZULMA RIVERA</t>
  </si>
  <si>
    <t>SAMUEL RIVAS</t>
  </si>
  <si>
    <t>LORENA RODRIGUEZ</t>
  </si>
  <si>
    <t>ALEJANDRA QUINTANA</t>
  </si>
  <si>
    <t>ELOINA QUINTANA</t>
  </si>
  <si>
    <t>JAVIER MARIN</t>
  </si>
  <si>
    <t>ALVI CALDERON</t>
  </si>
  <si>
    <t>PAOLA RODRIGUEZ</t>
  </si>
  <si>
    <t>MARIA GONZALEZ</t>
  </si>
  <si>
    <t>VALERIA RODRIGUEZ</t>
  </si>
  <si>
    <t>ALEJANDRA SANDOVAL</t>
  </si>
  <si>
    <t>MARIA ROMERO</t>
  </si>
  <si>
    <t>VICTORIA SANDOVAL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</si>
  <si>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</si>
  <si>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</si>
  <si>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</si>
  <si>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</si>
  <si>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</si>
  <si>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</si>
  <si>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</si>
  <si>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</si>
  <si>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</si>
  <si>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</si>
  <si>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</si>
  <si>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</si>
  <si>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</si>
  <si>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</si>
  <si>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</si>
  <si>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</si>
  <si>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</si>
  <si>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</si>
  <si>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</si>
  <si>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</si>
  <si>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</si>
  <si>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</si>
  <si>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</si>
  <si>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</si>
  <si>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</si>
  <si>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</si>
  <si>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</si>
  <si>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</si>
  <si>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</si>
  <si>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</si>
  <si>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</si>
  <si>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</si>
  <si>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</si>
  <si>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</si>
  <si>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</si>
  <si>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</si>
  <si>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</si>
  <si>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</si>
  <si>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</si>
  <si>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</si>
  <si>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</si>
  <si>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</si>
  <si>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</si>
  <si>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</si>
  <si>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</si>
  <si>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</si>
  <si>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</si>
  <si>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</si>
  <si>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</si>
  <si>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</si>
  <si>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</si>
  <si>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</si>
  <si>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</si>
  <si>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</si>
  <si>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</si>
  <si>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</si>
  <si>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</si>
  <si>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</si>
  <si>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</si>
  <si>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</si>
  <si>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</si>
  <si>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</si>
  <si>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</si>
  <si>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</si>
  <si>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</si>
  <si>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VICTOR HERNANDEZ</t>
  </si>
  <si>
    <t>YULLMARY AVILAN</t>
  </si>
  <si>
    <t>SABRINA HERNANDEZ</t>
  </si>
  <si>
    <t>SAMUEL HERNANDEZ</t>
  </si>
  <si>
    <t>SABRINA LOPEZ</t>
  </si>
  <si>
    <t>MARIA GOMES</t>
  </si>
  <si>
    <t>MATIAS GUERRERO</t>
  </si>
  <si>
    <t>AYLEMA BARRIOS</t>
  </si>
  <si>
    <t>INGRID COLINA</t>
  </si>
  <si>
    <t>BRYAN ALVAREZ</t>
  </si>
  <si>
    <t>DANIELA GOMEZ</t>
  </si>
  <si>
    <t>SHEILA SILVA</t>
  </si>
  <si>
    <t>WILMER GARCIA</t>
  </si>
  <si>
    <t>ALBANY SIACHOQUE</t>
  </si>
  <si>
    <t>ROSA LA CRUZ</t>
  </si>
  <si>
    <t>KEVIN HERRERA</t>
  </si>
  <si>
    <t>DIEGO HERRERA</t>
  </si>
  <si>
    <t>ADRIANA ZAMBRANO</t>
  </si>
  <si>
    <t>ANYELO RIOBUENO</t>
  </si>
  <si>
    <t>ANNA SANTOS</t>
  </si>
  <si>
    <t>JOSE TORRES</t>
  </si>
  <si>
    <t>DELIA ZAMORA</t>
  </si>
  <si>
    <t>CAMILA RODRIGUEZ</t>
  </si>
  <si>
    <t>GENESIS ACOSTA</t>
  </si>
  <si>
    <t>MAURIANY CHIARO</t>
  </si>
  <si>
    <t>MAURO CHIARO</t>
  </si>
  <si>
    <t>FABIANA DELGADO</t>
  </si>
  <si>
    <t>YIMARA ROSALES</t>
  </si>
  <si>
    <t>SARA PADRON</t>
  </si>
  <si>
    <t>YENNIFFER TRUJILLO</t>
  </si>
  <si>
    <t>MAYELA LEON</t>
  </si>
  <si>
    <t>ESTEFANI VELANDRIA</t>
  </si>
  <si>
    <t>ALEXANDRA MOLINA</t>
  </si>
  <si>
    <t>ALEXANDER MOLINA</t>
  </si>
  <si>
    <t>DANIEL MOLINA</t>
  </si>
  <si>
    <t>MASSIEL FERREIRA</t>
  </si>
  <si>
    <t>MAIRELYS COLMENARES</t>
  </si>
  <si>
    <t>DEVIS VALERO</t>
  </si>
  <si>
    <t>DIXSIBEL TUDARES</t>
  </si>
  <si>
    <t>AITOR FERREIRA</t>
  </si>
  <si>
    <t>MAXIMO  ARGOTTE</t>
  </si>
  <si>
    <t>MAYELE LEON</t>
  </si>
  <si>
    <t>DARIAN SEIJAS</t>
  </si>
  <si>
    <t>RICARDO MARTINEZ</t>
  </si>
  <si>
    <t>BELKIS CASTEJON</t>
  </si>
  <si>
    <t>SAMUEL MENDEZ</t>
  </si>
  <si>
    <t>JAVIER MENDEZ</t>
  </si>
  <si>
    <t>VICTORIA CARILLO</t>
  </si>
  <si>
    <t>VICTOR CARRILLO</t>
  </si>
  <si>
    <t>PAOLA HERNANDEZ</t>
  </si>
  <si>
    <t>LENNY HERNANDEZ</t>
  </si>
  <si>
    <t>NICOLLE BOLAÑOS</t>
  </si>
  <si>
    <t>GLADYS LUIS</t>
  </si>
  <si>
    <t>SANTIAGIO MENDEZ</t>
  </si>
  <si>
    <t>ANDREA ARAUJO</t>
  </si>
  <si>
    <t>OSWALD ARAUJO</t>
  </si>
  <si>
    <t>AMARILIS MENDEZ</t>
  </si>
  <si>
    <t>JULIO ZAMORA</t>
  </si>
  <si>
    <t>GABRIEL BARNES</t>
  </si>
  <si>
    <t>MIZLEIVY SALAS</t>
  </si>
  <si>
    <t>RUBEN BRICEÑO</t>
  </si>
  <si>
    <t>MARICEL MARRERO</t>
  </si>
  <si>
    <t>ADRIANA ASCANIO</t>
  </si>
  <si>
    <t>JUAN ASCANIO</t>
  </si>
  <si>
    <t>CAMILA FRANCIA</t>
  </si>
  <si>
    <t>YESENIA BASTIDAS</t>
  </si>
  <si>
    <t>ANDREA RIVAS</t>
  </si>
  <si>
    <t>YOLKA TRUJILLO</t>
  </si>
  <si>
    <t>SARAY HERNANDEZ</t>
  </si>
  <si>
    <t>HENRY HERNANDEZ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</si>
  <si>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</si>
  <si>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</si>
  <si>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</si>
  <si>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</si>
  <si>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</si>
  <si>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</si>
  <si>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</si>
  <si>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</si>
  <si>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</si>
  <si>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</si>
  <si>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</si>
  <si>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</si>
  <si>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</si>
  <si>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</si>
  <si>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</si>
  <si>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</si>
  <si>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</si>
  <si>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</si>
  <si>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</si>
  <si>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</si>
  <si>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</si>
  <si>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</si>
  <si>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</si>
  <si>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</si>
  <si>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</si>
  <si>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</si>
  <si>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</si>
  <si>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</si>
  <si>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</si>
  <si>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</si>
  <si>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JUAN CARLOS NARRO</t>
  </si>
  <si>
    <t>ISABEL GAMARGO</t>
  </si>
  <si>
    <t>ANDREA NARRO</t>
  </si>
  <si>
    <t>ARIANNA RIVAS</t>
  </si>
  <si>
    <t>ANA BEATRIZ FERNANDEZ</t>
  </si>
  <si>
    <t>MAYBEL CASTELLANOS</t>
  </si>
  <si>
    <t>EWANS YABRUDY</t>
  </si>
  <si>
    <t>NORELYS BECERRA</t>
  </si>
  <si>
    <t>KARLA LIDHEIRMER</t>
  </si>
  <si>
    <t>DORIS MEZA</t>
  </si>
  <si>
    <t>JHONEIRYS PEREZ</t>
  </si>
  <si>
    <t>ABRAHAM PEREZ</t>
  </si>
  <si>
    <t>GABRIELA SALAMANQUEZ</t>
  </si>
  <si>
    <t>FLORANGEL HIDALGO</t>
  </si>
  <si>
    <t>ESTEFANY BELANDRIA</t>
  </si>
  <si>
    <t>SARAH HERNANDEZ</t>
  </si>
  <si>
    <t>ADRIANA RIVAS</t>
  </si>
  <si>
    <t>PIO CIFELLI</t>
  </si>
  <si>
    <t>DULCE ACERO</t>
  </si>
  <si>
    <t>ANA CAROLINA PEREZ</t>
  </si>
  <si>
    <t>SILVANA DI SILVESTRE</t>
  </si>
  <si>
    <t>PEDRO MARQUEZ</t>
  </si>
  <si>
    <t>CESAR MEDRANO</t>
  </si>
  <si>
    <t>MIGUEL RIVAS</t>
  </si>
  <si>
    <t>AXEL LAFFONT</t>
  </si>
  <si>
    <t>RUTH DE LAFFONT</t>
  </si>
  <si>
    <t>SOPHIA LOMBARDI</t>
  </si>
  <si>
    <t>NELLY CAMARILLO</t>
  </si>
  <si>
    <t>KARELIA LATOUCHE</t>
  </si>
  <si>
    <t>ANDRES GARCES</t>
  </si>
  <si>
    <t>CHIA CASIQUE</t>
  </si>
  <si>
    <t>PAOLA D'ADAMO</t>
  </si>
  <si>
    <t>EVA OCANTO</t>
  </si>
  <si>
    <t>ARTURO CALLES</t>
  </si>
  <si>
    <t>ROSMEIDY ONTIVEROS</t>
  </si>
  <si>
    <t>ALEX VIEIRA</t>
  </si>
  <si>
    <t>HISTÓRICO DE MATRICULA</t>
  </si>
  <si>
    <t>16/08/2013 REN</t>
  </si>
  <si>
    <t>DANIELA GRAMMALDO</t>
  </si>
  <si>
    <t>KAREN MEDINA</t>
  </si>
  <si>
    <t>ABEL ROJAS</t>
  </si>
  <si>
    <t>BORIS SEIJAS</t>
  </si>
  <si>
    <t>ALEJANDRA CACHIMA</t>
  </si>
  <si>
    <t>PABLO CARDENAS</t>
  </si>
  <si>
    <t>JEAN PIERRE PATTI</t>
  </si>
  <si>
    <t>CLARA LOPEZ</t>
  </si>
  <si>
    <t>PAOLA PATTI</t>
  </si>
  <si>
    <t>LUIS VASQUEZ</t>
  </si>
  <si>
    <t>LOURDES AGUELIZ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</si>
  <si>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</si>
  <si>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</si>
  <si>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</si>
  <si>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</si>
  <si>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</si>
  <si>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</si>
  <si>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</si>
  <si>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</si>
  <si>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</si>
  <si>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</si>
  <si>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</si>
  <si>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</si>
  <si>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JORGE CHANO</t>
  </si>
  <si>
    <t>KATIUSKA ESTEVES</t>
  </si>
  <si>
    <t>SEBASTIAN SANCHEZ</t>
  </si>
  <si>
    <t>JOSSY SANCHEZ</t>
  </si>
  <si>
    <t>PAUL ESCOBAR</t>
  </si>
  <si>
    <t>BRIGYTT LANDAETA</t>
  </si>
  <si>
    <t>LUSBETH GARCIA</t>
  </si>
  <si>
    <t>MILAGROS BARRADA</t>
  </si>
  <si>
    <t>MICHELLE VASQUEZ</t>
  </si>
  <si>
    <t xml:space="preserve">10 </t>
  </si>
  <si>
    <t>SOFIA GUEDEZ</t>
  </si>
  <si>
    <t>SANDRA LOPEZ</t>
  </si>
  <si>
    <t>MATHIAS GONZALEZ</t>
  </si>
  <si>
    <t>GRIDLIANI GUZMAN</t>
  </si>
  <si>
    <t>SOFIA MATOS</t>
  </si>
  <si>
    <t>CAMILA GONZALEZ</t>
  </si>
  <si>
    <t>PAULINA QUINTERO</t>
  </si>
  <si>
    <t>BRYAN BURKE</t>
  </si>
  <si>
    <t>BRIAN BURKE</t>
  </si>
  <si>
    <t>VALERIA TABARES</t>
  </si>
  <si>
    <t>EVELYN SANCHEZ</t>
  </si>
  <si>
    <t>ESTEBAN GOÑI</t>
  </si>
  <si>
    <t>LIZABETTA ALLEN</t>
  </si>
  <si>
    <t>THAYRUTH  COLINA</t>
  </si>
  <si>
    <t>GENESIS ALTUVE</t>
  </si>
  <si>
    <t>GASTON ALTUVE</t>
  </si>
  <si>
    <t>JONATHAN SILVA</t>
  </si>
  <si>
    <t>ERNESTO LUGO</t>
  </si>
  <si>
    <t>NATHALIA MARTINHO</t>
  </si>
  <si>
    <t>E81297370</t>
  </si>
  <si>
    <t>JOYCE PUIGMARTI</t>
  </si>
  <si>
    <t>DESIREE RPDRIGUEZ</t>
  </si>
  <si>
    <t>DESIREE RODRIGUEZ</t>
  </si>
  <si>
    <t>OLY CALDERON</t>
  </si>
  <si>
    <t>ROY MATOS</t>
  </si>
  <si>
    <t>MARIANA BASTIDAS</t>
  </si>
  <si>
    <t>ALEJANDRA BASTIDAS</t>
  </si>
  <si>
    <t>BEATRIZ DELGADO</t>
  </si>
  <si>
    <t>JOSE ANGULO</t>
  </si>
  <si>
    <t>STIVENSON AVILEZ</t>
  </si>
  <si>
    <t>CLAUDIA SANCHEZ</t>
  </si>
  <si>
    <t>ALEJANDRA BERRIO</t>
  </si>
  <si>
    <t>WILLIAMS BERRIOS</t>
  </si>
  <si>
    <t>JOAN GONCALVES</t>
  </si>
  <si>
    <t>YASMIN ALVAREZ</t>
  </si>
  <si>
    <t>LEIDY AVILAN</t>
  </si>
  <si>
    <t>LUIS AULAR</t>
  </si>
  <si>
    <t>ELMER AULAR</t>
  </si>
  <si>
    <t>ANA QUEVEDO</t>
  </si>
  <si>
    <t>RONALD ROSATI</t>
  </si>
  <si>
    <t>GREGORY LOPEZ</t>
  </si>
  <si>
    <t>THAIS DIAZ</t>
  </si>
  <si>
    <t>DIANA DE GOUVEIA</t>
  </si>
  <si>
    <t>MARIA ARLETT DE FREITAS</t>
  </si>
  <si>
    <t>MARIA TORO</t>
  </si>
  <si>
    <t>CRISTINA VAZQUEZ</t>
  </si>
  <si>
    <t>RAUL RUIZ</t>
  </si>
  <si>
    <t>TANIA TOVAR</t>
  </si>
  <si>
    <t>JEAN QUIJADA</t>
  </si>
  <si>
    <t>WILSON QUIJADA</t>
  </si>
  <si>
    <t>JORGE MARCEL ORTEGA</t>
  </si>
  <si>
    <t>MARIA GASTIEL</t>
  </si>
  <si>
    <t>GABRIEL BIELUKAS</t>
  </si>
  <si>
    <t>ANGEL BIELUKAS</t>
  </si>
  <si>
    <t>GLADYS CANDURIZ</t>
  </si>
  <si>
    <t>BRAYAN BURKE</t>
  </si>
  <si>
    <t>BRENDA FABREGAS</t>
  </si>
  <si>
    <t>CARLA BALZA</t>
  </si>
  <si>
    <t>ARELYS RAMOS</t>
  </si>
  <si>
    <t>MARIA FERNANDA MENDEZ</t>
  </si>
  <si>
    <t>MARIA ALEJANDRA MENDEZ</t>
  </si>
  <si>
    <t>ISABELLA CASTELLANOS</t>
  </si>
  <si>
    <t>GUISELLE FABREGAS</t>
  </si>
  <si>
    <t>RENOVADO EL 02</t>
  </si>
  <si>
    <t xml:space="preserve">RENOVADO </t>
  </si>
  <si>
    <t>YGNACIO PEÑA CONTRERAS</t>
  </si>
  <si>
    <t>YGNACIO PEÑA CASTILLO</t>
  </si>
  <si>
    <t>ANAKARINA PEÑA</t>
  </si>
  <si>
    <t>GLORIA BALZA</t>
  </si>
  <si>
    <t>VANESSA BALZA</t>
  </si>
  <si>
    <t>GABRIEL BRITO</t>
  </si>
  <si>
    <t>ALBERTO FABREGAS</t>
  </si>
  <si>
    <t>MILENA DE CRUZ</t>
  </si>
  <si>
    <t>ROSXANA JAIMES</t>
  </si>
  <si>
    <t>CAMILA SALAZAR</t>
  </si>
  <si>
    <t>HECTOR SALAZAR</t>
  </si>
  <si>
    <t>DAVID WEISSMAN</t>
  </si>
  <si>
    <t>VALERIA LIMTERSIS</t>
  </si>
  <si>
    <t>REINALDO RODRIGUEZ</t>
  </si>
  <si>
    <t>MARIA LOPEZ</t>
  </si>
  <si>
    <t>ANDREA GONZALEZ</t>
  </si>
  <si>
    <t>DANY ABREU</t>
  </si>
  <si>
    <t>JULIO YANEZ</t>
  </si>
  <si>
    <t>MARTHA REMIRO</t>
  </si>
  <si>
    <t>JESSICA YANNUZZI</t>
  </si>
  <si>
    <t>LUIS REMIRO</t>
  </si>
  <si>
    <t>CARLOS PEREZ</t>
  </si>
  <si>
    <t>MARIELA CASTILLO</t>
  </si>
  <si>
    <t>REINALDO AVILA</t>
  </si>
  <si>
    <t>CARLOS BELLO</t>
  </si>
  <si>
    <t>TIBISAY DIAZ</t>
  </si>
  <si>
    <t>DIANA BELLO</t>
  </si>
  <si>
    <t>7</t>
  </si>
  <si>
    <t>GABRIEL HERNANDEZ</t>
  </si>
  <si>
    <t>INGRID MARQUEZ</t>
  </si>
  <si>
    <t>RESTA</t>
  </si>
  <si>
    <t>REBECA GARCIA</t>
  </si>
  <si>
    <t>RAFAEL MATUTE</t>
  </si>
  <si>
    <t>ANNA RONDON</t>
  </si>
  <si>
    <t>MARIA RONDON</t>
  </si>
  <si>
    <t>NINOSKA GUANIPA</t>
  </si>
  <si>
    <t>ALISBETH DIAZ</t>
  </si>
  <si>
    <t>FATIMA DE FRANCA</t>
  </si>
  <si>
    <t>FRANCYS DA COSTA</t>
  </si>
  <si>
    <t>YURUAN ECHEVARRIETA</t>
  </si>
  <si>
    <t>KEVIN CAÑATE</t>
  </si>
  <si>
    <t>JENNY CARDIER</t>
  </si>
  <si>
    <t>4140117310 - 04242188667</t>
  </si>
  <si>
    <t>GABANNA HERNANDEZ</t>
  </si>
  <si>
    <t>JESSICA LAFFONT</t>
  </si>
  <si>
    <t>NERYS DOMINGUEZ</t>
  </si>
  <si>
    <t>NOELIA VASQUEZ</t>
  </si>
  <si>
    <t>2424-1591770</t>
  </si>
  <si>
    <t>AINARA ECHEVARRIETA</t>
  </si>
  <si>
    <t>ORIANA BARREIRO</t>
  </si>
  <si>
    <t>ANA TORRES</t>
  </si>
  <si>
    <t>JEAN MORENO</t>
  </si>
  <si>
    <t>JULEANT FERNANDES</t>
  </si>
  <si>
    <t>DANA BARREIRO</t>
  </si>
  <si>
    <t>JULIO BARREIRO</t>
  </si>
  <si>
    <t>DANIELA VALLENILLA</t>
  </si>
  <si>
    <t>JESSICA YANUZZI</t>
  </si>
  <si>
    <t>0414-1588127</t>
  </si>
  <si>
    <t>MARICELA RINCON</t>
  </si>
  <si>
    <t>JUAN SALGAR</t>
  </si>
  <si>
    <t>LUIS ARAY</t>
  </si>
  <si>
    <t>NICOLE CORREIA</t>
  </si>
  <si>
    <t>BETTY DE BARROS</t>
  </si>
  <si>
    <t>INTERCAMBIO</t>
  </si>
  <si>
    <t>CARLOS CORREIA</t>
  </si>
  <si>
    <t>OSWALDO DOMINGUEZ</t>
  </si>
  <si>
    <t>0424-1567393</t>
  </si>
  <si>
    <t>NICOLAS ANDREATTA</t>
  </si>
  <si>
    <t>YUDITH HIDROBO</t>
  </si>
  <si>
    <t>LAYLA HIDROBO</t>
  </si>
  <si>
    <t>0416-7155525</t>
  </si>
  <si>
    <t>ERICK LOZANO</t>
  </si>
  <si>
    <t>0424-2135058</t>
  </si>
  <si>
    <t>MILAGROS BARAZARTE</t>
  </si>
  <si>
    <t>0416-6300510</t>
  </si>
  <si>
    <t>JULIO COLINA</t>
  </si>
  <si>
    <t>0414-1962714</t>
  </si>
  <si>
    <t>JEAN FRANCO LIMO</t>
  </si>
  <si>
    <t>MARIA AZAR</t>
  </si>
  <si>
    <t>ELIAS AZAR</t>
  </si>
  <si>
    <t>GABRIELA DE LA HOZ</t>
  </si>
  <si>
    <t>JORGE DE LA HOZ</t>
  </si>
  <si>
    <t>4262131631 - 04242086970</t>
  </si>
  <si>
    <t>LUISANA ESPINOZA</t>
  </si>
  <si>
    <t>0426-3102658</t>
  </si>
  <si>
    <t>AIMARA TOVAR</t>
  </si>
  <si>
    <t>0412-5920021</t>
  </si>
  <si>
    <t>0424-8354161</t>
  </si>
  <si>
    <t>AARON PEREZ</t>
  </si>
  <si>
    <t>YASMIN SOTO</t>
  </si>
  <si>
    <t>ASAEL PEREZ</t>
  </si>
  <si>
    <t>WILLIAM PEREZ</t>
  </si>
  <si>
    <t>JONATHAN ARANGUREN</t>
  </si>
  <si>
    <t>DANIEL SEQUERA</t>
  </si>
  <si>
    <t>DOUGLAS SEQUERA</t>
  </si>
  <si>
    <t>,</t>
  </si>
  <si>
    <t>NINOSKA VELASQUEZ</t>
  </si>
  <si>
    <t>ANDRU NAVA</t>
  </si>
  <si>
    <t>ANTRY NAVA</t>
  </si>
  <si>
    <t>WHITNEY VENTURINI</t>
  </si>
  <si>
    <t>ROSMERY CARREÑO</t>
  </si>
  <si>
    <t>11..735543</t>
  </si>
  <si>
    <t>SOFIA RAMOS</t>
  </si>
  <si>
    <t>LAYLA GRASSI</t>
  </si>
  <si>
    <t>SILVIA FERREIRA</t>
  </si>
  <si>
    <t>KATHERINE PESTANA</t>
  </si>
  <si>
    <t>DIEGO PESTANA</t>
  </si>
  <si>
    <t>ALEJANDRA PESTANA</t>
  </si>
  <si>
    <t>YALITZA HERNANDEZ</t>
  </si>
  <si>
    <t>JORGE PADRON</t>
  </si>
  <si>
    <t>MARIA FRIAS</t>
  </si>
  <si>
    <t>25/05/205</t>
  </si>
  <si>
    <t>LILIAN GORRIN</t>
  </si>
  <si>
    <t>LILILAN GORRIN</t>
  </si>
  <si>
    <t>MAYENIN ZERPA</t>
  </si>
  <si>
    <t>ANDREA ACOSTA</t>
  </si>
  <si>
    <t>MIREYA BAPTISTA</t>
  </si>
  <si>
    <t>JENNIFER FERREIRA</t>
  </si>
  <si>
    <t>CARLOS RIZZO</t>
  </si>
  <si>
    <t>DEIVINSON FERREIRA</t>
  </si>
  <si>
    <t>GIAN PIERO FERREIRA</t>
  </si>
  <si>
    <t>PENDIENTE POR PAGO</t>
  </si>
  <si>
    <t>MARCOS COLINA</t>
  </si>
  <si>
    <t>RICARDO RAMIREZ</t>
  </si>
  <si>
    <t>JORGE GALICKI</t>
  </si>
  <si>
    <t>THANIA ZANONI</t>
  </si>
  <si>
    <t>CARLOS GARCIA</t>
  </si>
  <si>
    <t>RAIZA MENA</t>
  </si>
  <si>
    <t>CLARA CASTELLANOS</t>
  </si>
  <si>
    <t>FRANCISCO MARTINEZ</t>
  </si>
  <si>
    <t>YUMAIRA VASQUEZ</t>
  </si>
  <si>
    <t>CRISTMARY GERIK</t>
  </si>
  <si>
    <t>MARIANGGEL RODRIGUEZ</t>
  </si>
  <si>
    <t>EUGENIA VENTURA</t>
  </si>
  <si>
    <t>GREG VENTURA</t>
  </si>
  <si>
    <t>DAVID VENTURA</t>
  </si>
  <si>
    <t>SAMARYS VÁSQUEZ</t>
  </si>
  <si>
    <t>ADRIANGELA VERDU</t>
  </si>
  <si>
    <t>YENNIFER GONZALEZ</t>
  </si>
  <si>
    <t>CESAR AULAR</t>
  </si>
  <si>
    <t>CLAUDIA MUÑOZ</t>
  </si>
  <si>
    <t>HERNANDO SANJUAN</t>
  </si>
  <si>
    <t>DANIEL ZAMBRANO</t>
  </si>
  <si>
    <t>FRANCIS FIGUERAS</t>
  </si>
  <si>
    <t>ALESSANDRA FIGUERAS</t>
  </si>
  <si>
    <t>ANDREA LIZARRAGA</t>
  </si>
  <si>
    <t xml:space="preserve">ADRIANA AGUILERA </t>
  </si>
  <si>
    <t>MARBRI PEREIRA</t>
  </si>
  <si>
    <t>FREDDY PEREIRA</t>
  </si>
  <si>
    <t>FABIANA ALVAREZ</t>
  </si>
  <si>
    <t>YUBISAY JIMENEZ</t>
  </si>
  <si>
    <t>RAMIRO COLMENARES</t>
  </si>
  <si>
    <t>JOSE COLMENARES</t>
  </si>
  <si>
    <t>JEAN AVILA</t>
  </si>
  <si>
    <t>JEANNY AVILA</t>
  </si>
  <si>
    <t>JOSE GARCIA</t>
  </si>
  <si>
    <t>MARIA RIBERA</t>
  </si>
  <si>
    <t>GEORGE MOLINA</t>
  </si>
  <si>
    <t>GILDA FERNANDEZ</t>
  </si>
  <si>
    <t>GILDA FERNAQNDEZ</t>
  </si>
  <si>
    <t>MARIA BONILLA</t>
  </si>
  <si>
    <t>VALESKA RANGEL</t>
  </si>
  <si>
    <t>NANCY DIAZ</t>
  </si>
  <si>
    <t>NICOLAS CASTRO</t>
  </si>
  <si>
    <t>CAROLL HERNANDEZ</t>
  </si>
  <si>
    <t>DIEGO QUINTERO</t>
  </si>
  <si>
    <t>MARIA HERRERA</t>
  </si>
  <si>
    <t>JESUS MATA</t>
  </si>
  <si>
    <t>GABRIELA ROMERO</t>
  </si>
  <si>
    <t>MAURICIO ROMERO</t>
  </si>
  <si>
    <t>GUIMAR VILLEGAS</t>
  </si>
  <si>
    <t>JESHICA HERRERA 04140823191</t>
  </si>
  <si>
    <t>VICTORIA MENDEZ</t>
  </si>
  <si>
    <t>KIARA FLORENCA</t>
  </si>
  <si>
    <t>ANGELICA NUÑEZ</t>
  </si>
  <si>
    <t>ADRIANA MACHADO</t>
  </si>
  <si>
    <t>ARGENIS FERREIRA</t>
  </si>
  <si>
    <t>DANIEL FARIAS</t>
  </si>
  <si>
    <t>VALERY CASTILLO</t>
  </si>
  <si>
    <t>ARIANA PEREZ</t>
  </si>
  <si>
    <t>ANAIS GONZALEZ</t>
  </si>
  <si>
    <t>WILLIAM GONZALEZ</t>
  </si>
  <si>
    <t>ELIANA PULIDO</t>
  </si>
  <si>
    <t>ALEJANDRA GUTIERREZ</t>
  </si>
  <si>
    <t>EDUVIGES GUTIERREZ</t>
  </si>
  <si>
    <t>JESUS ALVAREZ</t>
  </si>
  <si>
    <t>ROSA DE AGUIAR</t>
  </si>
  <si>
    <t>RUBEN GOMEZ</t>
  </si>
  <si>
    <t>XAVIER OBERTO</t>
  </si>
  <si>
    <t>GABRIELA COLMENARES</t>
  </si>
  <si>
    <t>REGINA FERNANDEZ</t>
  </si>
  <si>
    <t>HEILSEL GONZALEZ</t>
  </si>
  <si>
    <t>GENESIS BRUNO</t>
  </si>
  <si>
    <t>INES ARELLANO</t>
  </si>
  <si>
    <t>RHOISIEL GUEVARA</t>
  </si>
  <si>
    <t>CAROLINA ZAMUDIO</t>
  </si>
  <si>
    <t>CARLOS ALVARELLOS</t>
  </si>
  <si>
    <t>LUIS SANTOS</t>
  </si>
  <si>
    <t>MARINELLY FIGUEIRA</t>
  </si>
  <si>
    <t>JOEL ZAMBRANO</t>
  </si>
  <si>
    <t>DEYBIS ZAMBRANO</t>
  </si>
  <si>
    <t>JUAN SARABIA</t>
  </si>
  <si>
    <t>JULIANMY YANEZ</t>
  </si>
  <si>
    <t>AXEL BRITO 04242555933</t>
  </si>
  <si>
    <t>VIVIANA DA SILVA</t>
  </si>
  <si>
    <t>LIDIA DA SILVA</t>
  </si>
  <si>
    <t>REYNA RODRIGUEZ</t>
  </si>
  <si>
    <t>MARIA LEAL</t>
  </si>
  <si>
    <t>KATHERINE DE SERRANO</t>
  </si>
  <si>
    <t>SANTIAGO AVILA</t>
  </si>
  <si>
    <t>ROBERTO AVILA</t>
  </si>
  <si>
    <t>VALENTINA PAIVA</t>
  </si>
  <si>
    <t>ELVYS AGUILAR</t>
  </si>
  <si>
    <t>LUIS GRATEROL</t>
  </si>
  <si>
    <t>KEVIN HERNANDEZ</t>
  </si>
  <si>
    <t>ELIBETH TARAZON</t>
  </si>
  <si>
    <t>MARIA ECHEVERRIA</t>
  </si>
  <si>
    <t>ALAN FRANQUESA</t>
  </si>
  <si>
    <t>YURI IZAGUIRRE</t>
  </si>
  <si>
    <t>INES ANGULO</t>
  </si>
  <si>
    <t>MARIA PEREZ</t>
  </si>
  <si>
    <t>EGLEE CAMERO</t>
  </si>
  <si>
    <t>VERONICA FERREIRA</t>
  </si>
  <si>
    <t>EDUARDO JIMENEZ</t>
  </si>
  <si>
    <t>JOSE CORREIA</t>
  </si>
  <si>
    <t>GIANN DOS SANTOS</t>
  </si>
  <si>
    <t>KEVIN DOS SANTOS</t>
  </si>
  <si>
    <t>MADRIANGEL QUEVEDO</t>
  </si>
  <si>
    <t>JONATHAN ZANONI</t>
  </si>
  <si>
    <t>RORAIMA BENITEZ</t>
  </si>
  <si>
    <t>CARMEN VIEIRA</t>
  </si>
  <si>
    <t>0528</t>
  </si>
  <si>
    <t>OLGA ESCALANTE</t>
  </si>
  <si>
    <t>CAROL HERNANDEZ</t>
  </si>
  <si>
    <t>JOSE MALPICA</t>
  </si>
  <si>
    <t>ELBA SECO</t>
  </si>
  <si>
    <t>MIRIAM GOMES</t>
  </si>
  <si>
    <t>LUIS E GONCALVES</t>
  </si>
  <si>
    <t>GABRIELA ZANONI</t>
  </si>
  <si>
    <t>ANDREA ZANONI</t>
  </si>
  <si>
    <t>ADRIANA RAMIRES</t>
  </si>
  <si>
    <t>ERIKA DA SILVA</t>
  </si>
  <si>
    <t xml:space="preserve">ABEL MOSELLO </t>
  </si>
  <si>
    <t>GLORIA PEREIRA</t>
  </si>
  <si>
    <t>JOHAN JOIME</t>
  </si>
  <si>
    <t>CESAR DELGADO</t>
  </si>
  <si>
    <t>SANTIAGO VIVAS</t>
  </si>
  <si>
    <t>MARIA DE AGUIAR</t>
  </si>
  <si>
    <t>VERONICA MEJIA</t>
  </si>
  <si>
    <t>YOFFRE MEJIA</t>
  </si>
  <si>
    <t>JOSE ROBERTS</t>
  </si>
  <si>
    <t>VALERIA SOSA</t>
  </si>
  <si>
    <t>MARIA SILVA</t>
  </si>
  <si>
    <t>NICOLE LEGORI</t>
  </si>
  <si>
    <t>JASSI SOJO</t>
  </si>
  <si>
    <t>JEAN DE SOUSA</t>
  </si>
  <si>
    <t>DAYANI SPINA</t>
  </si>
  <si>
    <t>LUIS DE SOUSA</t>
  </si>
  <si>
    <t>JASSY SOJO</t>
  </si>
  <si>
    <t>VALERIA RONCARI</t>
  </si>
  <si>
    <t>BEATRIZ VEGAS</t>
  </si>
  <si>
    <t>CAMILA SOSA</t>
  </si>
  <si>
    <t>MAGDDIEL GONZALEZ</t>
  </si>
  <si>
    <t>LUZ MERY PLAZA</t>
  </si>
  <si>
    <t>DANIELA SANCHEZ</t>
  </si>
  <si>
    <t>BONY BUSTILLOS</t>
  </si>
  <si>
    <t>LUIS SANCHEZ</t>
  </si>
  <si>
    <t>NOELIA GUERRA</t>
  </si>
  <si>
    <t xml:space="preserve">ANDREA VIVAS </t>
  </si>
  <si>
    <t>MARIANGEL PEREZ</t>
  </si>
  <si>
    <t>LENYS VIVAS</t>
  </si>
  <si>
    <t>ALJADIS DOMERO</t>
  </si>
  <si>
    <t xml:space="preserve">YOSMAR RAMIREZ </t>
  </si>
  <si>
    <t xml:space="preserve">CARLOS MORENO </t>
  </si>
  <si>
    <t>TANIA ZANONI</t>
  </si>
  <si>
    <t>4241639497 / 2123726083</t>
  </si>
  <si>
    <t>DAVID CADENAS</t>
  </si>
  <si>
    <t>SABRINA LAHOUD</t>
  </si>
  <si>
    <t>JIPXY PABON</t>
  </si>
  <si>
    <t>ANTONIO MONIZ</t>
  </si>
  <si>
    <t>BETSABETH SUARES</t>
  </si>
  <si>
    <t>ADRIANA ALAÑA</t>
  </si>
  <si>
    <t>CATHERINE HERNANDEZ</t>
  </si>
  <si>
    <t>MARTHA MOSQUERA</t>
  </si>
  <si>
    <t>JUAN ROJAS</t>
  </si>
  <si>
    <t>STEFANI GONCALVES</t>
  </si>
  <si>
    <t>JOSE GONCALVES</t>
  </si>
  <si>
    <t>YOLIMAR ESCALONA</t>
  </si>
  <si>
    <t>JANETT CIRINEO</t>
  </si>
  <si>
    <t>CATHERINE MACHADO</t>
  </si>
  <si>
    <t>MILANGELA VILLALOBOS</t>
  </si>
  <si>
    <t>GREYLI YEPEZ</t>
  </si>
  <si>
    <t>EDUARDO GARCIA</t>
  </si>
  <si>
    <t>SANTIAGO GARCIA</t>
  </si>
  <si>
    <t>ANA NAVARRO</t>
  </si>
  <si>
    <t>JHON GOMEZ</t>
  </si>
  <si>
    <t>MAYRA VALERA</t>
  </si>
  <si>
    <t>CARLOS FARIAS</t>
  </si>
  <si>
    <t>SOFIA BRACHO</t>
  </si>
  <si>
    <t>DEXHSY MENDOZA</t>
  </si>
  <si>
    <t>NERIO BRACHO</t>
  </si>
  <si>
    <t>JOSE LUIS GUEVARA</t>
  </si>
  <si>
    <t>JOSE IGNACIO GUEVARA</t>
  </si>
  <si>
    <t>LEONARDO  MORALES</t>
  </si>
  <si>
    <t>LEONARDO MORALES</t>
  </si>
  <si>
    <t>JESUS REQUENA</t>
  </si>
  <si>
    <t>GREIDY MORENO</t>
  </si>
  <si>
    <t>YATZURY MUÑOZ</t>
  </si>
  <si>
    <t>NICOLA BAVARO</t>
  </si>
  <si>
    <t>DABOIN LEONARDO</t>
  </si>
  <si>
    <t>YANETH LACRUZ</t>
  </si>
  <si>
    <t>JOSE GOMEZ</t>
  </si>
  <si>
    <t>MARIA ALEJANDRA LOPEZ</t>
  </si>
  <si>
    <t>YELITZA CASTILLO</t>
  </si>
  <si>
    <t>PAUL ALAVAREZ</t>
  </si>
  <si>
    <t>PAUL ALVAREZ</t>
  </si>
  <si>
    <t>YALIZU PERAZA</t>
  </si>
  <si>
    <t>ALEJANDRO BOLAÑOS</t>
  </si>
  <si>
    <t>JAVIER MORENO</t>
  </si>
  <si>
    <t>OLGA BANUS</t>
  </si>
  <si>
    <t>MARTHA GARCIA</t>
  </si>
  <si>
    <t>JUAN CARLOS NAVA</t>
  </si>
  <si>
    <t>MIRANDA VIEIRA</t>
  </si>
  <si>
    <t>FABRIZZIO LOZADA</t>
  </si>
  <si>
    <t>AIRAM LOZADA</t>
  </si>
  <si>
    <t>12.653.62</t>
  </si>
  <si>
    <t>PATRICIA NAVAS</t>
  </si>
  <si>
    <t>LUIS NAVAS</t>
  </si>
  <si>
    <t>ANA BERNAL</t>
  </si>
  <si>
    <t>XIOMARA LUGO</t>
  </si>
  <si>
    <t>CARLOS BERNAL</t>
  </si>
  <si>
    <t>MARIBEL RODRIGUEZ</t>
  </si>
  <si>
    <t>DANIEL PINEDA</t>
  </si>
  <si>
    <t>DANNY PINEDA</t>
  </si>
  <si>
    <t>ROGER CARRIZO</t>
  </si>
  <si>
    <t>JOSE GOITA</t>
  </si>
  <si>
    <t>LISTA YLIANOSKA</t>
  </si>
  <si>
    <t>RANALD ROSATI</t>
  </si>
  <si>
    <t>ANILEZ RODRIGUEZ</t>
  </si>
  <si>
    <t>KASSANDRA SOSA</t>
  </si>
  <si>
    <t>MARIA GUERRA</t>
  </si>
  <si>
    <t>MARIANGEL VARGAS</t>
  </si>
  <si>
    <t>JOSEFA ARELLANO</t>
  </si>
  <si>
    <t>YRIIANA LABRADOR</t>
  </si>
  <si>
    <t>IVAN DIAZ</t>
  </si>
  <si>
    <t>04169171654</t>
  </si>
  <si>
    <t>EIMY GOMEZ</t>
  </si>
  <si>
    <t>LILIBETH ALVES</t>
  </si>
  <si>
    <t>MARGARITA AGUILAR</t>
  </si>
  <si>
    <t>EMILY CASTILLO</t>
  </si>
  <si>
    <t>CESAR NUÑEZ</t>
  </si>
  <si>
    <t>ALEXANDRA BORJAS</t>
  </si>
  <si>
    <t>DORIS CARRERO</t>
  </si>
  <si>
    <t>LILIANA ALVAREZ</t>
  </si>
  <si>
    <t xml:space="preserve">LUCERY HIGUERA </t>
  </si>
  <si>
    <t xml:space="preserve">        07/12/2015</t>
  </si>
  <si>
    <t>YOLETH COLMENARES</t>
  </si>
  <si>
    <t>MARICELA SOLORZANO</t>
  </si>
  <si>
    <t>LEONARDO MALAVER</t>
  </si>
  <si>
    <t>ISABELLA PEREZ</t>
  </si>
  <si>
    <t>VANESSA PEREZ</t>
  </si>
  <si>
    <t>MARISELA SOLORZANO</t>
  </si>
  <si>
    <t>ANNASTASIA RINCON</t>
  </si>
  <si>
    <t>YVELUZ NUÑEZ</t>
  </si>
  <si>
    <t>ASHLEY ROJAS</t>
  </si>
  <si>
    <t>AYARITH ORTEGA</t>
  </si>
  <si>
    <t>EMMA HERRERA</t>
  </si>
  <si>
    <t>YANETH ANGULO</t>
  </si>
  <si>
    <t>ANGEL CONTRERAS</t>
  </si>
  <si>
    <t>ZAHER MACHADO</t>
  </si>
  <si>
    <t>VERONICA MACHADO</t>
  </si>
  <si>
    <t>ALEJANDRA DELGADO</t>
  </si>
  <si>
    <t>MARIA MARTINEZ</t>
  </si>
  <si>
    <t>SEBASTIAN DE ANDRADE</t>
  </si>
  <si>
    <t>MARIA RADA</t>
  </si>
  <si>
    <t>NUR SHAMES RINCON</t>
  </si>
  <si>
    <t>DANAE RINCON</t>
  </si>
  <si>
    <t>DANIEL BENITEZ</t>
  </si>
  <si>
    <t>FRANCIS ULUKNON</t>
  </si>
  <si>
    <t>JEAN FRANCO DE SOUSA</t>
  </si>
  <si>
    <t>PAOLA PULIDO</t>
  </si>
  <si>
    <t>MARIA DIAZ</t>
  </si>
  <si>
    <t>WILLIAMS SANOJA</t>
  </si>
  <si>
    <t>HORTEMSIA GOMEZ</t>
  </si>
  <si>
    <t>STEPHANIE GOMEZ</t>
  </si>
  <si>
    <t>FRANCISCO POLEO</t>
  </si>
  <si>
    <t>RAINA POLEO</t>
  </si>
  <si>
    <t>ALBERTO ROSALES</t>
  </si>
  <si>
    <t>HATZEN MENDOZA</t>
  </si>
  <si>
    <t>ALEJANDRO HOYOS</t>
  </si>
  <si>
    <t>HENRY HUGLE</t>
  </si>
  <si>
    <t>HENRY MUJICA</t>
  </si>
  <si>
    <t xml:space="preserve">EDGAR SANABRIA </t>
  </si>
  <si>
    <t>EDGAR SANABRIA</t>
  </si>
  <si>
    <t>GILBERTO RIVERO</t>
  </si>
  <si>
    <t>LILIANA CORTEZ</t>
  </si>
  <si>
    <t>OMAR RIVERO</t>
  </si>
  <si>
    <t>JOSE CARRASQUEL</t>
  </si>
  <si>
    <t>MISAAC DAVILA</t>
  </si>
  <si>
    <t>KATHERINE GOMEZ</t>
  </si>
  <si>
    <t>LINDA HERNANDEZ</t>
  </si>
  <si>
    <t>LINDA DIAZ</t>
  </si>
  <si>
    <t>JESUS NAVAS</t>
  </si>
  <si>
    <t>VALENTINA GIOIA</t>
  </si>
  <si>
    <t>SILVANA MARMO</t>
  </si>
  <si>
    <t>KATHERINE CABRAL</t>
  </si>
  <si>
    <t>ALEX MARTINEZ</t>
  </si>
  <si>
    <t>ALEXANDRA MARTINEZ</t>
  </si>
  <si>
    <t>JUAN IBAÑEZ</t>
  </si>
  <si>
    <t>MARIANELA DE IBAÑEZ</t>
  </si>
  <si>
    <t>DAJIMZE PEREZ</t>
  </si>
  <si>
    <t>YELITZE HERRERA</t>
  </si>
  <si>
    <t>VALERIA IBAÑEZ</t>
  </si>
  <si>
    <t>DIEGO GARCIA</t>
  </si>
  <si>
    <t>SILVANA CONTRERAS</t>
  </si>
  <si>
    <t>16-02-206</t>
  </si>
  <si>
    <t>SUSANA SOSA</t>
  </si>
  <si>
    <t>JASMIN BASTIDA</t>
  </si>
  <si>
    <t>LOEN SOSA</t>
  </si>
  <si>
    <t>TAREK RAMOS</t>
  </si>
  <si>
    <t>OLGA MAHAR</t>
  </si>
  <si>
    <t>VERONICA VILLALBA</t>
  </si>
  <si>
    <t>JUAN CAMACARO</t>
  </si>
  <si>
    <t>CINTIA GONZALEZ</t>
  </si>
  <si>
    <t>9.503-114</t>
  </si>
  <si>
    <t>SOLANGEL RAMIREZ</t>
  </si>
  <si>
    <t>LUIS RAMIREZ</t>
  </si>
  <si>
    <t>TAHYNA GUAINA</t>
  </si>
  <si>
    <t>JOHENDI GOMEZ</t>
  </si>
  <si>
    <t>MARIA FERNANDA  MENDEZ</t>
  </si>
  <si>
    <t>FREDDY LOPEZ</t>
  </si>
  <si>
    <t>DAGLY ANGOLA</t>
  </si>
  <si>
    <t>FRANCIS FERREIRA</t>
  </si>
  <si>
    <t>FRACIS FERREIRA</t>
  </si>
  <si>
    <t xml:space="preserve">MARLENE PARADA </t>
  </si>
  <si>
    <t>MARLENE PARADA</t>
  </si>
  <si>
    <t xml:space="preserve">LUCELYS NAVAS </t>
  </si>
  <si>
    <t xml:space="preserve">LUCELY NAVAS </t>
  </si>
  <si>
    <t>JESUS COELHO</t>
  </si>
  <si>
    <t>GIOVANY SALINAS</t>
  </si>
  <si>
    <t>ARTURO JIMENEZ</t>
  </si>
  <si>
    <t>MARITZA DE SOUSA</t>
  </si>
  <si>
    <t>VALERIA MARGIOTTA</t>
  </si>
  <si>
    <t>ROSA MARGIOTTA</t>
  </si>
  <si>
    <t>VICTORIA MARGIOTTA</t>
  </si>
  <si>
    <t>ZULAY ROMERO</t>
  </si>
  <si>
    <t>LUIS MARVAL</t>
  </si>
  <si>
    <t>SUAMI CAVALLO</t>
  </si>
  <si>
    <t>NICOLA CAVALLO</t>
  </si>
  <si>
    <t>GILBERT ARAUJO</t>
  </si>
  <si>
    <t>ORION ARAUJO</t>
  </si>
  <si>
    <t>CUOTA</t>
  </si>
  <si>
    <t>YASMIN SALGADO</t>
  </si>
  <si>
    <t>EDMORY DIAZ</t>
  </si>
  <si>
    <t>JOSE LUIS FLORES</t>
  </si>
  <si>
    <t>ALFREDO PERAZA</t>
  </si>
  <si>
    <t>ALFREDO  PERAZA</t>
  </si>
  <si>
    <t xml:space="preserve">DUGLAS SEQUERA </t>
  </si>
  <si>
    <t>CINTHIA GONZALEZ</t>
  </si>
  <si>
    <t>YULEIMA NEIRA</t>
  </si>
  <si>
    <t>ROCIO VALDIVIESO</t>
  </si>
  <si>
    <t>MARIANGEL DE FREITAS</t>
  </si>
  <si>
    <t>SUSANA DA SILVA</t>
  </si>
  <si>
    <t>ORIANA BAUTISTA</t>
  </si>
  <si>
    <t>PEDRO BAUTISTA</t>
  </si>
  <si>
    <t>SEMI CONTADO</t>
  </si>
  <si>
    <t>RENOVACION</t>
  </si>
  <si>
    <t>LORIE BECERRA</t>
  </si>
  <si>
    <t>LORIE BEERRA</t>
  </si>
  <si>
    <t>ROSITA NASSIF</t>
  </si>
  <si>
    <t>GENESIS MARIN</t>
  </si>
  <si>
    <t>RENOVACION CONTRATO 224</t>
  </si>
  <si>
    <t xml:space="preserve">LUCELYS HIGUERA </t>
  </si>
  <si>
    <t>8</t>
  </si>
  <si>
    <t>ANGGI VERGARA</t>
  </si>
  <si>
    <t>ORIANA MORENO</t>
  </si>
  <si>
    <t>YOLIMAR CAPOTE</t>
  </si>
  <si>
    <t>MANUEL PERAZA</t>
  </si>
  <si>
    <t>ANDREA ARAQUE SALVO</t>
  </si>
  <si>
    <t>CRISTAL MARQUEZ</t>
  </si>
  <si>
    <t>GLADYS PINEDA</t>
  </si>
  <si>
    <t>GABRIELA FREITES</t>
  </si>
  <si>
    <t>RESTAN 39800</t>
  </si>
  <si>
    <t>JESSICA OLIVEIRA</t>
  </si>
  <si>
    <t>Bs. 89.100,00</t>
  </si>
  <si>
    <t>Bs. 9.900,00</t>
  </si>
  <si>
    <t>YELIXA PERDOMO</t>
  </si>
  <si>
    <t>Bs. 11.900,00</t>
  </si>
  <si>
    <t>KATHERINE FERREIRA</t>
  </si>
  <si>
    <t>09-04.2016</t>
  </si>
  <si>
    <t>JUAN SEBASTIAN CAMACARO</t>
  </si>
  <si>
    <t>LUZ CASTAÑEDA</t>
  </si>
  <si>
    <t>GLADYS LUIS LUIS</t>
  </si>
  <si>
    <t>9</t>
  </si>
  <si>
    <t>JANETH ANGULO</t>
  </si>
  <si>
    <t>YORDANY PALMERO</t>
  </si>
  <si>
    <t>HONEYMAR TORREALBA</t>
  </si>
  <si>
    <t xml:space="preserve">SAMUEL CACERES </t>
  </si>
  <si>
    <t>LOURDES NAVA</t>
  </si>
  <si>
    <t>MARIA GEORGINA FERREIRA</t>
  </si>
  <si>
    <t>DAYANA GOMES</t>
  </si>
  <si>
    <t>VICTORIA DOS SANTOS</t>
  </si>
  <si>
    <t>STEPHANIE RAMOS</t>
  </si>
  <si>
    <t xml:space="preserve">MARLENIS RAMOS </t>
  </si>
  <si>
    <t>YEREMY BACILIO</t>
  </si>
  <si>
    <t>ELSA ROMERO</t>
  </si>
  <si>
    <t>DANIELA NUÑEZ</t>
  </si>
  <si>
    <t>ANA KARINA PEÑA</t>
  </si>
  <si>
    <t>NOLANYI GONZALEZ</t>
  </si>
  <si>
    <t>LILIAN SANCHEZ</t>
  </si>
  <si>
    <t>RAFAEL TIAPA</t>
  </si>
  <si>
    <t>VALERY BACILIO</t>
  </si>
  <si>
    <t>JORLET SICILIA</t>
  </si>
  <si>
    <t>SYLVIA PATRICIA DE SOUSA</t>
  </si>
  <si>
    <t>ERIKA RODRIGUEZ</t>
  </si>
  <si>
    <t>ERIK RODRIGUEZ</t>
  </si>
  <si>
    <t>GILBERTO DA SILVA</t>
  </si>
  <si>
    <t>JOSE DA SILVA</t>
  </si>
  <si>
    <t>4</t>
  </si>
  <si>
    <t>E.82.283.214</t>
  </si>
  <si>
    <t xml:space="preserve">VALERIA GONCALVES </t>
  </si>
  <si>
    <t>CARLA FIGUEIREDO</t>
  </si>
  <si>
    <t>LILIAN EL KAREH</t>
  </si>
  <si>
    <t>EDA SAID</t>
  </si>
  <si>
    <t>NATALY VERGARA</t>
  </si>
  <si>
    <t>MIRANDA SPINETTI</t>
  </si>
  <si>
    <t>MARIAN ARRIAGA</t>
  </si>
  <si>
    <t>MARIANA TORRES</t>
  </si>
  <si>
    <t>MARINOR RODRIGUEZ</t>
  </si>
  <si>
    <t>HENIS PERNIA</t>
  </si>
  <si>
    <t>DANIELLA VALLENILLA</t>
  </si>
  <si>
    <t>ROXANA JAIMES</t>
  </si>
  <si>
    <t>MIRIAN COLMENARES ARELLANO</t>
  </si>
  <si>
    <t>MIRIAN COLMNARES ARELLANO</t>
  </si>
  <si>
    <t>PATRICIA DE SOUSA</t>
  </si>
  <si>
    <t>BS. 107.100,00</t>
  </si>
  <si>
    <t>ANDRES BARRETO</t>
  </si>
  <si>
    <t>SHARLY TORTOZA</t>
  </si>
  <si>
    <t>AIRAM DIAZ</t>
  </si>
  <si>
    <t>CARLOS PERDOMO</t>
  </si>
  <si>
    <t>ILIANNI ANGEL</t>
  </si>
  <si>
    <t>MAYLI BELISARIO</t>
  </si>
  <si>
    <t>YRIANA LABRADOR</t>
  </si>
  <si>
    <t>12.953.62</t>
  </si>
  <si>
    <t>DEXHY MENDOZA</t>
  </si>
  <si>
    <t>22.667.29</t>
  </si>
  <si>
    <t>YIYIMAR LUNA MONTEVIDEO</t>
  </si>
  <si>
    <t>WILFREDO CLARO</t>
  </si>
  <si>
    <t>LIBIA GARCIA</t>
  </si>
  <si>
    <t>LIBIA 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</si>
</sst>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Bs&quot;\ * #,##0.00_ ;_ &quot;Bs&quot;\ * \-#,##0.00_ ;_ &quot;Bs&quot;\ * &quot;-&quot;??_ ;_ @_ "/>
    <numFmt numFmtId="165" formatCode="&quot;Bs&quot;\ #,##0.00;[Red]&quot;Bs&quot;\ #,##0.00"/>
    <numFmt numFmtId="166" formatCode="&quot;Bs&quot;\ #,##0.00"/>
    <numFmt numFmtId="167" formatCode="#,##0;[Red]#,##0"/>
    <numFmt numFmtId="169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22"/>
      <color theme="3" tint="0.399975585192419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9" fillId="0" borderId="0"/>
    <xf numFmtId="0" fontId="19" fillId="0" borderId="0"/>
    <xf numFmtId="169" fontId="20" fillId="0" borderId="0" applyFont="0" applyFill="0" applyBorder="0" applyAlignment="0" applyProtection="0"/>
  </cellStyleXfs>
  <cellXfs count="452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9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49" fontId="0" fillId="3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49" fontId="7" fillId="5" borderId="0" xfId="0" applyNumberFormat="1" applyFont="1" applyFill="1" applyBorder="1" applyAlignment="1">
      <alignment horizontal="center" vertical="center"/>
    </xf>
    <xf numFmtId="49" fontId="0" fillId="5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49" fontId="0" fillId="3" borderId="0" xfId="0" applyNumberForma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49" fontId="0" fillId="6" borderId="0" xfId="0" applyNumberFormat="1" applyFont="1" applyFill="1" applyBorder="1" applyAlignment="1">
      <alignment horizontal="center" vertical="center"/>
    </xf>
    <xf numFmtId="166" fontId="0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Border="1" applyAlignment="1">
      <alignment horizontal="center"/>
    </xf>
    <xf numFmtId="166" fontId="1" fillId="0" borderId="0" xfId="0" applyNumberFormat="1" applyFont="1" applyBorder="1" applyAlignment="1">
      <alignment horizontal="center" vertical="center"/>
    </xf>
    <xf numFmtId="166" fontId="5" fillId="0" borderId="0" xfId="0" applyNumberFormat="1" applyFont="1" applyBorder="1" applyAlignment="1">
      <alignment horizontal="center"/>
    </xf>
    <xf numFmtId="166" fontId="0" fillId="3" borderId="0" xfId="0" applyNumberFormat="1" applyFont="1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/>
    </xf>
    <xf numFmtId="49" fontId="5" fillId="5" borderId="0" xfId="0" applyNumberFormat="1" applyFont="1" applyFill="1" applyBorder="1" applyAlignment="1">
      <alignment horizontal="center" vertical="center"/>
    </xf>
    <xf numFmtId="166" fontId="5" fillId="5" borderId="0" xfId="0" applyNumberFormat="1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166" fontId="5" fillId="9" borderId="0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5" fillId="10" borderId="0" xfId="0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/>
    </xf>
    <xf numFmtId="0" fontId="5" fillId="10" borderId="0" xfId="0" applyFont="1" applyFill="1" applyBorder="1"/>
    <xf numFmtId="0" fontId="0" fillId="10" borderId="0" xfId="0" applyFont="1" applyFill="1" applyBorder="1" applyAlignment="1">
      <alignment horizontal="center" vertical="center"/>
    </xf>
    <xf numFmtId="49" fontId="0" fillId="10" borderId="0" xfId="0" applyNumberFormat="1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/>
    </xf>
    <xf numFmtId="0" fontId="0" fillId="10" borderId="0" xfId="0" applyFill="1" applyBorder="1"/>
    <xf numFmtId="166" fontId="0" fillId="10" borderId="0" xfId="0" applyNumberFormat="1" applyFon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/>
    </xf>
    <xf numFmtId="0" fontId="0" fillId="9" borderId="0" xfId="0" applyFill="1" applyBorder="1"/>
    <xf numFmtId="0" fontId="5" fillId="7" borderId="0" xfId="0" applyFont="1" applyFill="1" applyBorder="1"/>
    <xf numFmtId="0" fontId="5" fillId="9" borderId="0" xfId="0" applyFont="1" applyFill="1" applyBorder="1" applyAlignment="1">
      <alignment horizontal="center"/>
    </xf>
    <xf numFmtId="166" fontId="0" fillId="5" borderId="0" xfId="0" applyNumberFormat="1" applyFill="1" applyBorder="1" applyAlignment="1">
      <alignment horizontal="center"/>
    </xf>
    <xf numFmtId="166" fontId="5" fillId="0" borderId="0" xfId="0" applyNumberFormat="1" applyFont="1" applyBorder="1"/>
    <xf numFmtId="0" fontId="0" fillId="6" borderId="0" xfId="0" applyFill="1" applyBorder="1" applyAlignment="1">
      <alignment horizontal="center"/>
    </xf>
    <xf numFmtId="0" fontId="0" fillId="7" borderId="0" xfId="0" applyFont="1" applyFill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 wrapText="1"/>
    </xf>
    <xf numFmtId="166" fontId="0" fillId="5" borderId="0" xfId="0" applyNumberFormat="1" applyFont="1" applyFill="1" applyBorder="1" applyAlignment="1">
      <alignment horizontal="center" vertical="center"/>
    </xf>
    <xf numFmtId="166" fontId="5" fillId="5" borderId="0" xfId="0" applyNumberFormat="1" applyFont="1" applyFill="1" applyBorder="1" applyAlignment="1">
      <alignment horizontal="center" vertical="center"/>
    </xf>
    <xf numFmtId="166" fontId="5" fillId="10" borderId="0" xfId="0" applyNumberFormat="1" applyFont="1" applyFill="1" applyBorder="1" applyAlignment="1">
      <alignment horizontal="center" vertical="center"/>
    </xf>
    <xf numFmtId="166" fontId="0" fillId="6" borderId="0" xfId="0" applyNumberFormat="1" applyFont="1" applyFill="1" applyBorder="1" applyAlignment="1">
      <alignment horizontal="center" vertical="center"/>
    </xf>
    <xf numFmtId="14" fontId="0" fillId="3" borderId="0" xfId="0" applyNumberFormat="1" applyFont="1" applyFill="1" applyBorder="1" applyAlignment="1">
      <alignment horizontal="center" vertical="center"/>
    </xf>
    <xf numFmtId="165" fontId="0" fillId="3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66" fontId="5" fillId="0" borderId="0" xfId="0" applyNumberFormat="1" applyFont="1" applyBorder="1" applyAlignment="1">
      <alignment horizontal="center" vertical="center"/>
    </xf>
    <xf numFmtId="166" fontId="5" fillId="4" borderId="0" xfId="0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>
      <alignment horizontal="center" vertical="center"/>
    </xf>
    <xf numFmtId="165" fontId="5" fillId="7" borderId="0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/>
    </xf>
    <xf numFmtId="14" fontId="0" fillId="5" borderId="0" xfId="0" applyNumberFormat="1" applyFont="1" applyFill="1" applyBorder="1" applyAlignment="1">
      <alignment horizontal="center" vertical="center"/>
    </xf>
    <xf numFmtId="166" fontId="0" fillId="0" borderId="0" xfId="0" applyNumberFormat="1" applyFon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165" fontId="0" fillId="6" borderId="0" xfId="0" applyNumberFormat="1" applyFont="1" applyFill="1" applyBorder="1" applyAlignment="1">
      <alignment horizontal="center" vertical="center"/>
    </xf>
    <xf numFmtId="165" fontId="5" fillId="5" borderId="0" xfId="0" applyNumberFormat="1" applyFont="1" applyFill="1" applyBorder="1" applyAlignment="1">
      <alignment horizontal="center" vertical="center"/>
    </xf>
    <xf numFmtId="14" fontId="5" fillId="3" borderId="0" xfId="0" applyNumberFormat="1" applyFont="1" applyFill="1" applyBorder="1" applyAlignment="1">
      <alignment horizontal="center" vertical="center"/>
    </xf>
    <xf numFmtId="166" fontId="5" fillId="3" borderId="0" xfId="0" applyNumberFormat="1" applyFont="1" applyFill="1" applyBorder="1" applyAlignment="1">
      <alignment horizontal="center" vertical="center"/>
    </xf>
    <xf numFmtId="166" fontId="4" fillId="3" borderId="0" xfId="0" applyNumberFormat="1" applyFont="1" applyFill="1" applyBorder="1" applyAlignment="1">
      <alignment horizontal="center" vertical="center"/>
    </xf>
    <xf numFmtId="165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4" fontId="0" fillId="6" borderId="0" xfId="0" applyNumberFormat="1" applyFont="1" applyFill="1" applyBorder="1" applyAlignment="1">
      <alignment horizontal="center" vertical="center"/>
    </xf>
    <xf numFmtId="165" fontId="0" fillId="7" borderId="0" xfId="0" applyNumberFormat="1" applyFont="1" applyFill="1" applyBorder="1" applyAlignment="1">
      <alignment horizontal="center" vertical="center"/>
    </xf>
    <xf numFmtId="14" fontId="5" fillId="5" borderId="0" xfId="0" applyNumberFormat="1" applyFont="1" applyFill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/>
    </xf>
    <xf numFmtId="165" fontId="5" fillId="6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165" fontId="3" fillId="7" borderId="0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165" fontId="5" fillId="3" borderId="0" xfId="0" applyNumberFormat="1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14" fontId="7" fillId="5" borderId="0" xfId="0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166" fontId="7" fillId="5" borderId="0" xfId="0" applyNumberFormat="1" applyFont="1" applyFill="1" applyBorder="1" applyAlignment="1">
      <alignment horizontal="center" vertical="center"/>
    </xf>
    <xf numFmtId="165" fontId="3" fillId="5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166" fontId="5" fillId="7" borderId="0" xfId="0" applyNumberFormat="1" applyFont="1" applyFill="1" applyBorder="1" applyAlignment="1">
      <alignment horizontal="center" vertical="center"/>
    </xf>
    <xf numFmtId="166" fontId="3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4" fontId="5" fillId="10" borderId="0" xfId="0" applyNumberFormat="1" applyFont="1" applyFill="1" applyBorder="1" applyAlignment="1">
      <alignment horizontal="center" vertical="center"/>
    </xf>
    <xf numFmtId="165" fontId="5" fillId="10" borderId="0" xfId="0" applyNumberFormat="1" applyFont="1" applyFill="1" applyBorder="1" applyAlignment="1">
      <alignment horizontal="center" vertical="center"/>
    </xf>
    <xf numFmtId="14" fontId="0" fillId="10" borderId="0" xfId="0" applyNumberFormat="1" applyFont="1" applyFill="1" applyBorder="1" applyAlignment="1">
      <alignment horizontal="center" vertical="center"/>
    </xf>
    <xf numFmtId="165" fontId="0" fillId="10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4" fontId="5" fillId="9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166" fontId="0" fillId="7" borderId="0" xfId="0" applyNumberFormat="1" applyFill="1" applyBorder="1" applyAlignment="1">
      <alignment horizontal="center" vertical="center"/>
    </xf>
    <xf numFmtId="166" fontId="0" fillId="9" borderId="0" xfId="0" applyNumberFormat="1" applyFill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4" fontId="0" fillId="3" borderId="0" xfId="0" applyNumberForma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6" fontId="0" fillId="5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/>
    <xf numFmtId="14" fontId="0" fillId="0" borderId="0" xfId="0" applyNumberFormat="1" applyBorder="1" applyAlignment="1">
      <alignment horizontal="center"/>
    </xf>
    <xf numFmtId="14" fontId="0" fillId="3" borderId="0" xfId="0" applyNumberForma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0" fillId="3" borderId="0" xfId="0" applyNumberFormat="1" applyFont="1" applyFill="1" applyBorder="1" applyAlignment="1">
      <alignment horizontal="center" vertical="center"/>
    </xf>
    <xf numFmtId="167" fontId="5" fillId="0" borderId="0" xfId="0" applyNumberFormat="1" applyFont="1" applyFill="1" applyBorder="1" applyAlignment="1">
      <alignment horizontal="center" vertical="center"/>
    </xf>
    <xf numFmtId="167" fontId="0" fillId="0" borderId="0" xfId="0" applyNumberFormat="1" applyFont="1" applyFill="1" applyBorder="1" applyAlignment="1">
      <alignment horizontal="center" vertical="center"/>
    </xf>
    <xf numFmtId="167" fontId="5" fillId="3" borderId="0" xfId="0" applyNumberFormat="1" applyFont="1" applyFill="1" applyBorder="1" applyAlignment="1">
      <alignment horizontal="center" vertical="center"/>
    </xf>
    <xf numFmtId="167" fontId="0" fillId="6" borderId="0" xfId="0" applyNumberFormat="1" applyFont="1" applyFill="1" applyBorder="1" applyAlignment="1">
      <alignment horizontal="center" vertical="center"/>
    </xf>
    <xf numFmtId="167" fontId="5" fillId="10" borderId="0" xfId="0" applyNumberFormat="1" applyFont="1" applyFill="1" applyBorder="1" applyAlignment="1">
      <alignment horizontal="center" vertical="center"/>
    </xf>
    <xf numFmtId="167" fontId="0" fillId="10" borderId="0" xfId="0" applyNumberFormat="1" applyFont="1" applyFill="1" applyBorder="1" applyAlignment="1">
      <alignment horizontal="center" vertical="center"/>
    </xf>
    <xf numFmtId="167" fontId="5" fillId="9" borderId="0" xfId="0" applyNumberFormat="1" applyFont="1" applyFill="1" applyBorder="1" applyAlignment="1">
      <alignment horizontal="center" vertical="center"/>
    </xf>
    <xf numFmtId="167" fontId="0" fillId="3" borderId="0" xfId="0" applyNumberFormat="1" applyFill="1" applyBorder="1" applyAlignment="1">
      <alignment horizontal="center"/>
    </xf>
    <xf numFmtId="166" fontId="3" fillId="7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0" fontId="0" fillId="1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66" fontId="9" fillId="0" borderId="0" xfId="0" applyNumberFormat="1" applyFont="1" applyBorder="1" applyAlignment="1">
      <alignment horizontal="left" vertical="center"/>
    </xf>
    <xf numFmtId="167" fontId="5" fillId="5" borderId="0" xfId="0" applyNumberFormat="1" applyFont="1" applyFill="1" applyBorder="1" applyAlignment="1">
      <alignment horizontal="center" vertical="center"/>
    </xf>
    <xf numFmtId="14" fontId="0" fillId="5" borderId="0" xfId="0" applyNumberFormat="1" applyFill="1" applyBorder="1" applyAlignment="1">
      <alignment horizontal="center" vertical="center"/>
    </xf>
    <xf numFmtId="167" fontId="0" fillId="5" borderId="0" xfId="0" applyNumberFormat="1" applyFon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166" fontId="7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165" fontId="7" fillId="7" borderId="0" xfId="0" applyNumberFormat="1" applyFont="1" applyFill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167" fontId="7" fillId="0" borderId="0" xfId="0" applyNumberFormat="1" applyFont="1" applyFill="1" applyBorder="1" applyAlignment="1">
      <alignment horizontal="center" vertical="center"/>
    </xf>
    <xf numFmtId="167" fontId="7" fillId="10" borderId="0" xfId="0" applyNumberFormat="1" applyFont="1" applyFill="1" applyBorder="1" applyAlignment="1">
      <alignment horizontal="center" vertical="center"/>
    </xf>
    <xf numFmtId="49" fontId="7" fillId="10" borderId="0" xfId="0" applyNumberFormat="1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vertical="center"/>
    </xf>
    <xf numFmtId="166" fontId="7" fillId="1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6" fontId="7" fillId="0" borderId="0" xfId="0" applyNumberFormat="1" applyFont="1" applyFill="1" applyBorder="1" applyAlignment="1">
      <alignment horizontal="center"/>
    </xf>
    <xf numFmtId="166" fontId="0" fillId="4" borderId="0" xfId="0" applyNumberFormat="1" applyFill="1" applyBorder="1" applyAlignment="1">
      <alignment horizontal="center" vertical="center"/>
    </xf>
    <xf numFmtId="165" fontId="4" fillId="6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0" fillId="11" borderId="0" xfId="0" applyFont="1" applyFill="1" applyBorder="1" applyAlignment="1">
      <alignment horizontal="center" vertical="center"/>
    </xf>
    <xf numFmtId="14" fontId="0" fillId="11" borderId="0" xfId="0" applyNumberFormat="1" applyFill="1" applyBorder="1" applyAlignment="1">
      <alignment horizontal="center" vertical="center"/>
    </xf>
    <xf numFmtId="167" fontId="0" fillId="11" borderId="0" xfId="0" applyNumberFormat="1" applyFont="1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49" fontId="0" fillId="11" borderId="0" xfId="0" applyNumberFormat="1" applyFill="1" applyBorder="1" applyAlignment="1">
      <alignment horizontal="center" vertical="center"/>
    </xf>
    <xf numFmtId="0" fontId="0" fillId="11" borderId="0" xfId="0" applyFill="1" applyBorder="1" applyAlignment="1">
      <alignment vertical="center"/>
    </xf>
    <xf numFmtId="166" fontId="0" fillId="11" borderId="0" xfId="0" applyNumberFormat="1" applyFill="1" applyBorder="1" applyAlignment="1">
      <alignment horizontal="center" vertical="center"/>
    </xf>
    <xf numFmtId="166" fontId="0" fillId="11" borderId="0" xfId="0" applyNumberFormat="1" applyFill="1" applyBorder="1" applyAlignment="1">
      <alignment horizontal="center"/>
    </xf>
    <xf numFmtId="0" fontId="0" fillId="11" borderId="0" xfId="0" applyFill="1" applyBorder="1"/>
    <xf numFmtId="166" fontId="4" fillId="0" borderId="0" xfId="0" applyNumberFormat="1" applyFont="1" applyBorder="1" applyAlignment="1">
      <alignment horizontal="center" vertical="center"/>
    </xf>
    <xf numFmtId="0" fontId="6" fillId="0" borderId="0" xfId="0" applyFont="1" applyBorder="1"/>
    <xf numFmtId="0" fontId="0" fillId="0" borderId="0" xfId="0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14" fontId="7" fillId="6" borderId="0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Border="1" applyAlignment="1">
      <alignment horizontal="center" vertical="center"/>
    </xf>
    <xf numFmtId="0" fontId="7" fillId="6" borderId="0" xfId="0" applyFont="1" applyFill="1" applyBorder="1" applyAlignment="1">
      <alignment vertical="center"/>
    </xf>
    <xf numFmtId="166" fontId="7" fillId="6" borderId="0" xfId="0" applyNumberFormat="1" applyFont="1" applyFill="1" applyBorder="1" applyAlignment="1">
      <alignment horizontal="center" vertical="center"/>
    </xf>
    <xf numFmtId="166" fontId="7" fillId="6" borderId="0" xfId="0" applyNumberFormat="1" applyFont="1" applyFill="1" applyBorder="1" applyAlignment="1">
      <alignment horizontal="center" vertical="center" wrapText="1"/>
    </xf>
    <xf numFmtId="165" fontId="7" fillId="6" borderId="0" xfId="0" applyNumberFormat="1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12" borderId="0" xfId="0" applyFont="1" applyFill="1" applyBorder="1" applyAlignment="1">
      <alignment horizontal="center" vertical="center"/>
    </xf>
    <xf numFmtId="167" fontId="0" fillId="12" borderId="0" xfId="0" applyNumberFormat="1" applyFont="1" applyFill="1" applyBorder="1" applyAlignment="1">
      <alignment horizontal="center" vertical="center"/>
    </xf>
    <xf numFmtId="49" fontId="0" fillId="12" borderId="0" xfId="0" applyNumberFormat="1" applyFont="1" applyFill="1" applyBorder="1" applyAlignment="1">
      <alignment horizontal="center" vertical="center"/>
    </xf>
    <xf numFmtId="166" fontId="0" fillId="12" borderId="0" xfId="0" applyNumberFormat="1" applyFont="1" applyFill="1" applyBorder="1" applyAlignment="1">
      <alignment horizontal="center" vertical="center"/>
    </xf>
    <xf numFmtId="0" fontId="0" fillId="12" borderId="0" xfId="0" applyFill="1" applyBorder="1"/>
    <xf numFmtId="14" fontId="5" fillId="6" borderId="0" xfId="0" applyNumberFormat="1" applyFont="1" applyFill="1" applyBorder="1" applyAlignment="1">
      <alignment horizontal="center" vertical="center"/>
    </xf>
    <xf numFmtId="167" fontId="5" fillId="6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166" fontId="5" fillId="6" borderId="0" xfId="0" applyNumberFormat="1" applyFont="1" applyFill="1" applyBorder="1" applyAlignment="1">
      <alignment horizontal="center" vertical="center"/>
    </xf>
    <xf numFmtId="165" fontId="3" fillId="12" borderId="0" xfId="0" applyNumberFormat="1" applyFont="1" applyFill="1" applyBorder="1" applyAlignment="1">
      <alignment horizontal="center" vertical="center"/>
    </xf>
    <xf numFmtId="165" fontId="5" fillId="12" borderId="0" xfId="0" applyNumberFormat="1" applyFont="1" applyFill="1" applyBorder="1" applyAlignment="1">
      <alignment horizontal="center" vertical="center"/>
    </xf>
    <xf numFmtId="0" fontId="5" fillId="12" borderId="0" xfId="0" applyFont="1" applyFill="1" applyBorder="1"/>
    <xf numFmtId="0" fontId="1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6" fillId="6" borderId="0" xfId="0" applyFont="1" applyFill="1" applyBorder="1" applyAlignment="1">
      <alignment horizontal="center" vertical="center"/>
    </xf>
    <xf numFmtId="14" fontId="6" fillId="6" borderId="0" xfId="0" applyNumberFormat="1" applyFont="1" applyFill="1" applyBorder="1" applyAlignment="1">
      <alignment horizontal="center" vertical="center"/>
    </xf>
    <xf numFmtId="167" fontId="6" fillId="6" borderId="0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vertical="center"/>
    </xf>
    <xf numFmtId="166" fontId="6" fillId="6" borderId="0" xfId="0" applyNumberFormat="1" applyFont="1" applyFill="1" applyBorder="1" applyAlignment="1">
      <alignment horizontal="center" vertical="center"/>
    </xf>
    <xf numFmtId="165" fontId="6" fillId="6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4" fillId="6" borderId="0" xfId="0" applyFont="1" applyFill="1" applyBorder="1"/>
    <xf numFmtId="0" fontId="11" fillId="10" borderId="0" xfId="0" applyFont="1" applyFill="1" applyBorder="1" applyAlignment="1">
      <alignment horizontal="center" vertical="center"/>
    </xf>
    <xf numFmtId="165" fontId="4" fillId="7" borderId="0" xfId="0" applyNumberFormat="1" applyFont="1" applyFill="1" applyBorder="1" applyAlignment="1">
      <alignment horizontal="center" vertical="center"/>
    </xf>
    <xf numFmtId="166" fontId="5" fillId="3" borderId="0" xfId="0" applyNumberFormat="1" applyFont="1" applyFill="1" applyBorder="1" applyAlignment="1">
      <alignment horizontal="center"/>
    </xf>
    <xf numFmtId="0" fontId="5" fillId="9" borderId="0" xfId="0" applyFont="1" applyFill="1" applyBorder="1"/>
    <xf numFmtId="14" fontId="0" fillId="12" borderId="0" xfId="0" applyNumberFormat="1" applyFill="1" applyBorder="1" applyAlignment="1">
      <alignment horizontal="center" vertical="center"/>
    </xf>
    <xf numFmtId="49" fontId="0" fillId="12" borderId="0" xfId="0" applyNumberForma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0" xfId="0" applyFill="1" applyBorder="1" applyAlignment="1">
      <alignment vertical="center"/>
    </xf>
    <xf numFmtId="166" fontId="0" fillId="12" borderId="0" xfId="0" applyNumberFormat="1" applyFill="1" applyBorder="1" applyAlignment="1">
      <alignment horizontal="center" vertical="center"/>
    </xf>
    <xf numFmtId="166" fontId="0" fillId="12" borderId="0" xfId="0" applyNumberFormat="1" applyFill="1" applyBorder="1" applyAlignment="1">
      <alignment horizontal="center"/>
    </xf>
    <xf numFmtId="166" fontId="4" fillId="7" borderId="0" xfId="0" applyNumberFormat="1" applyFont="1" applyFill="1" applyBorder="1" applyAlignment="1">
      <alignment horizontal="center" vertical="center"/>
    </xf>
    <xf numFmtId="166" fontId="4" fillId="7" borderId="0" xfId="0" applyNumberFormat="1" applyFont="1" applyFill="1" applyBorder="1" applyAlignment="1">
      <alignment horizontal="center"/>
    </xf>
    <xf numFmtId="0" fontId="4" fillId="9" borderId="0" xfId="0" applyFont="1" applyFill="1" applyBorder="1"/>
    <xf numFmtId="0" fontId="7" fillId="7" borderId="0" xfId="0" applyFont="1" applyFill="1" applyBorder="1" applyAlignment="1">
      <alignment horizontal="center" vertical="center"/>
    </xf>
    <xf numFmtId="0" fontId="5" fillId="3" borderId="0" xfId="0" applyFont="1" applyFill="1" applyBorder="1"/>
    <xf numFmtId="0" fontId="5" fillId="12" borderId="0" xfId="0" applyFont="1" applyFill="1" applyBorder="1" applyAlignment="1">
      <alignment horizontal="center" vertical="center"/>
    </xf>
    <xf numFmtId="14" fontId="5" fillId="12" borderId="0" xfId="0" applyNumberFormat="1" applyFont="1" applyFill="1" applyBorder="1" applyAlignment="1">
      <alignment horizontal="center" vertical="center"/>
    </xf>
    <xf numFmtId="167" fontId="5" fillId="12" borderId="0" xfId="0" applyNumberFormat="1" applyFont="1" applyFill="1" applyBorder="1" applyAlignment="1">
      <alignment horizontal="center" vertical="center"/>
    </xf>
    <xf numFmtId="49" fontId="5" fillId="12" borderId="0" xfId="0" applyNumberFormat="1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vertical="center"/>
    </xf>
    <xf numFmtId="0" fontId="5" fillId="12" borderId="0" xfId="0" applyFont="1" applyFill="1" applyBorder="1" applyAlignment="1">
      <alignment horizontal="left" vertical="center"/>
    </xf>
    <xf numFmtId="166" fontId="5" fillId="12" borderId="0" xfId="0" applyNumberFormat="1" applyFont="1" applyFill="1" applyBorder="1" applyAlignment="1">
      <alignment horizontal="center" vertical="center"/>
    </xf>
    <xf numFmtId="166" fontId="5" fillId="12" borderId="0" xfId="0" applyNumberFormat="1" applyFont="1" applyFill="1" applyBorder="1" applyAlignment="1">
      <alignment horizontal="center"/>
    </xf>
    <xf numFmtId="0" fontId="0" fillId="10" borderId="0" xfId="0" applyFill="1" applyBorder="1" applyAlignment="1">
      <alignment horizontal="center" vertical="center"/>
    </xf>
    <xf numFmtId="49" fontId="0" fillId="10" borderId="0" xfId="0" applyNumberFormat="1" applyFill="1" applyBorder="1" applyAlignment="1">
      <alignment horizontal="center" vertical="center"/>
    </xf>
    <xf numFmtId="0" fontId="0" fillId="10" borderId="0" xfId="0" applyFill="1" applyBorder="1" applyAlignment="1">
      <alignment vertical="center"/>
    </xf>
    <xf numFmtId="166" fontId="0" fillId="10" borderId="0" xfId="0" applyNumberForma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10" borderId="0" xfId="0" applyFont="1" applyFill="1" applyBorder="1"/>
    <xf numFmtId="165" fontId="5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/>
    </xf>
    <xf numFmtId="0" fontId="4" fillId="7" borderId="0" xfId="0" applyFont="1" applyFill="1" applyBorder="1"/>
    <xf numFmtId="166" fontId="10" fillId="0" borderId="0" xfId="0" applyNumberFormat="1" applyFont="1" applyBorder="1" applyAlignment="1">
      <alignment horizontal="center" vertical="center"/>
    </xf>
    <xf numFmtId="166" fontId="10" fillId="7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/>
    <xf numFmtId="166" fontId="5" fillId="7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3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14" fontId="7" fillId="9" borderId="0" xfId="0" applyNumberFormat="1" applyFont="1" applyFill="1" applyBorder="1" applyAlignment="1">
      <alignment horizontal="center" vertical="center"/>
    </xf>
    <xf numFmtId="167" fontId="7" fillId="9" borderId="0" xfId="0" applyNumberFormat="1" applyFont="1" applyFill="1" applyBorder="1" applyAlignment="1">
      <alignment horizontal="center" vertical="center"/>
    </xf>
    <xf numFmtId="49" fontId="7" fillId="9" borderId="0" xfId="0" applyNumberFormat="1" applyFont="1" applyFill="1" applyBorder="1" applyAlignment="1">
      <alignment horizontal="center" vertical="center"/>
    </xf>
    <xf numFmtId="0" fontId="7" fillId="9" borderId="0" xfId="0" applyFont="1" applyFill="1" applyBorder="1" applyAlignment="1">
      <alignment vertical="center"/>
    </xf>
    <xf numFmtId="166" fontId="7" fillId="9" borderId="0" xfId="0" applyNumberFormat="1" applyFont="1" applyFill="1" applyBorder="1" applyAlignment="1">
      <alignment horizontal="center" vertical="center"/>
    </xf>
    <xf numFmtId="14" fontId="7" fillId="9" borderId="0" xfId="0" applyNumberFormat="1" applyFont="1" applyFill="1" applyBorder="1" applyAlignment="1">
      <alignment horizontal="center"/>
    </xf>
    <xf numFmtId="167" fontId="7" fillId="9" borderId="0" xfId="0" applyNumberFormat="1" applyFont="1" applyFill="1" applyBorder="1" applyAlignment="1">
      <alignment horizontal="center"/>
    </xf>
    <xf numFmtId="0" fontId="7" fillId="9" borderId="0" xfId="0" applyFont="1" applyFill="1" applyBorder="1" applyAlignment="1"/>
    <xf numFmtId="0" fontId="7" fillId="9" borderId="0" xfId="0" applyFont="1" applyFill="1" applyBorder="1" applyAlignment="1">
      <alignment horizontal="center"/>
    </xf>
    <xf numFmtId="166" fontId="7" fillId="9" borderId="0" xfId="0" applyNumberFormat="1" applyFont="1" applyFill="1" applyBorder="1" applyAlignment="1">
      <alignment horizontal="center"/>
    </xf>
    <xf numFmtId="0" fontId="7" fillId="0" borderId="0" xfId="0" applyFont="1" applyFill="1" applyBorder="1"/>
    <xf numFmtId="166" fontId="7" fillId="0" borderId="0" xfId="0" applyNumberFormat="1" applyFont="1" applyBorder="1" applyAlignment="1">
      <alignment horizontal="center"/>
    </xf>
    <xf numFmtId="0" fontId="7" fillId="3" borderId="0" xfId="0" applyFont="1" applyFill="1" applyBorder="1"/>
    <xf numFmtId="0" fontId="7" fillId="9" borderId="0" xfId="0" applyFont="1" applyFill="1" applyBorder="1"/>
    <xf numFmtId="0" fontId="7" fillId="0" borderId="0" xfId="0" applyFont="1" applyBorder="1" applyAlignment="1">
      <alignment horizontal="center"/>
    </xf>
    <xf numFmtId="167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/>
    <xf numFmtId="165" fontId="7" fillId="9" borderId="0" xfId="0" applyNumberFormat="1" applyFont="1" applyFill="1" applyBorder="1" applyAlignment="1">
      <alignment horizontal="center" vertical="center"/>
    </xf>
    <xf numFmtId="166" fontId="15" fillId="9" borderId="0" xfId="0" applyNumberFormat="1" applyFont="1" applyFill="1" applyBorder="1" applyAlignment="1">
      <alignment horizontal="center" vertical="center"/>
    </xf>
    <xf numFmtId="165" fontId="16" fillId="9" borderId="0" xfId="0" applyNumberFormat="1" applyFont="1" applyFill="1" applyBorder="1" applyAlignment="1">
      <alignment horizontal="center" vertical="center"/>
    </xf>
    <xf numFmtId="165" fontId="10" fillId="9" borderId="0" xfId="0" applyNumberFormat="1" applyFont="1" applyFill="1" applyBorder="1" applyAlignment="1">
      <alignment horizontal="center" vertical="center"/>
    </xf>
    <xf numFmtId="14" fontId="7" fillId="10" borderId="0" xfId="0" applyNumberFormat="1" applyFont="1" applyFill="1" applyBorder="1" applyAlignment="1">
      <alignment horizontal="center" vertical="center"/>
    </xf>
    <xf numFmtId="166" fontId="7" fillId="10" borderId="0" xfId="0" applyNumberFormat="1" applyFont="1" applyFill="1" applyBorder="1" applyAlignment="1">
      <alignment horizontal="center"/>
    </xf>
    <xf numFmtId="0" fontId="7" fillId="10" borderId="0" xfId="0" applyFont="1" applyFill="1" applyBorder="1"/>
    <xf numFmtId="0" fontId="7" fillId="5" borderId="0" xfId="0" applyFont="1" applyFill="1" applyBorder="1"/>
    <xf numFmtId="166" fontId="10" fillId="5" borderId="0" xfId="0" applyNumberFormat="1" applyFont="1" applyFill="1" applyBorder="1"/>
    <xf numFmtId="0" fontId="10" fillId="7" borderId="0" xfId="0" applyFont="1" applyFill="1" applyBorder="1"/>
    <xf numFmtId="0" fontId="10" fillId="0" borderId="0" xfId="0" applyFont="1" applyBorder="1"/>
    <xf numFmtId="0" fontId="14" fillId="0" borderId="0" xfId="0" applyFont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167" fontId="13" fillId="2" borderId="0" xfId="0" applyNumberFormat="1" applyFont="1" applyFill="1" applyBorder="1" applyAlignment="1">
      <alignment horizontal="center" vertical="center" wrapText="1" shrinkToFit="1"/>
    </xf>
    <xf numFmtId="0" fontId="13" fillId="2" borderId="0" xfId="0" applyNumberFormat="1" applyFont="1" applyFill="1" applyBorder="1" applyAlignment="1">
      <alignment horizontal="center" vertical="center" wrapText="1" shrinkToFit="1"/>
    </xf>
    <xf numFmtId="49" fontId="13" fillId="2" borderId="0" xfId="0" applyNumberFormat="1" applyFont="1" applyFill="1" applyBorder="1" applyAlignment="1">
      <alignment horizontal="center" vertical="center" wrapText="1" shrinkToFit="1"/>
    </xf>
    <xf numFmtId="166" fontId="13" fillId="2" borderId="0" xfId="0" applyNumberFormat="1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4" fontId="3" fillId="5" borderId="0" xfId="0" applyNumberFormat="1" applyFont="1" applyFill="1" applyBorder="1" applyAlignment="1">
      <alignment horizontal="center" vertical="center"/>
    </xf>
    <xf numFmtId="167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vertical="center"/>
    </xf>
    <xf numFmtId="166" fontId="3" fillId="5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166" fontId="0" fillId="13" borderId="0" xfId="0" applyNumberFormat="1" applyFont="1" applyFill="1" applyBorder="1" applyAlignment="1">
      <alignment horizontal="center" vertical="center"/>
    </xf>
    <xf numFmtId="0" fontId="0" fillId="13" borderId="0" xfId="0" applyFont="1" applyFill="1" applyBorder="1" applyAlignment="1">
      <alignment horizontal="center" vertical="center"/>
    </xf>
    <xf numFmtId="14" fontId="0" fillId="13" borderId="0" xfId="0" applyNumberFormat="1" applyFont="1" applyFill="1" applyBorder="1" applyAlignment="1">
      <alignment horizontal="center" vertical="center"/>
    </xf>
    <xf numFmtId="167" fontId="0" fillId="13" borderId="0" xfId="0" applyNumberFormat="1" applyFont="1" applyFill="1" applyBorder="1" applyAlignment="1">
      <alignment horizontal="center" vertical="center"/>
    </xf>
    <xf numFmtId="49" fontId="0" fillId="13" borderId="0" xfId="0" applyNumberFormat="1" applyFont="1" applyFill="1" applyBorder="1" applyAlignment="1">
      <alignment horizontal="center" vertical="center"/>
    </xf>
    <xf numFmtId="0" fontId="0" fillId="13" borderId="0" xfId="0" applyFont="1" applyFill="1" applyBorder="1" applyAlignment="1">
      <alignment vertical="center"/>
    </xf>
    <xf numFmtId="165" fontId="0" fillId="13" borderId="0" xfId="0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0" fillId="13" borderId="0" xfId="0" applyFill="1" applyBorder="1"/>
    <xf numFmtId="0" fontId="0" fillId="0" borderId="0" xfId="0" applyFill="1" applyBorder="1" applyAlignment="1">
      <alignment vertical="center"/>
    </xf>
    <xf numFmtId="14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6" fontId="3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/>
    <xf numFmtId="165" fontId="7" fillId="10" borderId="0" xfId="0" applyNumberFormat="1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/>
    </xf>
    <xf numFmtId="0" fontId="0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left" vertical="center"/>
    </xf>
    <xf numFmtId="166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49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horizontal="center" vertical="center"/>
    </xf>
    <xf numFmtId="14" fontId="3" fillId="9" borderId="0" xfId="0" applyNumberFormat="1" applyFont="1" applyFill="1" applyBorder="1" applyAlignment="1">
      <alignment horizontal="center" vertical="center"/>
    </xf>
    <xf numFmtId="167" fontId="3" fillId="9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0" fontId="3" fillId="9" borderId="0" xfId="0" applyFont="1" applyFill="1" applyBorder="1" applyAlignment="1">
      <alignment vertical="center"/>
    </xf>
    <xf numFmtId="166" fontId="3" fillId="9" borderId="0" xfId="0" applyNumberFormat="1" applyFont="1" applyFill="1" applyBorder="1" applyAlignment="1">
      <alignment horizontal="center" vertical="center"/>
    </xf>
    <xf numFmtId="166" fontId="3" fillId="9" borderId="0" xfId="0" applyNumberFormat="1" applyFont="1" applyFill="1" applyBorder="1" applyAlignment="1">
      <alignment horizontal="center"/>
    </xf>
    <xf numFmtId="0" fontId="3" fillId="9" borderId="0" xfId="0" applyFont="1" applyFill="1" applyBorder="1"/>
    <xf numFmtId="14" fontId="0" fillId="5" borderId="0" xfId="0" applyNumberFormat="1" applyFill="1" applyBorder="1" applyAlignment="1">
      <alignment horizontal="center"/>
    </xf>
    <xf numFmtId="167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4" fontId="0" fillId="10" borderId="0" xfId="0" applyNumberFormat="1" applyFill="1" applyBorder="1" applyAlignment="1">
      <alignment horizontal="center" vertical="center"/>
    </xf>
    <xf numFmtId="167" fontId="0" fillId="0" borderId="0" xfId="0" applyNumberFormat="1" applyFill="1" applyBorder="1" applyAlignment="1">
      <alignment horizontal="center" vertical="center"/>
    </xf>
    <xf numFmtId="14" fontId="3" fillId="6" borderId="0" xfId="0" applyNumberFormat="1" applyFont="1" applyFill="1" applyBorder="1" applyAlignment="1">
      <alignment horizontal="center" vertical="center"/>
    </xf>
    <xf numFmtId="167" fontId="3" fillId="6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vertical="center"/>
    </xf>
    <xf numFmtId="165" fontId="3" fillId="6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66" fontId="3" fillId="0" borderId="0" xfId="0" applyNumberFormat="1" applyFont="1" applyBorder="1" applyAlignment="1">
      <alignment horizontal="center"/>
    </xf>
    <xf numFmtId="166" fontId="3" fillId="3" borderId="0" xfId="0" applyNumberFormat="1" applyFont="1" applyFill="1" applyBorder="1" applyAlignment="1">
      <alignment horizontal="center"/>
    </xf>
    <xf numFmtId="167" fontId="3" fillId="5" borderId="0" xfId="0" applyNumberFormat="1" applyFont="1" applyFill="1" applyBorder="1" applyAlignment="1">
      <alignment horizontal="center" vertical="center"/>
    </xf>
    <xf numFmtId="166" fontId="3" fillId="5" borderId="0" xfId="0" applyNumberFormat="1" applyFont="1" applyFill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4" fontId="7" fillId="3" borderId="0" xfId="0" applyNumberFormat="1" applyFont="1" applyFill="1" applyBorder="1" applyAlignment="1">
      <alignment horizontal="center"/>
    </xf>
    <xf numFmtId="167" fontId="7" fillId="3" borderId="0" xfId="0" applyNumberFormat="1" applyFont="1" applyFill="1" applyBorder="1" applyAlignment="1">
      <alignment horizontal="center"/>
    </xf>
    <xf numFmtId="49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 applyAlignment="1"/>
    <xf numFmtId="166" fontId="7" fillId="3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67" fontId="8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165" fontId="7" fillId="5" borderId="0" xfId="0" applyNumberFormat="1" applyFont="1" applyFill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3" fillId="3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/>
    <xf numFmtId="14" fontId="3" fillId="3" borderId="0" xfId="0" applyNumberFormat="1" applyFont="1" applyFill="1" applyBorder="1" applyAlignment="1">
      <alignment horizontal="center"/>
    </xf>
    <xf numFmtId="167" fontId="3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/>
    <xf numFmtId="166" fontId="3" fillId="3" borderId="0" xfId="0" applyNumberFormat="1" applyFont="1" applyFill="1" applyBorder="1" applyAlignment="1">
      <alignment horizontal="right"/>
    </xf>
    <xf numFmtId="0" fontId="3" fillId="12" borderId="0" xfId="0" applyFont="1" applyFill="1" applyBorder="1" applyAlignment="1">
      <alignment horizontal="center" vertical="center"/>
    </xf>
    <xf numFmtId="14" fontId="3" fillId="12" borderId="0" xfId="0" applyNumberFormat="1" applyFont="1" applyFill="1" applyBorder="1" applyAlignment="1">
      <alignment horizontal="center" vertical="center"/>
    </xf>
    <xf numFmtId="167" fontId="3" fillId="12" borderId="0" xfId="0" applyNumberFormat="1" applyFont="1" applyFill="1" applyBorder="1" applyAlignment="1">
      <alignment horizontal="center" vertical="center"/>
    </xf>
    <xf numFmtId="49" fontId="3" fillId="12" borderId="0" xfId="0" applyNumberFormat="1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vertical="center"/>
    </xf>
    <xf numFmtId="166" fontId="3" fillId="12" borderId="0" xfId="0" applyNumberFormat="1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/>
    </xf>
    <xf numFmtId="0" fontId="3" fillId="12" borderId="0" xfId="0" applyFont="1" applyFill="1" applyBorder="1"/>
    <xf numFmtId="0" fontId="3" fillId="3" borderId="0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165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4" fontId="3" fillId="10" borderId="0" xfId="0" applyNumberFormat="1" applyFont="1" applyFill="1" applyBorder="1" applyAlignment="1">
      <alignment horizontal="center" vertical="center"/>
    </xf>
    <xf numFmtId="167" fontId="3" fillId="10" borderId="0" xfId="0" applyNumberFormat="1" applyFont="1" applyFill="1" applyBorder="1" applyAlignment="1">
      <alignment horizontal="center" vertical="center"/>
    </xf>
    <xf numFmtId="49" fontId="3" fillId="10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vertical="center"/>
    </xf>
    <xf numFmtId="166" fontId="3" fillId="10" borderId="0" xfId="0" applyNumberFormat="1" applyFont="1" applyFill="1" applyBorder="1" applyAlignment="1">
      <alignment horizontal="center" vertical="center"/>
    </xf>
    <xf numFmtId="165" fontId="3" fillId="10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/>
    </xf>
    <xf numFmtId="0" fontId="3" fillId="7" borderId="0" xfId="0" applyFont="1" applyFill="1" applyBorder="1"/>
    <xf numFmtId="166" fontId="3" fillId="12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166" fontId="3" fillId="7" borderId="0" xfId="0" applyNumberFormat="1" applyFont="1" applyFill="1" applyBorder="1" applyAlignment="1">
      <alignment horizontal="center"/>
    </xf>
    <xf numFmtId="0" fontId="3" fillId="0" borderId="0" xfId="0" applyFont="1" applyBorder="1" applyAlignment="1"/>
    <xf numFmtId="0" fontId="3" fillId="3" borderId="0" xfId="0" applyFont="1" applyFill="1" applyAlignment="1">
      <alignment horizontal="center"/>
    </xf>
    <xf numFmtId="0" fontId="0" fillId="3" borderId="0" xfId="0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Fill="1" applyBorder="1" applyAlignment="1"/>
    <xf numFmtId="0" fontId="18" fillId="0" borderId="0" xfId="0" applyFont="1" applyBorder="1" applyAlignment="1"/>
    <xf numFmtId="14" fontId="17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8" fillId="0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166" fontId="7" fillId="5" borderId="0" xfId="0" applyNumberFormat="1" applyFont="1" applyFill="1" applyBorder="1" applyAlignment="1">
      <alignment horizontal="center"/>
    </xf>
    <xf numFmtId="0" fontId="7" fillId="5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Moneda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9" defaultPivotStyle="PivotStyleLight16"/>
  <colors>
    <mruColors>
      <color rgb="FF00FFFF"/>
      <color rgb="FFFFCC99"/>
      <color rgb="FF08460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809"/>
  <sheetViews>
    <sheetView showGridLines="0" tabSelected="1" topLeftCell="B1" workbookViewId="0">
      <pane ySplit="5" topLeftCell="A6" activePane="bottomLeft" state="frozen"/>
      <selection activeCell="G94" sqref="G94"/>
      <selection pane="bottomLeft" activeCell="F759" sqref="F759"/>
    </sheetView>
  </sheetViews>
  <sheetFormatPr baseColWidth="10" defaultColWidth="11.44140625" defaultRowHeight="21.75" customHeight="1" x14ac:dyDescent="0.3"/>
  <cols>
    <col min="1" max="1" width="4.44140625" style="1" customWidth="1"/>
    <col min="2" max="2" width="17.109375" style="387" customWidth="1"/>
    <col min="3" max="3" width="16" style="130" customWidth="1"/>
    <col min="4" max="4" width="15.6640625" style="387" customWidth="1"/>
    <col min="5" max="5" width="10.44140625" style="126" customWidth="1"/>
    <col min="6" max="6" width="37.109375" style="127" bestFit="1" customWidth="1"/>
    <col min="7" max="7" width="28.88671875" style="127" bestFit="1" customWidth="1"/>
    <col min="8" max="8" width="17.6640625" style="18" customWidth="1"/>
    <col min="9" max="9" width="21.33203125" style="26" customWidth="1"/>
    <col min="10" max="10" width="23.5546875" style="26" customWidth="1"/>
    <col min="11" max="11" width="19.6640625" style="18" customWidth="1"/>
    <col min="12" max="12" width="18.109375" style="18" customWidth="1"/>
    <col min="13" max="13" width="22.5546875" style="18" customWidth="1"/>
    <col min="14" max="14" width="18.6640625" style="18" customWidth="1"/>
    <col min="15" max="15" width="18.109375" style="18" customWidth="1"/>
    <col min="16" max="16" width="20.6640625" style="18" customWidth="1"/>
    <col min="17" max="17" width="19.109375" style="18" customWidth="1"/>
    <col min="18" max="18" width="17.44140625" style="18" customWidth="1"/>
    <col min="19" max="19" width="15.44140625" style="18" customWidth="1"/>
    <col min="20" max="20" width="17.44140625" style="18" customWidth="1"/>
    <col min="21" max="21" width="14.5546875" style="18" customWidth="1"/>
    <col min="22" max="22" width="15.6640625" style="18" customWidth="1"/>
    <col min="23" max="23" width="15" style="18" customWidth="1"/>
    <col min="24" max="24" width="15.88671875" style="18" customWidth="1"/>
    <col min="25" max="26" width="11.44140625" style="18" hidden="1" customWidth="1"/>
    <col min="27" max="27" width="14.109375" style="18" bestFit="1" customWidth="1"/>
    <col min="28" max="29" width="16.88671875" style="18" customWidth="1"/>
    <col min="30" max="30" width="14" style="18" customWidth="1"/>
    <col min="31" max="31" width="18.88671875" style="18" customWidth="1"/>
    <col min="32" max="32" width="16.6640625" style="18" customWidth="1"/>
    <col min="33" max="33" width="17.109375" style="18" customWidth="1"/>
    <col min="34" max="34" width="15.6640625" style="18" customWidth="1"/>
    <col min="35" max="35" width="15.5546875" style="1" customWidth="1"/>
    <col min="36" max="16384" width="11.44140625" style="1"/>
  </cols>
  <sheetData>
    <row r="1" spans="1:34" s="153" customFormat="1" ht="57" customHeight="1" x14ac:dyDescent="0.3">
      <c r="A1" s="389" t="s">
        <v>89</v>
      </c>
      <c r="B1" s="389"/>
      <c r="C1" s="389"/>
      <c r="D1" s="389"/>
      <c r="E1" s="389"/>
      <c r="F1" s="389"/>
      <c r="H1" s="154"/>
      <c r="I1" s="155"/>
      <c r="J1" s="383"/>
      <c r="K1" s="154"/>
      <c r="L1" s="154"/>
      <c r="M1" s="154"/>
      <c r="N1" s="154"/>
    </row>
    <row r="3" spans="1:34" ht="21.75" customHeight="1" x14ac:dyDescent="0.3">
      <c r="D3" s="388" t="s">
        <v>815</v>
      </c>
      <c r="E3" s="388"/>
      <c r="F3" s="388"/>
      <c r="H3" s="20"/>
      <c r="I3" s="27"/>
      <c r="J3" s="27"/>
      <c r="K3" s="20"/>
      <c r="L3" s="20"/>
      <c r="M3" s="20"/>
      <c r="N3" s="20"/>
    </row>
    <row r="4" spans="1:34" ht="21" customHeight="1" x14ac:dyDescent="0.3">
      <c r="H4" s="20"/>
      <c r="I4" s="27"/>
      <c r="J4" s="27"/>
      <c r="K4" s="20"/>
      <c r="L4" s="20"/>
      <c r="M4" s="20"/>
      <c r="N4" s="20"/>
      <c r="O4" s="451"/>
      <c r="P4" s="451"/>
      <c r="Q4" s="451"/>
      <c r="R4" s="451"/>
      <c r="S4" s="451"/>
      <c r="T4" s="451"/>
      <c r="U4" s="451"/>
      <c r="V4" s="451"/>
      <c r="W4" s="451"/>
      <c r="X4" s="451"/>
      <c r="Y4" s="451"/>
      <c r="Z4" s="451"/>
      <c r="AA4" s="451"/>
      <c r="AB4" s="451"/>
    </row>
    <row r="5" spans="1:34" s="303" customFormat="1" ht="69" customHeight="1" x14ac:dyDescent="0.3">
      <c r="A5" s="297"/>
      <c r="B5" s="298" t="s">
        <v>5</v>
      </c>
      <c r="C5" s="299" t="s">
        <v>0</v>
      </c>
      <c r="D5" s="300" t="s">
        <v>1</v>
      </c>
      <c r="E5" s="301" t="s">
        <v>78</v>
      </c>
      <c r="F5" s="298" t="s">
        <v>6</v>
      </c>
      <c r="G5" s="298" t="s">
        <v>2</v>
      </c>
      <c r="H5" s="298" t="s">
        <v>3</v>
      </c>
      <c r="I5" s="302" t="s">
        <v>20</v>
      </c>
      <c r="J5" s="302" t="s">
        <v>4</v>
      </c>
      <c r="K5" s="298" t="s">
        <v>1366</v>
      </c>
      <c r="L5" s="298" t="s">
        <v>67</v>
      </c>
      <c r="M5" s="298" t="s">
        <v>68</v>
      </c>
      <c r="N5" s="298" t="s">
        <v>69</v>
      </c>
      <c r="O5" s="298" t="s">
        <v>70</v>
      </c>
      <c r="P5" s="298" t="s">
        <v>71</v>
      </c>
      <c r="Q5" s="298" t="s">
        <v>72</v>
      </c>
      <c r="R5" s="298" t="s">
        <v>73</v>
      </c>
      <c r="S5" s="298" t="s">
        <v>74</v>
      </c>
      <c r="T5" s="298" t="s">
        <v>75</v>
      </c>
      <c r="U5" s="298" t="s">
        <v>76</v>
      </c>
      <c r="V5" s="298" t="s">
        <v>77</v>
      </c>
      <c r="W5" s="298" t="s">
        <v>66</v>
      </c>
      <c r="X5" s="298" t="s">
        <v>67</v>
      </c>
      <c r="Y5" s="298" t="s">
        <v>68</v>
      </c>
      <c r="Z5" s="298" t="s">
        <v>69</v>
      </c>
      <c r="AA5" s="298" t="s">
        <v>68</v>
      </c>
      <c r="AB5" s="298" t="s">
        <v>69</v>
      </c>
      <c r="AC5" s="298" t="s">
        <v>70</v>
      </c>
      <c r="AD5" s="298" t="s">
        <v>71</v>
      </c>
      <c r="AE5" s="298" t="s">
        <v>72</v>
      </c>
      <c r="AF5" s="298" t="s">
        <v>73</v>
      </c>
    </row>
    <row r="6" spans="1:34" s="2" customFormat="1" ht="21.75" customHeight="1" x14ac:dyDescent="0.3">
      <c r="A6" s="5">
        <v>1</v>
      </c>
      <c r="B6" s="71" t="s">
        <v>816</v>
      </c>
      <c r="C6" s="131">
        <v>81047870</v>
      </c>
      <c r="D6" s="12" t="s">
        <v>7</v>
      </c>
      <c r="E6" s="12" t="s">
        <v>80</v>
      </c>
      <c r="F6" s="141" t="s">
        <v>8</v>
      </c>
      <c r="G6" s="141" t="s">
        <v>9</v>
      </c>
      <c r="H6" s="22" t="s">
        <v>1260</v>
      </c>
      <c r="I6" s="29">
        <v>30000</v>
      </c>
      <c r="J6" s="29" t="s">
        <v>65</v>
      </c>
      <c r="K6" s="339">
        <v>4241577880</v>
      </c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5"/>
      <c r="Y6" s="5"/>
      <c r="Z6" s="5"/>
      <c r="AA6" s="5"/>
      <c r="AB6" s="5"/>
      <c r="AC6" s="5"/>
      <c r="AD6" s="5"/>
      <c r="AE6" s="5"/>
      <c r="AF6" s="5"/>
      <c r="AG6" s="19"/>
      <c r="AH6" s="19"/>
    </row>
    <row r="7" spans="1:34" s="34" customFormat="1" ht="21.75" customHeight="1" x14ac:dyDescent="0.3">
      <c r="A7" s="4">
        <v>2</v>
      </c>
      <c r="B7" s="73">
        <v>41519</v>
      </c>
      <c r="C7" s="132">
        <v>18538916</v>
      </c>
      <c r="D7" s="13" t="s">
        <v>10</v>
      </c>
      <c r="E7" s="13" t="s">
        <v>82</v>
      </c>
      <c r="F7" s="142" t="s">
        <v>11</v>
      </c>
      <c r="G7" s="142" t="s">
        <v>11</v>
      </c>
      <c r="H7" s="4">
        <v>4149215448</v>
      </c>
      <c r="I7" s="74">
        <v>33030</v>
      </c>
      <c r="J7" s="75">
        <v>3000</v>
      </c>
      <c r="K7" s="76">
        <v>2310</v>
      </c>
      <c r="L7" s="76">
        <v>2310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8"/>
      <c r="AE7" s="78"/>
      <c r="AF7" s="78"/>
      <c r="AG7" s="6"/>
      <c r="AH7" s="6"/>
    </row>
    <row r="8" spans="1:34" s="216" customFormat="1" ht="21.75" customHeight="1" x14ac:dyDescent="0.3">
      <c r="A8" s="89">
        <v>3</v>
      </c>
      <c r="B8" s="85">
        <v>41512</v>
      </c>
      <c r="C8" s="134">
        <v>6065954</v>
      </c>
      <c r="D8" s="41" t="s">
        <v>12</v>
      </c>
      <c r="E8" s="41"/>
      <c r="F8" s="143" t="s">
        <v>13</v>
      </c>
      <c r="G8" s="143" t="s">
        <v>14</v>
      </c>
      <c r="H8" s="40">
        <v>4142646826</v>
      </c>
      <c r="I8" s="86">
        <v>24000</v>
      </c>
      <c r="J8" s="86" t="s">
        <v>65</v>
      </c>
      <c r="K8" s="9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9"/>
      <c r="Y8" s="5"/>
      <c r="Z8" s="5"/>
      <c r="AA8" s="89"/>
      <c r="AB8" s="89"/>
      <c r="AC8" s="89"/>
      <c r="AD8" s="256"/>
      <c r="AE8" s="256"/>
      <c r="AF8" s="256"/>
      <c r="AG8" s="215"/>
      <c r="AH8" s="215"/>
    </row>
    <row r="9" spans="1:34" s="313" customFormat="1" ht="21.75" customHeight="1" x14ac:dyDescent="0.3">
      <c r="A9" s="107">
        <v>4</v>
      </c>
      <c r="B9" s="362">
        <v>41512</v>
      </c>
      <c r="C9" s="363">
        <v>5887556</v>
      </c>
      <c r="D9" s="364" t="s">
        <v>15</v>
      </c>
      <c r="E9" s="364" t="s">
        <v>82</v>
      </c>
      <c r="F9" s="365" t="s">
        <v>108</v>
      </c>
      <c r="G9" s="365" t="s">
        <v>16</v>
      </c>
      <c r="H9" s="107">
        <v>4241299783</v>
      </c>
      <c r="I9" s="106">
        <v>33000</v>
      </c>
      <c r="J9" s="106">
        <v>3000</v>
      </c>
      <c r="K9" s="366">
        <v>2320</v>
      </c>
      <c r="L9" s="366">
        <v>2320</v>
      </c>
      <c r="M9" s="366">
        <v>2320</v>
      </c>
      <c r="N9" s="366">
        <v>2320</v>
      </c>
      <c r="O9" s="366">
        <v>2300</v>
      </c>
      <c r="P9" s="366">
        <v>2320</v>
      </c>
      <c r="Q9" s="366">
        <v>2320</v>
      </c>
      <c r="R9" s="366">
        <v>2260</v>
      </c>
      <c r="S9" s="366">
        <v>2320</v>
      </c>
      <c r="T9" s="366">
        <v>2320</v>
      </c>
      <c r="U9" s="366">
        <v>2320</v>
      </c>
      <c r="V9" s="366">
        <v>2320</v>
      </c>
      <c r="W9" s="366">
        <v>2320</v>
      </c>
      <c r="X9" s="366">
        <f>SUM(J9:W9)</f>
        <v>33080</v>
      </c>
      <c r="Y9" s="305"/>
      <c r="Z9" s="305"/>
      <c r="AA9" s="84">
        <f>I9-X9</f>
        <v>-80</v>
      </c>
      <c r="AB9" s="309"/>
      <c r="AC9" s="305"/>
      <c r="AD9" s="305"/>
      <c r="AE9" s="305"/>
      <c r="AF9" s="305"/>
      <c r="AG9" s="312"/>
      <c r="AH9" s="312"/>
    </row>
    <row r="10" spans="1:34" s="313" customFormat="1" ht="21.75" customHeight="1" x14ac:dyDescent="0.3">
      <c r="A10" s="107">
        <v>5</v>
      </c>
      <c r="B10" s="362">
        <v>41514</v>
      </c>
      <c r="C10" s="363">
        <v>6437196</v>
      </c>
      <c r="D10" s="364" t="s">
        <v>17</v>
      </c>
      <c r="E10" s="364" t="s">
        <v>82</v>
      </c>
      <c r="F10" s="365" t="s">
        <v>18</v>
      </c>
      <c r="G10" s="365" t="s">
        <v>19</v>
      </c>
      <c r="H10" s="107">
        <v>4241556858</v>
      </c>
      <c r="I10" s="106">
        <v>33160</v>
      </c>
      <c r="J10" s="106">
        <v>3000</v>
      </c>
      <c r="K10" s="366">
        <v>2320</v>
      </c>
      <c r="L10" s="366">
        <v>2320</v>
      </c>
      <c r="M10" s="366">
        <v>2320</v>
      </c>
      <c r="N10" s="366">
        <v>2320</v>
      </c>
      <c r="O10" s="366">
        <v>2320</v>
      </c>
      <c r="P10" s="366">
        <v>2320</v>
      </c>
      <c r="Q10" s="366">
        <v>2320</v>
      </c>
      <c r="R10" s="366">
        <v>2320</v>
      </c>
      <c r="S10" s="366">
        <v>2320</v>
      </c>
      <c r="T10" s="366">
        <v>2320</v>
      </c>
      <c r="U10" s="366">
        <v>2320</v>
      </c>
      <c r="V10" s="366">
        <v>2320</v>
      </c>
      <c r="W10" s="366">
        <v>2320</v>
      </c>
      <c r="X10" s="366">
        <f>SUM(J10:W10)</f>
        <v>33160</v>
      </c>
      <c r="Y10" s="305"/>
      <c r="Z10" s="305"/>
      <c r="AA10" s="84">
        <f>I10-X10</f>
        <v>0</v>
      </c>
      <c r="AB10" s="309"/>
      <c r="AC10" s="305"/>
      <c r="AD10" s="305"/>
      <c r="AE10" s="305"/>
      <c r="AF10" s="305"/>
      <c r="AG10" s="312"/>
      <c r="AH10" s="312"/>
    </row>
    <row r="11" spans="1:34" s="313" customFormat="1" ht="21.75" customHeight="1" x14ac:dyDescent="0.3">
      <c r="A11" s="107">
        <v>6</v>
      </c>
      <c r="B11" s="362">
        <v>41514</v>
      </c>
      <c r="C11" s="363">
        <v>6437196</v>
      </c>
      <c r="D11" s="364" t="s">
        <v>21</v>
      </c>
      <c r="E11" s="364" t="s">
        <v>82</v>
      </c>
      <c r="F11" s="365" t="s">
        <v>22</v>
      </c>
      <c r="G11" s="365" t="s">
        <v>19</v>
      </c>
      <c r="H11" s="107">
        <v>4241556858</v>
      </c>
      <c r="I11" s="106">
        <v>33160</v>
      </c>
      <c r="J11" s="106">
        <v>3000</v>
      </c>
      <c r="K11" s="366">
        <v>2320</v>
      </c>
      <c r="L11" s="366">
        <v>2320</v>
      </c>
      <c r="M11" s="366">
        <v>2320</v>
      </c>
      <c r="N11" s="366">
        <v>2320</v>
      </c>
      <c r="O11" s="366">
        <v>2320</v>
      </c>
      <c r="P11" s="366">
        <v>2320</v>
      </c>
      <c r="Q11" s="366">
        <v>2320</v>
      </c>
      <c r="R11" s="366">
        <v>2320</v>
      </c>
      <c r="S11" s="366">
        <v>2320</v>
      </c>
      <c r="T11" s="366">
        <v>2320</v>
      </c>
      <c r="U11" s="366">
        <v>2320</v>
      </c>
      <c r="V11" s="366">
        <v>2320</v>
      </c>
      <c r="W11" s="366">
        <v>2320</v>
      </c>
      <c r="X11" s="366">
        <f>SUM(J11:W11)</f>
        <v>33160</v>
      </c>
      <c r="Y11" s="305"/>
      <c r="Z11" s="305"/>
      <c r="AA11" s="84">
        <f>I11-X11</f>
        <v>0</v>
      </c>
      <c r="AB11" s="309"/>
      <c r="AC11" s="305"/>
      <c r="AD11" s="305"/>
      <c r="AE11" s="305"/>
      <c r="AF11" s="305"/>
      <c r="AG11" s="312"/>
      <c r="AH11" s="312"/>
    </row>
    <row r="12" spans="1:34" s="313" customFormat="1" ht="21.75" customHeight="1" x14ac:dyDescent="0.3">
      <c r="A12" s="107">
        <v>7</v>
      </c>
      <c r="B12" s="362">
        <v>41515</v>
      </c>
      <c r="C12" s="363">
        <v>12484258</v>
      </c>
      <c r="D12" s="364" t="s">
        <v>23</v>
      </c>
      <c r="E12" s="364" t="s">
        <v>81</v>
      </c>
      <c r="F12" s="365" t="s">
        <v>24</v>
      </c>
      <c r="G12" s="365" t="s">
        <v>25</v>
      </c>
      <c r="H12" s="107">
        <v>4122655734</v>
      </c>
      <c r="I12" s="106">
        <v>33000</v>
      </c>
      <c r="J12" s="106">
        <v>3000</v>
      </c>
      <c r="K12" s="366">
        <v>3000</v>
      </c>
      <c r="L12" s="366">
        <v>3000</v>
      </c>
      <c r="M12" s="366">
        <v>3000</v>
      </c>
      <c r="N12" s="366">
        <v>3000</v>
      </c>
      <c r="O12" s="366">
        <v>3000</v>
      </c>
      <c r="P12" s="366">
        <v>3000</v>
      </c>
      <c r="Q12" s="366">
        <v>3000</v>
      </c>
      <c r="R12" s="366">
        <v>3000</v>
      </c>
      <c r="S12" s="366">
        <v>3000</v>
      </c>
      <c r="T12" s="366">
        <v>3000</v>
      </c>
      <c r="U12" s="366">
        <f>SUM(J12:T12)</f>
        <v>33000</v>
      </c>
      <c r="V12" s="312"/>
      <c r="W12" s="84"/>
      <c r="X12" s="309"/>
      <c r="Y12" s="309"/>
      <c r="Z12" s="309"/>
      <c r="AA12" s="309"/>
      <c r="AB12" s="309"/>
      <c r="AC12" s="305"/>
      <c r="AD12" s="305"/>
      <c r="AE12" s="305"/>
      <c r="AF12" s="305"/>
      <c r="AG12" s="312"/>
      <c r="AH12" s="312"/>
    </row>
    <row r="13" spans="1:34" s="313" customFormat="1" ht="21.75" customHeight="1" x14ac:dyDescent="0.3">
      <c r="A13" s="340">
        <v>8</v>
      </c>
      <c r="B13" s="341">
        <v>41554</v>
      </c>
      <c r="C13" s="342">
        <v>19202052</v>
      </c>
      <c r="D13" s="347" t="s">
        <v>26</v>
      </c>
      <c r="E13" s="347"/>
      <c r="F13" s="348" t="s">
        <v>27</v>
      </c>
      <c r="G13" s="348" t="s">
        <v>27</v>
      </c>
      <c r="H13" s="340">
        <v>4123154248</v>
      </c>
      <c r="I13" s="344">
        <v>24000</v>
      </c>
      <c r="J13" s="344" t="s">
        <v>65</v>
      </c>
      <c r="K13" s="394"/>
      <c r="L13" s="394"/>
      <c r="M13" s="394"/>
      <c r="N13" s="394"/>
      <c r="O13" s="394"/>
      <c r="P13" s="394"/>
      <c r="Q13" s="394"/>
      <c r="R13" s="394"/>
      <c r="S13" s="394"/>
      <c r="T13" s="394"/>
      <c r="U13" s="394"/>
      <c r="V13" s="394"/>
      <c r="W13" s="394"/>
      <c r="X13" s="340"/>
      <c r="Y13" s="340"/>
      <c r="Z13" s="340"/>
      <c r="AA13" s="340"/>
      <c r="AB13" s="340"/>
      <c r="AC13" s="340"/>
      <c r="AD13" s="409"/>
      <c r="AE13" s="409"/>
      <c r="AF13" s="409"/>
      <c r="AG13" s="312"/>
      <c r="AH13" s="312"/>
    </row>
    <row r="14" spans="1:34" s="36" customFormat="1" ht="21.75" customHeight="1" x14ac:dyDescent="0.3">
      <c r="A14" s="40">
        <v>9</v>
      </c>
      <c r="B14" s="85"/>
      <c r="C14" s="134">
        <v>4578597</v>
      </c>
      <c r="D14" s="41" t="s">
        <v>28</v>
      </c>
      <c r="E14" s="41"/>
      <c r="F14" s="143" t="s">
        <v>29</v>
      </c>
      <c r="G14" s="143" t="s">
        <v>29</v>
      </c>
      <c r="H14" s="40">
        <v>4129572357</v>
      </c>
      <c r="I14" s="86"/>
      <c r="J14" s="87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9"/>
      <c r="Y14" s="5"/>
      <c r="Z14" s="5"/>
      <c r="AA14" s="89"/>
      <c r="AB14" s="89"/>
      <c r="AC14" s="89"/>
      <c r="AD14" s="89"/>
      <c r="AE14" s="89"/>
      <c r="AF14" s="89"/>
      <c r="AG14" s="35"/>
      <c r="AH14" s="35"/>
    </row>
    <row r="15" spans="1:34" s="313" customFormat="1" ht="21.75" customHeight="1" x14ac:dyDescent="0.3">
      <c r="A15" s="107">
        <v>10</v>
      </c>
      <c r="B15" s="362">
        <v>41522</v>
      </c>
      <c r="C15" s="363">
        <v>12292876</v>
      </c>
      <c r="D15" s="364" t="s">
        <v>30</v>
      </c>
      <c r="E15" s="364" t="s">
        <v>82</v>
      </c>
      <c r="F15" s="365" t="s">
        <v>31</v>
      </c>
      <c r="G15" s="365" t="s">
        <v>32</v>
      </c>
      <c r="H15" s="107">
        <v>4148147248</v>
      </c>
      <c r="I15" s="106">
        <v>33000</v>
      </c>
      <c r="J15" s="106">
        <v>3000</v>
      </c>
      <c r="K15" s="366"/>
      <c r="L15" s="366">
        <v>3000</v>
      </c>
      <c r="M15" s="366">
        <v>1640</v>
      </c>
      <c r="N15" s="366">
        <v>2310</v>
      </c>
      <c r="O15" s="366">
        <v>2310</v>
      </c>
      <c r="P15" s="366">
        <v>2310</v>
      </c>
      <c r="Q15" s="366">
        <v>2310</v>
      </c>
      <c r="R15" s="366">
        <v>2310</v>
      </c>
      <c r="S15" s="366">
        <v>2310</v>
      </c>
      <c r="T15" s="366">
        <v>2310</v>
      </c>
      <c r="U15" s="366">
        <v>2310</v>
      </c>
      <c r="V15" s="366">
        <v>2310</v>
      </c>
      <c r="W15" s="366">
        <v>2310</v>
      </c>
      <c r="X15" s="366" t="s">
        <v>459</v>
      </c>
      <c r="Y15" s="107"/>
      <c r="Z15" s="107"/>
      <c r="AA15" s="366">
        <f>SUM(L15:W15)+J15</f>
        <v>30740</v>
      </c>
      <c r="AB15" s="84">
        <f>I15-AA15</f>
        <v>2260</v>
      </c>
      <c r="AC15" s="107"/>
      <c r="AD15" s="107"/>
      <c r="AE15" s="107"/>
      <c r="AF15" s="107"/>
      <c r="AG15" s="312"/>
      <c r="AH15" s="312"/>
    </row>
    <row r="16" spans="1:34" ht="21.75" customHeight="1" x14ac:dyDescent="0.3">
      <c r="A16" s="23">
        <v>11</v>
      </c>
      <c r="B16" s="90">
        <v>42045</v>
      </c>
      <c r="C16" s="135">
        <v>10282176</v>
      </c>
      <c r="D16" s="24" t="s">
        <v>33</v>
      </c>
      <c r="E16" s="24" t="s">
        <v>82</v>
      </c>
      <c r="F16" s="144" t="s">
        <v>34</v>
      </c>
      <c r="G16" s="144" t="s">
        <v>35</v>
      </c>
      <c r="H16" s="23">
        <v>4122557403</v>
      </c>
      <c r="I16" s="70">
        <v>33160</v>
      </c>
      <c r="J16" s="70">
        <v>39000</v>
      </c>
      <c r="K16" s="83"/>
      <c r="L16" s="83">
        <v>2320</v>
      </c>
      <c r="M16" s="83">
        <v>2320</v>
      </c>
      <c r="N16" s="83">
        <v>2320</v>
      </c>
      <c r="O16" s="83">
        <v>2320</v>
      </c>
      <c r="P16" s="83">
        <v>2320</v>
      </c>
      <c r="Q16" s="83">
        <v>2320</v>
      </c>
      <c r="R16" s="83">
        <v>2320</v>
      </c>
      <c r="S16" s="83">
        <v>2320</v>
      </c>
      <c r="T16" s="83">
        <v>2320</v>
      </c>
      <c r="U16" s="83">
        <v>2320</v>
      </c>
      <c r="V16" s="83">
        <v>2320</v>
      </c>
      <c r="W16" s="83">
        <v>2320</v>
      </c>
      <c r="X16" s="83">
        <v>2320</v>
      </c>
      <c r="Y16" s="7"/>
      <c r="Z16" s="7"/>
      <c r="AA16" s="83">
        <f>SUM(J16:Z16)</f>
        <v>69160</v>
      </c>
      <c r="AB16" s="84">
        <f>I16-AA16</f>
        <v>-36000</v>
      </c>
      <c r="AC16" s="7"/>
      <c r="AD16" s="7"/>
      <c r="AE16" s="7"/>
      <c r="AF16" s="7"/>
      <c r="AG16" s="199"/>
      <c r="AH16" s="199"/>
    </row>
    <row r="17" spans="1:34" s="34" customFormat="1" ht="21.75" customHeight="1" x14ac:dyDescent="0.3">
      <c r="A17" s="4">
        <v>12</v>
      </c>
      <c r="B17" s="73">
        <v>41536</v>
      </c>
      <c r="C17" s="132">
        <v>17744174</v>
      </c>
      <c r="D17" s="13" t="s">
        <v>36</v>
      </c>
      <c r="E17" s="13"/>
      <c r="F17" s="142" t="s">
        <v>37</v>
      </c>
      <c r="G17" s="142" t="s">
        <v>38</v>
      </c>
      <c r="H17" s="4">
        <v>4241801619</v>
      </c>
      <c r="I17" s="74">
        <v>33000</v>
      </c>
      <c r="J17" s="75">
        <v>3000</v>
      </c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8">
        <v>0</v>
      </c>
      <c r="Y17" s="64"/>
      <c r="Z17" s="64"/>
      <c r="AA17" s="78">
        <v>0</v>
      </c>
      <c r="AB17" s="78"/>
      <c r="AC17" s="78"/>
      <c r="AD17" s="78"/>
      <c r="AE17" s="78"/>
      <c r="AF17" s="78"/>
      <c r="AG17" s="6"/>
      <c r="AH17" s="6"/>
    </row>
    <row r="18" spans="1:34" s="47" customFormat="1" ht="21.75" customHeight="1" x14ac:dyDescent="0.3">
      <c r="A18" s="5">
        <v>13</v>
      </c>
      <c r="B18" s="71">
        <v>42074</v>
      </c>
      <c r="C18" s="131">
        <v>10254386</v>
      </c>
      <c r="D18" s="12" t="s">
        <v>39</v>
      </c>
      <c r="E18" s="12"/>
      <c r="F18" s="141" t="s">
        <v>40</v>
      </c>
      <c r="G18" s="141" t="s">
        <v>41</v>
      </c>
      <c r="H18" s="5">
        <v>4166241750</v>
      </c>
      <c r="I18" s="29">
        <v>33000</v>
      </c>
      <c r="J18" s="29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5"/>
      <c r="Y18" s="5"/>
      <c r="Z18" s="5"/>
      <c r="AA18" s="5"/>
      <c r="AB18" s="5"/>
      <c r="AC18" s="5"/>
      <c r="AD18" s="5"/>
      <c r="AE18" s="5"/>
      <c r="AF18" s="5"/>
      <c r="AG18" s="21"/>
      <c r="AH18" s="21"/>
    </row>
    <row r="19" spans="1:34" s="407" customFormat="1" ht="21.75" customHeight="1" x14ac:dyDescent="0.3">
      <c r="A19" s="400">
        <v>14</v>
      </c>
      <c r="B19" s="401">
        <v>41566</v>
      </c>
      <c r="C19" s="402">
        <v>10254386</v>
      </c>
      <c r="D19" s="403" t="s">
        <v>42</v>
      </c>
      <c r="E19" s="403"/>
      <c r="F19" s="404" t="s">
        <v>43</v>
      </c>
      <c r="G19" s="404" t="s">
        <v>41</v>
      </c>
      <c r="H19" s="400"/>
      <c r="I19" s="405">
        <v>24000</v>
      </c>
      <c r="J19" s="405" t="s">
        <v>65</v>
      </c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400"/>
      <c r="Y19" s="200"/>
      <c r="Z19" s="200"/>
      <c r="AA19" s="400"/>
      <c r="AB19" s="400"/>
      <c r="AC19" s="400"/>
      <c r="AD19" s="400"/>
      <c r="AE19" s="400"/>
      <c r="AF19" s="400"/>
      <c r="AG19" s="406"/>
      <c r="AH19" s="406"/>
    </row>
    <row r="20" spans="1:34" s="34" customFormat="1" ht="21.75" customHeight="1" x14ac:dyDescent="0.3">
      <c r="A20" s="42">
        <v>15</v>
      </c>
      <c r="B20" s="92">
        <v>41540</v>
      </c>
      <c r="C20" s="132">
        <v>11260024</v>
      </c>
      <c r="D20" s="31" t="s">
        <v>44</v>
      </c>
      <c r="E20" s="31" t="s">
        <v>82</v>
      </c>
      <c r="F20" s="145" t="s">
        <v>45</v>
      </c>
      <c r="G20" s="145" t="s">
        <v>45</v>
      </c>
      <c r="H20" s="42">
        <v>4242794381</v>
      </c>
      <c r="I20" s="68">
        <v>33000</v>
      </c>
      <c r="J20" s="68">
        <v>3000</v>
      </c>
      <c r="K20" s="42"/>
      <c r="L20" s="84">
        <v>2310</v>
      </c>
      <c r="M20" s="84">
        <v>2310</v>
      </c>
      <c r="N20" s="84">
        <v>2310</v>
      </c>
      <c r="O20" s="77"/>
      <c r="P20" s="77"/>
      <c r="Q20" s="77"/>
      <c r="R20" s="77"/>
      <c r="S20" s="77"/>
      <c r="T20" s="77"/>
      <c r="U20" s="77"/>
      <c r="V20" s="77"/>
      <c r="W20" s="77"/>
      <c r="X20" s="78"/>
      <c r="Y20" s="64"/>
      <c r="Z20" s="64"/>
      <c r="AA20" s="78"/>
      <c r="AB20" s="78"/>
      <c r="AC20" s="78"/>
      <c r="AD20" s="78"/>
      <c r="AE20" s="78"/>
      <c r="AF20" s="78"/>
      <c r="AG20" s="6"/>
      <c r="AH20" s="6"/>
    </row>
    <row r="21" spans="1:34" s="331" customFormat="1" ht="21.75" customHeight="1" x14ac:dyDescent="0.3">
      <c r="A21" s="340">
        <v>16</v>
      </c>
      <c r="B21" s="341">
        <v>41578</v>
      </c>
      <c r="C21" s="342">
        <v>16096920</v>
      </c>
      <c r="D21" s="347" t="s">
        <v>46</v>
      </c>
      <c r="E21" s="347"/>
      <c r="F21" s="348" t="s">
        <v>47</v>
      </c>
      <c r="G21" s="348" t="s">
        <v>47</v>
      </c>
      <c r="H21" s="340">
        <v>4242191137</v>
      </c>
      <c r="I21" s="344">
        <v>24000</v>
      </c>
      <c r="J21" s="344" t="s">
        <v>65</v>
      </c>
      <c r="K21" s="394"/>
      <c r="L21" s="394"/>
      <c r="M21" s="394"/>
      <c r="N21" s="394"/>
      <c r="O21" s="394"/>
      <c r="P21" s="394"/>
      <c r="Q21" s="394"/>
      <c r="R21" s="394"/>
      <c r="S21" s="394"/>
      <c r="T21" s="394"/>
      <c r="U21" s="394"/>
      <c r="V21" s="394"/>
      <c r="W21" s="394"/>
      <c r="X21" s="340"/>
      <c r="Y21" s="340"/>
      <c r="Z21" s="340"/>
      <c r="AA21" s="340"/>
      <c r="AB21" s="340"/>
      <c r="AC21" s="340"/>
      <c r="AD21" s="340"/>
      <c r="AE21" s="340"/>
      <c r="AF21" s="340"/>
      <c r="AG21" s="332"/>
      <c r="AH21" s="332"/>
    </row>
    <row r="22" spans="1:34" s="34" customFormat="1" ht="21.75" customHeight="1" x14ac:dyDescent="0.3">
      <c r="A22" s="4">
        <v>17</v>
      </c>
      <c r="B22" s="92">
        <v>41555</v>
      </c>
      <c r="C22" s="132">
        <v>4283046</v>
      </c>
      <c r="D22" s="13" t="s">
        <v>48</v>
      </c>
      <c r="E22" s="13" t="s">
        <v>79</v>
      </c>
      <c r="F22" s="142" t="s">
        <v>49</v>
      </c>
      <c r="G22" s="142" t="s">
        <v>49</v>
      </c>
      <c r="H22" s="4">
        <v>4129073828</v>
      </c>
      <c r="I22" s="74">
        <v>33000</v>
      </c>
      <c r="J22" s="75">
        <v>3000</v>
      </c>
      <c r="K22" s="77"/>
      <c r="L22" s="77"/>
      <c r="M22" s="93">
        <v>3000</v>
      </c>
      <c r="N22" s="93">
        <v>3000</v>
      </c>
      <c r="O22" s="93">
        <v>3000</v>
      </c>
      <c r="P22" s="93">
        <v>3000</v>
      </c>
      <c r="Q22" s="77"/>
      <c r="R22" s="77"/>
      <c r="S22" s="77"/>
      <c r="T22" s="77"/>
      <c r="U22" s="77"/>
      <c r="V22" s="77"/>
      <c r="W22" s="94">
        <f>SUM(J22:V22)</f>
        <v>15000</v>
      </c>
      <c r="X22" s="84">
        <f>I22-W22</f>
        <v>18000</v>
      </c>
      <c r="Y22" s="4"/>
      <c r="Z22" s="4"/>
      <c r="AA22" s="78"/>
      <c r="AB22" s="78"/>
      <c r="AC22" s="78"/>
      <c r="AD22" s="78"/>
      <c r="AE22" s="78"/>
      <c r="AF22" s="78"/>
      <c r="AG22" s="6"/>
      <c r="AH22" s="6"/>
    </row>
    <row r="23" spans="1:34" s="34" customFormat="1" ht="21.75" customHeight="1" x14ac:dyDescent="0.3">
      <c r="A23" s="4">
        <v>18</v>
      </c>
      <c r="B23" s="92">
        <v>41565</v>
      </c>
      <c r="C23" s="132">
        <v>6871527</v>
      </c>
      <c r="D23" s="13" t="s">
        <v>50</v>
      </c>
      <c r="E23" s="13" t="s">
        <v>79</v>
      </c>
      <c r="F23" s="142" t="s">
        <v>51</v>
      </c>
      <c r="G23" s="142" t="s">
        <v>52</v>
      </c>
      <c r="H23" s="4">
        <v>4241123042</v>
      </c>
      <c r="I23" s="74">
        <v>33000</v>
      </c>
      <c r="J23" s="75">
        <v>3000</v>
      </c>
      <c r="K23" s="77"/>
      <c r="L23" s="77"/>
      <c r="M23" s="93">
        <v>3000</v>
      </c>
      <c r="N23" s="93">
        <v>3000</v>
      </c>
      <c r="O23" s="93">
        <v>3000</v>
      </c>
      <c r="P23" s="93">
        <v>3000</v>
      </c>
      <c r="Q23" s="77"/>
      <c r="R23" s="77"/>
      <c r="S23" s="77"/>
      <c r="T23" s="77"/>
      <c r="U23" s="77"/>
      <c r="V23" s="77"/>
      <c r="W23" s="94">
        <f>SUM(J23:V23)</f>
        <v>15000</v>
      </c>
      <c r="X23" s="84">
        <f>I23-W23</f>
        <v>18000</v>
      </c>
      <c r="Y23" s="4"/>
      <c r="Z23" s="4"/>
      <c r="AA23" s="78"/>
      <c r="AB23" s="78"/>
      <c r="AC23" s="78"/>
      <c r="AD23" s="78"/>
      <c r="AE23" s="78"/>
      <c r="AF23" s="78"/>
      <c r="AG23" s="6"/>
      <c r="AH23" s="6"/>
    </row>
    <row r="24" spans="1:34" ht="21.75" customHeight="1" x14ac:dyDescent="0.3">
      <c r="A24" s="23">
        <v>19</v>
      </c>
      <c r="B24" s="90">
        <v>41577</v>
      </c>
      <c r="C24" s="135">
        <v>18234650</v>
      </c>
      <c r="D24" s="24" t="s">
        <v>53</v>
      </c>
      <c r="E24" s="24" t="s">
        <v>79</v>
      </c>
      <c r="F24" s="144" t="s">
        <v>54</v>
      </c>
      <c r="G24" s="144" t="s">
        <v>54</v>
      </c>
      <c r="H24" s="23">
        <v>4125501949</v>
      </c>
      <c r="I24" s="70">
        <v>21450</v>
      </c>
      <c r="J24" s="70">
        <v>1950</v>
      </c>
      <c r="K24" s="83"/>
      <c r="L24" s="83"/>
      <c r="M24" s="83">
        <v>1950</v>
      </c>
      <c r="N24" s="83">
        <v>1950</v>
      </c>
      <c r="O24" s="83">
        <v>1950</v>
      </c>
      <c r="P24" s="83">
        <v>1950</v>
      </c>
      <c r="Q24" s="83">
        <v>1950</v>
      </c>
      <c r="R24" s="83">
        <v>1950</v>
      </c>
      <c r="S24" s="83">
        <v>1950</v>
      </c>
      <c r="T24" s="83">
        <v>1950</v>
      </c>
      <c r="U24" s="83">
        <v>1950</v>
      </c>
      <c r="V24" s="83" t="s">
        <v>461</v>
      </c>
      <c r="W24" s="83">
        <f>SUM(J24:V24)</f>
        <v>19500</v>
      </c>
      <c r="X24" s="84">
        <f>I24-W24</f>
        <v>1950</v>
      </c>
      <c r="Y24" s="7"/>
      <c r="Z24" s="7"/>
      <c r="AA24" s="23"/>
      <c r="AB24" s="23"/>
      <c r="AC24" s="23"/>
      <c r="AD24" s="23"/>
      <c r="AE24" s="23"/>
      <c r="AF24" s="23"/>
      <c r="AG24" s="199"/>
      <c r="AH24" s="199"/>
    </row>
    <row r="25" spans="1:34" s="34" customFormat="1" ht="21.75" customHeight="1" x14ac:dyDescent="0.3">
      <c r="A25" s="4">
        <v>20</v>
      </c>
      <c r="B25" s="92">
        <v>41578</v>
      </c>
      <c r="C25" s="132">
        <v>17744528</v>
      </c>
      <c r="D25" s="13" t="s">
        <v>55</v>
      </c>
      <c r="E25" s="13" t="s">
        <v>81</v>
      </c>
      <c r="F25" s="142" t="s">
        <v>56</v>
      </c>
      <c r="G25" s="142" t="s">
        <v>56</v>
      </c>
      <c r="H25" s="4">
        <v>4129163705</v>
      </c>
      <c r="I25" s="74">
        <v>21450</v>
      </c>
      <c r="J25" s="75">
        <v>1950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8"/>
      <c r="Y25" s="95"/>
      <c r="Z25" s="95"/>
      <c r="AA25" s="78"/>
      <c r="AB25" s="78"/>
      <c r="AC25" s="78"/>
      <c r="AD25" s="78"/>
      <c r="AE25" s="78"/>
      <c r="AF25" s="78"/>
      <c r="AG25" s="6"/>
      <c r="AH25" s="6"/>
    </row>
    <row r="26" spans="1:34" s="34" customFormat="1" ht="21.75" customHeight="1" x14ac:dyDescent="0.3">
      <c r="A26" s="4">
        <v>21</v>
      </c>
      <c r="B26" s="92">
        <v>41578</v>
      </c>
      <c r="C26" s="132">
        <v>3016171</v>
      </c>
      <c r="D26" s="13" t="s">
        <v>57</v>
      </c>
      <c r="E26" s="13" t="s">
        <v>79</v>
      </c>
      <c r="F26" s="142" t="s">
        <v>58</v>
      </c>
      <c r="G26" s="142" t="s">
        <v>58</v>
      </c>
      <c r="H26" s="4">
        <v>4143124654</v>
      </c>
      <c r="I26" s="74">
        <v>21450</v>
      </c>
      <c r="J26" s="75">
        <v>1950</v>
      </c>
      <c r="K26" s="77"/>
      <c r="L26" s="77"/>
      <c r="M26" s="93">
        <v>1950</v>
      </c>
      <c r="N26" s="93">
        <v>1950</v>
      </c>
      <c r="O26" s="93">
        <v>1950</v>
      </c>
      <c r="P26" s="93">
        <v>1950</v>
      </c>
      <c r="Q26" s="93">
        <v>1950</v>
      </c>
      <c r="R26" s="93">
        <v>1950</v>
      </c>
      <c r="S26" s="93">
        <v>1950</v>
      </c>
      <c r="T26" s="93">
        <v>1950</v>
      </c>
      <c r="U26" s="77"/>
      <c r="V26" s="77"/>
      <c r="W26" s="77"/>
      <c r="X26" s="78"/>
      <c r="Y26" s="4"/>
      <c r="Z26" s="4"/>
      <c r="AA26" s="94">
        <f>SUM(J26:Z26)</f>
        <v>17550</v>
      </c>
      <c r="AB26" s="77">
        <f>I26-AA26</f>
        <v>3900</v>
      </c>
      <c r="AC26" s="78"/>
      <c r="AD26" s="78"/>
      <c r="AE26" s="78"/>
      <c r="AF26" s="78"/>
      <c r="AG26" s="6"/>
      <c r="AH26" s="6"/>
    </row>
    <row r="27" spans="1:34" s="34" customFormat="1" ht="21.75" customHeight="1" x14ac:dyDescent="0.3">
      <c r="A27" s="4">
        <v>22</v>
      </c>
      <c r="B27" s="92">
        <v>41578</v>
      </c>
      <c r="C27" s="132">
        <v>14214669</v>
      </c>
      <c r="D27" s="13" t="s">
        <v>59</v>
      </c>
      <c r="E27" s="13" t="s">
        <v>79</v>
      </c>
      <c r="F27" s="142" t="s">
        <v>60</v>
      </c>
      <c r="G27" s="142" t="s">
        <v>60</v>
      </c>
      <c r="H27" s="4">
        <v>4127219205</v>
      </c>
      <c r="I27" s="74">
        <v>21450</v>
      </c>
      <c r="J27" s="75">
        <v>1950</v>
      </c>
      <c r="K27" s="77"/>
      <c r="L27" s="77"/>
      <c r="M27" s="93">
        <v>1950</v>
      </c>
      <c r="N27" s="93">
        <v>1950</v>
      </c>
      <c r="O27" s="93">
        <v>1950</v>
      </c>
      <c r="P27" s="77"/>
      <c r="Q27" s="77"/>
      <c r="R27" s="77"/>
      <c r="S27" s="77"/>
      <c r="T27" s="77"/>
      <c r="U27" s="77"/>
      <c r="V27" s="77"/>
      <c r="W27" s="77">
        <f>SUM(J27:V27)</f>
        <v>7800</v>
      </c>
      <c r="X27" s="77">
        <f>I27-W27</f>
        <v>13650</v>
      </c>
      <c r="Y27" s="78"/>
      <c r="Z27" s="78"/>
      <c r="AA27" s="78"/>
      <c r="AB27" s="78"/>
      <c r="AC27" s="78"/>
      <c r="AD27" s="78"/>
      <c r="AE27" s="78"/>
      <c r="AF27" s="78"/>
      <c r="AG27" s="6"/>
      <c r="AH27" s="6"/>
    </row>
    <row r="28" spans="1:34" s="34" customFormat="1" ht="21.75" customHeight="1" x14ac:dyDescent="0.3">
      <c r="A28" s="4">
        <v>23</v>
      </c>
      <c r="B28" s="92">
        <v>41578</v>
      </c>
      <c r="C28" s="132">
        <v>14217981</v>
      </c>
      <c r="D28" s="13" t="s">
        <v>61</v>
      </c>
      <c r="E28" s="13" t="s">
        <v>79</v>
      </c>
      <c r="F28" s="142" t="s">
        <v>62</v>
      </c>
      <c r="G28" s="142" t="s">
        <v>62</v>
      </c>
      <c r="H28" s="4">
        <v>4265186877</v>
      </c>
      <c r="I28" s="74">
        <v>25350</v>
      </c>
      <c r="J28" s="75">
        <v>1950</v>
      </c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8"/>
      <c r="Y28" s="7"/>
      <c r="Z28" s="7"/>
      <c r="AA28" s="94">
        <f>SUM(J28:Z28)</f>
        <v>1950</v>
      </c>
      <c r="AB28" s="84">
        <f>I28-AA28</f>
        <v>23400</v>
      </c>
      <c r="AC28" s="78"/>
      <c r="AD28" s="78"/>
      <c r="AE28" s="78"/>
      <c r="AF28" s="78"/>
      <c r="AG28" s="6"/>
      <c r="AH28" s="6"/>
    </row>
    <row r="29" spans="1:34" s="34" customFormat="1" ht="21.75" customHeight="1" x14ac:dyDescent="0.3">
      <c r="A29" s="4">
        <v>24</v>
      </c>
      <c r="B29" s="92">
        <v>41584</v>
      </c>
      <c r="C29" s="132">
        <v>10354271</v>
      </c>
      <c r="D29" s="13" t="s">
        <v>63</v>
      </c>
      <c r="E29" s="13" t="s">
        <v>81</v>
      </c>
      <c r="F29" s="142" t="s">
        <v>64</v>
      </c>
      <c r="G29" s="142" t="s">
        <v>64</v>
      </c>
      <c r="H29" s="4">
        <v>4142437938</v>
      </c>
      <c r="I29" s="74">
        <v>25350</v>
      </c>
      <c r="J29" s="68">
        <v>1950</v>
      </c>
      <c r="K29" s="77"/>
      <c r="L29" s="77"/>
      <c r="M29" s="77"/>
      <c r="N29" s="93">
        <v>1950</v>
      </c>
      <c r="O29" s="93">
        <v>50</v>
      </c>
      <c r="P29" s="77"/>
      <c r="Q29" s="77"/>
      <c r="R29" s="77"/>
      <c r="S29" s="77"/>
      <c r="T29" s="77"/>
      <c r="U29" s="77"/>
      <c r="V29" s="77"/>
      <c r="W29" s="77"/>
      <c r="X29" s="78"/>
      <c r="Y29" s="64"/>
      <c r="Z29" s="64"/>
      <c r="AA29" s="78"/>
      <c r="AB29" s="77"/>
      <c r="AC29" s="77"/>
      <c r="AD29" s="78"/>
      <c r="AE29" s="78"/>
      <c r="AF29" s="78"/>
      <c r="AG29" s="6"/>
      <c r="AH29" s="6"/>
    </row>
    <row r="30" spans="1:34" s="34" customFormat="1" ht="21.75" customHeight="1" x14ac:dyDescent="0.3">
      <c r="A30" s="99">
        <v>25</v>
      </c>
      <c r="B30" s="205">
        <v>41586</v>
      </c>
      <c r="C30" s="206">
        <v>7663744</v>
      </c>
      <c r="D30" s="207" t="s">
        <v>83</v>
      </c>
      <c r="E30" s="207">
        <v>10</v>
      </c>
      <c r="F30" s="208" t="s">
        <v>84</v>
      </c>
      <c r="G30" s="208" t="s">
        <v>85</v>
      </c>
      <c r="H30" s="99">
        <v>4143302154</v>
      </c>
      <c r="I30" s="209">
        <v>21450</v>
      </c>
      <c r="J30" s="209">
        <v>1950</v>
      </c>
      <c r="K30" s="94"/>
      <c r="L30" s="94"/>
      <c r="M30" s="94"/>
      <c r="N30" s="94">
        <v>1950</v>
      </c>
      <c r="O30" s="94">
        <v>1950</v>
      </c>
      <c r="P30" s="94">
        <v>1950</v>
      </c>
      <c r="Q30" s="94">
        <v>1950</v>
      </c>
      <c r="R30" s="94">
        <v>1950</v>
      </c>
      <c r="S30" s="94">
        <v>1950</v>
      </c>
      <c r="T30" s="94">
        <v>1950</v>
      </c>
      <c r="U30" s="94">
        <v>1950</v>
      </c>
      <c r="V30" s="94">
        <v>1950</v>
      </c>
      <c r="W30" s="94">
        <v>1950</v>
      </c>
      <c r="X30" s="94">
        <f>SUM(J30:W30)</f>
        <v>21450</v>
      </c>
      <c r="Y30" s="93">
        <f>SUM(J30:X30)</f>
        <v>42900</v>
      </c>
      <c r="Z30" s="4"/>
      <c r="AA30" s="84">
        <f>I30-X30</f>
        <v>0</v>
      </c>
      <c r="AB30" s="42"/>
      <c r="AC30" s="4"/>
      <c r="AD30" s="4"/>
      <c r="AE30" s="4"/>
      <c r="AF30" s="4"/>
      <c r="AG30" s="6"/>
      <c r="AH30" s="6"/>
    </row>
    <row r="31" spans="1:34" s="34" customFormat="1" ht="21.75" customHeight="1" x14ac:dyDescent="0.3">
      <c r="A31" s="4">
        <v>29</v>
      </c>
      <c r="B31" s="92">
        <v>41593</v>
      </c>
      <c r="C31" s="132">
        <v>15394967</v>
      </c>
      <c r="D31" s="13" t="s">
        <v>86</v>
      </c>
      <c r="E31" s="13" t="s">
        <v>79</v>
      </c>
      <c r="F31" s="142" t="s">
        <v>87</v>
      </c>
      <c r="G31" s="142" t="s">
        <v>88</v>
      </c>
      <c r="H31" s="4">
        <v>4123645213</v>
      </c>
      <c r="I31" s="74">
        <v>21450</v>
      </c>
      <c r="J31" s="74">
        <v>1950</v>
      </c>
      <c r="K31" s="77"/>
      <c r="L31" s="77"/>
      <c r="M31" s="77"/>
      <c r="N31" s="93">
        <v>1950</v>
      </c>
      <c r="O31" s="93">
        <v>1950</v>
      </c>
      <c r="P31" s="93">
        <v>1950</v>
      </c>
      <c r="Q31" s="93">
        <v>1950</v>
      </c>
      <c r="R31" s="77"/>
      <c r="S31" s="77"/>
      <c r="T31" s="77"/>
      <c r="U31" s="77"/>
      <c r="V31" s="77"/>
      <c r="W31" s="77"/>
      <c r="X31" s="94">
        <f>SUM(J31:W31)</f>
        <v>9750</v>
      </c>
      <c r="Y31" s="99"/>
      <c r="Z31" s="99"/>
      <c r="AA31" s="84">
        <f>I31-X31</f>
        <v>11700</v>
      </c>
      <c r="AB31" s="78"/>
      <c r="AC31" s="78"/>
      <c r="AD31" s="78"/>
      <c r="AE31" s="78"/>
      <c r="AF31" s="78"/>
      <c r="AG31" s="6"/>
      <c r="AH31" s="6"/>
    </row>
    <row r="32" spans="1:34" s="34" customFormat="1" ht="21.75" customHeight="1" x14ac:dyDescent="0.3">
      <c r="A32" s="190">
        <v>30</v>
      </c>
      <c r="B32" s="191">
        <v>41566</v>
      </c>
      <c r="C32" s="135">
        <v>18492878</v>
      </c>
      <c r="D32" s="192" t="s">
        <v>90</v>
      </c>
      <c r="E32" s="192" t="s">
        <v>79</v>
      </c>
      <c r="F32" s="193" t="s">
        <v>91</v>
      </c>
      <c r="G32" s="193" t="s">
        <v>91</v>
      </c>
      <c r="H32" s="190">
        <v>4160120244</v>
      </c>
      <c r="I32" s="194">
        <v>21450</v>
      </c>
      <c r="J32" s="195">
        <v>1950</v>
      </c>
      <c r="K32" s="190"/>
      <c r="L32" s="190"/>
      <c r="M32" s="190"/>
      <c r="N32" s="196">
        <v>1950</v>
      </c>
      <c r="O32" s="196">
        <v>1950</v>
      </c>
      <c r="P32" s="196">
        <v>1950</v>
      </c>
      <c r="Q32" s="196">
        <v>1950</v>
      </c>
      <c r="R32" s="196">
        <v>1950</v>
      </c>
      <c r="S32" s="196">
        <v>1950</v>
      </c>
      <c r="T32" s="196">
        <v>1950</v>
      </c>
      <c r="U32" s="196">
        <v>1950</v>
      </c>
      <c r="V32" s="196">
        <v>1950</v>
      </c>
      <c r="W32" s="196">
        <v>1950</v>
      </c>
      <c r="X32" s="83">
        <f>SUM(J32:W32)</f>
        <v>21450</v>
      </c>
      <c r="Y32" s="23"/>
      <c r="Z32" s="23"/>
      <c r="AA32" s="94"/>
      <c r="AB32" s="107"/>
      <c r="AC32" s="11"/>
      <c r="AD32" s="7"/>
      <c r="AE32" s="7"/>
      <c r="AF32" s="7"/>
      <c r="AG32" s="199"/>
      <c r="AH32" s="199"/>
    </row>
    <row r="33" spans="1:85" s="34" customFormat="1" ht="21.75" customHeight="1" x14ac:dyDescent="0.3">
      <c r="A33" s="4">
        <v>31</v>
      </c>
      <c r="B33" s="92">
        <v>41599</v>
      </c>
      <c r="C33" s="132">
        <v>10832599</v>
      </c>
      <c r="D33" s="13" t="s">
        <v>92</v>
      </c>
      <c r="E33" s="13" t="s">
        <v>79</v>
      </c>
      <c r="F33" s="142" t="s">
        <v>94</v>
      </c>
      <c r="G33" s="142" t="s">
        <v>95</v>
      </c>
      <c r="H33" s="4">
        <v>4242073260</v>
      </c>
      <c r="I33" s="74">
        <v>21450</v>
      </c>
      <c r="J33" s="66">
        <v>1950</v>
      </c>
      <c r="K33" s="78"/>
      <c r="L33" s="78"/>
      <c r="M33" s="78"/>
      <c r="N33" s="93">
        <v>1950</v>
      </c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64"/>
      <c r="Z33" s="64"/>
      <c r="AA33" s="77"/>
      <c r="AB33" s="78"/>
      <c r="AC33" s="78"/>
      <c r="AD33" s="78"/>
      <c r="AE33" s="78"/>
      <c r="AF33" s="78"/>
      <c r="AG33" s="6"/>
      <c r="AH33" s="6"/>
    </row>
    <row r="34" spans="1:85" s="34" customFormat="1" ht="21.75" customHeight="1" x14ac:dyDescent="0.3">
      <c r="A34" s="4">
        <v>32</v>
      </c>
      <c r="B34" s="92">
        <v>41599</v>
      </c>
      <c r="C34" s="132">
        <v>10832599</v>
      </c>
      <c r="D34" s="13" t="s">
        <v>93</v>
      </c>
      <c r="E34" s="13" t="s">
        <v>79</v>
      </c>
      <c r="F34" s="142" t="s">
        <v>96</v>
      </c>
      <c r="G34" s="142" t="s">
        <v>95</v>
      </c>
      <c r="H34" s="4">
        <v>4242073260</v>
      </c>
      <c r="I34" s="74">
        <v>21450</v>
      </c>
      <c r="J34" s="66">
        <v>1950</v>
      </c>
      <c r="K34" s="77"/>
      <c r="L34" s="77"/>
      <c r="M34" s="77"/>
      <c r="N34" s="93">
        <v>1950</v>
      </c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64"/>
      <c r="Z34" s="64"/>
      <c r="AA34" s="77"/>
      <c r="AB34" s="78"/>
      <c r="AC34" s="78"/>
      <c r="AD34" s="78"/>
      <c r="AE34" s="78"/>
      <c r="AF34" s="78"/>
      <c r="AG34" s="6"/>
      <c r="AH34" s="6"/>
    </row>
    <row r="35" spans="1:85" s="47" customFormat="1" ht="21.75" customHeight="1" x14ac:dyDescent="0.3">
      <c r="A35" s="5">
        <v>33</v>
      </c>
      <c r="B35" s="71">
        <v>41601</v>
      </c>
      <c r="C35" s="131">
        <v>83784206</v>
      </c>
      <c r="D35" s="12" t="s">
        <v>114</v>
      </c>
      <c r="E35" s="12" t="s">
        <v>79</v>
      </c>
      <c r="F35" s="141" t="s">
        <v>115</v>
      </c>
      <c r="G35" s="141" t="s">
        <v>116</v>
      </c>
      <c r="H35" s="5">
        <v>4125870488</v>
      </c>
      <c r="I35" s="29">
        <v>21450</v>
      </c>
      <c r="J35" s="266" t="s">
        <v>914</v>
      </c>
      <c r="K35" s="72">
        <v>16500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5"/>
      <c r="Y35" s="5"/>
      <c r="Z35" s="5"/>
      <c r="AA35" s="5"/>
      <c r="AB35" s="72"/>
      <c r="AC35" s="98"/>
      <c r="AD35" s="5"/>
      <c r="AE35" s="5" t="s">
        <v>913</v>
      </c>
      <c r="AF35" s="5"/>
      <c r="AG35" s="21"/>
      <c r="AH35" s="21"/>
    </row>
    <row r="36" spans="1:85" s="34" customFormat="1" ht="21.75" customHeight="1" x14ac:dyDescent="0.3">
      <c r="A36" s="4">
        <v>34</v>
      </c>
      <c r="B36" s="92">
        <v>41603</v>
      </c>
      <c r="C36" s="132">
        <v>17353882</v>
      </c>
      <c r="D36" s="13" t="s">
        <v>97</v>
      </c>
      <c r="E36" s="13" t="s">
        <v>79</v>
      </c>
      <c r="F36" s="142" t="s">
        <v>98</v>
      </c>
      <c r="G36" s="142" t="s">
        <v>99</v>
      </c>
      <c r="H36" s="4">
        <v>4122077364</v>
      </c>
      <c r="I36" s="74">
        <v>21450</v>
      </c>
      <c r="J36" s="74">
        <v>1950</v>
      </c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8"/>
      <c r="Y36" s="95"/>
      <c r="Z36" s="95"/>
      <c r="AA36" s="78"/>
      <c r="AB36" s="78"/>
      <c r="AC36" s="78"/>
      <c r="AD36" s="78"/>
      <c r="AE36" s="78"/>
      <c r="AF36" s="78"/>
      <c r="AG36" s="6"/>
      <c r="AH36" s="6"/>
    </row>
    <row r="37" spans="1:85" s="34" customFormat="1" ht="21.75" customHeight="1" x14ac:dyDescent="0.3">
      <c r="A37" s="4">
        <v>35</v>
      </c>
      <c r="B37" s="92">
        <v>41603</v>
      </c>
      <c r="C37" s="132">
        <v>17353882</v>
      </c>
      <c r="D37" s="13" t="s">
        <v>100</v>
      </c>
      <c r="E37" s="13" t="s">
        <v>79</v>
      </c>
      <c r="F37" s="142" t="s">
        <v>101</v>
      </c>
      <c r="G37" s="142" t="s">
        <v>99</v>
      </c>
      <c r="H37" s="4">
        <v>4122077364</v>
      </c>
      <c r="I37" s="74">
        <v>21450</v>
      </c>
      <c r="J37" s="74">
        <v>1950</v>
      </c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8"/>
      <c r="Y37" s="95"/>
      <c r="Z37" s="95"/>
      <c r="AA37" s="78"/>
      <c r="AB37" s="78"/>
      <c r="AC37" s="78"/>
      <c r="AD37" s="78"/>
      <c r="AE37" s="78"/>
      <c r="AF37" s="78"/>
      <c r="AG37" s="6"/>
      <c r="AH37" s="6"/>
    </row>
    <row r="38" spans="1:85" s="216" customFormat="1" ht="21.75" customHeight="1" x14ac:dyDescent="0.3">
      <c r="A38" s="4">
        <v>36</v>
      </c>
      <c r="B38" s="104">
        <v>41603</v>
      </c>
      <c r="C38" s="132">
        <v>15316276</v>
      </c>
      <c r="D38" s="13" t="s">
        <v>102</v>
      </c>
      <c r="E38" s="13" t="s">
        <v>79</v>
      </c>
      <c r="F38" s="142" t="s">
        <v>103</v>
      </c>
      <c r="G38" s="142" t="s">
        <v>104</v>
      </c>
      <c r="H38" s="13" t="s">
        <v>124</v>
      </c>
      <c r="I38" s="74">
        <v>21450</v>
      </c>
      <c r="J38" s="74">
        <v>1950</v>
      </c>
      <c r="K38" s="77"/>
      <c r="L38" s="77"/>
      <c r="M38" s="77"/>
      <c r="N38" s="84">
        <v>1950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f t="shared" ref="X38:X43" si="0">SUM(J38:W38)</f>
        <v>3900</v>
      </c>
      <c r="Y38" s="64"/>
      <c r="Z38" s="64"/>
      <c r="AA38" s="77">
        <f t="shared" ref="AA38:AA43" si="1">I38-X38</f>
        <v>17550</v>
      </c>
      <c r="AB38" s="78"/>
      <c r="AC38" s="78"/>
      <c r="AD38" s="78"/>
      <c r="AE38" s="78"/>
      <c r="AF38" s="78"/>
      <c r="AG38" s="6"/>
      <c r="AH38" s="6"/>
    </row>
    <row r="39" spans="1:85" s="34" customFormat="1" ht="21.75" customHeight="1" x14ac:dyDescent="0.3">
      <c r="A39" s="4">
        <v>37</v>
      </c>
      <c r="B39" s="104">
        <v>41603</v>
      </c>
      <c r="C39" s="132">
        <v>18234646</v>
      </c>
      <c r="D39" s="13" t="s">
        <v>105</v>
      </c>
      <c r="E39" s="13" t="s">
        <v>79</v>
      </c>
      <c r="F39" s="142" t="s">
        <v>104</v>
      </c>
      <c r="G39" s="142" t="s">
        <v>104</v>
      </c>
      <c r="H39" s="4">
        <v>4122301829</v>
      </c>
      <c r="I39" s="74">
        <v>21450</v>
      </c>
      <c r="J39" s="74">
        <v>1950</v>
      </c>
      <c r="K39" s="77"/>
      <c r="L39" s="77"/>
      <c r="M39" s="77"/>
      <c r="N39" s="84">
        <v>1950</v>
      </c>
      <c r="O39" s="77"/>
      <c r="P39" s="77"/>
      <c r="Q39" s="77"/>
      <c r="R39" s="77"/>
      <c r="S39" s="77"/>
      <c r="T39" s="77"/>
      <c r="U39" s="77"/>
      <c r="V39" s="77"/>
      <c r="W39" s="77"/>
      <c r="X39" s="77">
        <f t="shared" si="0"/>
        <v>3900</v>
      </c>
      <c r="Y39" s="64"/>
      <c r="Z39" s="64"/>
      <c r="AA39" s="105">
        <f t="shared" si="1"/>
        <v>17550</v>
      </c>
      <c r="AB39" s="78"/>
      <c r="AC39" s="78"/>
      <c r="AD39" s="78"/>
      <c r="AE39" s="78"/>
      <c r="AF39" s="78"/>
      <c r="AG39" s="6"/>
      <c r="AH39" s="6"/>
    </row>
    <row r="40" spans="1:85" s="34" customFormat="1" ht="21.75" customHeight="1" x14ac:dyDescent="0.3">
      <c r="A40" s="214">
        <v>38</v>
      </c>
      <c r="B40" s="92">
        <v>41603</v>
      </c>
      <c r="C40" s="156">
        <v>16851236</v>
      </c>
      <c r="D40" s="31" t="s">
        <v>106</v>
      </c>
      <c r="E40" s="31" t="s">
        <v>79</v>
      </c>
      <c r="F40" s="145" t="s">
        <v>107</v>
      </c>
      <c r="G40" s="145" t="s">
        <v>107</v>
      </c>
      <c r="H40" s="42">
        <v>4242119869</v>
      </c>
      <c r="I40" s="68">
        <v>21450</v>
      </c>
      <c r="J40" s="68">
        <v>1950</v>
      </c>
      <c r="K40" s="84"/>
      <c r="L40" s="84"/>
      <c r="M40" s="84"/>
      <c r="N40" s="84">
        <v>1950</v>
      </c>
      <c r="O40" s="84">
        <v>1950</v>
      </c>
      <c r="P40" s="84">
        <v>1950</v>
      </c>
      <c r="Q40" s="84">
        <v>1950</v>
      </c>
      <c r="R40" s="84">
        <v>1950</v>
      </c>
      <c r="S40" s="84">
        <v>1950</v>
      </c>
      <c r="T40" s="84">
        <v>1950</v>
      </c>
      <c r="U40" s="77"/>
      <c r="V40" s="77"/>
      <c r="W40" s="77"/>
      <c r="X40" s="176">
        <f t="shared" si="0"/>
        <v>15600</v>
      </c>
      <c r="Y40" s="7"/>
      <c r="Z40" s="7"/>
      <c r="AA40" s="68">
        <f t="shared" si="1"/>
        <v>5850</v>
      </c>
      <c r="AB40" s="42"/>
      <c r="AC40" s="214"/>
      <c r="AD40" s="214"/>
      <c r="AE40" s="214"/>
      <c r="AF40" s="214"/>
      <c r="AG40" s="215"/>
      <c r="AH40" s="215"/>
    </row>
    <row r="41" spans="1:85" s="34" customFormat="1" ht="21.75" customHeight="1" x14ac:dyDescent="0.3">
      <c r="A41" s="107">
        <v>39</v>
      </c>
      <c r="B41" s="362">
        <v>41604</v>
      </c>
      <c r="C41" s="363">
        <v>14583840</v>
      </c>
      <c r="D41" s="364" t="s">
        <v>109</v>
      </c>
      <c r="E41" s="364" t="s">
        <v>79</v>
      </c>
      <c r="F41" s="365" t="s">
        <v>110</v>
      </c>
      <c r="G41" s="365" t="s">
        <v>111</v>
      </c>
      <c r="H41" s="107">
        <v>4265102675</v>
      </c>
      <c r="I41" s="106">
        <v>21450</v>
      </c>
      <c r="J41" s="106">
        <v>1950</v>
      </c>
      <c r="K41" s="366"/>
      <c r="L41" s="366"/>
      <c r="M41" s="366"/>
      <c r="N41" s="366">
        <v>1950</v>
      </c>
      <c r="O41" s="366">
        <v>1950</v>
      </c>
      <c r="P41" s="366">
        <v>1950</v>
      </c>
      <c r="Q41" s="366">
        <v>1950</v>
      </c>
      <c r="R41" s="366">
        <v>1950</v>
      </c>
      <c r="S41" s="366">
        <v>1950</v>
      </c>
      <c r="T41" s="366">
        <v>1950</v>
      </c>
      <c r="U41" s="366">
        <v>1950</v>
      </c>
      <c r="V41" s="366">
        <v>1950</v>
      </c>
      <c r="W41" s="366">
        <v>1950</v>
      </c>
      <c r="X41" s="366">
        <f t="shared" si="0"/>
        <v>21450</v>
      </c>
      <c r="Y41" s="23"/>
      <c r="Z41" s="23"/>
      <c r="AA41" s="106">
        <f t="shared" si="1"/>
        <v>0</v>
      </c>
      <c r="AB41" s="107"/>
      <c r="AC41" s="107"/>
      <c r="AD41" s="107"/>
      <c r="AE41" s="107"/>
      <c r="AF41" s="107"/>
      <c r="AG41" s="410"/>
      <c r="AH41" s="410"/>
    </row>
    <row r="42" spans="1:85" s="34" customFormat="1" ht="21.75" customHeight="1" x14ac:dyDescent="0.3">
      <c r="A42" s="107">
        <v>40</v>
      </c>
      <c r="B42" s="362">
        <v>41604</v>
      </c>
      <c r="C42" s="363">
        <v>14480537</v>
      </c>
      <c r="D42" s="364" t="s">
        <v>112</v>
      </c>
      <c r="E42" s="364" t="s">
        <v>79</v>
      </c>
      <c r="F42" s="365" t="s">
        <v>113</v>
      </c>
      <c r="G42" s="365" t="s">
        <v>113</v>
      </c>
      <c r="H42" s="107">
        <v>4265102655</v>
      </c>
      <c r="I42" s="106">
        <v>21450</v>
      </c>
      <c r="J42" s="106">
        <v>1950</v>
      </c>
      <c r="K42" s="366"/>
      <c r="L42" s="366"/>
      <c r="M42" s="366"/>
      <c r="N42" s="366">
        <v>1950</v>
      </c>
      <c r="O42" s="366">
        <v>1950</v>
      </c>
      <c r="P42" s="366">
        <v>1950</v>
      </c>
      <c r="Q42" s="366">
        <v>1950</v>
      </c>
      <c r="R42" s="366">
        <v>1950</v>
      </c>
      <c r="S42" s="366">
        <v>1950</v>
      </c>
      <c r="T42" s="366">
        <v>1950</v>
      </c>
      <c r="U42" s="366">
        <v>1950</v>
      </c>
      <c r="V42" s="366">
        <v>1950</v>
      </c>
      <c r="W42" s="366">
        <v>1950</v>
      </c>
      <c r="X42" s="366">
        <f t="shared" si="0"/>
        <v>21450</v>
      </c>
      <c r="Y42" s="23"/>
      <c r="Z42" s="23"/>
      <c r="AA42" s="106">
        <f t="shared" si="1"/>
        <v>0</v>
      </c>
      <c r="AB42" s="107"/>
      <c r="AC42" s="107"/>
      <c r="AD42" s="107"/>
      <c r="AE42" s="107"/>
      <c r="AF42" s="107"/>
      <c r="AG42" s="410"/>
      <c r="AH42" s="410"/>
    </row>
    <row r="43" spans="1:85" s="216" customFormat="1" ht="21.75" customHeight="1" x14ac:dyDescent="0.3">
      <c r="A43" s="4">
        <v>41</v>
      </c>
      <c r="B43" s="92">
        <v>41607</v>
      </c>
      <c r="C43" s="132">
        <v>19391652</v>
      </c>
      <c r="D43" s="13" t="s">
        <v>117</v>
      </c>
      <c r="E43" s="13" t="s">
        <v>79</v>
      </c>
      <c r="F43" s="142" t="s">
        <v>118</v>
      </c>
      <c r="G43" s="142" t="s">
        <v>118</v>
      </c>
      <c r="H43" s="4">
        <v>4241934863</v>
      </c>
      <c r="I43" s="74">
        <v>21450</v>
      </c>
      <c r="J43" s="74">
        <v>1950</v>
      </c>
      <c r="K43" s="77"/>
      <c r="L43" s="77"/>
      <c r="M43" s="77"/>
      <c r="N43" s="93">
        <v>1950</v>
      </c>
      <c r="O43" s="93">
        <v>1950</v>
      </c>
      <c r="P43" s="93">
        <v>1950</v>
      </c>
      <c r="Q43" s="93">
        <v>1950</v>
      </c>
      <c r="R43" s="93">
        <v>1950</v>
      </c>
      <c r="S43" s="93">
        <v>1950</v>
      </c>
      <c r="T43" s="93">
        <v>1950</v>
      </c>
      <c r="U43" s="77"/>
      <c r="V43" s="77"/>
      <c r="W43" s="77"/>
      <c r="X43" s="94">
        <f t="shared" si="0"/>
        <v>15600</v>
      </c>
      <c r="Y43" s="4"/>
      <c r="Z43" s="4"/>
      <c r="AA43" s="68">
        <f t="shared" si="1"/>
        <v>5850</v>
      </c>
      <c r="AB43" s="78"/>
      <c r="AC43" s="78"/>
      <c r="AD43" s="78"/>
      <c r="AE43" s="78"/>
      <c r="AF43" s="78"/>
      <c r="AG43" s="6"/>
      <c r="AH43" s="6"/>
    </row>
    <row r="44" spans="1:85" s="216" customFormat="1" ht="21.75" customHeight="1" x14ac:dyDescent="0.3">
      <c r="A44" s="4">
        <v>42</v>
      </c>
      <c r="B44" s="92">
        <v>41610</v>
      </c>
      <c r="C44" s="132" t="s">
        <v>119</v>
      </c>
      <c r="D44" s="13" t="s">
        <v>120</v>
      </c>
      <c r="E44" s="13" t="s">
        <v>79</v>
      </c>
      <c r="F44" s="142" t="s">
        <v>121</v>
      </c>
      <c r="G44" s="142" t="s">
        <v>121</v>
      </c>
      <c r="H44" s="4">
        <v>4141264010</v>
      </c>
      <c r="I44" s="74">
        <v>21450</v>
      </c>
      <c r="J44" s="74">
        <v>1950</v>
      </c>
      <c r="K44" s="77"/>
      <c r="L44" s="77"/>
      <c r="M44" s="77"/>
      <c r="N44" s="77"/>
      <c r="O44" s="93">
        <v>1950</v>
      </c>
      <c r="P44" s="93">
        <v>1950</v>
      </c>
      <c r="Q44" s="93">
        <v>1950</v>
      </c>
      <c r="R44" s="93">
        <v>1950</v>
      </c>
      <c r="S44" s="93">
        <v>1950</v>
      </c>
      <c r="T44" s="93">
        <v>1950</v>
      </c>
      <c r="U44" s="77"/>
      <c r="V44" s="77"/>
      <c r="W44" s="77"/>
      <c r="X44" s="78"/>
      <c r="Y44" s="4"/>
      <c r="Z44" s="4"/>
      <c r="AA44" s="94">
        <f t="shared" ref="AA44:AA49" si="2">SUM(J44:Z44)</f>
        <v>13650</v>
      </c>
      <c r="AB44" s="84">
        <f t="shared" ref="AB44:AB49" si="3">I44-AA44</f>
        <v>7800</v>
      </c>
      <c r="AC44" s="78"/>
      <c r="AD44" s="78"/>
      <c r="AE44" s="78"/>
      <c r="AF44" s="78"/>
      <c r="AG44" s="6"/>
      <c r="AH44" s="6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8"/>
      <c r="BR44" s="228"/>
      <c r="BS44" s="228"/>
      <c r="BT44" s="228"/>
      <c r="BU44" s="228"/>
      <c r="BV44" s="228"/>
      <c r="BW44" s="228"/>
      <c r="BX44" s="228"/>
      <c r="BY44" s="228"/>
      <c r="BZ44" s="228"/>
      <c r="CA44" s="228"/>
      <c r="CB44" s="228"/>
      <c r="CC44" s="228"/>
      <c r="CD44" s="228"/>
      <c r="CE44" s="228"/>
      <c r="CF44" s="228"/>
      <c r="CG44" s="228"/>
    </row>
    <row r="45" spans="1:85" s="216" customFormat="1" ht="21.75" customHeight="1" x14ac:dyDescent="0.3">
      <c r="A45" s="4">
        <v>43</v>
      </c>
      <c r="B45" s="92">
        <v>41610</v>
      </c>
      <c r="C45" s="132">
        <v>15315436</v>
      </c>
      <c r="D45" s="13" t="s">
        <v>122</v>
      </c>
      <c r="E45" s="13" t="s">
        <v>79</v>
      </c>
      <c r="F45" s="142" t="s">
        <v>123</v>
      </c>
      <c r="G45" s="326" t="s">
        <v>123</v>
      </c>
      <c r="H45" s="4">
        <v>4142433296</v>
      </c>
      <c r="I45" s="74">
        <v>21450</v>
      </c>
      <c r="J45" s="74">
        <v>1950</v>
      </c>
      <c r="K45" s="77"/>
      <c r="L45" s="77"/>
      <c r="M45" s="77"/>
      <c r="N45" s="77"/>
      <c r="O45" s="93">
        <v>1950</v>
      </c>
      <c r="P45" s="93">
        <v>1950</v>
      </c>
      <c r="Q45" s="93">
        <v>1950</v>
      </c>
      <c r="R45" s="93">
        <v>1950</v>
      </c>
      <c r="S45" s="93">
        <v>1950</v>
      </c>
      <c r="T45" s="93">
        <v>1950</v>
      </c>
      <c r="U45" s="77"/>
      <c r="V45" s="77"/>
      <c r="W45" s="77"/>
      <c r="X45" s="78"/>
      <c r="Y45" s="4"/>
      <c r="Z45" s="4"/>
      <c r="AA45" s="94">
        <f t="shared" si="2"/>
        <v>13650</v>
      </c>
      <c r="AB45" s="84">
        <f t="shared" si="3"/>
        <v>7800</v>
      </c>
      <c r="AC45" s="78"/>
      <c r="AD45" s="78"/>
      <c r="AE45" s="78"/>
      <c r="AF45" s="78"/>
      <c r="AG45" s="6"/>
      <c r="AH45" s="6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8"/>
      <c r="BI45" s="228"/>
      <c r="BJ45" s="228"/>
      <c r="BK45" s="228"/>
      <c r="BL45" s="228"/>
      <c r="BM45" s="228"/>
      <c r="BN45" s="228"/>
      <c r="BO45" s="228"/>
      <c r="BP45" s="228"/>
      <c r="BQ45" s="228"/>
      <c r="BR45" s="228"/>
      <c r="BS45" s="228"/>
      <c r="BT45" s="228"/>
      <c r="BU45" s="228"/>
      <c r="BV45" s="228"/>
      <c r="BW45" s="228"/>
      <c r="BX45" s="228"/>
      <c r="BY45" s="228"/>
      <c r="BZ45" s="228"/>
      <c r="CA45" s="228"/>
      <c r="CB45" s="228"/>
      <c r="CC45" s="228"/>
      <c r="CD45" s="228"/>
      <c r="CE45" s="228"/>
      <c r="CF45" s="228"/>
      <c r="CG45" s="228"/>
    </row>
    <row r="46" spans="1:85" s="212" customFormat="1" ht="21.75" customHeight="1" x14ac:dyDescent="0.3">
      <c r="A46" s="400">
        <v>44</v>
      </c>
      <c r="B46" s="401">
        <v>41617</v>
      </c>
      <c r="C46" s="402">
        <v>6455256</v>
      </c>
      <c r="D46" s="403" t="s">
        <v>125</v>
      </c>
      <c r="E46" s="403" t="s">
        <v>79</v>
      </c>
      <c r="F46" s="404" t="s">
        <v>127</v>
      </c>
      <c r="G46" s="404" t="s">
        <v>126</v>
      </c>
      <c r="H46" s="400">
        <v>4126236332</v>
      </c>
      <c r="I46" s="405">
        <v>21450</v>
      </c>
      <c r="J46" s="405">
        <v>1950</v>
      </c>
      <c r="K46" s="210"/>
      <c r="L46" s="210"/>
      <c r="M46" s="210"/>
      <c r="N46" s="210"/>
      <c r="O46" s="210">
        <v>1950</v>
      </c>
      <c r="P46" s="210">
        <v>1950</v>
      </c>
      <c r="Q46" s="210">
        <v>1950</v>
      </c>
      <c r="R46" s="210">
        <v>1950</v>
      </c>
      <c r="S46" s="210">
        <v>1950</v>
      </c>
      <c r="T46" s="210">
        <v>1950</v>
      </c>
      <c r="U46" s="210">
        <v>1950</v>
      </c>
      <c r="V46" s="210">
        <v>1950</v>
      </c>
      <c r="W46" s="210">
        <v>1950</v>
      </c>
      <c r="X46" s="210">
        <v>1950</v>
      </c>
      <c r="Y46" s="200"/>
      <c r="Z46" s="200"/>
      <c r="AA46" s="210">
        <f t="shared" si="2"/>
        <v>21450</v>
      </c>
      <c r="AB46" s="211">
        <f t="shared" si="3"/>
        <v>0</v>
      </c>
      <c r="AC46" s="400"/>
      <c r="AD46" s="400"/>
      <c r="AE46" s="400"/>
      <c r="AF46" s="400"/>
      <c r="AG46" s="406"/>
      <c r="AH46" s="406"/>
    </row>
    <row r="47" spans="1:85" s="34" customFormat="1" ht="21.75" customHeight="1" x14ac:dyDescent="0.3">
      <c r="A47" s="7">
        <v>45</v>
      </c>
      <c r="B47" s="80">
        <v>41621</v>
      </c>
      <c r="C47" s="133">
        <v>5418890</v>
      </c>
      <c r="D47" s="14" t="s">
        <v>128</v>
      </c>
      <c r="E47" s="14" t="s">
        <v>79</v>
      </c>
      <c r="F47" s="3" t="s">
        <v>129</v>
      </c>
      <c r="G47" s="3" t="s">
        <v>130</v>
      </c>
      <c r="H47" s="7">
        <v>4166325350</v>
      </c>
      <c r="I47" s="81">
        <v>21450</v>
      </c>
      <c r="J47" s="81">
        <v>1950</v>
      </c>
      <c r="K47" s="91"/>
      <c r="L47" s="91"/>
      <c r="M47" s="91"/>
      <c r="N47" s="96"/>
      <c r="O47" s="82">
        <v>1950</v>
      </c>
      <c r="P47" s="82">
        <v>1950</v>
      </c>
      <c r="Q47" s="82">
        <v>1950</v>
      </c>
      <c r="R47" s="82">
        <v>1950</v>
      </c>
      <c r="S47" s="82">
        <v>1950</v>
      </c>
      <c r="T47" s="82">
        <v>1950</v>
      </c>
      <c r="U47" s="82">
        <v>1950</v>
      </c>
      <c r="V47" s="82">
        <v>1950</v>
      </c>
      <c r="W47" s="82">
        <v>1950</v>
      </c>
      <c r="X47" s="7"/>
      <c r="Y47" s="7"/>
      <c r="Z47" s="7"/>
      <c r="AA47" s="83">
        <f t="shared" si="2"/>
        <v>19500</v>
      </c>
      <c r="AB47" s="84">
        <f t="shared" si="3"/>
        <v>1950</v>
      </c>
      <c r="AC47" s="7"/>
      <c r="AD47" s="7"/>
      <c r="AE47" s="7"/>
      <c r="AF47" s="7"/>
      <c r="AG47" s="199"/>
      <c r="AH47" s="199"/>
    </row>
    <row r="48" spans="1:85" s="34" customFormat="1" ht="21.75" customHeight="1" x14ac:dyDescent="0.3">
      <c r="A48" s="7">
        <v>46</v>
      </c>
      <c r="B48" s="80">
        <v>41621</v>
      </c>
      <c r="C48" s="133">
        <v>5418890</v>
      </c>
      <c r="D48" s="14" t="s">
        <v>131</v>
      </c>
      <c r="E48" s="14" t="s">
        <v>79</v>
      </c>
      <c r="F48" s="3" t="s">
        <v>132</v>
      </c>
      <c r="G48" s="3" t="s">
        <v>130</v>
      </c>
      <c r="H48" s="7">
        <v>4166325350</v>
      </c>
      <c r="I48" s="81">
        <v>21450</v>
      </c>
      <c r="J48" s="81">
        <v>1950</v>
      </c>
      <c r="K48" s="91"/>
      <c r="L48" s="91"/>
      <c r="M48" s="91"/>
      <c r="N48" s="96"/>
      <c r="O48" s="82">
        <v>1950</v>
      </c>
      <c r="P48" s="82">
        <v>1950</v>
      </c>
      <c r="Q48" s="82">
        <v>1950</v>
      </c>
      <c r="R48" s="82">
        <v>1950</v>
      </c>
      <c r="S48" s="82">
        <v>1950</v>
      </c>
      <c r="T48" s="82">
        <v>1950</v>
      </c>
      <c r="U48" s="82">
        <v>1950</v>
      </c>
      <c r="V48" s="82">
        <v>1950</v>
      </c>
      <c r="W48" s="82">
        <v>1950</v>
      </c>
      <c r="X48" s="7"/>
      <c r="Y48" s="7"/>
      <c r="Z48" s="7"/>
      <c r="AA48" s="83">
        <f t="shared" si="2"/>
        <v>19500</v>
      </c>
      <c r="AB48" s="84">
        <f t="shared" si="3"/>
        <v>1950</v>
      </c>
      <c r="AC48" s="7"/>
      <c r="AD48" s="7"/>
      <c r="AE48" s="7"/>
      <c r="AF48" s="7"/>
      <c r="AG48" s="199"/>
      <c r="AH48" s="199"/>
    </row>
    <row r="49" spans="1:34" s="34" customFormat="1" ht="21.75" customHeight="1" x14ac:dyDescent="0.3">
      <c r="A49" s="99">
        <v>47</v>
      </c>
      <c r="B49" s="205">
        <v>41621</v>
      </c>
      <c r="C49" s="206">
        <v>15394233</v>
      </c>
      <c r="D49" s="207" t="s">
        <v>133</v>
      </c>
      <c r="E49" s="207" t="s">
        <v>79</v>
      </c>
      <c r="F49" s="208" t="s">
        <v>134</v>
      </c>
      <c r="G49" s="208" t="s">
        <v>135</v>
      </c>
      <c r="H49" s="99">
        <v>4241080484</v>
      </c>
      <c r="I49" s="209">
        <v>21450</v>
      </c>
      <c r="J49" s="209">
        <v>1950</v>
      </c>
      <c r="K49" s="94"/>
      <c r="L49" s="94"/>
      <c r="M49" s="94"/>
      <c r="N49" s="94"/>
      <c r="O49" s="94">
        <v>1950</v>
      </c>
      <c r="P49" s="94">
        <v>1950</v>
      </c>
      <c r="Q49" s="94">
        <v>1950</v>
      </c>
      <c r="R49" s="94">
        <v>1950</v>
      </c>
      <c r="S49" s="94">
        <v>1950</v>
      </c>
      <c r="T49" s="94">
        <v>1950</v>
      </c>
      <c r="U49" s="94">
        <v>1950</v>
      </c>
      <c r="V49" s="94">
        <v>1950</v>
      </c>
      <c r="W49" s="94">
        <v>1950</v>
      </c>
      <c r="X49" s="94">
        <v>1950</v>
      </c>
      <c r="Y49" s="4"/>
      <c r="Z49" s="4"/>
      <c r="AA49" s="94">
        <f t="shared" si="2"/>
        <v>21450</v>
      </c>
      <c r="AB49" s="84">
        <f t="shared" si="3"/>
        <v>0</v>
      </c>
      <c r="AC49" s="4"/>
      <c r="AD49" s="4"/>
      <c r="AE49" s="4"/>
      <c r="AF49" s="4"/>
      <c r="AG49" s="6"/>
      <c r="AH49" s="6"/>
    </row>
    <row r="50" spans="1:34" s="313" customFormat="1" ht="21.75" customHeight="1" x14ac:dyDescent="0.3">
      <c r="A50" s="305">
        <v>48</v>
      </c>
      <c r="B50" s="324">
        <v>41646</v>
      </c>
      <c r="C50" s="307">
        <v>6324258</v>
      </c>
      <c r="D50" s="325" t="s">
        <v>136</v>
      </c>
      <c r="E50" s="325" t="s">
        <v>79</v>
      </c>
      <c r="F50" s="326" t="s">
        <v>137</v>
      </c>
      <c r="G50" s="326" t="s">
        <v>137</v>
      </c>
      <c r="H50" s="305">
        <v>4242358220</v>
      </c>
      <c r="I50" s="163">
        <v>33000</v>
      </c>
      <c r="J50" s="163">
        <v>3000</v>
      </c>
      <c r="K50" s="96"/>
      <c r="L50" s="96"/>
      <c r="M50" s="96"/>
      <c r="N50" s="96"/>
      <c r="O50" s="96"/>
      <c r="P50" s="411">
        <v>3000</v>
      </c>
      <c r="Q50" s="411">
        <v>3000</v>
      </c>
      <c r="R50" s="411">
        <v>3000</v>
      </c>
      <c r="S50" s="411">
        <v>3000</v>
      </c>
      <c r="T50" s="411">
        <v>3000</v>
      </c>
      <c r="U50" s="411">
        <v>3000</v>
      </c>
      <c r="V50" s="411">
        <v>3000</v>
      </c>
      <c r="W50" s="411">
        <v>3000</v>
      </c>
      <c r="X50" s="412">
        <v>3000</v>
      </c>
      <c r="Y50" s="8"/>
      <c r="Z50" s="8"/>
      <c r="AA50" s="305"/>
      <c r="AB50" s="366">
        <f>SUM(J50:AA50)</f>
        <v>30000</v>
      </c>
      <c r="AC50" s="103">
        <f>I50-AB50</f>
        <v>3000</v>
      </c>
      <c r="AD50" s="305"/>
      <c r="AE50" s="305"/>
      <c r="AF50" s="305"/>
      <c r="AG50" s="312"/>
      <c r="AH50" s="312"/>
    </row>
    <row r="51" spans="1:34" s="313" customFormat="1" ht="21.75" customHeight="1" x14ac:dyDescent="0.3">
      <c r="A51" s="340">
        <v>49</v>
      </c>
      <c r="B51" s="341">
        <v>41646</v>
      </c>
      <c r="C51" s="342">
        <v>6231514</v>
      </c>
      <c r="D51" s="347" t="s">
        <v>138</v>
      </c>
      <c r="E51" s="347"/>
      <c r="F51" s="348" t="s">
        <v>900</v>
      </c>
      <c r="G51" s="348" t="s">
        <v>139</v>
      </c>
      <c r="H51" s="340">
        <v>4241112679</v>
      </c>
      <c r="I51" s="344">
        <v>18150</v>
      </c>
      <c r="J51" s="408">
        <v>4242639433</v>
      </c>
      <c r="K51" s="394"/>
      <c r="L51" s="394"/>
      <c r="M51" s="394"/>
      <c r="N51" s="394"/>
      <c r="O51" s="394"/>
      <c r="P51" s="394"/>
      <c r="Q51" s="394"/>
      <c r="R51" s="394"/>
      <c r="S51" s="394"/>
      <c r="T51" s="394"/>
      <c r="U51" s="394"/>
      <c r="V51" s="394"/>
      <c r="W51" s="394"/>
      <c r="X51" s="340"/>
      <c r="Y51" s="5"/>
      <c r="Z51" s="5"/>
      <c r="AA51" s="340"/>
      <c r="AB51" s="340"/>
      <c r="AC51" s="340"/>
      <c r="AD51" s="409"/>
      <c r="AE51" s="409"/>
      <c r="AF51" s="409"/>
      <c r="AG51" s="312"/>
      <c r="AH51" s="312"/>
    </row>
    <row r="52" spans="1:34" s="47" customFormat="1" ht="21.75" customHeight="1" x14ac:dyDescent="0.3">
      <c r="A52" s="5">
        <v>50</v>
      </c>
      <c r="B52" s="71">
        <v>42075</v>
      </c>
      <c r="C52" s="131">
        <v>17534339</v>
      </c>
      <c r="D52" s="12" t="s">
        <v>140</v>
      </c>
      <c r="E52" s="12"/>
      <c r="F52" s="141" t="s">
        <v>141</v>
      </c>
      <c r="G52" s="141" t="s">
        <v>951</v>
      </c>
      <c r="H52" s="5">
        <v>4122983983</v>
      </c>
      <c r="I52" s="29">
        <v>33000</v>
      </c>
      <c r="J52" s="29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5"/>
      <c r="Y52" s="5"/>
      <c r="Z52" s="5"/>
      <c r="AA52" s="5"/>
      <c r="AB52" s="5"/>
      <c r="AC52" s="5"/>
      <c r="AD52" s="5"/>
      <c r="AE52" s="5"/>
      <c r="AF52" s="5"/>
      <c r="AG52" s="21"/>
      <c r="AH52" s="21"/>
    </row>
    <row r="53" spans="1:34" s="47" customFormat="1" ht="21.75" customHeight="1" x14ac:dyDescent="0.3">
      <c r="A53" s="5">
        <v>52</v>
      </c>
      <c r="B53" s="71">
        <v>42073</v>
      </c>
      <c r="C53" s="131">
        <v>9483014</v>
      </c>
      <c r="D53" s="12" t="s">
        <v>142</v>
      </c>
      <c r="E53" s="12"/>
      <c r="F53" s="141" t="s">
        <v>143</v>
      </c>
      <c r="G53" s="141" t="s">
        <v>144</v>
      </c>
      <c r="H53" s="5">
        <v>4165248282</v>
      </c>
      <c r="I53" s="29">
        <v>33000</v>
      </c>
      <c r="J53" s="29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5"/>
      <c r="Y53" s="5"/>
      <c r="Z53" s="5"/>
      <c r="AA53" s="5"/>
      <c r="AB53" s="5"/>
      <c r="AC53" s="5"/>
      <c r="AD53" s="5"/>
      <c r="AE53" s="5"/>
      <c r="AF53" s="5"/>
      <c r="AG53" s="21"/>
      <c r="AH53" s="21"/>
    </row>
    <row r="54" spans="1:34" s="34" customFormat="1" ht="21.75" customHeight="1" x14ac:dyDescent="0.3">
      <c r="A54" s="42">
        <v>53</v>
      </c>
      <c r="B54" s="92">
        <v>41664</v>
      </c>
      <c r="C54" s="156">
        <v>15098675</v>
      </c>
      <c r="D54" s="31" t="s">
        <v>145</v>
      </c>
      <c r="E54" s="31" t="s">
        <v>79</v>
      </c>
      <c r="F54" s="145" t="s">
        <v>151</v>
      </c>
      <c r="G54" s="145" t="s">
        <v>151</v>
      </c>
      <c r="H54" s="42">
        <v>4241105098</v>
      </c>
      <c r="I54" s="68">
        <v>28500</v>
      </c>
      <c r="J54" s="68">
        <v>3000</v>
      </c>
      <c r="K54" s="77"/>
      <c r="L54" s="77"/>
      <c r="M54" s="77"/>
      <c r="N54" s="77"/>
      <c r="O54" s="77"/>
      <c r="P54" s="84">
        <v>2500</v>
      </c>
      <c r="Q54" s="84">
        <v>2500</v>
      </c>
      <c r="R54" s="84">
        <v>2500</v>
      </c>
      <c r="S54" s="84">
        <v>2500</v>
      </c>
      <c r="T54" s="84">
        <v>2500</v>
      </c>
      <c r="U54" s="84">
        <v>2500</v>
      </c>
      <c r="V54" s="84"/>
      <c r="W54" s="84"/>
      <c r="X54" s="42"/>
      <c r="Y54" s="42"/>
      <c r="Z54" s="42"/>
      <c r="AA54" s="42"/>
      <c r="AB54" s="93">
        <f>SUM(J54:AA54)</f>
        <v>18000</v>
      </c>
      <c r="AC54" s="93">
        <f>AB54-I54</f>
        <v>-10500</v>
      </c>
      <c r="AD54" s="4"/>
      <c r="AE54" s="4"/>
      <c r="AF54" s="4"/>
      <c r="AG54" s="6"/>
      <c r="AH54" s="6"/>
    </row>
    <row r="55" spans="1:34" ht="21.75" customHeight="1" x14ac:dyDescent="0.3">
      <c r="A55" s="5">
        <v>54</v>
      </c>
      <c r="B55" s="71">
        <v>41670</v>
      </c>
      <c r="C55" s="131">
        <v>5455519</v>
      </c>
      <c r="D55" s="12" t="s">
        <v>146</v>
      </c>
      <c r="E55" s="12"/>
      <c r="F55" s="141" t="s">
        <v>148</v>
      </c>
      <c r="G55" s="141" t="s">
        <v>149</v>
      </c>
      <c r="H55" s="5">
        <v>4141555401</v>
      </c>
      <c r="I55" s="29">
        <v>24000</v>
      </c>
      <c r="J55" s="29" t="s">
        <v>65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5"/>
      <c r="Y55" s="5"/>
      <c r="Z55" s="5"/>
      <c r="AA55" s="5"/>
      <c r="AB55" s="5"/>
      <c r="AC55" s="5"/>
      <c r="AD55" s="79"/>
      <c r="AE55" s="79"/>
      <c r="AF55" s="79"/>
      <c r="AG55" s="199"/>
      <c r="AH55" s="199"/>
    </row>
    <row r="56" spans="1:34" s="313" customFormat="1" ht="21.75" customHeight="1" x14ac:dyDescent="0.3">
      <c r="A56" s="340">
        <v>55</v>
      </c>
      <c r="B56" s="341">
        <v>41646</v>
      </c>
      <c r="C56" s="342">
        <v>6138015</v>
      </c>
      <c r="D56" s="347" t="s">
        <v>147</v>
      </c>
      <c r="E56" s="347"/>
      <c r="F56" s="348" t="s">
        <v>150</v>
      </c>
      <c r="G56" s="348" t="s">
        <v>150</v>
      </c>
      <c r="H56" s="340">
        <v>4143298165</v>
      </c>
      <c r="I56" s="344">
        <v>24000</v>
      </c>
      <c r="J56" s="344" t="s">
        <v>65</v>
      </c>
      <c r="K56" s="394"/>
      <c r="L56" s="394"/>
      <c r="M56" s="394"/>
      <c r="N56" s="394"/>
      <c r="O56" s="394"/>
      <c r="P56" s="394"/>
      <c r="Q56" s="394"/>
      <c r="R56" s="394"/>
      <c r="S56" s="394"/>
      <c r="T56" s="394"/>
      <c r="U56" s="394"/>
      <c r="V56" s="394"/>
      <c r="W56" s="394"/>
      <c r="X56" s="340"/>
      <c r="Y56" s="5"/>
      <c r="Z56" s="5"/>
      <c r="AA56" s="340"/>
      <c r="AB56" s="340"/>
      <c r="AC56" s="340"/>
      <c r="AD56" s="409"/>
      <c r="AE56" s="409"/>
      <c r="AF56" s="409"/>
      <c r="AG56" s="312"/>
      <c r="AH56" s="312"/>
    </row>
    <row r="57" spans="1:34" s="216" customFormat="1" ht="21.75" customHeight="1" x14ac:dyDescent="0.3">
      <c r="A57" s="4">
        <v>56</v>
      </c>
      <c r="B57" s="92">
        <v>41674</v>
      </c>
      <c r="C57" s="132">
        <v>13726889</v>
      </c>
      <c r="D57" s="31" t="s">
        <v>152</v>
      </c>
      <c r="E57" s="31" t="s">
        <v>79</v>
      </c>
      <c r="F57" s="145" t="s">
        <v>155</v>
      </c>
      <c r="G57" s="145" t="s">
        <v>153</v>
      </c>
      <c r="H57" s="42">
        <v>4242317630</v>
      </c>
      <c r="I57" s="68">
        <v>28500</v>
      </c>
      <c r="J57" s="68">
        <v>3000</v>
      </c>
      <c r="K57" s="77"/>
      <c r="L57" s="77"/>
      <c r="M57" s="77"/>
      <c r="N57" s="77"/>
      <c r="O57" s="77"/>
      <c r="P57" s="77"/>
      <c r="Q57" s="84">
        <v>3000</v>
      </c>
      <c r="R57" s="84">
        <v>2500</v>
      </c>
      <c r="S57" s="84">
        <v>2500</v>
      </c>
      <c r="T57" s="84">
        <v>2500</v>
      </c>
      <c r="U57" s="84">
        <v>2500</v>
      </c>
      <c r="V57" s="84"/>
      <c r="W57" s="84"/>
      <c r="X57" s="42"/>
      <c r="Y57" s="213"/>
      <c r="Z57" s="213"/>
      <c r="AA57" s="4"/>
      <c r="AB57" s="4"/>
      <c r="AC57" s="94">
        <f>SUM(J57:AB57)</f>
        <v>16000</v>
      </c>
      <c r="AD57" s="108">
        <f>AC57-I57</f>
        <v>-12500</v>
      </c>
      <c r="AE57" s="214"/>
      <c r="AF57" s="214"/>
      <c r="AG57" s="215"/>
      <c r="AH57" s="215"/>
    </row>
    <row r="58" spans="1:34" ht="21.75" customHeight="1" x14ac:dyDescent="0.3">
      <c r="A58" s="23">
        <v>57</v>
      </c>
      <c r="B58" s="90">
        <v>41675</v>
      </c>
      <c r="C58" s="135">
        <v>11035666</v>
      </c>
      <c r="D58" s="24" t="s">
        <v>154</v>
      </c>
      <c r="E58" s="24" t="s">
        <v>79</v>
      </c>
      <c r="F58" s="144" t="s">
        <v>156</v>
      </c>
      <c r="G58" s="144" t="s">
        <v>159</v>
      </c>
      <c r="H58" s="23">
        <v>4143121452</v>
      </c>
      <c r="I58" s="70">
        <v>28500</v>
      </c>
      <c r="J58" s="70">
        <v>3000</v>
      </c>
      <c r="K58" s="83"/>
      <c r="L58" s="83"/>
      <c r="M58" s="83"/>
      <c r="N58" s="83"/>
      <c r="O58" s="83"/>
      <c r="P58" s="83"/>
      <c r="Q58" s="83">
        <v>3000</v>
      </c>
      <c r="R58" s="83">
        <v>2500</v>
      </c>
      <c r="S58" s="83">
        <v>2500</v>
      </c>
      <c r="T58" s="83">
        <v>2500</v>
      </c>
      <c r="U58" s="83">
        <v>2500</v>
      </c>
      <c r="V58" s="83">
        <v>2500</v>
      </c>
      <c r="W58" s="83">
        <v>2500</v>
      </c>
      <c r="X58" s="70">
        <v>2500</v>
      </c>
      <c r="Y58" s="23"/>
      <c r="Z58" s="23"/>
      <c r="AA58" s="23">
        <v>2500</v>
      </c>
      <c r="AB58" s="23">
        <v>2500</v>
      </c>
      <c r="AC58" s="83">
        <f>SUM(J58:AB58)</f>
        <v>28500</v>
      </c>
      <c r="AD58" s="176">
        <f>AC58-I58</f>
        <v>0</v>
      </c>
      <c r="AE58" s="7"/>
      <c r="AF58" s="7"/>
      <c r="AG58" s="199"/>
      <c r="AH58" s="199"/>
    </row>
    <row r="59" spans="1:34" s="216" customFormat="1" ht="21.75" customHeight="1" x14ac:dyDescent="0.3">
      <c r="A59" s="4">
        <v>58</v>
      </c>
      <c r="B59" s="92">
        <v>41678</v>
      </c>
      <c r="C59" s="132">
        <v>10279181</v>
      </c>
      <c r="D59" s="31" t="s">
        <v>157</v>
      </c>
      <c r="E59" s="31"/>
      <c r="F59" s="145" t="s">
        <v>158</v>
      </c>
      <c r="G59" s="145" t="s">
        <v>158</v>
      </c>
      <c r="H59" s="42">
        <v>4166369260</v>
      </c>
      <c r="I59" s="68">
        <v>14500</v>
      </c>
      <c r="J59" s="68">
        <v>4000</v>
      </c>
      <c r="K59" s="77"/>
      <c r="L59" s="77"/>
      <c r="M59" s="77"/>
      <c r="N59" s="77"/>
      <c r="O59" s="77"/>
      <c r="P59" s="77"/>
      <c r="Q59" s="84">
        <v>2000</v>
      </c>
      <c r="R59" s="84">
        <v>2000</v>
      </c>
      <c r="S59" s="84">
        <v>2500</v>
      </c>
      <c r="T59" s="77"/>
      <c r="U59" s="77"/>
      <c r="V59" s="94">
        <f>SUM(J59:U59)</f>
        <v>10500</v>
      </c>
      <c r="W59" s="84">
        <f>V59-I59</f>
        <v>-4000</v>
      </c>
      <c r="X59" s="78"/>
      <c r="Y59" s="78"/>
      <c r="Z59" s="78"/>
      <c r="AA59" s="78"/>
      <c r="AB59" s="78"/>
      <c r="AC59" s="78"/>
      <c r="AD59" s="78"/>
      <c r="AE59" s="78"/>
      <c r="AF59" s="78"/>
      <c r="AG59" s="6"/>
      <c r="AH59" s="6"/>
    </row>
    <row r="60" spans="1:34" s="188" customFormat="1" ht="21.75" customHeight="1" x14ac:dyDescent="0.3">
      <c r="A60" s="217">
        <v>59</v>
      </c>
      <c r="B60" s="218">
        <v>41685</v>
      </c>
      <c r="C60" s="219">
        <v>19388526</v>
      </c>
      <c r="D60" s="220" t="s">
        <v>160</v>
      </c>
      <c r="E60" s="220" t="s">
        <v>79</v>
      </c>
      <c r="F60" s="221" t="s">
        <v>161</v>
      </c>
      <c r="G60" s="221" t="s">
        <v>161</v>
      </c>
      <c r="H60" s="217">
        <v>4129608491</v>
      </c>
      <c r="I60" s="222">
        <v>28500</v>
      </c>
      <c r="J60" s="222">
        <v>3000</v>
      </c>
      <c r="K60" s="223"/>
      <c r="L60" s="223"/>
      <c r="M60" s="223"/>
      <c r="N60" s="223"/>
      <c r="O60" s="223"/>
      <c r="P60" s="223"/>
      <c r="Q60" s="223">
        <v>3000</v>
      </c>
      <c r="R60" s="223">
        <v>2500</v>
      </c>
      <c r="S60" s="223">
        <v>2500</v>
      </c>
      <c r="T60" s="223">
        <v>2500</v>
      </c>
      <c r="U60" s="223">
        <v>2500</v>
      </c>
      <c r="V60" s="223">
        <v>2500</v>
      </c>
      <c r="W60" s="223">
        <v>2500</v>
      </c>
      <c r="X60" s="217">
        <v>2500</v>
      </c>
      <c r="Y60" s="217"/>
      <c r="Z60" s="217"/>
      <c r="AA60" s="217">
        <v>2500</v>
      </c>
      <c r="AB60" s="217">
        <v>2500</v>
      </c>
      <c r="AC60" s="223">
        <f>SUM(J60:AB60)</f>
        <v>28500</v>
      </c>
      <c r="AD60" s="224">
        <f>AC60-I60</f>
        <v>0</v>
      </c>
      <c r="AE60" s="225"/>
      <c r="AF60" s="225"/>
      <c r="AG60" s="226"/>
      <c r="AH60" s="226"/>
    </row>
    <row r="61" spans="1:34" s="34" customFormat="1" ht="21.75" customHeight="1" x14ac:dyDescent="0.3">
      <c r="A61" s="99">
        <v>60</v>
      </c>
      <c r="B61" s="205">
        <v>41688</v>
      </c>
      <c r="C61" s="206">
        <v>8675246</v>
      </c>
      <c r="D61" s="207" t="s">
        <v>162</v>
      </c>
      <c r="E61" s="207" t="s">
        <v>163</v>
      </c>
      <c r="F61" s="208" t="s">
        <v>164</v>
      </c>
      <c r="G61" s="208" t="s">
        <v>164</v>
      </c>
      <c r="H61" s="99">
        <v>4241553730</v>
      </c>
      <c r="I61" s="209">
        <v>14500</v>
      </c>
      <c r="J61" s="209">
        <v>4500</v>
      </c>
      <c r="K61" s="94"/>
      <c r="L61" s="94"/>
      <c r="M61" s="94"/>
      <c r="N61" s="94"/>
      <c r="O61" s="94"/>
      <c r="P61" s="94"/>
      <c r="Q61" s="94">
        <v>2000</v>
      </c>
      <c r="R61" s="94">
        <v>2000</v>
      </c>
      <c r="S61" s="94">
        <v>2000</v>
      </c>
      <c r="T61" s="94">
        <v>2000</v>
      </c>
      <c r="U61" s="94">
        <v>2000</v>
      </c>
      <c r="V61" s="94">
        <f>SUM(J61:U61)</f>
        <v>14500</v>
      </c>
      <c r="W61" s="84">
        <f>V61-I61</f>
        <v>0</v>
      </c>
      <c r="X61" s="42"/>
      <c r="Y61" s="4"/>
      <c r="Z61" s="4"/>
      <c r="AA61" s="4"/>
      <c r="AB61" s="4"/>
      <c r="AC61" s="4"/>
      <c r="AD61" s="4"/>
      <c r="AE61" s="4"/>
      <c r="AF61" s="4"/>
      <c r="AG61" s="6"/>
      <c r="AH61" s="6"/>
    </row>
    <row r="62" spans="1:34" s="34" customFormat="1" ht="21.75" customHeight="1" x14ac:dyDescent="0.3">
      <c r="A62" s="99">
        <v>61</v>
      </c>
      <c r="B62" s="205">
        <v>41688</v>
      </c>
      <c r="C62" s="206">
        <v>6874060</v>
      </c>
      <c r="D62" s="207" t="s">
        <v>165</v>
      </c>
      <c r="E62" s="207" t="s">
        <v>163</v>
      </c>
      <c r="F62" s="208" t="s">
        <v>166</v>
      </c>
      <c r="G62" s="208" t="s">
        <v>166</v>
      </c>
      <c r="H62" s="99">
        <v>4142358591</v>
      </c>
      <c r="I62" s="209">
        <v>14500</v>
      </c>
      <c r="J62" s="209">
        <v>4500</v>
      </c>
      <c r="K62" s="94"/>
      <c r="L62" s="94"/>
      <c r="M62" s="94"/>
      <c r="N62" s="94"/>
      <c r="O62" s="94"/>
      <c r="P62" s="94"/>
      <c r="Q62" s="94">
        <v>2000</v>
      </c>
      <c r="R62" s="94">
        <v>2000</v>
      </c>
      <c r="S62" s="94">
        <v>2000</v>
      </c>
      <c r="T62" s="94">
        <v>2000</v>
      </c>
      <c r="U62" s="94">
        <v>2000</v>
      </c>
      <c r="V62" s="94">
        <f>SUM(J62:U62)</f>
        <v>14500</v>
      </c>
      <c r="W62" s="84">
        <f>V62-I62</f>
        <v>0</v>
      </c>
      <c r="X62" s="42"/>
      <c r="Y62" s="4"/>
      <c r="Z62" s="4"/>
      <c r="AA62" s="4"/>
      <c r="AB62" s="4"/>
      <c r="AC62" s="4"/>
      <c r="AD62" s="4"/>
      <c r="AE62" s="4"/>
      <c r="AF62" s="4"/>
      <c r="AG62" s="6"/>
      <c r="AH62" s="6"/>
    </row>
    <row r="63" spans="1:34" s="34" customFormat="1" ht="21.75" customHeight="1" x14ac:dyDescent="0.3">
      <c r="A63" s="99">
        <v>62</v>
      </c>
      <c r="B63" s="205">
        <v>41688</v>
      </c>
      <c r="C63" s="206">
        <v>16344835</v>
      </c>
      <c r="D63" s="207" t="s">
        <v>167</v>
      </c>
      <c r="E63" s="207" t="s">
        <v>163</v>
      </c>
      <c r="F63" s="208" t="s">
        <v>168</v>
      </c>
      <c r="G63" s="208" t="s">
        <v>168</v>
      </c>
      <c r="H63" s="99">
        <v>4143086865</v>
      </c>
      <c r="I63" s="209">
        <v>14500</v>
      </c>
      <c r="J63" s="209">
        <v>4500</v>
      </c>
      <c r="K63" s="94"/>
      <c r="L63" s="94"/>
      <c r="M63" s="94"/>
      <c r="N63" s="94"/>
      <c r="O63" s="94"/>
      <c r="P63" s="94"/>
      <c r="Q63" s="94">
        <v>2000</v>
      </c>
      <c r="R63" s="94">
        <v>2000</v>
      </c>
      <c r="S63" s="94">
        <v>2000</v>
      </c>
      <c r="T63" s="94">
        <v>2000</v>
      </c>
      <c r="U63" s="94">
        <v>2000</v>
      </c>
      <c r="V63" s="94">
        <f>SUM(J63:U63)</f>
        <v>14500</v>
      </c>
      <c r="W63" s="84">
        <f>V63-I63</f>
        <v>0</v>
      </c>
      <c r="X63" s="42"/>
      <c r="Y63" s="4"/>
      <c r="Z63" s="4"/>
      <c r="AA63" s="4"/>
      <c r="AB63" s="4"/>
      <c r="AC63" s="4"/>
      <c r="AD63" s="4"/>
      <c r="AE63" s="4"/>
      <c r="AF63" s="4"/>
      <c r="AG63" s="6"/>
      <c r="AH63" s="6"/>
    </row>
    <row r="64" spans="1:34" s="313" customFormat="1" ht="21.75" customHeight="1" x14ac:dyDescent="0.3">
      <c r="A64" s="340">
        <v>63</v>
      </c>
      <c r="B64" s="341">
        <v>41688</v>
      </c>
      <c r="C64" s="342">
        <v>12927206</v>
      </c>
      <c r="D64" s="347" t="s">
        <v>169</v>
      </c>
      <c r="E64" s="347"/>
      <c r="F64" s="348" t="s">
        <v>171</v>
      </c>
      <c r="G64" s="348" t="s">
        <v>172</v>
      </c>
      <c r="H64" s="340">
        <v>4142416725</v>
      </c>
      <c r="I64" s="344">
        <v>24000</v>
      </c>
      <c r="J64" s="344" t="s">
        <v>65</v>
      </c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4"/>
      <c r="X64" s="340"/>
      <c r="Y64" s="5"/>
      <c r="Z64" s="5"/>
      <c r="AA64" s="340"/>
      <c r="AB64" s="340"/>
      <c r="AC64" s="340"/>
      <c r="AD64" s="409"/>
      <c r="AE64" s="409"/>
      <c r="AF64" s="409"/>
      <c r="AG64" s="312"/>
      <c r="AH64" s="312"/>
    </row>
    <row r="65" spans="1:63" s="216" customFormat="1" ht="21.75" customHeight="1" x14ac:dyDescent="0.3">
      <c r="A65" s="48">
        <v>64</v>
      </c>
      <c r="B65" s="109">
        <v>41688</v>
      </c>
      <c r="C65" s="136">
        <v>15255646</v>
      </c>
      <c r="D65" s="49" t="s">
        <v>173</v>
      </c>
      <c r="E65" s="49"/>
      <c r="F65" s="147" t="s">
        <v>170</v>
      </c>
      <c r="G65" s="147" t="s">
        <v>170</v>
      </c>
      <c r="H65" s="48">
        <v>4261146393</v>
      </c>
      <c r="I65" s="69">
        <v>0</v>
      </c>
      <c r="J65" s="69" t="s">
        <v>516</v>
      </c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48"/>
      <c r="Y65" s="48"/>
      <c r="Z65" s="48"/>
      <c r="AA65" s="48"/>
      <c r="AB65" s="48"/>
      <c r="AC65" s="48"/>
      <c r="AD65" s="48"/>
      <c r="AE65" s="48"/>
      <c r="AF65" s="48"/>
      <c r="AG65" s="50"/>
      <c r="AH65" s="50"/>
    </row>
    <row r="66" spans="1:63" s="216" customFormat="1" ht="21.75" customHeight="1" x14ac:dyDescent="0.3">
      <c r="A66" s="48">
        <v>65</v>
      </c>
      <c r="B66" s="109">
        <v>41687</v>
      </c>
      <c r="C66" s="136">
        <v>14058663</v>
      </c>
      <c r="D66" s="49" t="s">
        <v>174</v>
      </c>
      <c r="E66" s="49"/>
      <c r="F66" s="147" t="s">
        <v>175</v>
      </c>
      <c r="G66" s="147" t="s">
        <v>175</v>
      </c>
      <c r="H66" s="48">
        <v>4120190284</v>
      </c>
      <c r="I66" s="69">
        <v>0</v>
      </c>
      <c r="J66" s="69" t="s">
        <v>516</v>
      </c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48"/>
      <c r="Y66" s="48"/>
      <c r="Z66" s="48"/>
      <c r="AA66" s="48"/>
      <c r="AB66" s="48"/>
      <c r="AC66" s="48"/>
      <c r="AD66" s="48"/>
      <c r="AE66" s="48"/>
      <c r="AF66" s="48"/>
      <c r="AG66" s="50"/>
      <c r="AH66" s="50"/>
    </row>
    <row r="67" spans="1:63" s="34" customFormat="1" ht="21.75" customHeight="1" x14ac:dyDescent="0.3">
      <c r="A67" s="48">
        <v>66</v>
      </c>
      <c r="B67" s="109">
        <v>41687</v>
      </c>
      <c r="C67" s="136">
        <v>19764054</v>
      </c>
      <c r="D67" s="49" t="s">
        <v>176</v>
      </c>
      <c r="E67" s="49"/>
      <c r="F67" s="147" t="s">
        <v>177</v>
      </c>
      <c r="G67" s="147" t="s">
        <v>177</v>
      </c>
      <c r="H67" s="48">
        <v>4141068007</v>
      </c>
      <c r="I67" s="69">
        <v>0</v>
      </c>
      <c r="J67" s="69" t="s">
        <v>516</v>
      </c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48"/>
      <c r="Y67" s="48"/>
      <c r="Z67" s="48"/>
      <c r="AA67" s="48"/>
      <c r="AB67" s="48"/>
      <c r="AC67" s="48"/>
      <c r="AD67" s="48"/>
      <c r="AE67" s="48"/>
      <c r="AF67" s="48"/>
      <c r="AG67" s="50"/>
      <c r="AH67" s="50"/>
    </row>
    <row r="68" spans="1:63" s="51" customFormat="1" ht="21.75" customHeight="1" x14ac:dyDescent="0.3">
      <c r="A68" s="48">
        <v>67</v>
      </c>
      <c r="B68" s="109">
        <v>41687</v>
      </c>
      <c r="C68" s="136">
        <v>16889346</v>
      </c>
      <c r="D68" s="49" t="s">
        <v>178</v>
      </c>
      <c r="E68" s="49"/>
      <c r="F68" s="147" t="s">
        <v>179</v>
      </c>
      <c r="G68" s="147" t="s">
        <v>179</v>
      </c>
      <c r="H68" s="48">
        <v>4129171475</v>
      </c>
      <c r="I68" s="69">
        <v>0</v>
      </c>
      <c r="J68" s="69" t="s">
        <v>516</v>
      </c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48"/>
      <c r="Y68" s="48"/>
      <c r="Z68" s="48"/>
      <c r="AA68" s="48"/>
      <c r="AB68" s="48"/>
      <c r="AC68" s="48"/>
      <c r="AD68" s="48"/>
      <c r="AE68" s="48"/>
      <c r="AF68" s="48"/>
      <c r="AG68" s="50"/>
      <c r="AH68" s="50"/>
    </row>
    <row r="69" spans="1:63" s="51" customFormat="1" ht="21.75" customHeight="1" x14ac:dyDescent="0.3">
      <c r="A69" s="113">
        <v>68</v>
      </c>
      <c r="B69" s="413">
        <v>41687</v>
      </c>
      <c r="C69" s="414">
        <v>16496831</v>
      </c>
      <c r="D69" s="415" t="s">
        <v>180</v>
      </c>
      <c r="E69" s="415"/>
      <c r="F69" s="416" t="s">
        <v>181</v>
      </c>
      <c r="G69" s="416" t="s">
        <v>181</v>
      </c>
      <c r="H69" s="113">
        <v>4242688825</v>
      </c>
      <c r="I69" s="417">
        <v>0</v>
      </c>
      <c r="J69" s="417" t="s">
        <v>516</v>
      </c>
      <c r="K69" s="418"/>
      <c r="L69" s="418"/>
      <c r="M69" s="418"/>
      <c r="N69" s="418"/>
      <c r="O69" s="418"/>
      <c r="P69" s="418"/>
      <c r="Q69" s="418"/>
      <c r="R69" s="418"/>
      <c r="S69" s="418"/>
      <c r="T69" s="418"/>
      <c r="U69" s="418"/>
      <c r="V69" s="418"/>
      <c r="W69" s="418"/>
      <c r="X69" s="113"/>
      <c r="Y69" s="113"/>
      <c r="Z69" s="113"/>
      <c r="AA69" s="113"/>
      <c r="AB69" s="113"/>
      <c r="AC69" s="113"/>
      <c r="AD69" s="113"/>
      <c r="AE69" s="113"/>
      <c r="AF69" s="113"/>
      <c r="AG69" s="419"/>
      <c r="AH69" s="419"/>
    </row>
    <row r="70" spans="1:63" s="51" customFormat="1" ht="21.75" customHeight="1" x14ac:dyDescent="0.3">
      <c r="A70" s="48">
        <v>69</v>
      </c>
      <c r="B70" s="109">
        <v>41687</v>
      </c>
      <c r="C70" s="136">
        <v>19763905</v>
      </c>
      <c r="D70" s="49" t="s">
        <v>182</v>
      </c>
      <c r="E70" s="49"/>
      <c r="F70" s="147" t="s">
        <v>183</v>
      </c>
      <c r="G70" s="147" t="s">
        <v>183</v>
      </c>
      <c r="H70" s="48">
        <v>4142729630</v>
      </c>
      <c r="I70" s="69">
        <v>0</v>
      </c>
      <c r="J70" s="69" t="s">
        <v>516</v>
      </c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48"/>
      <c r="Y70" s="48"/>
      <c r="Z70" s="48"/>
      <c r="AA70" s="48"/>
      <c r="AB70" s="48"/>
      <c r="AC70" s="48"/>
      <c r="AD70" s="48"/>
      <c r="AE70" s="48"/>
      <c r="AF70" s="48"/>
      <c r="AG70" s="50"/>
      <c r="AH70" s="50"/>
    </row>
    <row r="71" spans="1:63" s="51" customFormat="1" ht="21.75" customHeight="1" x14ac:dyDescent="0.3">
      <c r="A71" s="5">
        <v>70</v>
      </c>
      <c r="B71" s="71">
        <v>41692</v>
      </c>
      <c r="C71" s="131">
        <v>22015244</v>
      </c>
      <c r="D71" s="12" t="s">
        <v>184</v>
      </c>
      <c r="E71" s="12"/>
      <c r="F71" s="141" t="s">
        <v>185</v>
      </c>
      <c r="G71" s="141" t="s">
        <v>185</v>
      </c>
      <c r="H71" s="5">
        <v>4145312006</v>
      </c>
      <c r="I71" s="29">
        <v>24000</v>
      </c>
      <c r="J71" s="29" t="s">
        <v>188</v>
      </c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5"/>
      <c r="Y71" s="5"/>
      <c r="Z71" s="5"/>
      <c r="AA71" s="5"/>
      <c r="AB71" s="5"/>
      <c r="AC71" s="5"/>
      <c r="AD71" s="79"/>
      <c r="AE71" s="79"/>
      <c r="AF71" s="79"/>
      <c r="AG71" s="198"/>
      <c r="AH71" s="198"/>
    </row>
    <row r="72" spans="1:63" s="257" customFormat="1" ht="21.75" customHeight="1" x14ac:dyDescent="0.3">
      <c r="A72" s="4">
        <v>71</v>
      </c>
      <c r="B72" s="92">
        <v>41697</v>
      </c>
      <c r="C72" s="132">
        <v>15735949</v>
      </c>
      <c r="D72" s="31" t="s">
        <v>186</v>
      </c>
      <c r="E72" s="31" t="s">
        <v>81</v>
      </c>
      <c r="F72" s="145" t="s">
        <v>187</v>
      </c>
      <c r="G72" s="145" t="s">
        <v>187</v>
      </c>
      <c r="H72" s="42">
        <v>4241127901</v>
      </c>
      <c r="I72" s="68">
        <v>33500</v>
      </c>
      <c r="J72" s="68">
        <v>3000</v>
      </c>
      <c r="K72" s="77"/>
      <c r="L72" s="77"/>
      <c r="M72" s="77"/>
      <c r="N72" s="77"/>
      <c r="O72" s="77"/>
      <c r="P72" s="77"/>
      <c r="Q72" s="84">
        <v>3000</v>
      </c>
      <c r="R72" s="84">
        <v>3000</v>
      </c>
      <c r="S72" s="77"/>
      <c r="T72" s="77"/>
      <c r="U72" s="77"/>
      <c r="V72" s="77"/>
      <c r="W72" s="77"/>
      <c r="X72" s="78"/>
      <c r="Y72" s="78"/>
      <c r="Z72" s="78"/>
      <c r="AA72" s="78"/>
      <c r="AB72" s="78"/>
      <c r="AC72" s="78"/>
      <c r="AD72" s="78"/>
      <c r="AE72" s="77">
        <f>SUM(J72:AD72)</f>
        <v>9000</v>
      </c>
      <c r="AF72" s="98">
        <f>AE72-I72</f>
        <v>-24500</v>
      </c>
      <c r="AG72" s="33"/>
      <c r="AH72" s="33"/>
    </row>
    <row r="73" spans="1:63" s="322" customFormat="1" ht="21.75" customHeight="1" x14ac:dyDescent="0.3">
      <c r="A73" s="315">
        <v>72</v>
      </c>
      <c r="B73" s="316">
        <v>41716</v>
      </c>
      <c r="C73" s="317">
        <v>6344259</v>
      </c>
      <c r="D73" s="318" t="s">
        <v>189</v>
      </c>
      <c r="E73" s="318"/>
      <c r="F73" s="319" t="s">
        <v>585</v>
      </c>
      <c r="G73" s="319" t="s">
        <v>950</v>
      </c>
      <c r="H73" s="315">
        <v>4129016423</v>
      </c>
      <c r="I73" s="314">
        <v>33000</v>
      </c>
      <c r="J73" s="314"/>
      <c r="K73" s="320"/>
      <c r="L73" s="320"/>
      <c r="M73" s="320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15"/>
      <c r="Y73" s="315"/>
      <c r="Z73" s="315"/>
      <c r="AA73" s="315"/>
      <c r="AB73" s="315"/>
      <c r="AC73" s="315"/>
      <c r="AD73" s="315"/>
      <c r="AE73" s="315"/>
      <c r="AF73" s="315"/>
      <c r="AG73" s="321"/>
      <c r="AH73" s="321"/>
    </row>
    <row r="74" spans="1:63" s="34" customFormat="1" ht="21.75" customHeight="1" x14ac:dyDescent="0.3">
      <c r="A74" s="37">
        <v>73</v>
      </c>
      <c r="B74" s="104">
        <v>41708</v>
      </c>
      <c r="C74" s="132">
        <v>23626250</v>
      </c>
      <c r="D74" s="38" t="s">
        <v>204</v>
      </c>
      <c r="E74" s="38" t="s">
        <v>79</v>
      </c>
      <c r="F74" s="149" t="s">
        <v>206</v>
      </c>
      <c r="G74" s="149" t="s">
        <v>206</v>
      </c>
      <c r="H74" s="37">
        <v>4242782530</v>
      </c>
      <c r="I74" s="43">
        <v>28000</v>
      </c>
      <c r="J74" s="43">
        <v>3000</v>
      </c>
      <c r="K74" s="77"/>
      <c r="L74" s="77"/>
      <c r="M74" s="77"/>
      <c r="N74" s="77"/>
      <c r="O74" s="77"/>
      <c r="P74" s="77"/>
      <c r="Q74" s="77"/>
      <c r="R74" s="258">
        <v>3000</v>
      </c>
      <c r="S74" s="258">
        <v>3900</v>
      </c>
      <c r="T74" s="258">
        <v>3900</v>
      </c>
      <c r="U74" s="258">
        <v>3900</v>
      </c>
      <c r="V74" s="258"/>
      <c r="W74" s="258"/>
      <c r="X74" s="258"/>
      <c r="Y74" s="173"/>
      <c r="Z74" s="173"/>
      <c r="AA74" s="37"/>
      <c r="AB74" s="37"/>
      <c r="AC74" s="37"/>
      <c r="AD74" s="94">
        <f>SUM(J74:AC74)</f>
        <v>17700</v>
      </c>
      <c r="AE74" s="93">
        <f>AD74-I74</f>
        <v>-10300</v>
      </c>
      <c r="AF74" s="37"/>
      <c r="AG74" s="39"/>
      <c r="AH74" s="39"/>
    </row>
    <row r="75" spans="1:63" s="34" customFormat="1" ht="21.75" customHeight="1" x14ac:dyDescent="0.3">
      <c r="A75" s="5">
        <v>74</v>
      </c>
      <c r="B75" s="71">
        <v>41710</v>
      </c>
      <c r="C75" s="131">
        <v>13247268</v>
      </c>
      <c r="D75" s="12" t="s">
        <v>205</v>
      </c>
      <c r="E75" s="12"/>
      <c r="F75" s="141" t="s">
        <v>208</v>
      </c>
      <c r="G75" s="141" t="s">
        <v>207</v>
      </c>
      <c r="H75" s="5">
        <v>4129011510</v>
      </c>
      <c r="I75" s="29">
        <v>24000</v>
      </c>
      <c r="J75" s="29" t="s">
        <v>65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5"/>
      <c r="Y75" s="5"/>
      <c r="Z75" s="5"/>
      <c r="AA75" s="5"/>
      <c r="AB75" s="5"/>
      <c r="AC75" s="5"/>
      <c r="AD75" s="79"/>
      <c r="AE75" s="79"/>
      <c r="AF75" s="79"/>
      <c r="AG75" s="199"/>
      <c r="AH75" s="19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</row>
    <row r="76" spans="1:63" s="313" customFormat="1" ht="21.75" customHeight="1" x14ac:dyDescent="0.3">
      <c r="A76" s="107">
        <v>75</v>
      </c>
      <c r="B76" s="362">
        <v>41716</v>
      </c>
      <c r="C76" s="363">
        <v>4899954</v>
      </c>
      <c r="D76" s="364" t="s">
        <v>190</v>
      </c>
      <c r="E76" s="364" t="s">
        <v>79</v>
      </c>
      <c r="F76" s="365" t="s">
        <v>191</v>
      </c>
      <c r="G76" s="365" t="s">
        <v>191</v>
      </c>
      <c r="H76" s="107">
        <v>41428832929</v>
      </c>
      <c r="I76" s="106">
        <v>33000</v>
      </c>
      <c r="J76" s="106">
        <v>3000</v>
      </c>
      <c r="K76" s="366"/>
      <c r="L76" s="366"/>
      <c r="M76" s="366"/>
      <c r="N76" s="366"/>
      <c r="O76" s="366"/>
      <c r="P76" s="366"/>
      <c r="Q76" s="366"/>
      <c r="R76" s="366">
        <v>3000</v>
      </c>
      <c r="S76" s="366">
        <v>3000</v>
      </c>
      <c r="T76" s="366">
        <v>3000</v>
      </c>
      <c r="U76" s="366">
        <v>3000</v>
      </c>
      <c r="V76" s="366">
        <v>3000</v>
      </c>
      <c r="W76" s="366">
        <v>3000</v>
      </c>
      <c r="X76" s="107">
        <v>3000</v>
      </c>
      <c r="Y76" s="23"/>
      <c r="Z76" s="23"/>
      <c r="AA76" s="107">
        <v>3000</v>
      </c>
      <c r="AB76" s="107">
        <v>3000</v>
      </c>
      <c r="AC76" s="107" t="s">
        <v>459</v>
      </c>
      <c r="AD76" s="366">
        <f>SUM(J76:AC76)</f>
        <v>30000</v>
      </c>
      <c r="AE76" s="93">
        <f>AD76-I76</f>
        <v>-3000</v>
      </c>
      <c r="AF76" s="107"/>
      <c r="AG76" s="410"/>
      <c r="AH76" s="410"/>
    </row>
    <row r="77" spans="1:63" s="331" customFormat="1" ht="21.75" customHeight="1" x14ac:dyDescent="0.3">
      <c r="A77" s="113">
        <v>76</v>
      </c>
      <c r="B77" s="413">
        <v>41718</v>
      </c>
      <c r="C77" s="414">
        <v>17743334</v>
      </c>
      <c r="D77" s="415" t="s">
        <v>192</v>
      </c>
      <c r="E77" s="415"/>
      <c r="F77" s="416" t="s">
        <v>193</v>
      </c>
      <c r="G77" s="416" t="s">
        <v>194</v>
      </c>
      <c r="H77" s="113">
        <v>4120255081</v>
      </c>
      <c r="I77" s="417">
        <v>0</v>
      </c>
      <c r="J77" s="417" t="s">
        <v>516</v>
      </c>
      <c r="K77" s="418"/>
      <c r="L77" s="418"/>
      <c r="M77" s="418"/>
      <c r="N77" s="418"/>
      <c r="O77" s="418"/>
      <c r="P77" s="418"/>
      <c r="Q77" s="418"/>
      <c r="R77" s="418"/>
      <c r="S77" s="418"/>
      <c r="T77" s="418"/>
      <c r="U77" s="418"/>
      <c r="V77" s="418"/>
      <c r="W77" s="418"/>
      <c r="X77" s="113"/>
      <c r="Y77" s="113"/>
      <c r="Z77" s="113"/>
      <c r="AA77" s="113"/>
      <c r="AB77" s="113"/>
      <c r="AC77" s="113"/>
      <c r="AD77" s="113"/>
      <c r="AE77" s="113"/>
      <c r="AF77" s="113"/>
      <c r="AG77" s="419"/>
      <c r="AH77" s="419"/>
    </row>
    <row r="78" spans="1:63" s="216" customFormat="1" ht="21.75" customHeight="1" x14ac:dyDescent="0.3">
      <c r="A78" s="4">
        <v>77</v>
      </c>
      <c r="B78" s="92">
        <v>41723</v>
      </c>
      <c r="C78" s="132" t="s">
        <v>195</v>
      </c>
      <c r="D78" s="31" t="s">
        <v>196</v>
      </c>
      <c r="E78" s="31" t="s">
        <v>79</v>
      </c>
      <c r="F78" s="145" t="s">
        <v>197</v>
      </c>
      <c r="G78" s="145" t="s">
        <v>198</v>
      </c>
      <c r="H78" s="42">
        <v>4142511954</v>
      </c>
      <c r="I78" s="68">
        <v>28500</v>
      </c>
      <c r="J78" s="68">
        <v>3000</v>
      </c>
      <c r="K78" s="77"/>
      <c r="L78" s="77"/>
      <c r="M78" s="77"/>
      <c r="N78" s="77"/>
      <c r="O78" s="77"/>
      <c r="P78" s="77"/>
      <c r="Q78" s="77"/>
      <c r="R78" s="84">
        <v>3000</v>
      </c>
      <c r="S78" s="84">
        <v>2500</v>
      </c>
      <c r="T78" s="84">
        <v>2500</v>
      </c>
      <c r="U78" s="77" t="s">
        <v>517</v>
      </c>
      <c r="V78" s="77"/>
      <c r="W78" s="77"/>
      <c r="X78" s="78"/>
      <c r="Y78" s="78"/>
      <c r="Z78" s="78"/>
      <c r="AA78" s="78"/>
      <c r="AB78" s="78"/>
      <c r="AC78" s="78"/>
      <c r="AD78" s="94">
        <f>SUM(J78:AC78)</f>
        <v>11000</v>
      </c>
      <c r="AE78" s="93">
        <f>AD78-I78</f>
        <v>-17500</v>
      </c>
      <c r="AF78" s="78"/>
      <c r="AG78" s="33"/>
      <c r="AH78" s="33"/>
    </row>
    <row r="79" spans="1:63" s="216" customFormat="1" ht="21.75" customHeight="1" x14ac:dyDescent="0.3">
      <c r="A79" s="4">
        <v>78</v>
      </c>
      <c r="B79" s="92">
        <v>41724</v>
      </c>
      <c r="C79" s="132">
        <v>10170707</v>
      </c>
      <c r="D79" s="31" t="s">
        <v>199</v>
      </c>
      <c r="E79" s="31" t="s">
        <v>79</v>
      </c>
      <c r="F79" s="145" t="s">
        <v>200</v>
      </c>
      <c r="G79" s="145" t="s">
        <v>201</v>
      </c>
      <c r="H79" s="42">
        <v>4142663301</v>
      </c>
      <c r="I79" s="68">
        <v>28500</v>
      </c>
      <c r="J79" s="68">
        <v>3000</v>
      </c>
      <c r="K79" s="77"/>
      <c r="L79" s="77"/>
      <c r="M79" s="77"/>
      <c r="N79" s="77"/>
      <c r="O79" s="77"/>
      <c r="P79" s="77"/>
      <c r="Q79" s="77"/>
      <c r="R79" s="84">
        <v>3000</v>
      </c>
      <c r="S79" s="84"/>
      <c r="T79" s="84"/>
      <c r="U79" s="84"/>
      <c r="V79" s="84"/>
      <c r="W79" s="84"/>
      <c r="X79" s="42"/>
      <c r="Y79" s="197"/>
      <c r="Z79" s="197"/>
      <c r="AA79" s="42"/>
      <c r="AB79" s="42"/>
      <c r="AC79" s="42"/>
      <c r="AD79" s="94">
        <f>SUM(J79:AC79)</f>
        <v>6000</v>
      </c>
      <c r="AE79" s="93">
        <f>AD79-I79</f>
        <v>-22500</v>
      </c>
      <c r="AF79" s="78"/>
      <c r="AG79" s="33"/>
      <c r="AH79" s="33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</row>
    <row r="80" spans="1:63" s="51" customFormat="1" ht="21.75" customHeight="1" x14ac:dyDescent="0.3">
      <c r="A80" s="4">
        <v>79</v>
      </c>
      <c r="B80" s="92">
        <v>41724</v>
      </c>
      <c r="C80" s="132">
        <v>20912074</v>
      </c>
      <c r="D80" s="31" t="s">
        <v>202</v>
      </c>
      <c r="E80" s="31" t="s">
        <v>79</v>
      </c>
      <c r="F80" s="145" t="s">
        <v>203</v>
      </c>
      <c r="G80" s="145" t="s">
        <v>203</v>
      </c>
      <c r="H80" s="42">
        <v>4141373077</v>
      </c>
      <c r="I80" s="68">
        <v>28500</v>
      </c>
      <c r="J80" s="68">
        <v>3000</v>
      </c>
      <c r="K80" s="77"/>
      <c r="L80" s="77"/>
      <c r="M80" s="77"/>
      <c r="N80" s="77"/>
      <c r="O80" s="77"/>
      <c r="P80" s="77"/>
      <c r="Q80" s="77"/>
      <c r="R80" s="84">
        <v>3000</v>
      </c>
      <c r="S80" s="84">
        <v>2500</v>
      </c>
      <c r="T80" s="84">
        <v>2500</v>
      </c>
      <c r="U80" s="84">
        <v>2500</v>
      </c>
      <c r="V80" s="84">
        <v>2500</v>
      </c>
      <c r="W80" s="84">
        <v>2500</v>
      </c>
      <c r="X80" s="68">
        <v>2500</v>
      </c>
      <c r="Y80" s="68"/>
      <c r="Z80" s="68"/>
      <c r="AA80" s="68">
        <v>2500</v>
      </c>
      <c r="AB80" s="311">
        <v>2500</v>
      </c>
      <c r="AC80" s="68"/>
      <c r="AD80" s="94">
        <f>SUM(J80:AC80)</f>
        <v>26000</v>
      </c>
      <c r="AE80" s="93">
        <f>AD80-I80</f>
        <v>-2500</v>
      </c>
      <c r="AF80" s="4"/>
      <c r="AG80" s="6"/>
      <c r="AH80" s="6"/>
    </row>
    <row r="81" spans="1:103" s="313" customFormat="1" ht="21.75" customHeight="1" x14ac:dyDescent="0.3">
      <c r="A81" s="113">
        <v>80</v>
      </c>
      <c r="B81" s="413">
        <v>41727</v>
      </c>
      <c r="C81" s="414">
        <v>19387903</v>
      </c>
      <c r="D81" s="415" t="s">
        <v>209</v>
      </c>
      <c r="E81" s="415"/>
      <c r="F81" s="416" t="s">
        <v>210</v>
      </c>
      <c r="G81" s="416" t="s">
        <v>194</v>
      </c>
      <c r="H81" s="113">
        <v>4242666038</v>
      </c>
      <c r="I81" s="417">
        <v>0</v>
      </c>
      <c r="J81" s="417" t="s">
        <v>516</v>
      </c>
      <c r="K81" s="418"/>
      <c r="L81" s="418"/>
      <c r="M81" s="418"/>
      <c r="N81" s="418"/>
      <c r="O81" s="418"/>
      <c r="P81" s="418"/>
      <c r="Q81" s="418"/>
      <c r="R81" s="418"/>
      <c r="S81" s="418"/>
      <c r="T81" s="418"/>
      <c r="U81" s="418"/>
      <c r="V81" s="418"/>
      <c r="W81" s="418"/>
      <c r="X81" s="113"/>
      <c r="Y81" s="48"/>
      <c r="Z81" s="48"/>
      <c r="AA81" s="113"/>
      <c r="AB81" s="113"/>
      <c r="AC81" s="113"/>
      <c r="AD81" s="418"/>
      <c r="AE81" s="418"/>
      <c r="AF81" s="113"/>
      <c r="AG81" s="419"/>
      <c r="AH81" s="419"/>
      <c r="AI81" s="420"/>
      <c r="AJ81" s="420"/>
      <c r="AK81" s="420"/>
      <c r="AL81" s="420"/>
      <c r="AM81" s="420"/>
      <c r="AN81" s="420"/>
      <c r="AO81" s="420"/>
      <c r="AP81" s="420"/>
      <c r="AQ81" s="420"/>
      <c r="AR81" s="420"/>
      <c r="AS81" s="420"/>
      <c r="AT81" s="420"/>
      <c r="AU81" s="420"/>
      <c r="AV81" s="420"/>
      <c r="AW81" s="420"/>
      <c r="AX81" s="420"/>
      <c r="AY81" s="420"/>
      <c r="AZ81" s="420"/>
      <c r="BA81" s="420"/>
      <c r="BB81" s="420"/>
      <c r="BC81" s="420"/>
      <c r="BD81" s="420"/>
      <c r="BE81" s="420"/>
      <c r="BF81" s="420"/>
      <c r="BG81" s="420"/>
      <c r="BH81" s="420"/>
      <c r="BI81" s="420"/>
      <c r="BJ81" s="420"/>
      <c r="BK81" s="420"/>
      <c r="BL81" s="420"/>
      <c r="BM81" s="420"/>
      <c r="BN81" s="420"/>
      <c r="BO81" s="420"/>
      <c r="BP81" s="420"/>
      <c r="BQ81" s="420"/>
      <c r="BR81" s="420"/>
      <c r="BS81" s="420"/>
      <c r="BT81" s="420"/>
      <c r="BU81" s="420"/>
      <c r="BV81" s="420"/>
      <c r="BW81" s="420"/>
      <c r="BX81" s="420"/>
      <c r="BY81" s="420"/>
    </row>
    <row r="82" spans="1:103" s="34" customFormat="1" ht="21.75" customHeight="1" x14ac:dyDescent="0.3">
      <c r="A82" s="4">
        <v>81</v>
      </c>
      <c r="B82" s="92">
        <v>41725</v>
      </c>
      <c r="C82" s="132">
        <v>18409985</v>
      </c>
      <c r="D82" s="31" t="s">
        <v>211</v>
      </c>
      <c r="E82" s="31" t="s">
        <v>81</v>
      </c>
      <c r="F82" s="145" t="s">
        <v>212</v>
      </c>
      <c r="G82" s="145" t="s">
        <v>212</v>
      </c>
      <c r="H82" s="42">
        <v>4242806655</v>
      </c>
      <c r="I82" s="68">
        <v>39000</v>
      </c>
      <c r="J82" s="68">
        <v>3000</v>
      </c>
      <c r="K82" s="77"/>
      <c r="L82" s="77"/>
      <c r="M82" s="77"/>
      <c r="N82" s="77"/>
      <c r="O82" s="77"/>
      <c r="P82" s="77"/>
      <c r="Q82" s="77"/>
      <c r="R82" s="84">
        <v>3000</v>
      </c>
      <c r="S82" s="77"/>
      <c r="T82" s="77"/>
      <c r="U82" s="77"/>
      <c r="V82" s="77"/>
      <c r="W82" s="77"/>
      <c r="X82" s="78"/>
      <c r="Y82" s="78"/>
      <c r="Z82" s="78"/>
      <c r="AA82" s="78"/>
      <c r="AB82" s="78"/>
      <c r="AC82" s="78"/>
      <c r="AD82" s="94">
        <f>SUM(J82:AC82)</f>
        <v>6000</v>
      </c>
      <c r="AE82" s="93">
        <f>AD82-I82</f>
        <v>-33000</v>
      </c>
      <c r="AF82" s="78"/>
      <c r="AG82" s="33"/>
      <c r="AH82" s="33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</row>
    <row r="83" spans="1:103" s="216" customFormat="1" ht="21.75" customHeight="1" x14ac:dyDescent="0.3">
      <c r="A83" s="4">
        <v>82</v>
      </c>
      <c r="B83" s="92">
        <v>41729</v>
      </c>
      <c r="C83" s="132">
        <v>20394370</v>
      </c>
      <c r="D83" s="31" t="s">
        <v>213</v>
      </c>
      <c r="E83" s="31" t="s">
        <v>79</v>
      </c>
      <c r="F83" s="145" t="s">
        <v>214</v>
      </c>
      <c r="G83" s="145" t="s">
        <v>214</v>
      </c>
      <c r="H83" s="42">
        <v>4166773766</v>
      </c>
      <c r="I83" s="68">
        <v>33000</v>
      </c>
      <c r="J83" s="68">
        <v>3000</v>
      </c>
      <c r="K83" s="77"/>
      <c r="L83" s="77"/>
      <c r="M83" s="77"/>
      <c r="N83" s="77"/>
      <c r="O83" s="77"/>
      <c r="P83" s="77"/>
      <c r="Q83" s="77"/>
      <c r="R83" s="84">
        <v>3000</v>
      </c>
      <c r="S83" s="84">
        <v>3000</v>
      </c>
      <c r="T83" s="84">
        <v>3000</v>
      </c>
      <c r="U83" s="230"/>
      <c r="V83" s="230"/>
      <c r="W83" s="230"/>
      <c r="X83" s="95"/>
      <c r="Y83" s="64"/>
      <c r="Z83" s="64"/>
      <c r="AA83" s="95"/>
      <c r="AB83" s="95"/>
      <c r="AC83" s="95"/>
      <c r="AD83" s="176">
        <f>SUM(J83:AC83)</f>
        <v>12000</v>
      </c>
      <c r="AE83" s="108">
        <f>AD83-I83</f>
        <v>-21000</v>
      </c>
      <c r="AF83" s="214"/>
      <c r="AG83" s="215"/>
      <c r="AH83" s="215"/>
    </row>
    <row r="84" spans="1:103" s="395" customFormat="1" ht="21.75" customHeight="1" x14ac:dyDescent="0.3">
      <c r="A84" s="340">
        <v>83</v>
      </c>
      <c r="B84" s="341">
        <v>41730</v>
      </c>
      <c r="C84" s="342">
        <v>6480164</v>
      </c>
      <c r="D84" s="347" t="s">
        <v>215</v>
      </c>
      <c r="E84" s="347"/>
      <c r="F84" s="348" t="s">
        <v>217</v>
      </c>
      <c r="G84" s="348" t="s">
        <v>218</v>
      </c>
      <c r="H84" s="340">
        <v>4141844284</v>
      </c>
      <c r="I84" s="344">
        <v>24000</v>
      </c>
      <c r="J84" s="344" t="s">
        <v>65</v>
      </c>
      <c r="K84" s="394"/>
      <c r="L84" s="394"/>
      <c r="M84" s="394"/>
      <c r="N84" s="394"/>
      <c r="O84" s="394"/>
      <c r="P84" s="394"/>
      <c r="Q84" s="394"/>
      <c r="R84" s="394"/>
      <c r="S84" s="394"/>
      <c r="T84" s="394"/>
      <c r="U84" s="394"/>
      <c r="V84" s="394"/>
      <c r="W84" s="394"/>
      <c r="X84" s="340"/>
      <c r="Y84" s="5"/>
      <c r="Z84" s="5"/>
      <c r="AA84" s="340"/>
      <c r="AB84" s="340"/>
      <c r="AC84" s="340"/>
      <c r="AD84" s="340"/>
      <c r="AE84" s="340"/>
      <c r="AF84" s="340"/>
      <c r="AG84" s="312"/>
      <c r="AH84" s="312"/>
    </row>
    <row r="85" spans="1:103" s="34" customFormat="1" ht="21.75" customHeight="1" x14ac:dyDescent="0.3">
      <c r="A85" s="5">
        <v>84</v>
      </c>
      <c r="B85" s="71">
        <v>41730</v>
      </c>
      <c r="C85" s="131">
        <v>6480164</v>
      </c>
      <c r="D85" s="12" t="s">
        <v>216</v>
      </c>
      <c r="E85" s="12"/>
      <c r="F85" s="141" t="s">
        <v>219</v>
      </c>
      <c r="G85" s="141" t="s">
        <v>218</v>
      </c>
      <c r="H85" s="5">
        <v>4141844284</v>
      </c>
      <c r="I85" s="29">
        <v>19500</v>
      </c>
      <c r="J85" s="29" t="s">
        <v>65</v>
      </c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5"/>
      <c r="Y85" s="5"/>
      <c r="Z85" s="5"/>
      <c r="AA85" s="5"/>
      <c r="AB85" s="5"/>
      <c r="AC85" s="5"/>
      <c r="AD85" s="5"/>
      <c r="AE85" s="5"/>
      <c r="AF85" s="5"/>
      <c r="AG85" s="199"/>
      <c r="AH85" s="19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</row>
    <row r="86" spans="1:103" ht="21.75" customHeight="1" x14ac:dyDescent="0.3">
      <c r="A86" s="5">
        <v>85</v>
      </c>
      <c r="B86" s="71">
        <v>41730</v>
      </c>
      <c r="C86" s="131">
        <v>8676430</v>
      </c>
      <c r="D86" s="12" t="s">
        <v>220</v>
      </c>
      <c r="E86" s="12" t="s">
        <v>79</v>
      </c>
      <c r="F86" s="141" t="s">
        <v>227</v>
      </c>
      <c r="G86" s="141" t="s">
        <v>228</v>
      </c>
      <c r="H86" s="5">
        <v>4265573169</v>
      </c>
      <c r="I86" s="29">
        <v>24000</v>
      </c>
      <c r="J86" s="29" t="s">
        <v>65</v>
      </c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5"/>
      <c r="Y86" s="5"/>
      <c r="Z86" s="5"/>
      <c r="AA86" s="5"/>
      <c r="AB86" s="5"/>
      <c r="AC86" s="5"/>
      <c r="AD86" s="5"/>
      <c r="AE86" s="5"/>
      <c r="AF86" s="5"/>
      <c r="AG86" s="199"/>
      <c r="AH86" s="199"/>
    </row>
    <row r="87" spans="1:103" s="227" customFormat="1" ht="21.75" customHeight="1" x14ac:dyDescent="0.3">
      <c r="A87" s="8">
        <v>86</v>
      </c>
      <c r="B87" s="100">
        <v>41731</v>
      </c>
      <c r="C87" s="167">
        <v>17299196</v>
      </c>
      <c r="D87" s="15" t="s">
        <v>221</v>
      </c>
      <c r="E87" s="15" t="s">
        <v>79</v>
      </c>
      <c r="F87" s="146" t="s">
        <v>229</v>
      </c>
      <c r="G87" s="146" t="s">
        <v>229</v>
      </c>
      <c r="H87" s="101">
        <v>4143652994</v>
      </c>
      <c r="I87" s="102">
        <v>28500</v>
      </c>
      <c r="J87" s="102">
        <v>3000</v>
      </c>
      <c r="K87" s="165"/>
      <c r="L87" s="165"/>
      <c r="M87" s="165"/>
      <c r="N87" s="165"/>
      <c r="O87" s="165"/>
      <c r="P87" s="165"/>
      <c r="Q87" s="165"/>
      <c r="R87" s="165"/>
      <c r="S87" s="391">
        <v>3000</v>
      </c>
      <c r="T87" s="391">
        <v>2500</v>
      </c>
      <c r="U87" s="391">
        <v>2500</v>
      </c>
      <c r="V87" s="391">
        <v>2500</v>
      </c>
      <c r="W87" s="391">
        <v>2500</v>
      </c>
      <c r="X87" s="102">
        <v>2500</v>
      </c>
      <c r="Y87" s="102"/>
      <c r="Z87" s="102"/>
      <c r="AA87" s="102">
        <v>2500</v>
      </c>
      <c r="AB87" s="102">
        <v>2500</v>
      </c>
      <c r="AC87" s="101"/>
      <c r="AD87" s="166"/>
      <c r="AE87" s="392">
        <f>SUM(S87:AD87)+J87-I87</f>
        <v>-5000</v>
      </c>
      <c r="AF87" s="8"/>
      <c r="AG87" s="283"/>
      <c r="AH87" s="283"/>
    </row>
    <row r="88" spans="1:103" s="313" customFormat="1" ht="21.75" customHeight="1" x14ac:dyDescent="0.3">
      <c r="A88" s="305">
        <v>87</v>
      </c>
      <c r="B88" s="306">
        <v>41731</v>
      </c>
      <c r="C88" s="307">
        <v>15714230</v>
      </c>
      <c r="D88" s="308" t="s">
        <v>222</v>
      </c>
      <c r="E88" s="308" t="s">
        <v>79</v>
      </c>
      <c r="F88" s="310" t="s">
        <v>230</v>
      </c>
      <c r="G88" s="310" t="s">
        <v>230</v>
      </c>
      <c r="H88" s="309">
        <v>4241642064</v>
      </c>
      <c r="I88" s="311">
        <v>28500</v>
      </c>
      <c r="J88" s="311">
        <v>3000</v>
      </c>
      <c r="K88" s="96"/>
      <c r="L88" s="96"/>
      <c r="M88" s="96"/>
      <c r="N88" s="96"/>
      <c r="O88" s="96"/>
      <c r="P88" s="96"/>
      <c r="Q88" s="96"/>
      <c r="R88" s="96"/>
      <c r="S88" s="103">
        <v>3000</v>
      </c>
      <c r="T88" s="103">
        <v>2500</v>
      </c>
      <c r="U88" s="103">
        <v>2500</v>
      </c>
      <c r="V88" s="103">
        <v>2500</v>
      </c>
      <c r="W88" s="103">
        <v>2500</v>
      </c>
      <c r="X88" s="311">
        <v>2500</v>
      </c>
      <c r="Y88" s="311"/>
      <c r="Z88" s="311"/>
      <c r="AA88" s="311">
        <v>2500</v>
      </c>
      <c r="AB88" s="311">
        <v>2500</v>
      </c>
      <c r="AC88" s="309"/>
      <c r="AD88" s="305"/>
      <c r="AE88" s="93">
        <f>SUM(S88:AD88)+J88-I88</f>
        <v>-5000</v>
      </c>
      <c r="AF88" s="305"/>
      <c r="AG88" s="312"/>
      <c r="AH88" s="312"/>
    </row>
    <row r="89" spans="1:103" s="313" customFormat="1" ht="21.75" customHeight="1" x14ac:dyDescent="0.3">
      <c r="A89" s="340">
        <v>88</v>
      </c>
      <c r="B89" s="341">
        <v>41732</v>
      </c>
      <c r="C89" s="342">
        <v>20589024</v>
      </c>
      <c r="D89" s="347" t="s">
        <v>223</v>
      </c>
      <c r="E89" s="347" t="s">
        <v>231</v>
      </c>
      <c r="F89" s="348" t="s">
        <v>232</v>
      </c>
      <c r="G89" s="348" t="s">
        <v>232</v>
      </c>
      <c r="H89" s="340">
        <v>4241580659</v>
      </c>
      <c r="I89" s="344">
        <v>24000</v>
      </c>
      <c r="J89" s="344" t="s">
        <v>65</v>
      </c>
      <c r="K89" s="394"/>
      <c r="L89" s="394"/>
      <c r="M89" s="394"/>
      <c r="N89" s="394"/>
      <c r="O89" s="394"/>
      <c r="P89" s="394"/>
      <c r="Q89" s="394"/>
      <c r="R89" s="394"/>
      <c r="S89" s="394"/>
      <c r="T89" s="394"/>
      <c r="U89" s="394"/>
      <c r="V89" s="394"/>
      <c r="W89" s="394"/>
      <c r="X89" s="340"/>
      <c r="Y89" s="5"/>
      <c r="Z89" s="5"/>
      <c r="AA89" s="340"/>
      <c r="AB89" s="340"/>
      <c r="AC89" s="340"/>
      <c r="AD89" s="340"/>
      <c r="AE89" s="340"/>
      <c r="AF89" s="340"/>
      <c r="AG89" s="312"/>
      <c r="AH89" s="312"/>
    </row>
    <row r="90" spans="1:103" s="227" customFormat="1" ht="21.75" customHeight="1" x14ac:dyDescent="0.3">
      <c r="A90" s="268">
        <v>89</v>
      </c>
      <c r="B90" s="269">
        <v>41732</v>
      </c>
      <c r="C90" s="270">
        <v>11551401</v>
      </c>
      <c r="D90" s="271" t="s">
        <v>224</v>
      </c>
      <c r="E90" s="271" t="s">
        <v>231</v>
      </c>
      <c r="F90" s="272" t="s">
        <v>233</v>
      </c>
      <c r="G90" s="272" t="s">
        <v>234</v>
      </c>
      <c r="H90" s="268">
        <v>4141607514</v>
      </c>
      <c r="I90" s="273">
        <v>9500</v>
      </c>
      <c r="J90" s="273">
        <v>9500</v>
      </c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68"/>
      <c r="Y90" s="10"/>
      <c r="Z90" s="10"/>
      <c r="AA90" s="268"/>
      <c r="AB90" s="268"/>
      <c r="AC90" s="268"/>
      <c r="AD90" s="268"/>
      <c r="AE90" s="268"/>
      <c r="AF90" s="268"/>
      <c r="AG90" s="283"/>
      <c r="AH90" s="283"/>
    </row>
    <row r="91" spans="1:103" s="216" customFormat="1" ht="21.75" customHeight="1" x14ac:dyDescent="0.3">
      <c r="A91" s="4">
        <v>90</v>
      </c>
      <c r="B91" s="92">
        <v>41732</v>
      </c>
      <c r="C91" s="132">
        <v>19930287</v>
      </c>
      <c r="D91" s="31" t="s">
        <v>225</v>
      </c>
      <c r="E91" s="31" t="s">
        <v>81</v>
      </c>
      <c r="F91" s="145" t="s">
        <v>235</v>
      </c>
      <c r="G91" s="145" t="s">
        <v>235</v>
      </c>
      <c r="H91" s="42">
        <v>4126111482</v>
      </c>
      <c r="I91" s="68">
        <v>36000</v>
      </c>
      <c r="J91" s="68">
        <v>3000</v>
      </c>
      <c r="K91" s="77"/>
      <c r="L91" s="77"/>
      <c r="M91" s="77"/>
      <c r="N91" s="77"/>
      <c r="O91" s="77"/>
      <c r="P91" s="77"/>
      <c r="Q91" s="77"/>
      <c r="R91" s="77"/>
      <c r="S91" s="84">
        <v>3000</v>
      </c>
      <c r="T91" s="77"/>
      <c r="U91" s="77"/>
      <c r="V91" s="77"/>
      <c r="W91" s="77"/>
      <c r="X91" s="78"/>
      <c r="Y91" s="78"/>
      <c r="Z91" s="78"/>
      <c r="AA91" s="78"/>
      <c r="AB91" s="78"/>
      <c r="AC91" s="78"/>
      <c r="AD91" s="78"/>
      <c r="AE91" s="78"/>
      <c r="AF91" s="78"/>
      <c r="AG91" s="33"/>
      <c r="AH91" s="33"/>
    </row>
    <row r="92" spans="1:103" s="313" customFormat="1" ht="21.75" customHeight="1" x14ac:dyDescent="0.3">
      <c r="A92" s="340">
        <v>91</v>
      </c>
      <c r="B92" s="341">
        <v>41734</v>
      </c>
      <c r="C92" s="342">
        <v>16020304</v>
      </c>
      <c r="D92" s="347" t="s">
        <v>226</v>
      </c>
      <c r="E92" s="347"/>
      <c r="F92" s="348" t="s">
        <v>238</v>
      </c>
      <c r="G92" s="348" t="s">
        <v>239</v>
      </c>
      <c r="H92" s="340">
        <v>4266765000</v>
      </c>
      <c r="I92" s="344">
        <v>24000</v>
      </c>
      <c r="J92" s="344" t="s">
        <v>65</v>
      </c>
      <c r="K92" s="394"/>
      <c r="L92" s="394"/>
      <c r="M92" s="394"/>
      <c r="N92" s="394"/>
      <c r="O92" s="394"/>
      <c r="P92" s="394"/>
      <c r="Q92" s="394"/>
      <c r="R92" s="394"/>
      <c r="S92" s="394"/>
      <c r="T92" s="394"/>
      <c r="U92" s="394"/>
      <c r="V92" s="394"/>
      <c r="W92" s="394"/>
      <c r="X92" s="340"/>
      <c r="Y92" s="5"/>
      <c r="Z92" s="5"/>
      <c r="AA92" s="340"/>
      <c r="AB92" s="340"/>
      <c r="AC92" s="340"/>
      <c r="AD92" s="340"/>
      <c r="AE92" s="340"/>
      <c r="AF92" s="340"/>
      <c r="AG92" s="312"/>
      <c r="AH92" s="312"/>
    </row>
    <row r="93" spans="1:103" s="216" customFormat="1" ht="21.75" customHeight="1" x14ac:dyDescent="0.3">
      <c r="A93" s="4">
        <v>92</v>
      </c>
      <c r="B93" s="92">
        <v>41737</v>
      </c>
      <c r="C93" s="132">
        <v>17080171</v>
      </c>
      <c r="D93" s="31" t="s">
        <v>237</v>
      </c>
      <c r="E93" s="31" t="s">
        <v>79</v>
      </c>
      <c r="F93" s="145" t="s">
        <v>236</v>
      </c>
      <c r="G93" s="145" t="s">
        <v>236</v>
      </c>
      <c r="H93" s="42">
        <v>4241158893</v>
      </c>
      <c r="I93" s="68">
        <v>33000</v>
      </c>
      <c r="J93" s="68">
        <v>3000</v>
      </c>
      <c r="K93" s="77"/>
      <c r="L93" s="77"/>
      <c r="M93" s="77"/>
      <c r="N93" s="77"/>
      <c r="O93" s="77"/>
      <c r="P93" s="77"/>
      <c r="Q93" s="77"/>
      <c r="R93" s="77"/>
      <c r="S93" s="84">
        <v>3000</v>
      </c>
      <c r="T93" s="84">
        <v>3000</v>
      </c>
      <c r="U93" s="84">
        <v>3000</v>
      </c>
      <c r="V93" s="77"/>
      <c r="W93" s="77"/>
      <c r="X93" s="78"/>
      <c r="Y93" s="78"/>
      <c r="Z93" s="78"/>
      <c r="AA93" s="78"/>
      <c r="AB93" s="78"/>
      <c r="AC93" s="78"/>
      <c r="AD93" s="77"/>
      <c r="AE93" s="93">
        <f>SUM(S93:AD93)+J93-I93</f>
        <v>-21000</v>
      </c>
      <c r="AF93" s="4"/>
      <c r="AG93" s="6"/>
      <c r="AH93" s="6"/>
    </row>
    <row r="94" spans="1:103" s="34" customFormat="1" ht="21.75" customHeight="1" x14ac:dyDescent="0.3">
      <c r="A94" s="5">
        <v>93</v>
      </c>
      <c r="B94" s="71">
        <v>41737</v>
      </c>
      <c r="C94" s="131">
        <v>4088247</v>
      </c>
      <c r="D94" s="12" t="s">
        <v>240</v>
      </c>
      <c r="E94" s="12" t="s">
        <v>231</v>
      </c>
      <c r="F94" s="141" t="s">
        <v>241</v>
      </c>
      <c r="G94" s="141" t="s">
        <v>242</v>
      </c>
      <c r="H94" s="5">
        <v>4141514149</v>
      </c>
      <c r="I94" s="29">
        <v>19500</v>
      </c>
      <c r="J94" s="29" t="s">
        <v>65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5"/>
      <c r="Y94" s="5"/>
      <c r="Z94" s="5"/>
      <c r="AA94" s="5"/>
      <c r="AB94" s="5"/>
      <c r="AC94" s="5"/>
      <c r="AD94" s="5"/>
      <c r="AE94" s="5"/>
      <c r="AF94" s="5"/>
      <c r="AG94" s="199"/>
      <c r="AH94" s="19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</row>
    <row r="95" spans="1:103" s="216" customFormat="1" ht="21.75" customHeight="1" x14ac:dyDescent="0.3">
      <c r="A95" s="4">
        <v>94</v>
      </c>
      <c r="B95" s="92">
        <v>41739</v>
      </c>
      <c r="C95" s="132">
        <v>18738151</v>
      </c>
      <c r="D95" s="31" t="s">
        <v>243</v>
      </c>
      <c r="E95" s="31" t="s">
        <v>79</v>
      </c>
      <c r="F95" s="145" t="s">
        <v>515</v>
      </c>
      <c r="G95" s="145" t="s">
        <v>515</v>
      </c>
      <c r="H95" s="42">
        <v>4241531530</v>
      </c>
      <c r="I95" s="68">
        <v>33000</v>
      </c>
      <c r="J95" s="68">
        <v>3000</v>
      </c>
      <c r="K95" s="77"/>
      <c r="L95" s="77"/>
      <c r="M95" s="77"/>
      <c r="N95" s="77"/>
      <c r="O95" s="77"/>
      <c r="P95" s="77"/>
      <c r="Q95" s="77"/>
      <c r="R95" s="77"/>
      <c r="S95" s="84">
        <v>3000</v>
      </c>
      <c r="T95" s="84">
        <v>3000</v>
      </c>
      <c r="U95" s="77"/>
      <c r="V95" s="77"/>
      <c r="W95" s="77"/>
      <c r="X95" s="78"/>
      <c r="Y95" s="78"/>
      <c r="Z95" s="78"/>
      <c r="AA95" s="78"/>
      <c r="AB95" s="78"/>
      <c r="AC95" s="78"/>
      <c r="AD95" s="78"/>
      <c r="AE95" s="78"/>
      <c r="AF95" s="78"/>
      <c r="AG95" s="33"/>
      <c r="AH95" s="33"/>
    </row>
    <row r="96" spans="1:103" s="216" customFormat="1" ht="21.75" customHeight="1" x14ac:dyDescent="0.3">
      <c r="A96" s="4">
        <v>95</v>
      </c>
      <c r="B96" s="92">
        <v>41739</v>
      </c>
      <c r="C96" s="132">
        <v>20551845</v>
      </c>
      <c r="D96" s="31" t="s">
        <v>244</v>
      </c>
      <c r="E96" s="31" t="s">
        <v>79</v>
      </c>
      <c r="F96" s="145" t="s">
        <v>254</v>
      </c>
      <c r="G96" s="145" t="s">
        <v>254</v>
      </c>
      <c r="H96" s="42">
        <v>4241037646</v>
      </c>
      <c r="I96" s="68">
        <v>33000</v>
      </c>
      <c r="J96" s="68">
        <v>3000</v>
      </c>
      <c r="K96" s="77"/>
      <c r="L96" s="77"/>
      <c r="M96" s="77"/>
      <c r="N96" s="77"/>
      <c r="O96" s="77"/>
      <c r="P96" s="77"/>
      <c r="Q96" s="77"/>
      <c r="R96" s="77"/>
      <c r="S96" s="84">
        <v>3000</v>
      </c>
      <c r="T96" s="77"/>
      <c r="U96" s="77"/>
      <c r="V96" s="77"/>
      <c r="W96" s="77"/>
      <c r="X96" s="78"/>
      <c r="Y96" s="78"/>
      <c r="Z96" s="78"/>
      <c r="AA96" s="78"/>
      <c r="AB96" s="78"/>
      <c r="AC96" s="78"/>
      <c r="AD96" s="78"/>
      <c r="AE96" s="78"/>
      <c r="AF96" s="78"/>
      <c r="AG96" s="33"/>
      <c r="AH96" s="33"/>
      <c r="AI96" s="34"/>
    </row>
    <row r="97" spans="1:76" s="216" customFormat="1" ht="21.75" customHeight="1" x14ac:dyDescent="0.3">
      <c r="A97" s="4">
        <v>96</v>
      </c>
      <c r="B97" s="92">
        <v>41740</v>
      </c>
      <c r="C97" s="132">
        <v>13612396</v>
      </c>
      <c r="D97" s="31" t="s">
        <v>245</v>
      </c>
      <c r="E97" s="31" t="s">
        <v>79</v>
      </c>
      <c r="F97" s="145" t="s">
        <v>246</v>
      </c>
      <c r="G97" s="145" t="s">
        <v>246</v>
      </c>
      <c r="H97" s="42">
        <v>4122155430</v>
      </c>
      <c r="I97" s="68">
        <v>28500</v>
      </c>
      <c r="J97" s="68">
        <v>3000</v>
      </c>
      <c r="K97" s="77"/>
      <c r="L97" s="77"/>
      <c r="M97" s="77"/>
      <c r="N97" s="77"/>
      <c r="O97" s="77"/>
      <c r="P97" s="77"/>
      <c r="Q97" s="77"/>
      <c r="R97" s="77"/>
      <c r="S97" s="84">
        <v>3000</v>
      </c>
      <c r="T97" s="77"/>
      <c r="U97" s="77"/>
      <c r="V97" s="77"/>
      <c r="W97" s="77"/>
      <c r="X97" s="78"/>
      <c r="Y97" s="78"/>
      <c r="Z97" s="78"/>
      <c r="AA97" s="78"/>
      <c r="AB97" s="78"/>
      <c r="AC97" s="78"/>
      <c r="AD97" s="78"/>
      <c r="AE97" s="78"/>
      <c r="AF97" s="78"/>
      <c r="AG97" s="33"/>
      <c r="AH97" s="33"/>
    </row>
    <row r="98" spans="1:76" s="296" customFormat="1" ht="21.75" customHeight="1" x14ac:dyDescent="0.3">
      <c r="A98" s="268">
        <v>97</v>
      </c>
      <c r="B98" s="269"/>
      <c r="C98" s="270">
        <v>17389655</v>
      </c>
      <c r="D98" s="271" t="s">
        <v>247</v>
      </c>
      <c r="E98" s="271" t="s">
        <v>301</v>
      </c>
      <c r="F98" s="272" t="s">
        <v>317</v>
      </c>
      <c r="G98" s="272" t="s">
        <v>318</v>
      </c>
      <c r="H98" s="268">
        <v>4120199438</v>
      </c>
      <c r="I98" s="273">
        <v>9500</v>
      </c>
      <c r="J98" s="273">
        <v>9500</v>
      </c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68"/>
      <c r="Y98" s="10"/>
      <c r="Z98" s="10"/>
      <c r="AA98" s="268"/>
      <c r="AB98" s="268"/>
      <c r="AC98" s="268"/>
      <c r="AD98" s="268"/>
      <c r="AE98" s="268"/>
      <c r="AF98" s="268"/>
      <c r="AG98" s="283"/>
      <c r="AH98" s="283"/>
      <c r="AI98" s="295"/>
      <c r="AJ98" s="295"/>
      <c r="AK98" s="295"/>
      <c r="AL98" s="295"/>
      <c r="AM98" s="295"/>
      <c r="AN98" s="295"/>
      <c r="AO98" s="295"/>
      <c r="AP98" s="295"/>
      <c r="AQ98" s="295"/>
      <c r="AR98" s="295"/>
      <c r="AS98" s="295"/>
      <c r="AT98" s="295"/>
      <c r="AU98" s="295"/>
      <c r="AV98" s="295"/>
      <c r="AW98" s="295"/>
      <c r="AX98" s="295"/>
      <c r="AY98" s="295"/>
      <c r="AZ98" s="295"/>
      <c r="BA98" s="295"/>
      <c r="BB98" s="295"/>
    </row>
    <row r="99" spans="1:76" s="313" customFormat="1" ht="21.75" customHeight="1" x14ac:dyDescent="0.3">
      <c r="A99" s="113">
        <v>99</v>
      </c>
      <c r="B99" s="413">
        <v>41687</v>
      </c>
      <c r="C99" s="414">
        <v>20562080</v>
      </c>
      <c r="D99" s="415" t="s">
        <v>248</v>
      </c>
      <c r="E99" s="415"/>
      <c r="F99" s="416" t="s">
        <v>255</v>
      </c>
      <c r="G99" s="416" t="s">
        <v>255</v>
      </c>
      <c r="H99" s="113">
        <v>4125856099</v>
      </c>
      <c r="I99" s="417">
        <v>0</v>
      </c>
      <c r="J99" s="417">
        <v>0</v>
      </c>
      <c r="K99" s="418"/>
      <c r="L99" s="418"/>
      <c r="M99" s="418"/>
      <c r="N99" s="418"/>
      <c r="O99" s="418"/>
      <c r="P99" s="418"/>
      <c r="Q99" s="418"/>
      <c r="R99" s="418"/>
      <c r="S99" s="418"/>
      <c r="T99" s="418"/>
      <c r="U99" s="418"/>
      <c r="V99" s="418"/>
      <c r="W99" s="418"/>
      <c r="X99" s="113"/>
      <c r="Y99" s="113"/>
      <c r="Z99" s="113"/>
      <c r="AA99" s="113"/>
      <c r="AB99" s="113"/>
      <c r="AC99" s="113"/>
      <c r="AD99" s="113"/>
      <c r="AE99" s="113"/>
      <c r="AF99" s="113"/>
      <c r="AG99" s="419"/>
      <c r="AH99" s="419"/>
      <c r="AI99" s="420"/>
      <c r="AJ99" s="420"/>
      <c r="AK99" s="420"/>
      <c r="AL99" s="420"/>
      <c r="AM99" s="420"/>
      <c r="AN99" s="420"/>
      <c r="AO99" s="420"/>
      <c r="AP99" s="420"/>
      <c r="AQ99" s="420"/>
      <c r="AR99" s="420"/>
      <c r="AS99" s="420"/>
      <c r="AT99" s="420"/>
      <c r="AU99" s="420"/>
      <c r="AV99" s="420"/>
      <c r="AW99" s="420"/>
      <c r="AX99" s="420"/>
      <c r="AY99" s="420"/>
      <c r="AZ99" s="420"/>
      <c r="BA99" s="420"/>
      <c r="BB99" s="420"/>
    </row>
    <row r="100" spans="1:76" s="296" customFormat="1" ht="21.75" customHeight="1" x14ac:dyDescent="0.3">
      <c r="A100" s="268">
        <v>100</v>
      </c>
      <c r="B100" s="269">
        <v>41753</v>
      </c>
      <c r="C100" s="270">
        <v>6847539</v>
      </c>
      <c r="D100" s="271" t="s">
        <v>249</v>
      </c>
      <c r="E100" s="271" t="s">
        <v>301</v>
      </c>
      <c r="F100" s="272" t="s">
        <v>365</v>
      </c>
      <c r="G100" s="272" t="s">
        <v>364</v>
      </c>
      <c r="H100" s="268">
        <v>4143057841</v>
      </c>
      <c r="I100" s="273">
        <v>9500</v>
      </c>
      <c r="J100" s="273">
        <v>9500</v>
      </c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68"/>
      <c r="Y100" s="10"/>
      <c r="Z100" s="10"/>
      <c r="AA100" s="268"/>
      <c r="AB100" s="268"/>
      <c r="AC100" s="268"/>
      <c r="AD100" s="268"/>
      <c r="AE100" s="268"/>
      <c r="AF100" s="268"/>
      <c r="AG100" s="283"/>
      <c r="AH100" s="283"/>
      <c r="AI100" s="295"/>
      <c r="AJ100" s="295"/>
      <c r="AK100" s="295"/>
      <c r="AL100" s="295"/>
      <c r="AM100" s="295"/>
      <c r="AN100" s="295"/>
      <c r="AO100" s="295"/>
      <c r="AP100" s="295"/>
      <c r="AQ100" s="295"/>
      <c r="AR100" s="295"/>
      <c r="AS100" s="295"/>
      <c r="AT100" s="295"/>
      <c r="AU100" s="295"/>
      <c r="AV100" s="295"/>
      <c r="AW100" s="295"/>
      <c r="AX100" s="295"/>
      <c r="AY100" s="295"/>
      <c r="AZ100" s="295"/>
      <c r="BA100" s="295"/>
      <c r="BB100" s="295"/>
    </row>
    <row r="101" spans="1:76" s="227" customFormat="1" ht="21.75" customHeight="1" x14ac:dyDescent="0.3">
      <c r="A101" s="268">
        <v>101</v>
      </c>
      <c r="B101" s="269">
        <v>41753</v>
      </c>
      <c r="C101" s="270">
        <v>6847539</v>
      </c>
      <c r="D101" s="271" t="s">
        <v>250</v>
      </c>
      <c r="E101" s="271"/>
      <c r="F101" s="272" t="s">
        <v>366</v>
      </c>
      <c r="G101" s="272" t="s">
        <v>364</v>
      </c>
      <c r="H101" s="268">
        <v>4143057841</v>
      </c>
      <c r="I101" s="273">
        <v>9500</v>
      </c>
      <c r="J101" s="273">
        <v>9500</v>
      </c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68"/>
      <c r="Y101" s="10"/>
      <c r="Z101" s="10"/>
      <c r="AA101" s="268"/>
      <c r="AB101" s="268"/>
      <c r="AC101" s="268"/>
      <c r="AD101" s="268"/>
      <c r="AE101" s="268"/>
      <c r="AF101" s="268"/>
      <c r="AG101" s="283"/>
      <c r="AH101" s="283"/>
    </row>
    <row r="102" spans="1:76" s="395" customFormat="1" ht="21.75" customHeight="1" x14ac:dyDescent="0.3">
      <c r="A102" s="340">
        <v>102</v>
      </c>
      <c r="B102" s="341">
        <v>41756</v>
      </c>
      <c r="C102" s="342">
        <v>8045898</v>
      </c>
      <c r="D102" s="347" t="s">
        <v>251</v>
      </c>
      <c r="E102" s="347" t="s">
        <v>231</v>
      </c>
      <c r="F102" s="348" t="s">
        <v>256</v>
      </c>
      <c r="G102" s="348" t="s">
        <v>256</v>
      </c>
      <c r="H102" s="340">
        <v>4162197014</v>
      </c>
      <c r="I102" s="344">
        <v>24000</v>
      </c>
      <c r="J102" s="344">
        <v>0</v>
      </c>
      <c r="K102" s="394"/>
      <c r="L102" s="394"/>
      <c r="M102" s="394"/>
      <c r="N102" s="394"/>
      <c r="O102" s="394"/>
      <c r="P102" s="394"/>
      <c r="Q102" s="394"/>
      <c r="R102" s="394"/>
      <c r="S102" s="394"/>
      <c r="T102" s="394"/>
      <c r="U102" s="394"/>
      <c r="V102" s="394"/>
      <c r="W102" s="394"/>
      <c r="X102" s="340"/>
      <c r="Y102" s="5"/>
      <c r="Z102" s="5"/>
      <c r="AA102" s="340"/>
      <c r="AB102" s="340"/>
      <c r="AC102" s="340"/>
      <c r="AD102" s="340"/>
      <c r="AE102" s="340"/>
      <c r="AF102" s="340"/>
      <c r="AG102" s="345"/>
      <c r="AH102" s="345"/>
    </row>
    <row r="103" spans="1:76" s="313" customFormat="1" ht="21.75" customHeight="1" x14ac:dyDescent="0.3">
      <c r="A103" s="340">
        <v>103</v>
      </c>
      <c r="B103" s="341">
        <v>41756</v>
      </c>
      <c r="C103" s="342">
        <v>8045898</v>
      </c>
      <c r="D103" s="347" t="s">
        <v>252</v>
      </c>
      <c r="E103" s="347" t="s">
        <v>231</v>
      </c>
      <c r="F103" s="348" t="s">
        <v>257</v>
      </c>
      <c r="G103" s="348" t="s">
        <v>256</v>
      </c>
      <c r="H103" s="340">
        <v>4120199438</v>
      </c>
      <c r="I103" s="344">
        <v>24000</v>
      </c>
      <c r="J103" s="344">
        <v>0</v>
      </c>
      <c r="K103" s="394"/>
      <c r="L103" s="394"/>
      <c r="M103" s="394"/>
      <c r="N103" s="394"/>
      <c r="O103" s="394"/>
      <c r="P103" s="394"/>
      <c r="Q103" s="394"/>
      <c r="R103" s="394"/>
      <c r="S103" s="394"/>
      <c r="T103" s="394"/>
      <c r="U103" s="394"/>
      <c r="V103" s="394"/>
      <c r="W103" s="394"/>
      <c r="X103" s="340"/>
      <c r="Y103" s="5"/>
      <c r="Z103" s="5"/>
      <c r="AA103" s="340"/>
      <c r="AB103" s="340"/>
      <c r="AC103" s="340"/>
      <c r="AD103" s="340"/>
      <c r="AE103" s="340"/>
      <c r="AF103" s="340"/>
      <c r="AG103" s="345"/>
      <c r="AH103" s="345"/>
    </row>
    <row r="104" spans="1:76" s="227" customFormat="1" ht="21.75" customHeight="1" x14ac:dyDescent="0.3">
      <c r="A104" s="268">
        <v>104</v>
      </c>
      <c r="B104" s="269"/>
      <c r="C104" s="270">
        <v>5073774</v>
      </c>
      <c r="D104" s="271" t="s">
        <v>253</v>
      </c>
      <c r="E104" s="271" t="s">
        <v>301</v>
      </c>
      <c r="F104" s="272" t="s">
        <v>315</v>
      </c>
      <c r="G104" s="272" t="s">
        <v>316</v>
      </c>
      <c r="H104" s="268">
        <v>4127181664</v>
      </c>
      <c r="I104" s="273">
        <v>9500</v>
      </c>
      <c r="J104" s="273">
        <v>9500</v>
      </c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68"/>
      <c r="Y104" s="10"/>
      <c r="Z104" s="10"/>
      <c r="AA104" s="268"/>
      <c r="AB104" s="268"/>
      <c r="AC104" s="268"/>
      <c r="AD104" s="268"/>
      <c r="AE104" s="268"/>
      <c r="AF104" s="268"/>
      <c r="AG104" s="283"/>
      <c r="AH104" s="283"/>
    </row>
    <row r="105" spans="1:76" s="227" customFormat="1" ht="21.75" customHeight="1" x14ac:dyDescent="0.3">
      <c r="A105" s="170">
        <v>105</v>
      </c>
      <c r="B105" s="290">
        <v>41687</v>
      </c>
      <c r="C105" s="168">
        <v>11689172</v>
      </c>
      <c r="D105" s="169" t="s">
        <v>258</v>
      </c>
      <c r="E105" s="169"/>
      <c r="F105" s="171" t="s">
        <v>269</v>
      </c>
      <c r="G105" s="171" t="s">
        <v>269</v>
      </c>
      <c r="H105" s="170">
        <v>4123262319</v>
      </c>
      <c r="I105" s="172">
        <v>0</v>
      </c>
      <c r="J105" s="172" t="s">
        <v>516</v>
      </c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242"/>
      <c r="Y105" s="78"/>
      <c r="Z105" s="78"/>
      <c r="AA105" s="242"/>
      <c r="AB105" s="242"/>
      <c r="AC105" s="242"/>
      <c r="AD105" s="242"/>
      <c r="AE105" s="242"/>
      <c r="AF105" s="242"/>
      <c r="AG105" s="283"/>
      <c r="AH105" s="283"/>
      <c r="AI105" s="281"/>
      <c r="AJ105" s="281"/>
      <c r="AK105" s="281"/>
      <c r="AL105" s="281"/>
      <c r="AM105" s="281"/>
      <c r="AN105" s="281"/>
      <c r="AO105" s="281"/>
      <c r="AP105" s="281"/>
      <c r="AQ105" s="281"/>
      <c r="AR105" s="281"/>
      <c r="AS105" s="281"/>
      <c r="AT105" s="281"/>
      <c r="AU105" s="281"/>
      <c r="AV105" s="281"/>
      <c r="AW105" s="281"/>
      <c r="AX105" s="281"/>
      <c r="AY105" s="281"/>
      <c r="AZ105" s="281"/>
      <c r="BA105" s="281"/>
      <c r="BB105" s="281"/>
      <c r="BC105" s="281"/>
      <c r="BD105" s="281"/>
      <c r="BE105" s="281"/>
      <c r="BF105" s="281"/>
      <c r="BG105" s="281"/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</row>
    <row r="106" spans="1:76" s="227" customFormat="1" ht="21.75" customHeight="1" x14ac:dyDescent="0.3">
      <c r="A106" s="170">
        <v>106</v>
      </c>
      <c r="B106" s="290">
        <v>41757</v>
      </c>
      <c r="C106" s="168">
        <v>13636161</v>
      </c>
      <c r="D106" s="169" t="s">
        <v>259</v>
      </c>
      <c r="E106" s="169" t="s">
        <v>231</v>
      </c>
      <c r="F106" s="171" t="s">
        <v>270</v>
      </c>
      <c r="G106" s="171" t="s">
        <v>271</v>
      </c>
      <c r="H106" s="170">
        <v>4242473630</v>
      </c>
      <c r="I106" s="172">
        <v>12000</v>
      </c>
      <c r="J106" s="172" t="s">
        <v>516</v>
      </c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170"/>
      <c r="Y106" s="229"/>
      <c r="Z106" s="229"/>
      <c r="AA106" s="170"/>
      <c r="AB106" s="170"/>
      <c r="AC106" s="170"/>
      <c r="AD106" s="170"/>
      <c r="AE106" s="170"/>
      <c r="AF106" s="170"/>
      <c r="AG106" s="338"/>
      <c r="AH106" s="338"/>
      <c r="AI106" s="281"/>
      <c r="AJ106" s="281"/>
      <c r="AK106" s="281"/>
      <c r="AL106" s="281"/>
      <c r="AM106" s="281"/>
      <c r="AN106" s="281"/>
      <c r="AO106" s="281"/>
      <c r="AP106" s="281"/>
      <c r="AQ106" s="281"/>
      <c r="AR106" s="281"/>
      <c r="AS106" s="281"/>
      <c r="AT106" s="281"/>
      <c r="AU106" s="281"/>
      <c r="AV106" s="281"/>
      <c r="AW106" s="281"/>
      <c r="AX106" s="281"/>
      <c r="AY106" s="281"/>
      <c r="AZ106" s="281"/>
      <c r="BA106" s="281"/>
      <c r="BB106" s="281"/>
      <c r="BC106" s="281"/>
      <c r="BD106" s="281"/>
      <c r="BE106" s="281"/>
      <c r="BF106" s="281"/>
      <c r="BG106" s="281"/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</row>
    <row r="107" spans="1:76" ht="21.75" customHeight="1" x14ac:dyDescent="0.3">
      <c r="A107" s="52">
        <v>107</v>
      </c>
      <c r="B107" s="111">
        <v>41757</v>
      </c>
      <c r="C107" s="137">
        <v>13636161</v>
      </c>
      <c r="D107" s="53" t="s">
        <v>260</v>
      </c>
      <c r="E107" s="53" t="s">
        <v>231</v>
      </c>
      <c r="F107" s="148" t="s">
        <v>272</v>
      </c>
      <c r="G107" s="148" t="s">
        <v>271</v>
      </c>
      <c r="H107" s="52">
        <v>4242473630</v>
      </c>
      <c r="I107" s="56">
        <v>12000</v>
      </c>
      <c r="J107" s="56" t="s">
        <v>516</v>
      </c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52"/>
      <c r="Y107" s="52"/>
      <c r="Z107" s="52"/>
      <c r="AA107" s="52"/>
      <c r="AB107" s="52"/>
      <c r="AC107" s="52"/>
      <c r="AD107" s="52"/>
      <c r="AE107" s="52"/>
      <c r="AF107" s="52"/>
      <c r="AG107" s="54"/>
      <c r="AH107" s="54"/>
    </row>
    <row r="108" spans="1:76" s="34" customFormat="1" ht="21.75" customHeight="1" x14ac:dyDescent="0.3">
      <c r="A108" s="5">
        <v>108</v>
      </c>
      <c r="B108" s="71">
        <v>41758</v>
      </c>
      <c r="C108" s="131">
        <v>13871662</v>
      </c>
      <c r="D108" s="12" t="s">
        <v>261</v>
      </c>
      <c r="E108" s="12" t="s">
        <v>231</v>
      </c>
      <c r="F108" s="151" t="s">
        <v>457</v>
      </c>
      <c r="G108" s="151" t="s">
        <v>458</v>
      </c>
      <c r="H108" s="5">
        <v>4265101870</v>
      </c>
      <c r="I108" s="29">
        <v>24000</v>
      </c>
      <c r="J108" s="29" t="s">
        <v>65</v>
      </c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5"/>
      <c r="Y108" s="11"/>
      <c r="Z108" s="11"/>
      <c r="AA108" s="5"/>
      <c r="AB108" s="5"/>
      <c r="AC108" s="5"/>
      <c r="AD108" s="5"/>
      <c r="AE108" s="5"/>
      <c r="AF108" s="5"/>
      <c r="AG108" s="21"/>
      <c r="AH108" s="21"/>
    </row>
    <row r="109" spans="1:76" s="395" customFormat="1" ht="21.75" customHeight="1" x14ac:dyDescent="0.3">
      <c r="A109" s="305">
        <v>109</v>
      </c>
      <c r="B109" s="306">
        <v>41764</v>
      </c>
      <c r="C109" s="307">
        <v>10282462</v>
      </c>
      <c r="D109" s="308" t="s">
        <v>262</v>
      </c>
      <c r="E109" s="308" t="s">
        <v>79</v>
      </c>
      <c r="F109" s="310" t="s">
        <v>273</v>
      </c>
      <c r="G109" s="310" t="s">
        <v>274</v>
      </c>
      <c r="H109" s="309">
        <v>4142444345</v>
      </c>
      <c r="I109" s="311">
        <v>33000</v>
      </c>
      <c r="J109" s="311">
        <v>3000</v>
      </c>
      <c r="K109" s="96"/>
      <c r="L109" s="96"/>
      <c r="M109" s="96"/>
      <c r="N109" s="96"/>
      <c r="O109" s="96"/>
      <c r="P109" s="96"/>
      <c r="Q109" s="96"/>
      <c r="R109" s="96"/>
      <c r="S109" s="96"/>
      <c r="T109" s="103">
        <v>3000</v>
      </c>
      <c r="U109" s="103">
        <v>3000</v>
      </c>
      <c r="V109" s="103">
        <v>3000</v>
      </c>
      <c r="W109" s="103">
        <v>3000</v>
      </c>
      <c r="X109" s="311">
        <v>3000</v>
      </c>
      <c r="Y109" s="67"/>
      <c r="Z109" s="67"/>
      <c r="AA109" s="311">
        <v>3000</v>
      </c>
      <c r="AB109" s="311">
        <v>3000</v>
      </c>
      <c r="AC109" s="311">
        <v>1500</v>
      </c>
      <c r="AD109" s="74"/>
      <c r="AE109" s="163"/>
      <c r="AF109" s="93">
        <f>SUM(T109:AE109)+J109-I109</f>
        <v>-7500</v>
      </c>
      <c r="AG109" s="312"/>
      <c r="AH109" s="312"/>
    </row>
    <row r="110" spans="1:76" s="55" customFormat="1" ht="21.75" customHeight="1" x14ac:dyDescent="0.3">
      <c r="A110" s="23">
        <v>110</v>
      </c>
      <c r="B110" s="90">
        <v>41759</v>
      </c>
      <c r="C110" s="135">
        <v>18249263</v>
      </c>
      <c r="D110" s="24" t="s">
        <v>263</v>
      </c>
      <c r="E110" s="24" t="s">
        <v>79</v>
      </c>
      <c r="F110" s="144" t="s">
        <v>275</v>
      </c>
      <c r="G110" s="144" t="s">
        <v>275</v>
      </c>
      <c r="H110" s="23">
        <v>4142357450</v>
      </c>
      <c r="I110" s="70">
        <v>29700</v>
      </c>
      <c r="J110" s="70">
        <v>2700</v>
      </c>
      <c r="K110" s="83"/>
      <c r="L110" s="83"/>
      <c r="M110" s="83"/>
      <c r="N110" s="83"/>
      <c r="O110" s="83"/>
      <c r="P110" s="83"/>
      <c r="Q110" s="83"/>
      <c r="R110" s="83"/>
      <c r="S110" s="83">
        <v>2700</v>
      </c>
      <c r="T110" s="83">
        <v>2700</v>
      </c>
      <c r="U110" s="83">
        <v>2700</v>
      </c>
      <c r="V110" s="83">
        <v>2700</v>
      </c>
      <c r="W110" s="83">
        <v>2700</v>
      </c>
      <c r="X110" s="70">
        <v>2700</v>
      </c>
      <c r="Y110" s="67"/>
      <c r="Z110" s="67"/>
      <c r="AA110" s="70">
        <v>2700</v>
      </c>
      <c r="AB110" s="70">
        <v>2700</v>
      </c>
      <c r="AC110" s="70">
        <v>2700</v>
      </c>
      <c r="AD110" s="70">
        <v>1350</v>
      </c>
      <c r="AE110" s="176">
        <f>SUM(S110:AD110)+J110-I110</f>
        <v>-1350</v>
      </c>
      <c r="AF110" s="23"/>
      <c r="AG110" s="63"/>
      <c r="AH110" s="63"/>
    </row>
    <row r="111" spans="1:76" s="34" customFormat="1" ht="21.75" customHeight="1" x14ac:dyDescent="0.3">
      <c r="A111" s="5">
        <v>111</v>
      </c>
      <c r="B111" s="71">
        <v>41758</v>
      </c>
      <c r="C111" s="131">
        <v>8675655</v>
      </c>
      <c r="D111" s="12" t="s">
        <v>288</v>
      </c>
      <c r="E111" s="12">
        <v>1</v>
      </c>
      <c r="F111" s="151" t="s">
        <v>583</v>
      </c>
      <c r="G111" s="151" t="s">
        <v>360</v>
      </c>
      <c r="H111" s="5">
        <v>4241083672</v>
      </c>
      <c r="I111" s="29">
        <v>30000</v>
      </c>
      <c r="J111" s="29">
        <v>30000</v>
      </c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5"/>
      <c r="Y111" s="11"/>
      <c r="Z111" s="11"/>
      <c r="AA111" s="5"/>
      <c r="AB111" s="5"/>
      <c r="AC111" s="5"/>
      <c r="AD111" s="5"/>
      <c r="AE111" s="5"/>
      <c r="AF111" s="5"/>
      <c r="AG111" s="21"/>
      <c r="AH111" s="21"/>
    </row>
    <row r="112" spans="1:76" s="227" customFormat="1" ht="21.75" customHeight="1" x14ac:dyDescent="0.3">
      <c r="A112" s="268">
        <v>112</v>
      </c>
      <c r="B112" s="269">
        <v>41758</v>
      </c>
      <c r="C112" s="270"/>
      <c r="D112" s="271" t="s">
        <v>264</v>
      </c>
      <c r="E112" s="271" t="s">
        <v>301</v>
      </c>
      <c r="F112" s="272" t="s">
        <v>358</v>
      </c>
      <c r="G112" s="272" t="s">
        <v>359</v>
      </c>
      <c r="H112" s="268">
        <v>4141250456</v>
      </c>
      <c r="I112" s="273">
        <v>9500</v>
      </c>
      <c r="J112" s="273">
        <v>9500</v>
      </c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68"/>
      <c r="Y112" s="10"/>
      <c r="Z112" s="10"/>
      <c r="AA112" s="268"/>
      <c r="AB112" s="268"/>
      <c r="AC112" s="268"/>
      <c r="AD112" s="268"/>
      <c r="AE112" s="268"/>
      <c r="AF112" s="268"/>
      <c r="AG112" s="283"/>
      <c r="AH112" s="283"/>
    </row>
    <row r="113" spans="1:73" s="227" customFormat="1" ht="21.75" customHeight="1" x14ac:dyDescent="0.3">
      <c r="A113" s="268">
        <v>113</v>
      </c>
      <c r="B113" s="269"/>
      <c r="C113" s="270"/>
      <c r="D113" s="271" t="s">
        <v>265</v>
      </c>
      <c r="E113" s="271" t="s">
        <v>301</v>
      </c>
      <c r="F113" s="272" t="s">
        <v>356</v>
      </c>
      <c r="G113" s="272" t="s">
        <v>357</v>
      </c>
      <c r="H113" s="268">
        <v>4265181042</v>
      </c>
      <c r="I113" s="273">
        <v>9500</v>
      </c>
      <c r="J113" s="273">
        <v>9500</v>
      </c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68"/>
      <c r="Y113" s="10"/>
      <c r="Z113" s="10"/>
      <c r="AA113" s="268"/>
      <c r="AB113" s="268"/>
      <c r="AC113" s="268"/>
      <c r="AD113" s="268"/>
      <c r="AE113" s="268"/>
      <c r="AF113" s="268"/>
      <c r="AG113" s="283"/>
      <c r="AH113" s="283"/>
    </row>
    <row r="114" spans="1:73" s="227" customFormat="1" ht="21.75" customHeight="1" x14ac:dyDescent="0.3">
      <c r="A114" s="268">
        <v>114</v>
      </c>
      <c r="B114" s="269">
        <v>41761</v>
      </c>
      <c r="C114" s="270"/>
      <c r="D114" s="271" t="s">
        <v>266</v>
      </c>
      <c r="E114" s="271" t="s">
        <v>301</v>
      </c>
      <c r="F114" s="272" t="s">
        <v>354</v>
      </c>
      <c r="G114" s="272" t="s">
        <v>355</v>
      </c>
      <c r="H114" s="268">
        <v>3729889</v>
      </c>
      <c r="I114" s="273">
        <v>9500</v>
      </c>
      <c r="J114" s="273">
        <v>9500</v>
      </c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68"/>
      <c r="Y114" s="10"/>
      <c r="Z114" s="10"/>
      <c r="AA114" s="268"/>
      <c r="AB114" s="268"/>
      <c r="AC114" s="268"/>
      <c r="AD114" s="268"/>
      <c r="AE114" s="268"/>
      <c r="AF114" s="268"/>
      <c r="AG114" s="283"/>
      <c r="AH114" s="283"/>
    </row>
    <row r="115" spans="1:73" s="227" customFormat="1" ht="21.75" customHeight="1" x14ac:dyDescent="0.3">
      <c r="A115" s="268">
        <v>115</v>
      </c>
      <c r="B115" s="269">
        <v>41758</v>
      </c>
      <c r="C115" s="270">
        <v>10512866</v>
      </c>
      <c r="D115" s="271" t="s">
        <v>267</v>
      </c>
      <c r="E115" s="271" t="s">
        <v>301</v>
      </c>
      <c r="F115" s="272" t="s">
        <v>310</v>
      </c>
      <c r="G115" s="272" t="s">
        <v>311</v>
      </c>
      <c r="H115" s="268">
        <v>4242682010</v>
      </c>
      <c r="I115" s="273">
        <v>9500</v>
      </c>
      <c r="J115" s="273">
        <v>9500</v>
      </c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68"/>
      <c r="Y115" s="10"/>
      <c r="Z115" s="10"/>
      <c r="AA115" s="268"/>
      <c r="AB115" s="268"/>
      <c r="AC115" s="268"/>
      <c r="AD115" s="268"/>
      <c r="AE115" s="268"/>
      <c r="AF115" s="268"/>
      <c r="AG115" s="283"/>
      <c r="AH115" s="283"/>
    </row>
    <row r="116" spans="1:73" s="227" customFormat="1" ht="21.75" customHeight="1" x14ac:dyDescent="0.3">
      <c r="A116" s="268">
        <v>116</v>
      </c>
      <c r="B116" s="269">
        <v>41758</v>
      </c>
      <c r="C116" s="270"/>
      <c r="D116" s="271" t="s">
        <v>268</v>
      </c>
      <c r="E116" s="271" t="s">
        <v>301</v>
      </c>
      <c r="F116" s="272" t="s">
        <v>352</v>
      </c>
      <c r="G116" s="272" t="s">
        <v>353</v>
      </c>
      <c r="H116" s="268">
        <v>4241083672</v>
      </c>
      <c r="I116" s="273">
        <v>9500</v>
      </c>
      <c r="J116" s="273">
        <v>9500</v>
      </c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68"/>
      <c r="Y116" s="10"/>
      <c r="Z116" s="10"/>
      <c r="AA116" s="268"/>
      <c r="AB116" s="268"/>
      <c r="AC116" s="268"/>
      <c r="AD116" s="268"/>
      <c r="AE116" s="268"/>
      <c r="AF116" s="268"/>
      <c r="AG116" s="283"/>
      <c r="AH116" s="283"/>
    </row>
    <row r="117" spans="1:73" s="216" customFormat="1" ht="21.75" customHeight="1" x14ac:dyDescent="0.3">
      <c r="A117" s="4">
        <v>117</v>
      </c>
      <c r="B117" s="92">
        <v>41759</v>
      </c>
      <c r="C117" s="132">
        <v>15801538</v>
      </c>
      <c r="D117" s="31" t="s">
        <v>277</v>
      </c>
      <c r="E117" s="31" t="s">
        <v>79</v>
      </c>
      <c r="F117" s="145" t="s">
        <v>276</v>
      </c>
      <c r="G117" s="145" t="s">
        <v>276</v>
      </c>
      <c r="H117" s="42">
        <v>4122921012</v>
      </c>
      <c r="I117" s="68">
        <v>33000</v>
      </c>
      <c r="J117" s="68">
        <v>3000</v>
      </c>
      <c r="K117" s="77"/>
      <c r="L117" s="77"/>
      <c r="M117" s="77"/>
      <c r="N117" s="77"/>
      <c r="O117" s="77"/>
      <c r="P117" s="77"/>
      <c r="Q117" s="77"/>
      <c r="R117" s="77"/>
      <c r="S117" s="84">
        <v>3000</v>
      </c>
      <c r="T117" s="84">
        <v>3000</v>
      </c>
      <c r="U117" s="84">
        <v>3000</v>
      </c>
      <c r="V117" s="84">
        <v>3000</v>
      </c>
      <c r="W117" s="77"/>
      <c r="X117" s="78"/>
      <c r="Y117" s="78"/>
      <c r="Z117" s="78"/>
      <c r="AA117" s="78"/>
      <c r="AB117" s="78"/>
      <c r="AC117" s="78"/>
      <c r="AD117" s="78"/>
      <c r="AE117" s="93">
        <f>SUM(S117:AD117)+J117-I117</f>
        <v>-18000</v>
      </c>
      <c r="AF117" s="4"/>
      <c r="AG117" s="6"/>
      <c r="AH117" s="6"/>
    </row>
    <row r="118" spans="1:73" s="227" customFormat="1" ht="21.75" customHeight="1" x14ac:dyDescent="0.3">
      <c r="A118" s="268">
        <v>118</v>
      </c>
      <c r="B118" s="269"/>
      <c r="C118" s="270">
        <v>10865273</v>
      </c>
      <c r="D118" s="271" t="s">
        <v>278</v>
      </c>
      <c r="E118" s="271" t="s">
        <v>301</v>
      </c>
      <c r="F118" s="272" t="s">
        <v>351</v>
      </c>
      <c r="G118" s="272" t="s">
        <v>282</v>
      </c>
      <c r="H118" s="268">
        <v>4127295723</v>
      </c>
      <c r="I118" s="273">
        <v>9500</v>
      </c>
      <c r="J118" s="273">
        <v>9500</v>
      </c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68"/>
      <c r="Y118" s="10"/>
      <c r="Z118" s="10"/>
      <c r="AA118" s="268"/>
      <c r="AB118" s="268"/>
      <c r="AC118" s="268"/>
      <c r="AD118" s="268"/>
      <c r="AE118" s="268"/>
      <c r="AF118" s="268"/>
      <c r="AG118" s="283"/>
      <c r="AH118" s="283"/>
    </row>
    <row r="119" spans="1:73" ht="21.75" customHeight="1" x14ac:dyDescent="0.3">
      <c r="A119" s="5">
        <v>119</v>
      </c>
      <c r="B119" s="71">
        <v>41766</v>
      </c>
      <c r="C119" s="131">
        <v>10805273</v>
      </c>
      <c r="D119" s="12" t="s">
        <v>279</v>
      </c>
      <c r="E119" s="12" t="s">
        <v>231</v>
      </c>
      <c r="F119" s="141" t="s">
        <v>282</v>
      </c>
      <c r="G119" s="141" t="s">
        <v>282</v>
      </c>
      <c r="H119" s="5">
        <v>4127295723</v>
      </c>
      <c r="I119" s="29">
        <v>24000</v>
      </c>
      <c r="J119" s="29" t="s">
        <v>65</v>
      </c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5"/>
      <c r="Y119" s="5"/>
      <c r="Z119" s="5"/>
      <c r="AA119" s="5"/>
      <c r="AB119" s="5"/>
      <c r="AC119" s="5"/>
      <c r="AD119" s="5"/>
      <c r="AE119" s="5"/>
      <c r="AF119" s="5"/>
      <c r="AG119" s="21"/>
      <c r="AH119" s="21"/>
    </row>
    <row r="120" spans="1:73" s="227" customFormat="1" ht="21.75" customHeight="1" x14ac:dyDescent="0.3">
      <c r="A120" s="268">
        <v>120</v>
      </c>
      <c r="B120" s="269">
        <v>41766</v>
      </c>
      <c r="C120" s="270">
        <v>22034049</v>
      </c>
      <c r="D120" s="271" t="s">
        <v>280</v>
      </c>
      <c r="E120" s="271" t="s">
        <v>301</v>
      </c>
      <c r="F120" s="272" t="s">
        <v>308</v>
      </c>
      <c r="G120" s="272" t="s">
        <v>309</v>
      </c>
      <c r="H120" s="268">
        <v>4129551371</v>
      </c>
      <c r="I120" s="273">
        <v>10500</v>
      </c>
      <c r="J120" s="273">
        <v>10500</v>
      </c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68"/>
      <c r="Y120" s="10"/>
      <c r="Z120" s="10"/>
      <c r="AA120" s="268"/>
      <c r="AB120" s="268"/>
      <c r="AC120" s="268"/>
      <c r="AD120" s="268"/>
      <c r="AE120" s="268"/>
      <c r="AF120" s="268"/>
      <c r="AG120" s="283"/>
      <c r="AH120" s="283"/>
    </row>
    <row r="121" spans="1:73" s="227" customFormat="1" ht="21.75" customHeight="1" x14ac:dyDescent="0.3">
      <c r="A121" s="268">
        <v>121</v>
      </c>
      <c r="B121" s="269">
        <v>41766</v>
      </c>
      <c r="C121" s="270">
        <v>16147445</v>
      </c>
      <c r="D121" s="271" t="s">
        <v>281</v>
      </c>
      <c r="E121" s="271" t="s">
        <v>301</v>
      </c>
      <c r="F121" s="272" t="s">
        <v>306</v>
      </c>
      <c r="G121" s="272" t="s">
        <v>307</v>
      </c>
      <c r="H121" s="268">
        <v>4143318372</v>
      </c>
      <c r="I121" s="273">
        <v>9500</v>
      </c>
      <c r="J121" s="273">
        <v>9500</v>
      </c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68"/>
      <c r="Y121" s="10"/>
      <c r="Z121" s="10"/>
      <c r="AA121" s="268"/>
      <c r="AB121" s="268"/>
      <c r="AC121" s="268"/>
      <c r="AD121" s="268"/>
      <c r="AE121" s="268"/>
      <c r="AF121" s="268"/>
      <c r="AG121" s="283"/>
      <c r="AH121" s="283"/>
    </row>
    <row r="122" spans="1:73" s="227" customFormat="1" ht="21.75" customHeight="1" x14ac:dyDescent="0.3">
      <c r="A122" s="268">
        <v>122</v>
      </c>
      <c r="B122" s="269">
        <v>41767</v>
      </c>
      <c r="C122" s="270">
        <v>13584688</v>
      </c>
      <c r="D122" s="271" t="s">
        <v>283</v>
      </c>
      <c r="E122" s="271" t="s">
        <v>345</v>
      </c>
      <c r="F122" s="272" t="s">
        <v>346</v>
      </c>
      <c r="G122" s="272" t="s">
        <v>347</v>
      </c>
      <c r="H122" s="268">
        <v>4129699615</v>
      </c>
      <c r="I122" s="273">
        <v>9500</v>
      </c>
      <c r="J122" s="273">
        <v>9500</v>
      </c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68"/>
      <c r="Y122" s="10"/>
      <c r="Z122" s="10"/>
      <c r="AA122" s="268"/>
      <c r="AB122" s="268"/>
      <c r="AC122" s="268"/>
      <c r="AD122" s="268"/>
      <c r="AE122" s="268"/>
      <c r="AF122" s="268"/>
      <c r="AG122" s="283"/>
      <c r="AH122" s="283"/>
    </row>
    <row r="123" spans="1:73" ht="21.75" customHeight="1" x14ac:dyDescent="0.3">
      <c r="A123" s="5">
        <v>123</v>
      </c>
      <c r="B123" s="71">
        <v>41767</v>
      </c>
      <c r="C123" s="131">
        <v>11037699</v>
      </c>
      <c r="D123" s="12" t="s">
        <v>284</v>
      </c>
      <c r="E123" s="12" t="s">
        <v>79</v>
      </c>
      <c r="F123" s="141" t="s">
        <v>286</v>
      </c>
      <c r="G123" s="141" t="s">
        <v>287</v>
      </c>
      <c r="H123" s="5">
        <v>4141730756</v>
      </c>
      <c r="I123" s="29">
        <v>9500</v>
      </c>
      <c r="J123" s="29" t="s">
        <v>65</v>
      </c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5"/>
      <c r="Y123" s="5"/>
      <c r="Z123" s="5"/>
      <c r="AA123" s="5"/>
      <c r="AB123" s="5"/>
      <c r="AC123" s="5"/>
      <c r="AD123" s="5"/>
      <c r="AE123" s="5"/>
      <c r="AF123" s="5"/>
      <c r="AG123" s="21"/>
      <c r="AH123" s="21"/>
    </row>
    <row r="124" spans="1:73" s="227" customFormat="1" ht="21.75" customHeight="1" x14ac:dyDescent="0.3">
      <c r="A124" s="268">
        <v>124</v>
      </c>
      <c r="B124" s="269">
        <v>41767</v>
      </c>
      <c r="C124" s="270">
        <v>11668937</v>
      </c>
      <c r="D124" s="271" t="s">
        <v>285</v>
      </c>
      <c r="E124" s="271" t="s">
        <v>301</v>
      </c>
      <c r="F124" s="272" t="s">
        <v>323</v>
      </c>
      <c r="G124" s="272" t="s">
        <v>324</v>
      </c>
      <c r="H124" s="268">
        <v>4142928373</v>
      </c>
      <c r="I124" s="273">
        <v>9500</v>
      </c>
      <c r="J124" s="273">
        <v>9500</v>
      </c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68"/>
      <c r="Y124" s="10"/>
      <c r="Z124" s="10"/>
      <c r="AA124" s="268"/>
      <c r="AB124" s="268"/>
      <c r="AC124" s="268"/>
      <c r="AD124" s="268"/>
      <c r="AE124" s="268"/>
      <c r="AF124" s="268"/>
      <c r="AG124" s="283"/>
      <c r="AH124" s="283"/>
    </row>
    <row r="125" spans="1:73" s="227" customFormat="1" ht="21.75" customHeight="1" x14ac:dyDescent="0.3">
      <c r="A125" s="268">
        <v>125</v>
      </c>
      <c r="B125" s="269">
        <v>41768</v>
      </c>
      <c r="C125" s="270">
        <v>11410949</v>
      </c>
      <c r="D125" s="271" t="s">
        <v>289</v>
      </c>
      <c r="E125" s="271" t="s">
        <v>301</v>
      </c>
      <c r="F125" s="272" t="s">
        <v>340</v>
      </c>
      <c r="G125" s="272" t="s">
        <v>341</v>
      </c>
      <c r="H125" s="268">
        <v>4169361470</v>
      </c>
      <c r="I125" s="273">
        <v>9500</v>
      </c>
      <c r="J125" s="273">
        <v>9500</v>
      </c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68"/>
      <c r="Y125" s="10"/>
      <c r="Z125" s="10"/>
      <c r="AA125" s="268"/>
      <c r="AB125" s="268"/>
      <c r="AC125" s="268"/>
      <c r="AD125" s="268"/>
      <c r="AE125" s="268"/>
      <c r="AF125" s="268"/>
      <c r="AG125" s="283"/>
      <c r="AH125" s="283"/>
    </row>
    <row r="126" spans="1:73" s="227" customFormat="1" ht="21.75" customHeight="1" x14ac:dyDescent="0.3">
      <c r="A126" s="268">
        <v>126</v>
      </c>
      <c r="B126" s="269">
        <v>41768</v>
      </c>
      <c r="C126" s="270">
        <v>84284725</v>
      </c>
      <c r="D126" s="271" t="s">
        <v>290</v>
      </c>
      <c r="E126" s="271" t="s">
        <v>301</v>
      </c>
      <c r="F126" s="272" t="s">
        <v>348</v>
      </c>
      <c r="G126" s="272" t="s">
        <v>349</v>
      </c>
      <c r="H126" s="268">
        <v>4242690402</v>
      </c>
      <c r="I126" s="273">
        <v>9500</v>
      </c>
      <c r="J126" s="273">
        <v>9500</v>
      </c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68"/>
      <c r="Y126" s="10"/>
      <c r="Z126" s="10"/>
      <c r="AA126" s="268"/>
      <c r="AB126" s="268"/>
      <c r="AC126" s="268"/>
      <c r="AD126" s="268"/>
      <c r="AE126" s="268"/>
      <c r="AF126" s="268"/>
      <c r="AG126" s="283"/>
      <c r="AH126" s="283"/>
      <c r="AI126" s="281"/>
      <c r="AJ126" s="281"/>
      <c r="AK126" s="281"/>
      <c r="AL126" s="281"/>
      <c r="AM126" s="281"/>
      <c r="AN126" s="281"/>
      <c r="AO126" s="281"/>
      <c r="AP126" s="281"/>
      <c r="AQ126" s="281"/>
      <c r="AR126" s="281"/>
      <c r="AS126" s="281"/>
      <c r="AT126" s="281"/>
      <c r="AU126" s="281"/>
      <c r="AV126" s="281"/>
      <c r="AW126" s="281"/>
      <c r="AX126" s="281"/>
      <c r="AY126" s="281"/>
      <c r="AZ126" s="281"/>
      <c r="BA126" s="281"/>
      <c r="BB126" s="281"/>
      <c r="BC126" s="281"/>
      <c r="BD126" s="281"/>
      <c r="BE126" s="281"/>
      <c r="BF126" s="281"/>
      <c r="BG126" s="281"/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</row>
    <row r="127" spans="1:73" s="227" customFormat="1" ht="21.75" customHeight="1" x14ac:dyDescent="0.3">
      <c r="A127" s="268">
        <v>127</v>
      </c>
      <c r="B127" s="269">
        <v>41768</v>
      </c>
      <c r="C127" s="270">
        <v>84284725</v>
      </c>
      <c r="D127" s="271" t="s">
        <v>291</v>
      </c>
      <c r="E127" s="271" t="s">
        <v>301</v>
      </c>
      <c r="F127" s="272" t="s">
        <v>350</v>
      </c>
      <c r="G127" s="272" t="s">
        <v>349</v>
      </c>
      <c r="H127" s="268">
        <v>4242690402</v>
      </c>
      <c r="I127" s="273">
        <v>9500</v>
      </c>
      <c r="J127" s="273">
        <v>9500</v>
      </c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68"/>
      <c r="Y127" s="10"/>
      <c r="Z127" s="10"/>
      <c r="AA127" s="268"/>
      <c r="AB127" s="268"/>
      <c r="AC127" s="268"/>
      <c r="AD127" s="268"/>
      <c r="AE127" s="268"/>
      <c r="AF127" s="268"/>
      <c r="AG127" s="283"/>
      <c r="AH127" s="283"/>
    </row>
    <row r="128" spans="1:73" s="227" customFormat="1" ht="21.75" customHeight="1" x14ac:dyDescent="0.3">
      <c r="A128" s="268">
        <v>128</v>
      </c>
      <c r="B128" s="269">
        <v>41768</v>
      </c>
      <c r="C128" s="270">
        <v>11030759</v>
      </c>
      <c r="D128" s="271" t="s">
        <v>292</v>
      </c>
      <c r="E128" s="271" t="s">
        <v>301</v>
      </c>
      <c r="F128" s="272" t="s">
        <v>302</v>
      </c>
      <c r="G128" s="272" t="s">
        <v>303</v>
      </c>
      <c r="H128" s="268">
        <v>4129551371</v>
      </c>
      <c r="I128" s="273">
        <v>10500</v>
      </c>
      <c r="J128" s="273">
        <v>10500</v>
      </c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68"/>
      <c r="Y128" s="10"/>
      <c r="Z128" s="10"/>
      <c r="AA128" s="268"/>
      <c r="AB128" s="268"/>
      <c r="AC128" s="268"/>
      <c r="AD128" s="268"/>
      <c r="AE128" s="268"/>
      <c r="AF128" s="268"/>
      <c r="AG128" s="283"/>
      <c r="AH128" s="283"/>
    </row>
    <row r="129" spans="1:34" s="227" customFormat="1" ht="21.75" customHeight="1" x14ac:dyDescent="0.3">
      <c r="A129" s="268">
        <v>129</v>
      </c>
      <c r="B129" s="269">
        <v>41768</v>
      </c>
      <c r="C129" s="270">
        <v>10501229</v>
      </c>
      <c r="D129" s="271" t="s">
        <v>293</v>
      </c>
      <c r="E129" s="271" t="s">
        <v>301</v>
      </c>
      <c r="F129" s="272" t="s">
        <v>319</v>
      </c>
      <c r="G129" s="272" t="s">
        <v>320</v>
      </c>
      <c r="H129" s="268">
        <v>4166090500</v>
      </c>
      <c r="I129" s="273">
        <v>9500</v>
      </c>
      <c r="J129" s="273">
        <v>9500</v>
      </c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68"/>
      <c r="Y129" s="10"/>
      <c r="Z129" s="10"/>
      <c r="AA129" s="268"/>
      <c r="AB129" s="268"/>
      <c r="AC129" s="268"/>
      <c r="AD129" s="268"/>
      <c r="AE129" s="268"/>
      <c r="AF129" s="268"/>
      <c r="AG129" s="283"/>
      <c r="AH129" s="283"/>
    </row>
    <row r="130" spans="1:34" s="227" customFormat="1" ht="21.75" customHeight="1" x14ac:dyDescent="0.3">
      <c r="A130" s="268">
        <v>130</v>
      </c>
      <c r="B130" s="269">
        <v>41768</v>
      </c>
      <c r="C130" s="270">
        <v>5455882</v>
      </c>
      <c r="D130" s="271" t="s">
        <v>294</v>
      </c>
      <c r="E130" s="271" t="s">
        <v>301</v>
      </c>
      <c r="F130" s="272" t="s">
        <v>332</v>
      </c>
      <c r="G130" s="272" t="s">
        <v>333</v>
      </c>
      <c r="H130" s="268">
        <v>4242348163</v>
      </c>
      <c r="I130" s="273">
        <v>9500</v>
      </c>
      <c r="J130" s="273">
        <v>9500</v>
      </c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68"/>
      <c r="Y130" s="10"/>
      <c r="Z130" s="10"/>
      <c r="AA130" s="268"/>
      <c r="AB130" s="268"/>
      <c r="AC130" s="268"/>
      <c r="AD130" s="268"/>
      <c r="AE130" s="268"/>
      <c r="AF130" s="268"/>
      <c r="AG130" s="283"/>
      <c r="AH130" s="283"/>
    </row>
    <row r="131" spans="1:34" s="227" customFormat="1" ht="21.75" customHeight="1" x14ac:dyDescent="0.3">
      <c r="A131" s="268">
        <v>131</v>
      </c>
      <c r="B131" s="269">
        <v>41768</v>
      </c>
      <c r="C131" s="270">
        <v>14059263</v>
      </c>
      <c r="D131" s="271" t="s">
        <v>295</v>
      </c>
      <c r="E131" s="271" t="s">
        <v>301</v>
      </c>
      <c r="F131" s="272" t="s">
        <v>334</v>
      </c>
      <c r="G131" s="272" t="s">
        <v>335</v>
      </c>
      <c r="H131" s="268">
        <v>4120151846</v>
      </c>
      <c r="I131" s="273">
        <v>10500</v>
      </c>
      <c r="J131" s="273">
        <v>10500</v>
      </c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68"/>
      <c r="Y131" s="10"/>
      <c r="Z131" s="10"/>
      <c r="AA131" s="268"/>
      <c r="AB131" s="268"/>
      <c r="AC131" s="268"/>
      <c r="AD131" s="268"/>
      <c r="AE131" s="268"/>
      <c r="AF131" s="268"/>
      <c r="AG131" s="283"/>
      <c r="AH131" s="283"/>
    </row>
    <row r="132" spans="1:34" s="227" customFormat="1" ht="21.75" customHeight="1" x14ac:dyDescent="0.3">
      <c r="A132" s="268">
        <v>132</v>
      </c>
      <c r="B132" s="269">
        <v>41768</v>
      </c>
      <c r="C132" s="270">
        <v>14748849</v>
      </c>
      <c r="D132" s="271" t="s">
        <v>296</v>
      </c>
      <c r="E132" s="271" t="s">
        <v>301</v>
      </c>
      <c r="F132" s="272" t="s">
        <v>325</v>
      </c>
      <c r="G132" s="272" t="s">
        <v>326</v>
      </c>
      <c r="H132" s="268">
        <v>4246823768</v>
      </c>
      <c r="I132" s="273">
        <v>10500</v>
      </c>
      <c r="J132" s="273">
        <v>10500</v>
      </c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68"/>
      <c r="Y132" s="10"/>
      <c r="Z132" s="10"/>
      <c r="AA132" s="268"/>
      <c r="AB132" s="268"/>
      <c r="AC132" s="268"/>
      <c r="AD132" s="268"/>
      <c r="AE132" s="268"/>
      <c r="AF132" s="268"/>
      <c r="AG132" s="283"/>
      <c r="AH132" s="283"/>
    </row>
    <row r="133" spans="1:34" s="227" customFormat="1" ht="21.75" customHeight="1" x14ac:dyDescent="0.3">
      <c r="A133" s="268">
        <v>133</v>
      </c>
      <c r="B133" s="269">
        <v>41768</v>
      </c>
      <c r="C133" s="270">
        <v>14748849</v>
      </c>
      <c r="D133" s="271" t="s">
        <v>297</v>
      </c>
      <c r="E133" s="271" t="s">
        <v>301</v>
      </c>
      <c r="F133" s="272" t="s">
        <v>327</v>
      </c>
      <c r="G133" s="272" t="s">
        <v>328</v>
      </c>
      <c r="H133" s="268">
        <v>4246823768</v>
      </c>
      <c r="I133" s="273">
        <v>10500</v>
      </c>
      <c r="J133" s="287">
        <v>10500</v>
      </c>
      <c r="K133" s="288"/>
      <c r="L133" s="288"/>
      <c r="M133" s="288"/>
      <c r="N133" s="288"/>
      <c r="O133" s="288"/>
      <c r="P133" s="289"/>
      <c r="Q133" s="286"/>
      <c r="R133" s="286"/>
      <c r="S133" s="286"/>
      <c r="T133" s="286"/>
      <c r="U133" s="286"/>
      <c r="V133" s="286"/>
      <c r="W133" s="286"/>
      <c r="X133" s="268"/>
      <c r="Y133" s="10"/>
      <c r="Z133" s="10"/>
      <c r="AA133" s="268"/>
      <c r="AB133" s="268"/>
      <c r="AC133" s="268"/>
      <c r="AD133" s="268"/>
      <c r="AE133" s="268"/>
      <c r="AF133" s="268"/>
      <c r="AG133" s="283"/>
      <c r="AH133" s="283"/>
    </row>
    <row r="134" spans="1:34" s="227" customFormat="1" ht="21.75" customHeight="1" x14ac:dyDescent="0.3">
      <c r="A134" s="268">
        <v>134</v>
      </c>
      <c r="B134" s="269">
        <v>41768</v>
      </c>
      <c r="C134" s="270">
        <v>13944383</v>
      </c>
      <c r="D134" s="271" t="s">
        <v>298</v>
      </c>
      <c r="E134" s="271" t="s">
        <v>301</v>
      </c>
      <c r="F134" s="272" t="s">
        <v>336</v>
      </c>
      <c r="G134" s="272" t="s">
        <v>337</v>
      </c>
      <c r="H134" s="268"/>
      <c r="I134" s="273">
        <v>10500</v>
      </c>
      <c r="J134" s="273">
        <v>10500</v>
      </c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68"/>
      <c r="Y134" s="10"/>
      <c r="Z134" s="10"/>
      <c r="AA134" s="268"/>
      <c r="AB134" s="268"/>
      <c r="AC134" s="268"/>
      <c r="AD134" s="268"/>
      <c r="AE134" s="268"/>
      <c r="AF134" s="268"/>
      <c r="AG134" s="283"/>
      <c r="AH134" s="283"/>
    </row>
    <row r="135" spans="1:34" s="227" customFormat="1" ht="21.75" customHeight="1" x14ac:dyDescent="0.3">
      <c r="A135" s="268">
        <v>135</v>
      </c>
      <c r="B135" s="269">
        <v>41768</v>
      </c>
      <c r="C135" s="270">
        <v>12951015</v>
      </c>
      <c r="D135" s="271" t="s">
        <v>299</v>
      </c>
      <c r="E135" s="271" t="s">
        <v>301</v>
      </c>
      <c r="F135" s="272" t="s">
        <v>901</v>
      </c>
      <c r="G135" s="272" t="s">
        <v>329</v>
      </c>
      <c r="H135" s="268">
        <v>4166241693</v>
      </c>
      <c r="I135" s="273">
        <v>9500</v>
      </c>
      <c r="J135" s="273">
        <v>9500</v>
      </c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68"/>
      <c r="Y135" s="10"/>
      <c r="Z135" s="10"/>
      <c r="AA135" s="268"/>
      <c r="AB135" s="268"/>
      <c r="AC135" s="268"/>
      <c r="AD135" s="268"/>
      <c r="AE135" s="268"/>
      <c r="AF135" s="268"/>
      <c r="AG135" s="283"/>
      <c r="AH135" s="283"/>
    </row>
    <row r="136" spans="1:34" s="227" customFormat="1" ht="21.75" customHeight="1" x14ac:dyDescent="0.3">
      <c r="A136" s="268">
        <v>136</v>
      </c>
      <c r="B136" s="269">
        <v>41768</v>
      </c>
      <c r="C136" s="270">
        <v>5976964</v>
      </c>
      <c r="D136" s="271" t="s">
        <v>300</v>
      </c>
      <c r="E136" s="271" t="s">
        <v>301</v>
      </c>
      <c r="F136" s="272" t="s">
        <v>330</v>
      </c>
      <c r="G136" s="272" t="s">
        <v>331</v>
      </c>
      <c r="H136" s="268">
        <v>4163030901</v>
      </c>
      <c r="I136" s="273">
        <v>10500</v>
      </c>
      <c r="J136" s="273">
        <v>10500</v>
      </c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68"/>
      <c r="Y136" s="10"/>
      <c r="Z136" s="10"/>
      <c r="AA136" s="268"/>
      <c r="AB136" s="268"/>
      <c r="AC136" s="268"/>
      <c r="AD136" s="268"/>
      <c r="AE136" s="268"/>
      <c r="AF136" s="268"/>
      <c r="AG136" s="283"/>
      <c r="AH136" s="283"/>
    </row>
    <row r="137" spans="1:34" s="227" customFormat="1" ht="21.75" customHeight="1" x14ac:dyDescent="0.3">
      <c r="A137" s="268">
        <v>137</v>
      </c>
      <c r="B137" s="269">
        <v>41768</v>
      </c>
      <c r="C137" s="270">
        <v>13177154</v>
      </c>
      <c r="D137" s="271" t="s">
        <v>304</v>
      </c>
      <c r="E137" s="271" t="s">
        <v>301</v>
      </c>
      <c r="F137" s="272" t="s">
        <v>338</v>
      </c>
      <c r="G137" s="272" t="s">
        <v>339</v>
      </c>
      <c r="H137" s="268">
        <v>4265195044</v>
      </c>
      <c r="I137" s="273">
        <v>10500</v>
      </c>
      <c r="J137" s="273">
        <v>10500</v>
      </c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68"/>
      <c r="Y137" s="10"/>
      <c r="Z137" s="10"/>
      <c r="AA137" s="268"/>
      <c r="AB137" s="268"/>
      <c r="AC137" s="268"/>
      <c r="AD137" s="268"/>
      <c r="AE137" s="268"/>
      <c r="AF137" s="268"/>
      <c r="AG137" s="283"/>
      <c r="AH137" s="283"/>
    </row>
    <row r="138" spans="1:34" s="227" customFormat="1" ht="21.75" customHeight="1" x14ac:dyDescent="0.3">
      <c r="A138" s="268">
        <v>138</v>
      </c>
      <c r="B138" s="269">
        <v>41768</v>
      </c>
      <c r="C138" s="270">
        <v>11303271</v>
      </c>
      <c r="D138" s="271" t="s">
        <v>305</v>
      </c>
      <c r="E138" s="271" t="s">
        <v>301</v>
      </c>
      <c r="F138" s="272" t="s">
        <v>321</v>
      </c>
      <c r="G138" s="272" t="s">
        <v>322</v>
      </c>
      <c r="H138" s="268">
        <v>4160109251</v>
      </c>
      <c r="I138" s="273">
        <v>9500</v>
      </c>
      <c r="J138" s="273">
        <v>9500</v>
      </c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68"/>
      <c r="Y138" s="10"/>
      <c r="Z138" s="10"/>
      <c r="AA138" s="268"/>
      <c r="AB138" s="268"/>
      <c r="AC138" s="268"/>
      <c r="AD138" s="268"/>
      <c r="AE138" s="268"/>
      <c r="AF138" s="268"/>
      <c r="AG138" s="283"/>
      <c r="AH138" s="283"/>
    </row>
    <row r="139" spans="1:34" s="227" customFormat="1" ht="21.75" customHeight="1" x14ac:dyDescent="0.3">
      <c r="A139" s="268">
        <v>139</v>
      </c>
      <c r="B139" s="269">
        <v>41758</v>
      </c>
      <c r="C139" s="270">
        <v>10512866</v>
      </c>
      <c r="D139" s="271" t="s">
        <v>312</v>
      </c>
      <c r="E139" s="271" t="s">
        <v>301</v>
      </c>
      <c r="F139" s="272" t="s">
        <v>313</v>
      </c>
      <c r="G139" s="272" t="s">
        <v>314</v>
      </c>
      <c r="H139" s="268">
        <v>4242682010</v>
      </c>
      <c r="I139" s="273">
        <v>9500</v>
      </c>
      <c r="J139" s="273">
        <v>9500</v>
      </c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68"/>
      <c r="Y139" s="10"/>
      <c r="Z139" s="10"/>
      <c r="AA139" s="268"/>
      <c r="AB139" s="268"/>
      <c r="AC139" s="268"/>
      <c r="AD139" s="268"/>
      <c r="AE139" s="268"/>
      <c r="AF139" s="268"/>
      <c r="AG139" s="283"/>
      <c r="AH139" s="283"/>
    </row>
    <row r="140" spans="1:34" s="227" customFormat="1" ht="21.75" customHeight="1" x14ac:dyDescent="0.3">
      <c r="A140" s="268">
        <v>140</v>
      </c>
      <c r="B140" s="269">
        <v>41766</v>
      </c>
      <c r="C140" s="270">
        <v>12730992</v>
      </c>
      <c r="D140" s="271" t="s">
        <v>342</v>
      </c>
      <c r="E140" s="271" t="s">
        <v>301</v>
      </c>
      <c r="F140" s="272" t="s">
        <v>343</v>
      </c>
      <c r="G140" s="272" t="s">
        <v>344</v>
      </c>
      <c r="H140" s="268">
        <v>4241952919</v>
      </c>
      <c r="I140" s="273">
        <v>9500</v>
      </c>
      <c r="J140" s="273">
        <v>9500</v>
      </c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68"/>
      <c r="Y140" s="10"/>
      <c r="Z140" s="10"/>
      <c r="AA140" s="268"/>
      <c r="AB140" s="268"/>
      <c r="AC140" s="268"/>
      <c r="AD140" s="268"/>
      <c r="AE140" s="268"/>
      <c r="AF140" s="268"/>
      <c r="AG140" s="283"/>
      <c r="AH140" s="283"/>
    </row>
    <row r="141" spans="1:34" s="227" customFormat="1" ht="21.75" customHeight="1" x14ac:dyDescent="0.3">
      <c r="A141" s="268">
        <v>141</v>
      </c>
      <c r="B141" s="269">
        <v>41753</v>
      </c>
      <c r="C141" s="270">
        <v>12878499</v>
      </c>
      <c r="D141" s="271" t="s">
        <v>361</v>
      </c>
      <c r="E141" s="271" t="s">
        <v>301</v>
      </c>
      <c r="F141" s="272" t="s">
        <v>362</v>
      </c>
      <c r="G141" s="272" t="s">
        <v>363</v>
      </c>
      <c r="H141" s="268">
        <v>4142771231</v>
      </c>
      <c r="I141" s="273">
        <v>9500</v>
      </c>
      <c r="J141" s="273">
        <v>9500</v>
      </c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68"/>
      <c r="Y141" s="10"/>
      <c r="Z141" s="10"/>
      <c r="AA141" s="268"/>
      <c r="AB141" s="268"/>
      <c r="AC141" s="268"/>
      <c r="AD141" s="268"/>
      <c r="AE141" s="268"/>
      <c r="AF141" s="268"/>
      <c r="AG141" s="283"/>
      <c r="AH141" s="283"/>
    </row>
    <row r="142" spans="1:34" s="227" customFormat="1" ht="21.75" customHeight="1" x14ac:dyDescent="0.3">
      <c r="A142" s="268">
        <v>142</v>
      </c>
      <c r="B142" s="269">
        <v>41769</v>
      </c>
      <c r="C142" s="270">
        <v>6850775</v>
      </c>
      <c r="D142" s="271" t="s">
        <v>367</v>
      </c>
      <c r="E142" s="271" t="s">
        <v>301</v>
      </c>
      <c r="F142" s="272" t="s">
        <v>373</v>
      </c>
      <c r="G142" s="272" t="s">
        <v>374</v>
      </c>
      <c r="H142" s="268">
        <v>4242682617</v>
      </c>
      <c r="I142" s="273">
        <v>9500</v>
      </c>
      <c r="J142" s="273">
        <v>9500</v>
      </c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68"/>
      <c r="Y142" s="10"/>
      <c r="Z142" s="10"/>
      <c r="AA142" s="268"/>
      <c r="AB142" s="268"/>
      <c r="AC142" s="268"/>
      <c r="AD142" s="268"/>
      <c r="AE142" s="268"/>
      <c r="AF142" s="268"/>
      <c r="AG142" s="277"/>
      <c r="AH142" s="277"/>
    </row>
    <row r="143" spans="1:34" s="227" customFormat="1" ht="21.75" customHeight="1" x14ac:dyDescent="0.3">
      <c r="A143" s="268">
        <v>143</v>
      </c>
      <c r="B143" s="269">
        <v>41769</v>
      </c>
      <c r="C143" s="270">
        <v>12878918</v>
      </c>
      <c r="D143" s="271" t="s">
        <v>368</v>
      </c>
      <c r="E143" s="271" t="s">
        <v>301</v>
      </c>
      <c r="F143" s="272" t="s">
        <v>375</v>
      </c>
      <c r="G143" s="272" t="s">
        <v>376</v>
      </c>
      <c r="H143" s="268">
        <v>4143027980</v>
      </c>
      <c r="I143" s="273">
        <v>9500</v>
      </c>
      <c r="J143" s="273">
        <v>9500</v>
      </c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68"/>
      <c r="Y143" s="10"/>
      <c r="Z143" s="10"/>
      <c r="AA143" s="268"/>
      <c r="AB143" s="268"/>
      <c r="AC143" s="268"/>
      <c r="AD143" s="268"/>
      <c r="AE143" s="268"/>
      <c r="AF143" s="268"/>
      <c r="AG143" s="277"/>
      <c r="AH143" s="277"/>
    </row>
    <row r="144" spans="1:34" s="227" customFormat="1" ht="21.75" customHeight="1" x14ac:dyDescent="0.3">
      <c r="A144" s="268">
        <v>144</v>
      </c>
      <c r="B144" s="269">
        <v>41769</v>
      </c>
      <c r="C144" s="270">
        <v>12114664</v>
      </c>
      <c r="D144" s="271" t="s">
        <v>369</v>
      </c>
      <c r="E144" s="271" t="s">
        <v>301</v>
      </c>
      <c r="F144" s="272" t="s">
        <v>377</v>
      </c>
      <c r="G144" s="272" t="s">
        <v>378</v>
      </c>
      <c r="H144" s="268">
        <v>4143891523</v>
      </c>
      <c r="I144" s="273">
        <v>9500</v>
      </c>
      <c r="J144" s="273">
        <v>9500</v>
      </c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68"/>
      <c r="Y144" s="10"/>
      <c r="Z144" s="10"/>
      <c r="AA144" s="268"/>
      <c r="AB144" s="268"/>
      <c r="AC144" s="268"/>
      <c r="AD144" s="268"/>
      <c r="AE144" s="268"/>
      <c r="AF144" s="268"/>
      <c r="AG144" s="277"/>
      <c r="AH144" s="277"/>
    </row>
    <row r="145" spans="1:62" s="227" customFormat="1" ht="21.75" customHeight="1" x14ac:dyDescent="0.3">
      <c r="A145" s="268">
        <v>145</v>
      </c>
      <c r="B145" s="269">
        <v>41769</v>
      </c>
      <c r="C145" s="270">
        <v>15421514</v>
      </c>
      <c r="D145" s="271" t="s">
        <v>370</v>
      </c>
      <c r="E145" s="271" t="s">
        <v>301</v>
      </c>
      <c r="F145" s="272" t="s">
        <v>379</v>
      </c>
      <c r="G145" s="272" t="s">
        <v>380</v>
      </c>
      <c r="H145" s="268">
        <v>4241756846</v>
      </c>
      <c r="I145" s="273">
        <v>9500</v>
      </c>
      <c r="J145" s="273">
        <v>9500</v>
      </c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68"/>
      <c r="Y145" s="10"/>
      <c r="Z145" s="10"/>
      <c r="AA145" s="268"/>
      <c r="AB145" s="268"/>
      <c r="AC145" s="268"/>
      <c r="AD145" s="268"/>
      <c r="AE145" s="268"/>
      <c r="AF145" s="268"/>
      <c r="AG145" s="277"/>
      <c r="AH145" s="277"/>
    </row>
    <row r="146" spans="1:62" s="227" customFormat="1" ht="21.75" customHeight="1" x14ac:dyDescent="0.3">
      <c r="A146" s="268">
        <v>146</v>
      </c>
      <c r="B146" s="269">
        <v>41768</v>
      </c>
      <c r="C146" s="270">
        <v>8683573</v>
      </c>
      <c r="D146" s="271" t="s">
        <v>371</v>
      </c>
      <c r="E146" s="271" t="s">
        <v>301</v>
      </c>
      <c r="F146" s="272" t="s">
        <v>381</v>
      </c>
      <c r="G146" s="272" t="s">
        <v>382</v>
      </c>
      <c r="H146" s="268">
        <v>4142412601</v>
      </c>
      <c r="I146" s="273">
        <v>9500</v>
      </c>
      <c r="J146" s="273">
        <v>9500</v>
      </c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68"/>
      <c r="Y146" s="10"/>
      <c r="Z146" s="10"/>
      <c r="AA146" s="268"/>
      <c r="AB146" s="268"/>
      <c r="AC146" s="268"/>
      <c r="AD146" s="268"/>
      <c r="AE146" s="268"/>
      <c r="AF146" s="268"/>
      <c r="AG146" s="277"/>
      <c r="AH146" s="277"/>
    </row>
    <row r="147" spans="1:62" s="227" customFormat="1" ht="21.75" customHeight="1" x14ac:dyDescent="0.3">
      <c r="A147" s="268">
        <v>147</v>
      </c>
      <c r="B147" s="269">
        <v>41771</v>
      </c>
      <c r="C147" s="270">
        <v>9486345</v>
      </c>
      <c r="D147" s="271" t="s">
        <v>372</v>
      </c>
      <c r="E147" s="271" t="s">
        <v>301</v>
      </c>
      <c r="F147" s="272" t="s">
        <v>383</v>
      </c>
      <c r="G147" s="272" t="s">
        <v>384</v>
      </c>
      <c r="H147" s="268">
        <v>4160147550</v>
      </c>
      <c r="I147" s="273">
        <v>10500</v>
      </c>
      <c r="J147" s="273">
        <v>10500</v>
      </c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68"/>
      <c r="Y147" s="10"/>
      <c r="Z147" s="10"/>
      <c r="AA147" s="268"/>
      <c r="AB147" s="268"/>
      <c r="AC147" s="268"/>
      <c r="AD147" s="268"/>
      <c r="AE147" s="268"/>
      <c r="AF147" s="268"/>
      <c r="AG147" s="277"/>
      <c r="AH147" s="277"/>
    </row>
    <row r="148" spans="1:62" s="216" customFormat="1" ht="21.75" customHeight="1" x14ac:dyDescent="0.3">
      <c r="A148" s="37">
        <v>148</v>
      </c>
      <c r="B148" s="104">
        <v>41771</v>
      </c>
      <c r="C148" s="132">
        <v>8599126</v>
      </c>
      <c r="D148" s="38" t="s">
        <v>388</v>
      </c>
      <c r="E148" s="38" t="s">
        <v>79</v>
      </c>
      <c r="F148" s="149" t="s">
        <v>389</v>
      </c>
      <c r="G148" s="149" t="s">
        <v>390</v>
      </c>
      <c r="H148" s="37">
        <v>4141080052</v>
      </c>
      <c r="I148" s="43">
        <v>42900</v>
      </c>
      <c r="J148" s="43">
        <v>3900</v>
      </c>
      <c r="K148" s="230"/>
      <c r="L148" s="230"/>
      <c r="M148" s="230"/>
      <c r="N148" s="230"/>
      <c r="O148" s="230"/>
      <c r="P148" s="230"/>
      <c r="Q148" s="230"/>
      <c r="R148" s="230"/>
      <c r="S148" s="230"/>
      <c r="T148" s="108">
        <v>3900</v>
      </c>
      <c r="U148" s="108">
        <v>3900</v>
      </c>
      <c r="V148" s="108">
        <v>3900</v>
      </c>
      <c r="W148" s="108">
        <v>3900</v>
      </c>
      <c r="X148" s="187">
        <v>3900</v>
      </c>
      <c r="Y148" s="214"/>
      <c r="Z148" s="214"/>
      <c r="AA148" s="214">
        <v>3900</v>
      </c>
      <c r="AB148" s="95"/>
      <c r="AC148" s="95"/>
      <c r="AD148" s="95"/>
      <c r="AE148" s="95"/>
      <c r="AF148" s="108">
        <f>SUM(T148:AE148)+J148-I148</f>
        <v>-15600</v>
      </c>
      <c r="AG148" s="215"/>
      <c r="AH148" s="215"/>
    </row>
    <row r="149" spans="1:62" ht="21.75" customHeight="1" x14ac:dyDescent="0.3">
      <c r="A149" s="52">
        <v>149</v>
      </c>
      <c r="B149" s="111">
        <v>41771</v>
      </c>
      <c r="C149" s="137">
        <v>13636161</v>
      </c>
      <c r="D149" s="53" t="s">
        <v>392</v>
      </c>
      <c r="E149" s="53">
        <v>0</v>
      </c>
      <c r="F149" s="148" t="s">
        <v>992</v>
      </c>
      <c r="G149" s="148" t="s">
        <v>391</v>
      </c>
      <c r="H149" s="52">
        <v>4242473630</v>
      </c>
      <c r="I149" s="56" t="s">
        <v>516</v>
      </c>
      <c r="J149" s="56">
        <v>3900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4"/>
      <c r="AH149" s="54"/>
    </row>
    <row r="150" spans="1:62" s="227" customFormat="1" ht="21.75" customHeight="1" x14ac:dyDescent="0.3">
      <c r="A150" s="268">
        <v>150</v>
      </c>
      <c r="B150" s="269">
        <v>41789</v>
      </c>
      <c r="C150" s="270">
        <v>81047870</v>
      </c>
      <c r="D150" s="271" t="s">
        <v>393</v>
      </c>
      <c r="E150" s="271"/>
      <c r="F150" s="272" t="s">
        <v>9</v>
      </c>
      <c r="G150" s="272" t="s">
        <v>460</v>
      </c>
      <c r="H150" s="268">
        <v>4122224848</v>
      </c>
      <c r="I150" s="273">
        <v>12500</v>
      </c>
      <c r="J150" s="273">
        <v>6250</v>
      </c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10"/>
      <c r="Z150" s="10"/>
      <c r="AA150" s="268"/>
      <c r="AB150" s="268"/>
      <c r="AC150" s="268"/>
      <c r="AD150" s="268"/>
      <c r="AE150" s="268"/>
      <c r="AF150" s="268"/>
      <c r="AG150" s="277"/>
      <c r="AH150" s="277"/>
    </row>
    <row r="151" spans="1:62" s="216" customFormat="1" ht="21.75" customHeight="1" x14ac:dyDescent="0.3">
      <c r="A151" s="37">
        <v>151</v>
      </c>
      <c r="B151" s="104">
        <v>41772</v>
      </c>
      <c r="C151" s="132">
        <v>25687206</v>
      </c>
      <c r="D151" s="38" t="s">
        <v>394</v>
      </c>
      <c r="E151" s="38">
        <v>10</v>
      </c>
      <c r="F151" s="149" t="s">
        <v>404</v>
      </c>
      <c r="G151" s="149" t="s">
        <v>404</v>
      </c>
      <c r="H151" s="37">
        <v>4140214930</v>
      </c>
      <c r="I151" s="43">
        <v>42900</v>
      </c>
      <c r="J151" s="43">
        <v>1000</v>
      </c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95"/>
      <c r="Z151" s="95"/>
      <c r="AA151" s="78"/>
      <c r="AB151" s="78"/>
      <c r="AC151" s="78"/>
      <c r="AD151" s="78"/>
      <c r="AE151" s="78"/>
      <c r="AF151" s="78"/>
      <c r="AG151" s="33"/>
      <c r="AH151" s="33"/>
    </row>
    <row r="152" spans="1:62" s="395" customFormat="1" ht="21.75" customHeight="1" x14ac:dyDescent="0.3">
      <c r="A152" s="340">
        <v>152</v>
      </c>
      <c r="B152" s="341">
        <v>41773</v>
      </c>
      <c r="C152" s="342">
        <v>24463639</v>
      </c>
      <c r="D152" s="347" t="s">
        <v>395</v>
      </c>
      <c r="E152" s="347">
        <v>1</v>
      </c>
      <c r="F152" s="348" t="s">
        <v>386</v>
      </c>
      <c r="G152" s="348" t="s">
        <v>386</v>
      </c>
      <c r="H152" s="340">
        <v>4241308949</v>
      </c>
      <c r="I152" s="344">
        <v>24000</v>
      </c>
      <c r="J152" s="344">
        <v>12000</v>
      </c>
      <c r="K152" s="340"/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114"/>
      <c r="Z152" s="114"/>
      <c r="AA152" s="340"/>
      <c r="AB152" s="340"/>
      <c r="AC152" s="340"/>
      <c r="AD152" s="340"/>
      <c r="AE152" s="340"/>
      <c r="AF152" s="340"/>
      <c r="AG152" s="345"/>
      <c r="AH152" s="345"/>
    </row>
    <row r="153" spans="1:62" s="313" customFormat="1" ht="21.75" customHeight="1" x14ac:dyDescent="0.3">
      <c r="A153" s="340">
        <v>153</v>
      </c>
      <c r="B153" s="341">
        <v>41774</v>
      </c>
      <c r="C153" s="342">
        <v>13019431</v>
      </c>
      <c r="D153" s="347" t="s">
        <v>396</v>
      </c>
      <c r="E153" s="347"/>
      <c r="F153" s="348" t="s">
        <v>387</v>
      </c>
      <c r="G153" s="348" t="s">
        <v>387</v>
      </c>
      <c r="H153" s="340">
        <v>4167457754</v>
      </c>
      <c r="I153" s="344">
        <v>30000</v>
      </c>
      <c r="J153" s="344" t="s">
        <v>65</v>
      </c>
      <c r="K153" s="340"/>
      <c r="L153" s="34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  <c r="Y153" s="114"/>
      <c r="Z153" s="114"/>
      <c r="AA153" s="340"/>
      <c r="AB153" s="340"/>
      <c r="AC153" s="340"/>
      <c r="AD153" s="340"/>
      <c r="AE153" s="340"/>
      <c r="AF153" s="340"/>
      <c r="AG153" s="312"/>
      <c r="AH153" s="312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</row>
    <row r="154" spans="1:62" s="34" customFormat="1" ht="21.75" customHeight="1" x14ac:dyDescent="0.3">
      <c r="A154" s="44">
        <v>154</v>
      </c>
      <c r="B154" s="115">
        <v>41776</v>
      </c>
      <c r="C154" s="138">
        <v>14842399</v>
      </c>
      <c r="D154" s="45" t="s">
        <v>385</v>
      </c>
      <c r="E154" s="45"/>
      <c r="F154" s="150" t="s">
        <v>449</v>
      </c>
      <c r="G154" s="150" t="s">
        <v>450</v>
      </c>
      <c r="H154" s="44">
        <v>4166185928</v>
      </c>
      <c r="I154" s="46">
        <v>14500</v>
      </c>
      <c r="J154" s="46">
        <v>1000</v>
      </c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116"/>
      <c r="Z154" s="116"/>
      <c r="AA154" s="44"/>
      <c r="AB154" s="44"/>
      <c r="AC154" s="44"/>
      <c r="AD154" s="44"/>
      <c r="AE154" s="44"/>
      <c r="AF154" s="44"/>
      <c r="AG154" s="60"/>
      <c r="AH154" s="6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</row>
    <row r="155" spans="1:62" s="227" customFormat="1" ht="21.75" customHeight="1" x14ac:dyDescent="0.3">
      <c r="A155" s="268">
        <v>155</v>
      </c>
      <c r="B155" s="269">
        <v>41778</v>
      </c>
      <c r="C155" s="270">
        <v>13871662</v>
      </c>
      <c r="D155" s="271" t="s">
        <v>397</v>
      </c>
      <c r="E155" s="271" t="s">
        <v>301</v>
      </c>
      <c r="F155" s="272" t="s">
        <v>457</v>
      </c>
      <c r="G155" s="272" t="s">
        <v>458</v>
      </c>
      <c r="H155" s="268">
        <v>4261169642</v>
      </c>
      <c r="I155" s="273">
        <v>9500</v>
      </c>
      <c r="J155" s="273">
        <v>9500</v>
      </c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117"/>
      <c r="Z155" s="117"/>
      <c r="AA155" s="268"/>
      <c r="AB155" s="268"/>
      <c r="AC155" s="268"/>
      <c r="AD155" s="268"/>
      <c r="AE155" s="268"/>
      <c r="AF155" s="268"/>
      <c r="AG155" s="277"/>
      <c r="AH155" s="283"/>
      <c r="AI155" s="281"/>
      <c r="AJ155" s="281"/>
      <c r="AK155" s="281"/>
      <c r="AL155" s="281"/>
      <c r="AM155" s="281"/>
      <c r="AN155" s="281"/>
      <c r="AO155" s="281"/>
      <c r="AP155" s="281"/>
      <c r="AQ155" s="281"/>
      <c r="AR155" s="281"/>
      <c r="AS155" s="281"/>
      <c r="AT155" s="281"/>
      <c r="AU155" s="281"/>
      <c r="AV155" s="281"/>
      <c r="AW155" s="281"/>
      <c r="AX155" s="281"/>
      <c r="AY155" s="281"/>
      <c r="AZ155" s="281"/>
      <c r="BA155" s="281"/>
      <c r="BB155" s="281"/>
      <c r="BC155" s="281"/>
      <c r="BD155" s="281"/>
      <c r="BE155" s="281"/>
    </row>
    <row r="156" spans="1:62" s="216" customFormat="1" ht="21.75" customHeight="1" x14ac:dyDescent="0.3">
      <c r="A156" s="37">
        <v>156</v>
      </c>
      <c r="B156" s="104">
        <v>41779</v>
      </c>
      <c r="C156" s="132">
        <v>10115872</v>
      </c>
      <c r="D156" s="38" t="s">
        <v>398</v>
      </c>
      <c r="E156" s="38">
        <v>10</v>
      </c>
      <c r="F156" s="149" t="s">
        <v>425</v>
      </c>
      <c r="G156" s="149" t="s">
        <v>424</v>
      </c>
      <c r="H156" s="37">
        <v>4241867467</v>
      </c>
      <c r="I156" s="43">
        <v>42900</v>
      </c>
      <c r="J156" s="43">
        <v>3900</v>
      </c>
      <c r="K156" s="78"/>
      <c r="L156" s="78"/>
      <c r="M156" s="78"/>
      <c r="N156" s="78"/>
      <c r="O156" s="78"/>
      <c r="P156" s="78"/>
      <c r="Q156" s="78"/>
      <c r="R156" s="78"/>
      <c r="S156" s="78"/>
      <c r="T156" s="74">
        <v>3900</v>
      </c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74">
        <f>SUM(T156:AE156)+J156-I156</f>
        <v>-35100</v>
      </c>
      <c r="AG156" s="28"/>
      <c r="AH156" s="259"/>
    </row>
    <row r="157" spans="1:62" s="34" customFormat="1" ht="21.75" customHeight="1" x14ac:dyDescent="0.3">
      <c r="A157" s="5">
        <v>157</v>
      </c>
      <c r="B157" s="71">
        <v>41779</v>
      </c>
      <c r="C157" s="131">
        <v>11472926</v>
      </c>
      <c r="D157" s="12" t="s">
        <v>399</v>
      </c>
      <c r="E157" s="12"/>
      <c r="F157" s="141" t="s">
        <v>423</v>
      </c>
      <c r="G157" s="141" t="s">
        <v>423</v>
      </c>
      <c r="H157" s="5">
        <v>4149232754</v>
      </c>
      <c r="I157" s="29">
        <v>15000</v>
      </c>
      <c r="J157" s="29" t="s">
        <v>65</v>
      </c>
      <c r="K157" s="114"/>
      <c r="L157" s="114"/>
      <c r="M157" s="114"/>
      <c r="N157" s="114"/>
      <c r="O157" s="114"/>
      <c r="P157" s="114"/>
      <c r="Q157" s="114"/>
      <c r="R157" s="114"/>
      <c r="S157" s="114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30"/>
      <c r="AH157" s="30"/>
    </row>
    <row r="158" spans="1:62" ht="21.75" customHeight="1" x14ac:dyDescent="0.3">
      <c r="A158" s="5">
        <v>158</v>
      </c>
      <c r="B158" s="71">
        <v>41779</v>
      </c>
      <c r="C158" s="131">
        <v>13944383</v>
      </c>
      <c r="D158" s="12" t="s">
        <v>400</v>
      </c>
      <c r="E158" s="12"/>
      <c r="F158" s="141" t="s">
        <v>337</v>
      </c>
      <c r="G158" s="141" t="s">
        <v>337</v>
      </c>
      <c r="H158" s="5">
        <v>4166091231</v>
      </c>
      <c r="I158" s="29">
        <v>15000</v>
      </c>
      <c r="J158" s="29" t="s">
        <v>65</v>
      </c>
      <c r="K158" s="114"/>
      <c r="L158" s="114"/>
      <c r="M158" s="114"/>
      <c r="N158" s="114"/>
      <c r="O158" s="114"/>
      <c r="P158" s="114"/>
      <c r="Q158" s="114"/>
      <c r="R158" s="114"/>
      <c r="S158" s="114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30"/>
      <c r="AH158" s="30"/>
    </row>
    <row r="159" spans="1:62" ht="21.75" customHeight="1" x14ac:dyDescent="0.3">
      <c r="A159" s="5">
        <v>159</v>
      </c>
      <c r="B159" s="71">
        <v>41762</v>
      </c>
      <c r="C159" s="131">
        <v>19387522</v>
      </c>
      <c r="D159" s="12" t="s">
        <v>401</v>
      </c>
      <c r="E159" s="12"/>
      <c r="F159" s="141" t="s">
        <v>421</v>
      </c>
      <c r="G159" s="141" t="s">
        <v>421</v>
      </c>
      <c r="H159" s="5" t="s">
        <v>584</v>
      </c>
      <c r="I159" s="29">
        <v>20000</v>
      </c>
      <c r="J159" s="29" t="s">
        <v>65</v>
      </c>
      <c r="K159" s="114"/>
      <c r="L159" s="114"/>
      <c r="M159" s="114"/>
      <c r="N159" s="114"/>
      <c r="O159" s="114"/>
      <c r="P159" s="114"/>
      <c r="Q159" s="114"/>
      <c r="R159" s="114"/>
      <c r="S159" s="114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30"/>
      <c r="AH159" s="30"/>
    </row>
    <row r="160" spans="1:62" s="216" customFormat="1" ht="21.75" customHeight="1" x14ac:dyDescent="0.3">
      <c r="A160" s="37">
        <v>160</v>
      </c>
      <c r="B160" s="104">
        <v>41779</v>
      </c>
      <c r="C160" s="132">
        <v>16147445</v>
      </c>
      <c r="D160" s="38" t="s">
        <v>402</v>
      </c>
      <c r="E160" s="38">
        <v>12</v>
      </c>
      <c r="F160" s="149" t="s">
        <v>307</v>
      </c>
      <c r="G160" s="149" t="s">
        <v>422</v>
      </c>
      <c r="H160" s="37">
        <v>4143318372</v>
      </c>
      <c r="I160" s="43">
        <v>36000</v>
      </c>
      <c r="J160" s="43">
        <v>3000</v>
      </c>
      <c r="K160" s="78"/>
      <c r="L160" s="78"/>
      <c r="M160" s="78"/>
      <c r="N160" s="78"/>
      <c r="O160" s="78"/>
      <c r="P160" s="78"/>
      <c r="Q160" s="78"/>
      <c r="R160" s="78"/>
      <c r="S160" s="78"/>
      <c r="T160" s="105"/>
      <c r="U160" s="74">
        <v>3000</v>
      </c>
      <c r="V160" s="74">
        <v>3000</v>
      </c>
      <c r="W160" s="74">
        <v>3000</v>
      </c>
      <c r="X160" s="105"/>
      <c r="Y160" s="120"/>
      <c r="Z160" s="120"/>
      <c r="AA160" s="239"/>
      <c r="AB160" s="239"/>
      <c r="AC160" s="239"/>
      <c r="AD160" s="239"/>
      <c r="AE160" s="239"/>
      <c r="AF160" s="239"/>
      <c r="AG160" s="240"/>
      <c r="AH160" s="240"/>
      <c r="AI160" s="260"/>
      <c r="AJ160" s="260"/>
      <c r="AK160" s="260"/>
      <c r="AL160" s="260"/>
      <c r="AM160" s="260"/>
      <c r="AN160" s="260"/>
      <c r="AO160" s="260"/>
      <c r="AP160" s="260"/>
      <c r="AQ160" s="260"/>
      <c r="AR160" s="260"/>
      <c r="AS160" s="260"/>
      <c r="AT160" s="260"/>
      <c r="AU160" s="260"/>
      <c r="AV160" s="260"/>
      <c r="AW160" s="260"/>
      <c r="AX160" s="260"/>
      <c r="AY160" s="260"/>
      <c r="AZ160" s="260"/>
      <c r="BA160" s="260"/>
      <c r="BB160" s="260"/>
      <c r="BC160" s="260"/>
      <c r="BD160" s="260"/>
      <c r="BE160" s="260"/>
      <c r="BF160" s="260"/>
      <c r="BG160" s="260"/>
      <c r="BH160" s="260"/>
      <c r="BI160" s="260"/>
      <c r="BJ160" s="260"/>
    </row>
    <row r="161" spans="1:65" s="227" customFormat="1" ht="21.75" customHeight="1" x14ac:dyDescent="0.3">
      <c r="A161" s="268">
        <v>161</v>
      </c>
      <c r="B161" s="269">
        <v>41780</v>
      </c>
      <c r="C161" s="270">
        <v>10277311</v>
      </c>
      <c r="D161" s="271" t="s">
        <v>403</v>
      </c>
      <c r="E161" s="271"/>
      <c r="F161" s="272" t="s">
        <v>454</v>
      </c>
      <c r="G161" s="272" t="s">
        <v>452</v>
      </c>
      <c r="H161" s="268">
        <v>4244330552</v>
      </c>
      <c r="I161" s="273">
        <v>12500</v>
      </c>
      <c r="J161" s="273">
        <v>6250</v>
      </c>
      <c r="K161" s="268"/>
      <c r="L161" s="268"/>
      <c r="M161" s="268"/>
      <c r="N161" s="268"/>
      <c r="O161" s="268"/>
      <c r="P161" s="268"/>
      <c r="Q161" s="268"/>
      <c r="R161" s="268"/>
      <c r="S161" s="268"/>
      <c r="T161" s="273"/>
      <c r="U161" s="273"/>
      <c r="V161" s="273"/>
      <c r="W161" s="273"/>
      <c r="X161" s="273"/>
      <c r="Y161" s="121"/>
      <c r="Z161" s="121"/>
      <c r="AA161" s="273"/>
      <c r="AB161" s="273"/>
      <c r="AC161" s="273"/>
      <c r="AD161" s="273"/>
      <c r="AE161" s="273"/>
      <c r="AF161" s="273"/>
      <c r="AG161" s="278"/>
      <c r="AH161" s="278"/>
    </row>
    <row r="162" spans="1:65" s="216" customFormat="1" ht="21.75" customHeight="1" x14ac:dyDescent="0.3">
      <c r="A162" s="37">
        <v>162</v>
      </c>
      <c r="B162" s="104">
        <v>41781</v>
      </c>
      <c r="C162" s="132">
        <v>12881306</v>
      </c>
      <c r="D162" s="38" t="s">
        <v>405</v>
      </c>
      <c r="E162" s="38">
        <v>10</v>
      </c>
      <c r="F162" s="149" t="s">
        <v>441</v>
      </c>
      <c r="G162" s="149" t="s">
        <v>440</v>
      </c>
      <c r="H162" s="37">
        <v>4241374318</v>
      </c>
      <c r="I162" s="43">
        <v>22000</v>
      </c>
      <c r="J162" s="43">
        <v>3000</v>
      </c>
      <c r="K162" s="95"/>
      <c r="L162" s="95"/>
      <c r="M162" s="95"/>
      <c r="N162" s="95"/>
      <c r="O162" s="95"/>
      <c r="P162" s="95"/>
      <c r="Q162" s="95"/>
      <c r="R162" s="95"/>
      <c r="S162" s="95"/>
      <c r="T162" s="261">
        <v>2000</v>
      </c>
      <c r="U162" s="261">
        <v>2000</v>
      </c>
      <c r="V162" s="261">
        <v>2000</v>
      </c>
      <c r="W162" s="261">
        <v>2000</v>
      </c>
      <c r="X162" s="261">
        <v>2000</v>
      </c>
      <c r="Y162" s="122"/>
      <c r="Z162" s="122"/>
      <c r="AA162" s="262"/>
      <c r="AB162" s="262"/>
      <c r="AC162" s="262"/>
      <c r="AD162" s="239"/>
      <c r="AE162" s="239"/>
      <c r="AF162" s="239"/>
      <c r="AG162" s="259"/>
      <c r="AH162" s="259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</row>
    <row r="163" spans="1:65" s="313" customFormat="1" ht="21.75" customHeight="1" x14ac:dyDescent="0.3">
      <c r="A163" s="340">
        <v>163</v>
      </c>
      <c r="B163" s="341">
        <v>41782</v>
      </c>
      <c r="C163" s="342">
        <v>14674932</v>
      </c>
      <c r="D163" s="347" t="s">
        <v>406</v>
      </c>
      <c r="E163" s="347"/>
      <c r="F163" s="348" t="s">
        <v>435</v>
      </c>
      <c r="G163" s="348" t="s">
        <v>434</v>
      </c>
      <c r="H163" s="340">
        <v>4169091776</v>
      </c>
      <c r="I163" s="344">
        <v>30000</v>
      </c>
      <c r="J163" s="344" t="s">
        <v>65</v>
      </c>
      <c r="K163" s="340"/>
      <c r="L163" s="340"/>
      <c r="M163" s="340"/>
      <c r="N163" s="340"/>
      <c r="O163" s="340"/>
      <c r="P163" s="340"/>
      <c r="Q163" s="340"/>
      <c r="R163" s="340"/>
      <c r="S163" s="340"/>
      <c r="T163" s="344"/>
      <c r="U163" s="344"/>
      <c r="V163" s="344"/>
      <c r="W163" s="344"/>
      <c r="X163" s="344"/>
      <c r="Y163" s="119"/>
      <c r="Z163" s="119"/>
      <c r="AA163" s="344"/>
      <c r="AB163" s="344"/>
      <c r="AC163" s="344"/>
      <c r="AD163" s="344"/>
      <c r="AE163" s="344"/>
      <c r="AF163" s="344"/>
      <c r="AG163" s="373"/>
      <c r="AH163" s="373"/>
      <c r="AI163" s="62" t="e">
        <f>SUM(U163:AH163)+J163-I163</f>
        <v>#VALUE!</v>
      </c>
    </row>
    <row r="164" spans="1:65" s="227" customFormat="1" ht="21.75" customHeight="1" x14ac:dyDescent="0.3">
      <c r="A164" s="268">
        <v>164</v>
      </c>
      <c r="B164" s="269">
        <v>41781</v>
      </c>
      <c r="C164" s="270">
        <v>7949289</v>
      </c>
      <c r="D164" s="271" t="s">
        <v>407</v>
      </c>
      <c r="E164" s="271"/>
      <c r="F164" s="272" t="s">
        <v>456</v>
      </c>
      <c r="G164" s="272" t="s">
        <v>455</v>
      </c>
      <c r="H164" s="268">
        <v>4140266823</v>
      </c>
      <c r="I164" s="273">
        <v>9500</v>
      </c>
      <c r="J164" s="273">
        <v>9500</v>
      </c>
      <c r="K164" s="268"/>
      <c r="L164" s="268"/>
      <c r="M164" s="268"/>
      <c r="N164" s="268"/>
      <c r="O164" s="268"/>
      <c r="P164" s="268"/>
      <c r="Q164" s="268"/>
      <c r="R164" s="268"/>
      <c r="S164" s="268"/>
      <c r="T164" s="273"/>
      <c r="U164" s="273"/>
      <c r="V164" s="273"/>
      <c r="W164" s="273"/>
      <c r="X164" s="273"/>
      <c r="Y164" s="121"/>
      <c r="Z164" s="121"/>
      <c r="AA164" s="273"/>
      <c r="AB164" s="273"/>
      <c r="AC164" s="273"/>
      <c r="AD164" s="273"/>
      <c r="AE164" s="273"/>
      <c r="AF164" s="273"/>
      <c r="AG164" s="278"/>
      <c r="AH164" s="278"/>
      <c r="AI164" s="282"/>
      <c r="AJ164" s="282"/>
      <c r="AK164" s="282"/>
      <c r="AL164" s="282"/>
      <c r="AM164" s="282"/>
      <c r="AN164" s="282"/>
      <c r="AO164" s="282"/>
      <c r="AP164" s="282"/>
      <c r="AQ164" s="282"/>
      <c r="AR164" s="282"/>
      <c r="AS164" s="282"/>
      <c r="AT164" s="282"/>
      <c r="AU164" s="282"/>
      <c r="AV164" s="282"/>
    </row>
    <row r="165" spans="1:65" s="227" customFormat="1" ht="21.75" customHeight="1" x14ac:dyDescent="0.3">
      <c r="A165" s="268">
        <v>165</v>
      </c>
      <c r="B165" s="269">
        <v>41782</v>
      </c>
      <c r="C165" s="270">
        <v>12309531</v>
      </c>
      <c r="D165" s="271" t="s">
        <v>408</v>
      </c>
      <c r="E165" s="271"/>
      <c r="F165" s="272" t="s">
        <v>453</v>
      </c>
      <c r="G165" s="272" t="s">
        <v>451</v>
      </c>
      <c r="H165" s="268">
        <v>4142269442</v>
      </c>
      <c r="I165" s="273">
        <v>12500</v>
      </c>
      <c r="J165" s="273">
        <v>12500</v>
      </c>
      <c r="K165" s="268"/>
      <c r="L165" s="268"/>
      <c r="M165" s="268"/>
      <c r="N165" s="268"/>
      <c r="O165" s="268"/>
      <c r="P165" s="268"/>
      <c r="Q165" s="268"/>
      <c r="R165" s="268"/>
      <c r="S165" s="268"/>
      <c r="T165" s="273"/>
      <c r="U165" s="273"/>
      <c r="V165" s="273"/>
      <c r="W165" s="273"/>
      <c r="X165" s="273"/>
      <c r="Y165" s="121"/>
      <c r="Z165" s="121"/>
      <c r="AA165" s="273"/>
      <c r="AB165" s="273"/>
      <c r="AC165" s="273"/>
      <c r="AD165" s="273"/>
      <c r="AE165" s="273"/>
      <c r="AF165" s="273"/>
      <c r="AG165" s="278"/>
      <c r="AH165" s="278"/>
    </row>
    <row r="166" spans="1:65" s="227" customFormat="1" ht="21.75" customHeight="1" x14ac:dyDescent="0.3">
      <c r="A166" s="268">
        <v>166</v>
      </c>
      <c r="B166" s="269">
        <v>41786</v>
      </c>
      <c r="C166" s="270">
        <v>16542519</v>
      </c>
      <c r="D166" s="271" t="s">
        <v>409</v>
      </c>
      <c r="E166" s="271"/>
      <c r="F166" s="272" t="s">
        <v>437</v>
      </c>
      <c r="G166" s="272" t="s">
        <v>436</v>
      </c>
      <c r="H166" s="268">
        <v>4241122599</v>
      </c>
      <c r="I166" s="273">
        <v>12000</v>
      </c>
      <c r="J166" s="273">
        <v>12000</v>
      </c>
      <c r="K166" s="268"/>
      <c r="L166" s="268"/>
      <c r="M166" s="268"/>
      <c r="N166" s="268"/>
      <c r="O166" s="268"/>
      <c r="P166" s="268"/>
      <c r="Q166" s="268"/>
      <c r="R166" s="268"/>
      <c r="S166" s="268"/>
      <c r="T166" s="273"/>
      <c r="U166" s="273"/>
      <c r="V166" s="273"/>
      <c r="W166" s="273"/>
      <c r="X166" s="273"/>
      <c r="Y166" s="121"/>
      <c r="Z166" s="121"/>
      <c r="AA166" s="273"/>
      <c r="AB166" s="273"/>
      <c r="AC166" s="273"/>
      <c r="AD166" s="273"/>
      <c r="AE166" s="273"/>
      <c r="AF166" s="273"/>
      <c r="AG166" s="278"/>
      <c r="AH166" s="278"/>
      <c r="AI166" s="281"/>
      <c r="AJ166" s="281"/>
      <c r="AK166" s="281"/>
      <c r="AL166" s="281"/>
      <c r="AM166" s="281"/>
      <c r="AN166" s="281"/>
      <c r="AO166" s="281"/>
      <c r="AP166" s="281"/>
      <c r="AQ166" s="281"/>
      <c r="AR166" s="281"/>
      <c r="AS166" s="281"/>
      <c r="AT166" s="281"/>
      <c r="AU166" s="281"/>
      <c r="AV166" s="281"/>
      <c r="AW166" s="281"/>
      <c r="AX166" s="281"/>
      <c r="AY166" s="281"/>
      <c r="AZ166" s="281"/>
      <c r="BA166" s="281"/>
      <c r="BB166" s="281"/>
      <c r="BC166" s="281"/>
      <c r="BD166" s="281"/>
      <c r="BE166" s="281"/>
      <c r="BF166" s="281"/>
    </row>
    <row r="167" spans="1:65" s="227" customFormat="1" ht="21.75" customHeight="1" x14ac:dyDescent="0.3">
      <c r="A167" s="268">
        <v>167</v>
      </c>
      <c r="B167" s="269">
        <v>41783</v>
      </c>
      <c r="C167" s="270">
        <v>15023667</v>
      </c>
      <c r="D167" s="271" t="s">
        <v>410</v>
      </c>
      <c r="E167" s="271"/>
      <c r="F167" s="272" t="s">
        <v>448</v>
      </c>
      <c r="G167" s="272" t="s">
        <v>447</v>
      </c>
      <c r="H167" s="268">
        <v>4141826392</v>
      </c>
      <c r="I167" s="273">
        <v>12500</v>
      </c>
      <c r="J167" s="273">
        <v>12500</v>
      </c>
      <c r="K167" s="268"/>
      <c r="L167" s="268"/>
      <c r="M167" s="268"/>
      <c r="N167" s="268"/>
      <c r="O167" s="268"/>
      <c r="P167" s="268"/>
      <c r="Q167" s="268"/>
      <c r="R167" s="268"/>
      <c r="S167" s="268"/>
      <c r="T167" s="273"/>
      <c r="U167" s="273"/>
      <c r="V167" s="273"/>
      <c r="W167" s="273"/>
      <c r="X167" s="273"/>
      <c r="Y167" s="121"/>
      <c r="Z167" s="121"/>
      <c r="AA167" s="273"/>
      <c r="AB167" s="273"/>
      <c r="AC167" s="273"/>
      <c r="AD167" s="273"/>
      <c r="AE167" s="273"/>
      <c r="AF167" s="273"/>
      <c r="AG167" s="278"/>
      <c r="AH167" s="278"/>
      <c r="AI167" s="282"/>
      <c r="AJ167" s="282"/>
      <c r="AK167" s="282"/>
      <c r="AL167" s="282"/>
      <c r="AM167" s="282"/>
      <c r="AN167" s="282"/>
      <c r="AO167" s="282"/>
      <c r="AP167" s="282"/>
      <c r="AQ167" s="282"/>
      <c r="AR167" s="282"/>
      <c r="AS167" s="282"/>
      <c r="AT167" s="282"/>
      <c r="AU167" s="282"/>
      <c r="AV167" s="282"/>
      <c r="AW167" s="282"/>
      <c r="AX167" s="282"/>
      <c r="AY167" s="282"/>
      <c r="AZ167" s="282"/>
      <c r="BA167" s="282"/>
      <c r="BB167" s="282"/>
      <c r="BC167" s="282"/>
      <c r="BD167" s="282"/>
      <c r="BE167" s="282"/>
      <c r="BF167" s="282"/>
      <c r="BG167" s="282"/>
    </row>
    <row r="168" spans="1:65" s="227" customFormat="1" ht="21.75" customHeight="1" x14ac:dyDescent="0.3">
      <c r="A168" s="268">
        <v>168</v>
      </c>
      <c r="B168" s="269">
        <v>41783</v>
      </c>
      <c r="C168" s="270">
        <v>11071767</v>
      </c>
      <c r="D168" s="271" t="s">
        <v>411</v>
      </c>
      <c r="E168" s="271"/>
      <c r="F168" s="272" t="s">
        <v>439</v>
      </c>
      <c r="G168" s="272" t="s">
        <v>438</v>
      </c>
      <c r="H168" s="268">
        <v>4242421235</v>
      </c>
      <c r="I168" s="273">
        <v>12500</v>
      </c>
      <c r="J168" s="273">
        <v>12500</v>
      </c>
      <c r="K168" s="268"/>
      <c r="L168" s="268"/>
      <c r="M168" s="268"/>
      <c r="N168" s="268"/>
      <c r="O168" s="268"/>
      <c r="P168" s="268"/>
      <c r="Q168" s="268"/>
      <c r="R168" s="268"/>
      <c r="S168" s="268"/>
      <c r="T168" s="273"/>
      <c r="U168" s="273"/>
      <c r="V168" s="273"/>
      <c r="W168" s="273"/>
      <c r="X168" s="273"/>
      <c r="Y168" s="121"/>
      <c r="Z168" s="121"/>
      <c r="AA168" s="273"/>
      <c r="AB168" s="273"/>
      <c r="AC168" s="273"/>
      <c r="AD168" s="273"/>
      <c r="AE168" s="273"/>
      <c r="AF168" s="273"/>
      <c r="AG168" s="278"/>
      <c r="AH168" s="278"/>
      <c r="AI168" s="282"/>
      <c r="AJ168" s="282"/>
      <c r="AK168" s="282"/>
      <c r="AL168" s="282"/>
      <c r="AM168" s="282"/>
      <c r="AN168" s="282"/>
      <c r="AO168" s="282"/>
      <c r="AP168" s="282"/>
      <c r="AQ168" s="282"/>
      <c r="AR168" s="282"/>
      <c r="AS168" s="282"/>
      <c r="AT168" s="282"/>
      <c r="AU168" s="282"/>
      <c r="AV168" s="282"/>
      <c r="AW168" s="282"/>
      <c r="AX168" s="282"/>
      <c r="AY168" s="282"/>
      <c r="AZ168" s="282"/>
      <c r="BA168" s="282"/>
      <c r="BB168" s="282"/>
      <c r="BC168" s="282"/>
      <c r="BD168" s="282"/>
      <c r="BE168" s="282"/>
      <c r="BF168" s="282"/>
      <c r="BG168" s="282"/>
    </row>
    <row r="169" spans="1:65" s="227" customFormat="1" ht="21.75" customHeight="1" x14ac:dyDescent="0.3">
      <c r="A169" s="268">
        <v>169</v>
      </c>
      <c r="B169" s="269">
        <v>41783</v>
      </c>
      <c r="C169" s="270">
        <v>9957345</v>
      </c>
      <c r="D169" s="271" t="s">
        <v>412</v>
      </c>
      <c r="E169" s="271"/>
      <c r="F169" s="272" t="s">
        <v>446</v>
      </c>
      <c r="G169" s="272" t="s">
        <v>445</v>
      </c>
      <c r="H169" s="268">
        <v>4122785866</v>
      </c>
      <c r="I169" s="273">
        <v>9500</v>
      </c>
      <c r="J169" s="273">
        <v>9500</v>
      </c>
      <c r="K169" s="268"/>
      <c r="L169" s="268"/>
      <c r="M169" s="268"/>
      <c r="N169" s="268"/>
      <c r="O169" s="268"/>
      <c r="P169" s="268"/>
      <c r="Q169" s="268"/>
      <c r="R169" s="268"/>
      <c r="S169" s="268"/>
      <c r="T169" s="273"/>
      <c r="U169" s="273"/>
      <c r="V169" s="273"/>
      <c r="W169" s="273"/>
      <c r="X169" s="273"/>
      <c r="Y169" s="121"/>
      <c r="Z169" s="121"/>
      <c r="AA169" s="273"/>
      <c r="AB169" s="273"/>
      <c r="AC169" s="273"/>
      <c r="AD169" s="273"/>
      <c r="AE169" s="273"/>
      <c r="AF169" s="273"/>
      <c r="AG169" s="278"/>
      <c r="AH169" s="278"/>
      <c r="AI169" s="282"/>
      <c r="AJ169" s="282"/>
      <c r="AK169" s="282"/>
      <c r="AL169" s="282"/>
      <c r="AM169" s="282"/>
      <c r="AN169" s="282"/>
      <c r="AO169" s="282"/>
      <c r="AP169" s="282"/>
      <c r="AQ169" s="282"/>
      <c r="AR169" s="282"/>
      <c r="AS169" s="282"/>
      <c r="AT169" s="282"/>
      <c r="AU169" s="282"/>
      <c r="AV169" s="282"/>
      <c r="AW169" s="282"/>
      <c r="AX169" s="282"/>
      <c r="AY169" s="282"/>
      <c r="AZ169" s="282"/>
      <c r="BA169" s="282"/>
      <c r="BB169" s="282"/>
      <c r="BC169" s="282"/>
      <c r="BD169" s="282"/>
      <c r="BE169" s="282"/>
      <c r="BF169" s="282"/>
      <c r="BG169" s="282"/>
    </row>
    <row r="170" spans="1:65" s="227" customFormat="1" ht="21.75" customHeight="1" x14ac:dyDescent="0.3">
      <c r="A170" s="268">
        <v>170</v>
      </c>
      <c r="B170" s="269">
        <v>41780</v>
      </c>
      <c r="C170" s="270">
        <v>137332223</v>
      </c>
      <c r="D170" s="271" t="s">
        <v>413</v>
      </c>
      <c r="E170" s="271"/>
      <c r="F170" s="272" t="s">
        <v>443</v>
      </c>
      <c r="G170" s="272" t="s">
        <v>442</v>
      </c>
      <c r="H170" s="268">
        <v>4123031123</v>
      </c>
      <c r="I170" s="273">
        <v>9500</v>
      </c>
      <c r="J170" s="273">
        <v>9500</v>
      </c>
      <c r="K170" s="268"/>
      <c r="L170" s="268"/>
      <c r="M170" s="268"/>
      <c r="N170" s="268"/>
      <c r="O170" s="268"/>
      <c r="P170" s="268"/>
      <c r="Q170" s="268"/>
      <c r="R170" s="268"/>
      <c r="S170" s="268"/>
      <c r="T170" s="273"/>
      <c r="U170" s="273"/>
      <c r="V170" s="273"/>
      <c r="W170" s="273"/>
      <c r="X170" s="273"/>
      <c r="Y170" s="121"/>
      <c r="Z170" s="121"/>
      <c r="AA170" s="273"/>
      <c r="AB170" s="273"/>
      <c r="AC170" s="273"/>
      <c r="AD170" s="273"/>
      <c r="AE170" s="273"/>
      <c r="AF170" s="273"/>
      <c r="AG170" s="278"/>
      <c r="AH170" s="278"/>
      <c r="AI170" s="282"/>
      <c r="AJ170" s="282"/>
      <c r="AK170" s="282"/>
      <c r="AL170" s="282"/>
      <c r="AM170" s="282"/>
      <c r="AN170" s="282"/>
      <c r="AO170" s="282"/>
      <c r="AP170" s="282"/>
      <c r="AQ170" s="282"/>
      <c r="AR170" s="282"/>
      <c r="AS170" s="282"/>
      <c r="AT170" s="282"/>
      <c r="AU170" s="282"/>
      <c r="AV170" s="282"/>
      <c r="AW170" s="282"/>
      <c r="AX170" s="282"/>
      <c r="AY170" s="282"/>
      <c r="AZ170" s="282"/>
      <c r="BA170" s="282"/>
      <c r="BB170" s="282"/>
      <c r="BC170" s="282"/>
      <c r="BD170" s="282"/>
      <c r="BE170" s="282"/>
      <c r="BF170" s="282"/>
      <c r="BG170" s="282"/>
    </row>
    <row r="171" spans="1:65" s="227" customFormat="1" ht="21.75" customHeight="1" x14ac:dyDescent="0.3">
      <c r="A171" s="268">
        <v>171</v>
      </c>
      <c r="B171" s="269">
        <v>41782</v>
      </c>
      <c r="C171" s="270">
        <v>11678787</v>
      </c>
      <c r="D171" s="271" t="s">
        <v>414</v>
      </c>
      <c r="E171" s="271"/>
      <c r="F171" s="272" t="s">
        <v>581</v>
      </c>
      <c r="G171" s="272" t="s">
        <v>444</v>
      </c>
      <c r="H171" s="268">
        <v>4123147891</v>
      </c>
      <c r="I171" s="273">
        <v>14500</v>
      </c>
      <c r="J171" s="273">
        <v>14500</v>
      </c>
      <c r="K171" s="268"/>
      <c r="L171" s="268"/>
      <c r="M171" s="268"/>
      <c r="N171" s="268"/>
      <c r="O171" s="268"/>
      <c r="P171" s="268"/>
      <c r="Q171" s="268"/>
      <c r="R171" s="268"/>
      <c r="S171" s="268"/>
      <c r="T171" s="273"/>
      <c r="U171" s="273"/>
      <c r="V171" s="273"/>
      <c r="W171" s="273"/>
      <c r="X171" s="273"/>
      <c r="Y171" s="121"/>
      <c r="Z171" s="121"/>
      <c r="AA171" s="273"/>
      <c r="AB171" s="273"/>
      <c r="AC171" s="273"/>
      <c r="AD171" s="273"/>
      <c r="AE171" s="273"/>
      <c r="AF171" s="273"/>
      <c r="AG171" s="278"/>
      <c r="AH171" s="278"/>
      <c r="AI171" s="282"/>
      <c r="AJ171" s="282"/>
      <c r="AK171" s="282"/>
      <c r="AL171" s="282"/>
      <c r="AM171" s="282"/>
      <c r="AN171" s="282"/>
      <c r="AO171" s="282"/>
      <c r="AP171" s="282"/>
      <c r="AQ171" s="282"/>
      <c r="AR171" s="282"/>
      <c r="AS171" s="282"/>
      <c r="AT171" s="282"/>
      <c r="AU171" s="282"/>
      <c r="AV171" s="282"/>
      <c r="AW171" s="282"/>
      <c r="AX171" s="282"/>
      <c r="AY171" s="282"/>
      <c r="AZ171" s="282"/>
      <c r="BA171" s="282"/>
      <c r="BB171" s="282"/>
      <c r="BC171" s="282"/>
      <c r="BD171" s="282"/>
      <c r="BE171" s="282"/>
      <c r="BF171" s="282"/>
      <c r="BG171" s="282"/>
    </row>
    <row r="172" spans="1:65" s="292" customFormat="1" ht="21.75" customHeight="1" x14ac:dyDescent="0.3">
      <c r="A172" s="170">
        <v>172</v>
      </c>
      <c r="B172" s="290">
        <v>41785</v>
      </c>
      <c r="C172" s="168">
        <v>4165706</v>
      </c>
      <c r="D172" s="169" t="s">
        <v>415</v>
      </c>
      <c r="E172" s="169"/>
      <c r="F172" s="171" t="s">
        <v>432</v>
      </c>
      <c r="G172" s="171" t="s">
        <v>431</v>
      </c>
      <c r="H172" s="170">
        <v>4267314669</v>
      </c>
      <c r="I172" s="172">
        <v>12500</v>
      </c>
      <c r="J172" s="172">
        <v>12500</v>
      </c>
      <c r="K172" s="170"/>
      <c r="L172" s="170"/>
      <c r="M172" s="170"/>
      <c r="N172" s="170"/>
      <c r="O172" s="170"/>
      <c r="P172" s="170"/>
      <c r="Q172" s="170"/>
      <c r="R172" s="170"/>
      <c r="S172" s="170"/>
      <c r="T172" s="172"/>
      <c r="U172" s="172"/>
      <c r="V172" s="172"/>
      <c r="W172" s="172"/>
      <c r="X172" s="172"/>
      <c r="Y172" s="255"/>
      <c r="Z172" s="255"/>
      <c r="AA172" s="172"/>
      <c r="AB172" s="172"/>
      <c r="AC172" s="172"/>
      <c r="AD172" s="172"/>
      <c r="AE172" s="172"/>
      <c r="AF172" s="172"/>
      <c r="AG172" s="291"/>
      <c r="AH172" s="291"/>
    </row>
    <row r="173" spans="1:65" s="216" customFormat="1" ht="21.75" customHeight="1" x14ac:dyDescent="0.3">
      <c r="A173" s="37">
        <v>173</v>
      </c>
      <c r="B173" s="104">
        <v>41786</v>
      </c>
      <c r="C173" s="132">
        <v>20791218</v>
      </c>
      <c r="D173" s="38" t="s">
        <v>416</v>
      </c>
      <c r="E173" s="38">
        <v>10</v>
      </c>
      <c r="F173" s="149" t="s">
        <v>433</v>
      </c>
      <c r="G173" s="149" t="s">
        <v>433</v>
      </c>
      <c r="H173" s="37">
        <v>4241109343</v>
      </c>
      <c r="I173" s="43">
        <v>42900</v>
      </c>
      <c r="J173" s="43">
        <v>3900</v>
      </c>
      <c r="K173" s="78"/>
      <c r="L173" s="78"/>
      <c r="M173" s="78"/>
      <c r="N173" s="78"/>
      <c r="O173" s="78"/>
      <c r="P173" s="78"/>
      <c r="Q173" s="78"/>
      <c r="R173" s="78"/>
      <c r="S173" s="78"/>
      <c r="T173" s="74">
        <v>3900</v>
      </c>
      <c r="U173" s="105"/>
      <c r="V173" s="105"/>
      <c r="W173" s="105"/>
      <c r="X173" s="105"/>
      <c r="Y173" s="140"/>
      <c r="Z173" s="140"/>
      <c r="AA173" s="105"/>
      <c r="AB173" s="239"/>
      <c r="AC173" s="239"/>
      <c r="AD173" s="239"/>
      <c r="AE173" s="239"/>
      <c r="AF173" s="68">
        <f>SUM(T173:AE173)+J173-I173</f>
        <v>-35100</v>
      </c>
      <c r="AG173" s="259"/>
      <c r="AH173" s="259"/>
      <c r="AI173" s="241"/>
      <c r="AJ173" s="241"/>
      <c r="AK173" s="241"/>
      <c r="AL173" s="241"/>
      <c r="AM173" s="241"/>
      <c r="AN173" s="241"/>
      <c r="AO173" s="241"/>
      <c r="AP173" s="241"/>
      <c r="AQ173" s="241"/>
      <c r="AR173" s="241"/>
      <c r="AS173" s="241"/>
      <c r="AT173" s="241"/>
      <c r="AU173" s="241"/>
      <c r="AV173" s="241"/>
      <c r="AW173" s="241"/>
      <c r="AX173" s="241"/>
      <c r="AY173" s="241"/>
      <c r="AZ173" s="241"/>
      <c r="BA173" s="241"/>
      <c r="BB173" s="241"/>
      <c r="BC173" s="241"/>
      <c r="BD173" s="241"/>
      <c r="BE173" s="241"/>
      <c r="BF173" s="241"/>
      <c r="BG173" s="241"/>
    </row>
    <row r="174" spans="1:65" s="227" customFormat="1" ht="21.75" customHeight="1" x14ac:dyDescent="0.3">
      <c r="A174" s="268">
        <v>174</v>
      </c>
      <c r="B174" s="269">
        <v>41786</v>
      </c>
      <c r="C174" s="270">
        <v>17532123</v>
      </c>
      <c r="D174" s="271" t="s">
        <v>417</v>
      </c>
      <c r="E174" s="271">
        <v>2</v>
      </c>
      <c r="F174" s="272" t="s">
        <v>429</v>
      </c>
      <c r="G174" s="272" t="s">
        <v>430</v>
      </c>
      <c r="H174" s="268">
        <v>4242296962</v>
      </c>
      <c r="I174" s="273">
        <v>12500</v>
      </c>
      <c r="J174" s="273">
        <v>12500</v>
      </c>
      <c r="K174" s="268"/>
      <c r="L174" s="268"/>
      <c r="M174" s="268"/>
      <c r="N174" s="268"/>
      <c r="O174" s="268"/>
      <c r="P174" s="268"/>
      <c r="Q174" s="268"/>
      <c r="R174" s="268"/>
      <c r="S174" s="268"/>
      <c r="T174" s="273"/>
      <c r="U174" s="273"/>
      <c r="V174" s="273"/>
      <c r="W174" s="273"/>
      <c r="X174" s="273"/>
      <c r="Y174" s="121"/>
      <c r="Z174" s="121"/>
      <c r="AA174" s="273"/>
      <c r="AB174" s="273"/>
      <c r="AC174" s="273"/>
      <c r="AD174" s="273"/>
      <c r="AE174" s="273"/>
      <c r="AF174" s="273"/>
      <c r="AG174" s="278"/>
      <c r="AH174" s="278"/>
      <c r="AI174" s="282"/>
      <c r="AJ174" s="282"/>
      <c r="AK174" s="282"/>
      <c r="AL174" s="282"/>
      <c r="AM174" s="282"/>
      <c r="AN174" s="282"/>
      <c r="AO174" s="282"/>
      <c r="AP174" s="282"/>
      <c r="AQ174" s="282"/>
      <c r="AR174" s="282"/>
      <c r="AS174" s="282"/>
      <c r="AT174" s="282"/>
      <c r="AU174" s="282"/>
      <c r="AV174" s="282"/>
      <c r="AW174" s="282"/>
      <c r="AX174" s="282"/>
      <c r="AY174" s="282"/>
      <c r="AZ174" s="282"/>
      <c r="BA174" s="282"/>
      <c r="BB174" s="282"/>
      <c r="BC174" s="282"/>
      <c r="BD174" s="282"/>
      <c r="BE174" s="282"/>
      <c r="BF174" s="282"/>
      <c r="BG174" s="282"/>
      <c r="BH174" s="282"/>
      <c r="BI174" s="282"/>
      <c r="BJ174" s="282"/>
      <c r="BK174" s="282"/>
      <c r="BL174" s="282"/>
      <c r="BM174" s="282"/>
    </row>
    <row r="175" spans="1:65" s="227" customFormat="1" ht="21.75" customHeight="1" x14ac:dyDescent="0.3">
      <c r="A175" s="268">
        <v>175</v>
      </c>
      <c r="B175" s="269">
        <v>41787</v>
      </c>
      <c r="C175" s="270">
        <v>14277014</v>
      </c>
      <c r="D175" s="271" t="s">
        <v>418</v>
      </c>
      <c r="E175" s="271">
        <v>2</v>
      </c>
      <c r="F175" s="272" t="s">
        <v>427</v>
      </c>
      <c r="G175" s="272" t="s">
        <v>428</v>
      </c>
      <c r="H175" s="268">
        <v>4149016708</v>
      </c>
      <c r="I175" s="273">
        <v>14500</v>
      </c>
      <c r="J175" s="273">
        <v>14500</v>
      </c>
      <c r="K175" s="268"/>
      <c r="L175" s="268"/>
      <c r="M175" s="268"/>
      <c r="N175" s="268"/>
      <c r="O175" s="268"/>
      <c r="P175" s="268"/>
      <c r="Q175" s="268"/>
      <c r="R175" s="268"/>
      <c r="S175" s="268"/>
      <c r="T175" s="273"/>
      <c r="U175" s="273"/>
      <c r="V175" s="273"/>
      <c r="W175" s="273"/>
      <c r="X175" s="273"/>
      <c r="Y175" s="121"/>
      <c r="Z175" s="121"/>
      <c r="AA175" s="273"/>
      <c r="AB175" s="273"/>
      <c r="AC175" s="273"/>
      <c r="AD175" s="273"/>
      <c r="AE175" s="273"/>
      <c r="AF175" s="273"/>
      <c r="AG175" s="278"/>
      <c r="AH175" s="278"/>
      <c r="AI175" s="282"/>
      <c r="AJ175" s="282"/>
      <c r="AK175" s="282"/>
      <c r="AL175" s="282"/>
      <c r="AM175" s="282"/>
      <c r="AN175" s="282"/>
      <c r="AO175" s="282"/>
      <c r="AP175" s="282"/>
      <c r="AQ175" s="282"/>
      <c r="AR175" s="282"/>
      <c r="AS175" s="282"/>
      <c r="AT175" s="282"/>
      <c r="AU175" s="282"/>
      <c r="AV175" s="282"/>
      <c r="AW175" s="282"/>
      <c r="AX175" s="282"/>
      <c r="AY175" s="282"/>
      <c r="AZ175" s="282"/>
      <c r="BA175" s="282"/>
      <c r="BB175" s="282"/>
      <c r="BC175" s="282"/>
      <c r="BD175" s="282"/>
      <c r="BE175" s="282"/>
      <c r="BF175" s="282"/>
      <c r="BG175" s="282"/>
      <c r="BH175" s="282"/>
      <c r="BI175" s="282"/>
      <c r="BJ175" s="282"/>
      <c r="BK175" s="282"/>
      <c r="BL175" s="282"/>
      <c r="BM175" s="282"/>
    </row>
    <row r="176" spans="1:65" s="313" customFormat="1" ht="21.75" customHeight="1" x14ac:dyDescent="0.3">
      <c r="A176" s="340">
        <v>176</v>
      </c>
      <c r="B176" s="341">
        <v>41787</v>
      </c>
      <c r="C176" s="342">
        <v>19163265</v>
      </c>
      <c r="D176" s="347" t="s">
        <v>419</v>
      </c>
      <c r="E176" s="347" t="s">
        <v>231</v>
      </c>
      <c r="F176" s="348" t="s">
        <v>426</v>
      </c>
      <c r="G176" s="348" t="s">
        <v>426</v>
      </c>
      <c r="H176" s="340">
        <v>4149133333</v>
      </c>
      <c r="I176" s="344">
        <v>30000</v>
      </c>
      <c r="J176" s="344">
        <v>0</v>
      </c>
      <c r="K176" s="340"/>
      <c r="L176" s="340"/>
      <c r="M176" s="340"/>
      <c r="N176" s="340"/>
      <c r="O176" s="340"/>
      <c r="P176" s="340"/>
      <c r="Q176" s="340"/>
      <c r="R176" s="340"/>
      <c r="S176" s="340"/>
      <c r="T176" s="344"/>
      <c r="U176" s="344"/>
      <c r="V176" s="344"/>
      <c r="W176" s="344"/>
      <c r="X176" s="344"/>
      <c r="Y176" s="119"/>
      <c r="Z176" s="119"/>
      <c r="AA176" s="344"/>
      <c r="AB176" s="344"/>
      <c r="AC176" s="344"/>
      <c r="AD176" s="344"/>
      <c r="AE176" s="344"/>
      <c r="AF176" s="344"/>
      <c r="AG176" s="373"/>
      <c r="AH176" s="373"/>
    </row>
    <row r="177" spans="1:76" s="313" customFormat="1" ht="21.75" customHeight="1" x14ac:dyDescent="0.3">
      <c r="A177" s="340">
        <v>177</v>
      </c>
      <c r="B177" s="341">
        <v>41788</v>
      </c>
      <c r="C177" s="342">
        <v>9489253</v>
      </c>
      <c r="D177" s="347" t="s">
        <v>420</v>
      </c>
      <c r="E177" s="347" t="s">
        <v>231</v>
      </c>
      <c r="F177" s="348" t="s">
        <v>476</v>
      </c>
      <c r="G177" s="348" t="s">
        <v>476</v>
      </c>
      <c r="H177" s="340">
        <v>4142303572</v>
      </c>
      <c r="I177" s="344">
        <v>30000</v>
      </c>
      <c r="J177" s="344">
        <v>7500</v>
      </c>
      <c r="K177" s="340"/>
      <c r="L177" s="340"/>
      <c r="M177" s="340"/>
      <c r="N177" s="340"/>
      <c r="O177" s="340"/>
      <c r="P177" s="340"/>
      <c r="Q177" s="340"/>
      <c r="R177" s="340"/>
      <c r="S177" s="340"/>
      <c r="T177" s="344"/>
      <c r="U177" s="344"/>
      <c r="V177" s="344"/>
      <c r="W177" s="344"/>
      <c r="X177" s="344"/>
      <c r="Y177" s="119"/>
      <c r="Z177" s="119"/>
      <c r="AA177" s="344"/>
      <c r="AB177" s="344"/>
      <c r="AC177" s="344"/>
      <c r="AD177" s="344"/>
      <c r="AE177" s="344"/>
      <c r="AF177" s="344"/>
      <c r="AG177" s="373"/>
      <c r="AH177" s="373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</row>
    <row r="178" spans="1:76" s="313" customFormat="1" ht="21.75" customHeight="1" x14ac:dyDescent="0.3">
      <c r="A178" s="340">
        <v>178</v>
      </c>
      <c r="B178" s="341">
        <v>41788</v>
      </c>
      <c r="C178" s="342">
        <v>17558332</v>
      </c>
      <c r="D178" s="347" t="s">
        <v>462</v>
      </c>
      <c r="E178" s="347" t="s">
        <v>301</v>
      </c>
      <c r="F178" s="348" t="s">
        <v>477</v>
      </c>
      <c r="G178" s="348" t="s">
        <v>477</v>
      </c>
      <c r="H178" s="340">
        <v>4123048187</v>
      </c>
      <c r="I178" s="344">
        <v>30000</v>
      </c>
      <c r="J178" s="344" t="s">
        <v>65</v>
      </c>
      <c r="K178" s="340"/>
      <c r="L178" s="340"/>
      <c r="M178" s="340"/>
      <c r="N178" s="340"/>
      <c r="O178" s="340"/>
      <c r="P178" s="340"/>
      <c r="Q178" s="340"/>
      <c r="R178" s="340"/>
      <c r="S178" s="340"/>
      <c r="T178" s="344"/>
      <c r="U178" s="344"/>
      <c r="V178" s="344"/>
      <c r="W178" s="344"/>
      <c r="X178" s="344"/>
      <c r="Y178" s="119"/>
      <c r="Z178" s="119"/>
      <c r="AA178" s="344"/>
      <c r="AB178" s="344"/>
      <c r="AC178" s="344"/>
      <c r="AD178" s="344"/>
      <c r="AE178" s="344"/>
      <c r="AF178" s="344"/>
      <c r="AG178" s="373"/>
      <c r="AH178" s="373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</row>
    <row r="179" spans="1:76" s="313" customFormat="1" ht="21.75" customHeight="1" x14ac:dyDescent="0.3">
      <c r="A179" s="340">
        <v>179</v>
      </c>
      <c r="B179" s="341">
        <v>41788</v>
      </c>
      <c r="C179" s="342">
        <v>5146106</v>
      </c>
      <c r="D179" s="347" t="s">
        <v>463</v>
      </c>
      <c r="E179" s="347" t="s">
        <v>231</v>
      </c>
      <c r="F179" s="348" t="s">
        <v>478</v>
      </c>
      <c r="G179" s="348" t="s">
        <v>478</v>
      </c>
      <c r="H179" s="340">
        <v>4142465070</v>
      </c>
      <c r="I179" s="344">
        <v>30000</v>
      </c>
      <c r="J179" s="344" t="s">
        <v>65</v>
      </c>
      <c r="K179" s="340"/>
      <c r="L179" s="340"/>
      <c r="M179" s="340"/>
      <c r="N179" s="340"/>
      <c r="O179" s="340"/>
      <c r="P179" s="340"/>
      <c r="Q179" s="340"/>
      <c r="R179" s="340"/>
      <c r="S179" s="340"/>
      <c r="T179" s="344"/>
      <c r="U179" s="344"/>
      <c r="V179" s="344"/>
      <c r="W179" s="344"/>
      <c r="X179" s="344"/>
      <c r="Y179" s="119"/>
      <c r="Z179" s="119"/>
      <c r="AA179" s="344"/>
      <c r="AB179" s="344"/>
      <c r="AC179" s="344"/>
      <c r="AD179" s="344"/>
      <c r="AE179" s="344"/>
      <c r="AF179" s="344"/>
      <c r="AG179" s="373"/>
      <c r="AH179" s="373"/>
      <c r="AI179" s="346"/>
      <c r="AJ179" s="346"/>
      <c r="AK179" s="346"/>
      <c r="AL179" s="346"/>
      <c r="AM179" s="346"/>
      <c r="AN179" s="346"/>
      <c r="AO179" s="346"/>
      <c r="AP179" s="346"/>
      <c r="AQ179" s="346"/>
      <c r="AR179" s="346"/>
      <c r="AS179" s="346"/>
      <c r="AT179" s="346"/>
      <c r="AU179" s="346"/>
      <c r="AV179" s="346"/>
      <c r="AW179" s="346"/>
      <c r="AX179" s="346"/>
      <c r="AY179" s="346"/>
      <c r="AZ179" s="346"/>
      <c r="BA179" s="346"/>
      <c r="BB179" s="346"/>
      <c r="BC179" s="346"/>
      <c r="BD179" s="346"/>
      <c r="BE179" s="346"/>
      <c r="BF179" s="346"/>
      <c r="BG179" s="346"/>
      <c r="BH179" s="346"/>
      <c r="BI179" s="346"/>
      <c r="BJ179" s="346"/>
      <c r="BK179" s="346"/>
      <c r="BL179" s="346"/>
      <c r="BM179" s="346"/>
      <c r="BN179" s="346"/>
      <c r="BO179" s="346"/>
      <c r="BP179" s="346"/>
      <c r="BQ179" s="346"/>
      <c r="BR179" s="346"/>
      <c r="BS179" s="346"/>
      <c r="BT179" s="346"/>
    </row>
    <row r="180" spans="1:76" s="227" customFormat="1" ht="21.75" customHeight="1" x14ac:dyDescent="0.3">
      <c r="A180" s="268">
        <v>180</v>
      </c>
      <c r="B180" s="269">
        <v>41788</v>
      </c>
      <c r="C180" s="270">
        <v>17742816</v>
      </c>
      <c r="D180" s="271" t="s">
        <v>464</v>
      </c>
      <c r="E180" s="271" t="s">
        <v>231</v>
      </c>
      <c r="F180" s="272" t="s">
        <v>479</v>
      </c>
      <c r="G180" s="272" t="s">
        <v>480</v>
      </c>
      <c r="H180" s="268">
        <v>4167210620</v>
      </c>
      <c r="I180" s="273">
        <v>12500</v>
      </c>
      <c r="J180" s="273">
        <v>12500</v>
      </c>
      <c r="K180" s="268"/>
      <c r="L180" s="268"/>
      <c r="M180" s="268"/>
      <c r="N180" s="268"/>
      <c r="O180" s="268"/>
      <c r="P180" s="268"/>
      <c r="Q180" s="268"/>
      <c r="R180" s="268"/>
      <c r="S180" s="268"/>
      <c r="T180" s="273"/>
      <c r="U180" s="273"/>
      <c r="V180" s="273"/>
      <c r="W180" s="273"/>
      <c r="X180" s="273"/>
      <c r="Y180" s="121"/>
      <c r="Z180" s="121"/>
      <c r="AA180" s="273"/>
      <c r="AB180" s="273"/>
      <c r="AC180" s="273"/>
      <c r="AD180" s="273"/>
      <c r="AE180" s="273"/>
      <c r="AF180" s="273"/>
      <c r="AG180" s="278"/>
      <c r="AH180" s="278"/>
      <c r="AI180" s="281"/>
      <c r="AJ180" s="281"/>
      <c r="AK180" s="281"/>
      <c r="AL180" s="281"/>
      <c r="AM180" s="281"/>
      <c r="AN180" s="281"/>
      <c r="AO180" s="281"/>
      <c r="AP180" s="281"/>
      <c r="AQ180" s="281"/>
      <c r="AR180" s="281"/>
      <c r="AS180" s="281"/>
      <c r="AT180" s="281"/>
      <c r="AU180" s="281"/>
      <c r="AV180" s="281"/>
      <c r="AW180" s="281"/>
      <c r="AX180" s="281"/>
      <c r="AY180" s="281"/>
      <c r="AZ180" s="281"/>
      <c r="BA180" s="281"/>
      <c r="BB180" s="281"/>
      <c r="BC180" s="281"/>
      <c r="BD180" s="281"/>
      <c r="BE180" s="281"/>
      <c r="BF180" s="281"/>
      <c r="BG180" s="281"/>
      <c r="BH180" s="281"/>
      <c r="BI180" s="281"/>
      <c r="BJ180" s="281"/>
      <c r="BK180" s="281"/>
      <c r="BL180" s="281"/>
      <c r="BM180" s="281"/>
      <c r="BN180" s="281"/>
      <c r="BO180" s="281"/>
      <c r="BP180" s="281"/>
      <c r="BQ180" s="281"/>
      <c r="BR180" s="281"/>
      <c r="BS180" s="281"/>
      <c r="BT180" s="281"/>
    </row>
    <row r="181" spans="1:76" s="227" customFormat="1" ht="21.75" customHeight="1" x14ac:dyDescent="0.3">
      <c r="A181" s="268">
        <v>181</v>
      </c>
      <c r="B181" s="269">
        <v>41789</v>
      </c>
      <c r="C181" s="270">
        <v>13019068</v>
      </c>
      <c r="D181" s="271" t="s">
        <v>465</v>
      </c>
      <c r="E181" s="271" t="s">
        <v>301</v>
      </c>
      <c r="F181" s="272" t="s">
        <v>481</v>
      </c>
      <c r="G181" s="272" t="s">
        <v>687</v>
      </c>
      <c r="H181" s="268">
        <v>4267151853</v>
      </c>
      <c r="I181" s="273">
        <v>12500</v>
      </c>
      <c r="J181" s="273">
        <v>12500</v>
      </c>
      <c r="K181" s="268"/>
      <c r="L181" s="268"/>
      <c r="M181" s="268"/>
      <c r="N181" s="268"/>
      <c r="O181" s="268"/>
      <c r="P181" s="268"/>
      <c r="Q181" s="268"/>
      <c r="R181" s="268"/>
      <c r="S181" s="268"/>
      <c r="T181" s="273"/>
      <c r="U181" s="273"/>
      <c r="V181" s="273"/>
      <c r="W181" s="273"/>
      <c r="X181" s="273"/>
      <c r="Y181" s="121"/>
      <c r="Z181" s="121"/>
      <c r="AA181" s="273"/>
      <c r="AB181" s="273"/>
      <c r="AC181" s="273"/>
      <c r="AD181" s="273"/>
      <c r="AE181" s="273"/>
      <c r="AF181" s="273"/>
      <c r="AG181" s="278"/>
      <c r="AH181" s="278"/>
      <c r="AI181" s="281"/>
      <c r="AJ181" s="281"/>
      <c r="AK181" s="281"/>
      <c r="AL181" s="281"/>
      <c r="AM181" s="281"/>
      <c r="AN181" s="281"/>
      <c r="AO181" s="281"/>
      <c r="AP181" s="281"/>
      <c r="AQ181" s="281"/>
      <c r="AR181" s="281"/>
      <c r="AS181" s="281"/>
      <c r="AT181" s="281"/>
      <c r="AU181" s="281"/>
      <c r="AV181" s="281"/>
      <c r="AW181" s="281"/>
      <c r="AX181" s="281"/>
      <c r="AY181" s="281"/>
      <c r="AZ181" s="281"/>
      <c r="BA181" s="281"/>
      <c r="BB181" s="281"/>
      <c r="BC181" s="281"/>
      <c r="BD181" s="281"/>
      <c r="BE181" s="281"/>
      <c r="BF181" s="281"/>
      <c r="BG181" s="281"/>
      <c r="BH181" s="281"/>
      <c r="BI181" s="281"/>
      <c r="BJ181" s="281"/>
      <c r="BK181" s="281"/>
      <c r="BL181" s="281"/>
      <c r="BM181" s="281"/>
      <c r="BN181" s="281"/>
      <c r="BO181" s="281"/>
      <c r="BP181" s="281"/>
      <c r="BQ181" s="281"/>
      <c r="BR181" s="281"/>
      <c r="BS181" s="281"/>
      <c r="BT181" s="281"/>
    </row>
    <row r="182" spans="1:76" ht="21.75" customHeight="1" x14ac:dyDescent="0.3">
      <c r="A182" s="5">
        <v>182</v>
      </c>
      <c r="B182" s="123">
        <v>41790</v>
      </c>
      <c r="C182" s="131">
        <v>10381246</v>
      </c>
      <c r="D182" s="12" t="s">
        <v>466</v>
      </c>
      <c r="E182" s="22" t="s">
        <v>81</v>
      </c>
      <c r="F182" s="151" t="s">
        <v>482</v>
      </c>
      <c r="G182" s="151" t="s">
        <v>482</v>
      </c>
      <c r="H182" s="114">
        <v>4141959271</v>
      </c>
      <c r="I182" s="29">
        <v>23900</v>
      </c>
      <c r="J182" s="119">
        <v>23900</v>
      </c>
      <c r="K182" s="114"/>
      <c r="L182" s="114"/>
      <c r="M182" s="114"/>
      <c r="N182" s="114"/>
      <c r="O182" s="114"/>
      <c r="P182" s="114"/>
      <c r="Q182" s="114"/>
      <c r="R182" s="114"/>
      <c r="S182" s="114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65"/>
      <c r="AE182" s="65"/>
      <c r="AF182" s="65"/>
      <c r="AG182" s="26"/>
      <c r="AH182" s="28">
        <f>SUM(T182:AG182)+J182-I182</f>
        <v>0</v>
      </c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</row>
    <row r="183" spans="1:76" s="227" customFormat="1" ht="21.75" customHeight="1" x14ac:dyDescent="0.3">
      <c r="A183" s="268">
        <v>183</v>
      </c>
      <c r="B183" s="269">
        <v>41790</v>
      </c>
      <c r="C183" s="270">
        <v>10052513</v>
      </c>
      <c r="D183" s="271" t="s">
        <v>467</v>
      </c>
      <c r="E183" s="271"/>
      <c r="F183" s="272" t="s">
        <v>483</v>
      </c>
      <c r="G183" s="272" t="s">
        <v>484</v>
      </c>
      <c r="H183" s="268">
        <v>426514201</v>
      </c>
      <c r="I183" s="273">
        <v>9500</v>
      </c>
      <c r="J183" s="273">
        <v>9500</v>
      </c>
      <c r="K183" s="268"/>
      <c r="L183" s="268"/>
      <c r="M183" s="268"/>
      <c r="N183" s="268"/>
      <c r="O183" s="268"/>
      <c r="P183" s="268"/>
      <c r="Q183" s="268"/>
      <c r="R183" s="268"/>
      <c r="S183" s="268"/>
      <c r="T183" s="273"/>
      <c r="U183" s="273"/>
      <c r="V183" s="273"/>
      <c r="W183" s="273"/>
      <c r="X183" s="273"/>
      <c r="Y183" s="121"/>
      <c r="Z183" s="121"/>
      <c r="AA183" s="273"/>
      <c r="AB183" s="273"/>
      <c r="AC183" s="273"/>
      <c r="AD183" s="273"/>
      <c r="AE183" s="273"/>
      <c r="AF183" s="273"/>
      <c r="AG183" s="278"/>
      <c r="AH183" s="278"/>
      <c r="AI183" s="282"/>
      <c r="AJ183" s="282"/>
      <c r="AK183" s="282"/>
      <c r="AL183" s="282"/>
      <c r="AM183" s="282"/>
      <c r="AN183" s="282"/>
      <c r="AO183" s="282"/>
      <c r="AP183" s="282"/>
      <c r="AQ183" s="282"/>
      <c r="AR183" s="282"/>
      <c r="AS183" s="282"/>
      <c r="AT183" s="282"/>
      <c r="AU183" s="282"/>
      <c r="AV183" s="282"/>
      <c r="AW183" s="282"/>
      <c r="AX183" s="282"/>
      <c r="AY183" s="282"/>
      <c r="AZ183" s="282"/>
      <c r="BA183" s="282"/>
      <c r="BB183" s="282"/>
      <c r="BC183" s="282"/>
      <c r="BD183" s="282"/>
      <c r="BE183" s="282"/>
      <c r="BF183" s="282"/>
      <c r="BG183" s="282"/>
      <c r="BH183" s="282"/>
      <c r="BI183" s="282"/>
      <c r="BJ183" s="282"/>
      <c r="BK183" s="282"/>
      <c r="BL183" s="282"/>
      <c r="BM183" s="282"/>
      <c r="BN183" s="282"/>
      <c r="BO183" s="282"/>
      <c r="BP183" s="282"/>
      <c r="BQ183" s="282"/>
      <c r="BR183" s="282"/>
      <c r="BS183" s="282"/>
      <c r="BT183" s="282"/>
      <c r="BU183" s="282"/>
      <c r="BV183" s="282"/>
      <c r="BW183" s="282"/>
    </row>
    <row r="184" spans="1:76" s="227" customFormat="1" ht="21.75" customHeight="1" x14ac:dyDescent="0.3">
      <c r="A184" s="268">
        <v>184</v>
      </c>
      <c r="B184" s="269">
        <v>41790</v>
      </c>
      <c r="C184" s="270">
        <v>10052513</v>
      </c>
      <c r="D184" s="271" t="s">
        <v>468</v>
      </c>
      <c r="E184" s="271"/>
      <c r="F184" s="272" t="s">
        <v>485</v>
      </c>
      <c r="G184" s="272" t="s">
        <v>484</v>
      </c>
      <c r="H184" s="268">
        <v>426514201</v>
      </c>
      <c r="I184" s="273">
        <v>9500</v>
      </c>
      <c r="J184" s="273">
        <v>9500</v>
      </c>
      <c r="K184" s="268"/>
      <c r="L184" s="268"/>
      <c r="M184" s="268"/>
      <c r="N184" s="268"/>
      <c r="O184" s="268"/>
      <c r="P184" s="268"/>
      <c r="Q184" s="268"/>
      <c r="R184" s="268"/>
      <c r="S184" s="268"/>
      <c r="T184" s="273"/>
      <c r="U184" s="273"/>
      <c r="V184" s="273"/>
      <c r="W184" s="273"/>
      <c r="X184" s="273"/>
      <c r="Y184" s="121"/>
      <c r="Z184" s="121"/>
      <c r="AA184" s="273"/>
      <c r="AB184" s="273"/>
      <c r="AC184" s="273"/>
      <c r="AD184" s="273"/>
      <c r="AE184" s="273"/>
      <c r="AF184" s="273"/>
      <c r="AG184" s="278"/>
      <c r="AH184" s="278"/>
      <c r="AI184" s="282"/>
      <c r="AJ184" s="282"/>
      <c r="AK184" s="282"/>
      <c r="AL184" s="282"/>
      <c r="AM184" s="282"/>
      <c r="AN184" s="282"/>
      <c r="AO184" s="282"/>
      <c r="AP184" s="282"/>
      <c r="AQ184" s="282"/>
      <c r="AR184" s="282"/>
      <c r="AS184" s="282"/>
      <c r="AT184" s="282"/>
      <c r="AU184" s="282"/>
      <c r="AV184" s="282"/>
      <c r="AW184" s="282"/>
      <c r="AX184" s="282"/>
      <c r="AY184" s="282"/>
      <c r="AZ184" s="282"/>
      <c r="BA184" s="282"/>
      <c r="BB184" s="282"/>
      <c r="BC184" s="282"/>
      <c r="BD184" s="282"/>
      <c r="BE184" s="282"/>
      <c r="BF184" s="282"/>
      <c r="BG184" s="282"/>
      <c r="BH184" s="282"/>
      <c r="BI184" s="282"/>
      <c r="BJ184" s="282"/>
      <c r="BK184" s="282"/>
      <c r="BL184" s="282"/>
      <c r="BM184" s="282"/>
      <c r="BN184" s="282"/>
      <c r="BO184" s="282"/>
      <c r="BP184" s="282"/>
      <c r="BQ184" s="282"/>
      <c r="BR184" s="282"/>
      <c r="BS184" s="282"/>
      <c r="BT184" s="282"/>
      <c r="BU184" s="282"/>
      <c r="BV184" s="282"/>
      <c r="BW184" s="282"/>
    </row>
    <row r="185" spans="1:76" s="227" customFormat="1" ht="21.75" customHeight="1" x14ac:dyDescent="0.3">
      <c r="A185" s="268">
        <v>185</v>
      </c>
      <c r="B185" s="269">
        <v>41790</v>
      </c>
      <c r="C185" s="270">
        <v>10052513</v>
      </c>
      <c r="D185" s="271" t="s">
        <v>469</v>
      </c>
      <c r="E185" s="271"/>
      <c r="F185" s="272" t="s">
        <v>486</v>
      </c>
      <c r="G185" s="272" t="s">
        <v>484</v>
      </c>
      <c r="H185" s="268">
        <v>426514201</v>
      </c>
      <c r="I185" s="273">
        <v>9500</v>
      </c>
      <c r="J185" s="273">
        <v>9500</v>
      </c>
      <c r="K185" s="268"/>
      <c r="L185" s="268"/>
      <c r="M185" s="268"/>
      <c r="N185" s="268"/>
      <c r="O185" s="268"/>
      <c r="P185" s="268"/>
      <c r="Q185" s="268"/>
      <c r="R185" s="268"/>
      <c r="S185" s="268"/>
      <c r="T185" s="273"/>
      <c r="U185" s="273"/>
      <c r="V185" s="273"/>
      <c r="W185" s="273"/>
      <c r="X185" s="273"/>
      <c r="Y185" s="121"/>
      <c r="Z185" s="121"/>
      <c r="AA185" s="273"/>
      <c r="AB185" s="273"/>
      <c r="AC185" s="273"/>
      <c r="AD185" s="273"/>
      <c r="AE185" s="273"/>
      <c r="AF185" s="273"/>
      <c r="AG185" s="278"/>
      <c r="AH185" s="278"/>
    </row>
    <row r="186" spans="1:76" s="227" customFormat="1" ht="21.75" customHeight="1" x14ac:dyDescent="0.3">
      <c r="A186" s="268">
        <v>186</v>
      </c>
      <c r="B186" s="269">
        <v>41790</v>
      </c>
      <c r="C186" s="270">
        <v>11027046</v>
      </c>
      <c r="D186" s="271" t="s">
        <v>470</v>
      </c>
      <c r="E186" s="271"/>
      <c r="F186" s="272" t="s">
        <v>487</v>
      </c>
      <c r="G186" s="272" t="s">
        <v>488</v>
      </c>
      <c r="H186" s="268">
        <v>4142063413</v>
      </c>
      <c r="I186" s="273">
        <v>12500</v>
      </c>
      <c r="J186" s="273">
        <v>12500</v>
      </c>
      <c r="K186" s="268"/>
      <c r="L186" s="268"/>
      <c r="M186" s="268"/>
      <c r="N186" s="268"/>
      <c r="O186" s="268"/>
      <c r="P186" s="268"/>
      <c r="Q186" s="268"/>
      <c r="R186" s="268"/>
      <c r="S186" s="268"/>
      <c r="T186" s="273"/>
      <c r="U186" s="273"/>
      <c r="V186" s="273"/>
      <c r="W186" s="273"/>
      <c r="X186" s="273"/>
      <c r="Y186" s="121"/>
      <c r="Z186" s="121"/>
      <c r="AA186" s="273"/>
      <c r="AB186" s="273"/>
      <c r="AC186" s="273"/>
      <c r="AD186" s="273"/>
      <c r="AE186" s="273"/>
      <c r="AF186" s="273"/>
      <c r="AG186" s="278"/>
      <c r="AH186" s="278"/>
      <c r="AI186" s="282"/>
      <c r="AJ186" s="282"/>
      <c r="AK186" s="282"/>
      <c r="AL186" s="282"/>
      <c r="AM186" s="282"/>
      <c r="AN186" s="282"/>
      <c r="AO186" s="282"/>
      <c r="AP186" s="282"/>
      <c r="AQ186" s="282"/>
      <c r="AR186" s="282"/>
      <c r="AS186" s="282"/>
      <c r="AT186" s="282"/>
      <c r="AU186" s="282"/>
      <c r="AV186" s="282"/>
      <c r="AW186" s="282"/>
      <c r="AX186" s="282"/>
      <c r="AY186" s="282"/>
      <c r="AZ186" s="282"/>
      <c r="BA186" s="282"/>
      <c r="BB186" s="282"/>
      <c r="BC186" s="282"/>
      <c r="BD186" s="282"/>
      <c r="BE186" s="282"/>
      <c r="BF186" s="282"/>
      <c r="BG186" s="282"/>
      <c r="BH186" s="282"/>
      <c r="BI186" s="282"/>
      <c r="BJ186" s="282"/>
      <c r="BK186" s="282"/>
      <c r="BL186" s="282"/>
      <c r="BM186" s="282"/>
      <c r="BN186" s="282"/>
      <c r="BO186" s="282"/>
      <c r="BP186" s="282"/>
      <c r="BQ186" s="282"/>
      <c r="BR186" s="282"/>
      <c r="BS186" s="282"/>
      <c r="BT186" s="282"/>
      <c r="BU186" s="282"/>
      <c r="BV186" s="282"/>
      <c r="BW186" s="282"/>
      <c r="BX186" s="282"/>
    </row>
    <row r="187" spans="1:76" s="313" customFormat="1" ht="21.75" customHeight="1" x14ac:dyDescent="0.3">
      <c r="A187" s="349">
        <v>187</v>
      </c>
      <c r="B187" s="350">
        <v>41793</v>
      </c>
      <c r="C187" s="351">
        <v>16671582</v>
      </c>
      <c r="D187" s="352" t="s">
        <v>471</v>
      </c>
      <c r="E187" s="352"/>
      <c r="F187" s="353" t="s">
        <v>489</v>
      </c>
      <c r="G187" s="353" t="s">
        <v>490</v>
      </c>
      <c r="H187" s="349">
        <v>4241466686</v>
      </c>
      <c r="I187" s="354">
        <v>12500</v>
      </c>
      <c r="J187" s="354">
        <v>12500</v>
      </c>
      <c r="K187" s="349"/>
      <c r="L187" s="349"/>
      <c r="M187" s="349"/>
      <c r="N187" s="349"/>
      <c r="O187" s="349"/>
      <c r="P187" s="349"/>
      <c r="Q187" s="349"/>
      <c r="R187" s="349"/>
      <c r="S187" s="349"/>
      <c r="T187" s="354"/>
      <c r="U187" s="354"/>
      <c r="V187" s="354"/>
      <c r="W187" s="354"/>
      <c r="X187" s="354"/>
      <c r="Y187" s="354"/>
      <c r="Z187" s="354"/>
      <c r="AA187" s="354"/>
      <c r="AB187" s="354"/>
      <c r="AC187" s="354"/>
      <c r="AD187" s="354"/>
      <c r="AE187" s="354"/>
      <c r="AF187" s="354"/>
      <c r="AG187" s="355"/>
      <c r="AH187" s="355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</row>
    <row r="188" spans="1:76" s="227" customFormat="1" ht="21.75" customHeight="1" x14ac:dyDescent="0.3">
      <c r="A188" s="268">
        <v>188</v>
      </c>
      <c r="B188" s="269">
        <v>41793</v>
      </c>
      <c r="C188" s="270"/>
      <c r="D188" s="271" t="s">
        <v>472</v>
      </c>
      <c r="E188" s="271"/>
      <c r="F188" s="272" t="s">
        <v>491</v>
      </c>
      <c r="G188" s="272" t="s">
        <v>492</v>
      </c>
      <c r="H188" s="268">
        <v>4242320746</v>
      </c>
      <c r="I188" s="273">
        <v>12500</v>
      </c>
      <c r="J188" s="273">
        <v>12500</v>
      </c>
      <c r="K188" s="268"/>
      <c r="L188" s="268"/>
      <c r="M188" s="268"/>
      <c r="N188" s="268"/>
      <c r="O188" s="268"/>
      <c r="P188" s="268"/>
      <c r="Q188" s="268"/>
      <c r="R188" s="268"/>
      <c r="S188" s="268"/>
      <c r="T188" s="273"/>
      <c r="U188" s="273"/>
      <c r="V188" s="273"/>
      <c r="W188" s="273"/>
      <c r="X188" s="273"/>
      <c r="Y188" s="121"/>
      <c r="Z188" s="121"/>
      <c r="AA188" s="273"/>
      <c r="AB188" s="273"/>
      <c r="AC188" s="273"/>
      <c r="AD188" s="273"/>
      <c r="AE188" s="273"/>
      <c r="AF188" s="273"/>
      <c r="AG188" s="278"/>
      <c r="AH188" s="278"/>
      <c r="AI188" s="282"/>
      <c r="AJ188" s="282"/>
      <c r="AK188" s="282"/>
      <c r="AL188" s="282"/>
      <c r="AM188" s="282"/>
      <c r="AN188" s="282"/>
      <c r="AO188" s="282"/>
      <c r="AP188" s="282"/>
      <c r="AQ188" s="282"/>
      <c r="AR188" s="282"/>
      <c r="AS188" s="282"/>
      <c r="AT188" s="282"/>
      <c r="AU188" s="282"/>
      <c r="AV188" s="282"/>
      <c r="AW188" s="282"/>
      <c r="AX188" s="282"/>
      <c r="AY188" s="282"/>
      <c r="AZ188" s="282"/>
      <c r="BA188" s="282"/>
      <c r="BB188" s="282"/>
      <c r="BC188" s="282"/>
      <c r="BD188" s="282"/>
      <c r="BE188" s="282"/>
      <c r="BF188" s="282"/>
      <c r="BG188" s="282"/>
      <c r="BH188" s="282"/>
      <c r="BI188" s="282"/>
      <c r="BJ188" s="282"/>
      <c r="BK188" s="282"/>
      <c r="BL188" s="282"/>
      <c r="BM188" s="282"/>
      <c r="BN188" s="282"/>
      <c r="BO188" s="282"/>
      <c r="BP188" s="282"/>
      <c r="BQ188" s="282"/>
      <c r="BR188" s="282"/>
      <c r="BS188" s="282"/>
      <c r="BT188" s="282"/>
      <c r="BU188" s="282"/>
      <c r="BV188" s="282"/>
      <c r="BW188" s="282"/>
      <c r="BX188" s="282"/>
    </row>
    <row r="189" spans="1:76" s="227" customFormat="1" ht="21.75" customHeight="1" x14ac:dyDescent="0.3">
      <c r="A189" s="268">
        <v>189</v>
      </c>
      <c r="B189" s="269">
        <v>41793</v>
      </c>
      <c r="C189" s="270">
        <v>16671582</v>
      </c>
      <c r="D189" s="271" t="s">
        <v>473</v>
      </c>
      <c r="E189" s="271"/>
      <c r="F189" s="272" t="s">
        <v>493</v>
      </c>
      <c r="G189" s="272" t="s">
        <v>490</v>
      </c>
      <c r="H189" s="268">
        <v>4241466686</v>
      </c>
      <c r="I189" s="273">
        <v>12500</v>
      </c>
      <c r="J189" s="273">
        <v>12500</v>
      </c>
      <c r="K189" s="268"/>
      <c r="L189" s="268"/>
      <c r="M189" s="268"/>
      <c r="N189" s="268"/>
      <c r="O189" s="268"/>
      <c r="P189" s="268"/>
      <c r="Q189" s="268"/>
      <c r="R189" s="268"/>
      <c r="S189" s="268"/>
      <c r="T189" s="273"/>
      <c r="U189" s="273"/>
      <c r="V189" s="273"/>
      <c r="W189" s="273"/>
      <c r="X189" s="273"/>
      <c r="Y189" s="121"/>
      <c r="Z189" s="121"/>
      <c r="AA189" s="273"/>
      <c r="AB189" s="273"/>
      <c r="AC189" s="273"/>
      <c r="AD189" s="273"/>
      <c r="AE189" s="273"/>
      <c r="AF189" s="273"/>
      <c r="AG189" s="278"/>
      <c r="AH189" s="278"/>
      <c r="AI189" s="282"/>
      <c r="AJ189" s="282"/>
      <c r="AK189" s="282"/>
      <c r="AL189" s="282"/>
      <c r="AM189" s="282"/>
      <c r="AN189" s="282"/>
      <c r="AO189" s="282"/>
      <c r="AP189" s="282"/>
      <c r="AQ189" s="282"/>
      <c r="AR189" s="282"/>
      <c r="AS189" s="282"/>
      <c r="AT189" s="282"/>
      <c r="AU189" s="282"/>
      <c r="AV189" s="282"/>
      <c r="AW189" s="282"/>
      <c r="AX189" s="282"/>
      <c r="AY189" s="282"/>
      <c r="AZ189" s="282"/>
      <c r="BA189" s="282"/>
      <c r="BB189" s="282"/>
      <c r="BC189" s="282"/>
      <c r="BD189" s="282"/>
      <c r="BE189" s="282"/>
      <c r="BF189" s="282"/>
      <c r="BG189" s="282"/>
      <c r="BH189" s="282"/>
      <c r="BI189" s="282"/>
      <c r="BJ189" s="282"/>
      <c r="BK189" s="282"/>
      <c r="BL189" s="282"/>
      <c r="BM189" s="282"/>
      <c r="BN189" s="282"/>
      <c r="BO189" s="282"/>
      <c r="BP189" s="282"/>
      <c r="BQ189" s="282"/>
      <c r="BR189" s="282"/>
      <c r="BS189" s="282"/>
      <c r="BT189" s="282"/>
      <c r="BU189" s="282"/>
      <c r="BV189" s="282"/>
      <c r="BW189" s="282"/>
      <c r="BX189" s="282"/>
    </row>
    <row r="190" spans="1:76" s="227" customFormat="1" ht="21.75" customHeight="1" x14ac:dyDescent="0.3">
      <c r="A190" s="268">
        <v>190</v>
      </c>
      <c r="B190" s="269">
        <v>41793</v>
      </c>
      <c r="C190" s="270">
        <v>81313805</v>
      </c>
      <c r="D190" s="271" t="s">
        <v>474</v>
      </c>
      <c r="E190" s="271"/>
      <c r="F190" s="272" t="s">
        <v>494</v>
      </c>
      <c r="G190" s="272" t="s">
        <v>495</v>
      </c>
      <c r="H190" s="268">
        <v>4241214033</v>
      </c>
      <c r="I190" s="273">
        <v>14500</v>
      </c>
      <c r="J190" s="273">
        <v>14500</v>
      </c>
      <c r="K190" s="268"/>
      <c r="L190" s="268"/>
      <c r="M190" s="268"/>
      <c r="N190" s="268"/>
      <c r="O190" s="268"/>
      <c r="P190" s="268"/>
      <c r="Q190" s="268"/>
      <c r="R190" s="268"/>
      <c r="S190" s="268"/>
      <c r="T190" s="273"/>
      <c r="U190" s="273"/>
      <c r="V190" s="273"/>
      <c r="W190" s="273"/>
      <c r="X190" s="273"/>
      <c r="Y190" s="121"/>
      <c r="Z190" s="121"/>
      <c r="AA190" s="273"/>
      <c r="AB190" s="273"/>
      <c r="AC190" s="273"/>
      <c r="AD190" s="273"/>
      <c r="AE190" s="273"/>
      <c r="AF190" s="273"/>
      <c r="AG190" s="278"/>
      <c r="AH190" s="278"/>
      <c r="AI190" s="282"/>
      <c r="AJ190" s="282"/>
      <c r="AK190" s="282"/>
      <c r="AL190" s="282"/>
      <c r="AM190" s="282"/>
      <c r="AN190" s="282"/>
      <c r="AO190" s="282"/>
      <c r="AP190" s="282"/>
      <c r="AQ190" s="282"/>
      <c r="AR190" s="282"/>
      <c r="AS190" s="282"/>
      <c r="AT190" s="282"/>
      <c r="AU190" s="282"/>
      <c r="AV190" s="282"/>
      <c r="AW190" s="282"/>
      <c r="AX190" s="282"/>
      <c r="AY190" s="282"/>
      <c r="AZ190" s="282"/>
      <c r="BA190" s="282"/>
      <c r="BB190" s="282"/>
      <c r="BC190" s="282"/>
      <c r="BD190" s="282"/>
      <c r="BE190" s="282"/>
      <c r="BF190" s="282"/>
      <c r="BG190" s="282"/>
      <c r="BH190" s="282"/>
      <c r="BI190" s="282"/>
      <c r="BJ190" s="282"/>
      <c r="BK190" s="282"/>
      <c r="BL190" s="282"/>
      <c r="BM190" s="282"/>
      <c r="BN190" s="282"/>
      <c r="BO190" s="282"/>
      <c r="BP190" s="282"/>
      <c r="BQ190" s="282"/>
      <c r="BR190" s="282"/>
      <c r="BS190" s="282"/>
      <c r="BT190" s="282"/>
      <c r="BU190" s="282"/>
      <c r="BV190" s="282"/>
      <c r="BW190" s="282"/>
      <c r="BX190" s="282"/>
    </row>
    <row r="191" spans="1:76" s="204" customFormat="1" ht="21.75" customHeight="1" x14ac:dyDescent="0.3">
      <c r="A191" s="200">
        <v>191</v>
      </c>
      <c r="B191" s="233">
        <v>41793</v>
      </c>
      <c r="C191" s="201">
        <v>81313805</v>
      </c>
      <c r="D191" s="202" t="s">
        <v>475</v>
      </c>
      <c r="E191" s="234"/>
      <c r="F191" s="236" t="s">
        <v>502</v>
      </c>
      <c r="G191" s="236" t="s">
        <v>495</v>
      </c>
      <c r="H191" s="235">
        <v>4241214033</v>
      </c>
      <c r="I191" s="203">
        <v>15000</v>
      </c>
      <c r="J191" s="237" t="s">
        <v>65</v>
      </c>
      <c r="K191" s="235"/>
      <c r="L191" s="235"/>
      <c r="M191" s="235"/>
      <c r="N191" s="235"/>
      <c r="O191" s="235"/>
      <c r="P191" s="235"/>
      <c r="Q191" s="235"/>
      <c r="R191" s="235"/>
      <c r="S191" s="235"/>
      <c r="T191" s="237"/>
      <c r="U191" s="237"/>
      <c r="V191" s="237"/>
      <c r="W191" s="237"/>
      <c r="X191" s="237"/>
      <c r="Y191" s="237"/>
      <c r="Z191" s="237"/>
      <c r="AA191" s="237"/>
      <c r="AB191" s="237"/>
      <c r="AC191" s="237"/>
      <c r="AD191" s="237"/>
      <c r="AE191" s="237"/>
      <c r="AF191" s="237"/>
      <c r="AG191" s="238"/>
      <c r="AH191" s="238"/>
    </row>
    <row r="192" spans="1:76" s="227" customFormat="1" ht="21.75" customHeight="1" x14ac:dyDescent="0.3">
      <c r="A192" s="268">
        <v>192</v>
      </c>
      <c r="B192" s="269">
        <v>41794</v>
      </c>
      <c r="C192" s="270">
        <v>6910433</v>
      </c>
      <c r="D192" s="271" t="s">
        <v>496</v>
      </c>
      <c r="E192" s="271" t="s">
        <v>503</v>
      </c>
      <c r="F192" s="272" t="s">
        <v>504</v>
      </c>
      <c r="G192" s="272" t="s">
        <v>505</v>
      </c>
      <c r="H192" s="268">
        <v>4142218666</v>
      </c>
      <c r="I192" s="273">
        <v>12500</v>
      </c>
      <c r="J192" s="273">
        <v>12500</v>
      </c>
      <c r="K192" s="268"/>
      <c r="L192" s="268"/>
      <c r="M192" s="268"/>
      <c r="N192" s="268"/>
      <c r="O192" s="268"/>
      <c r="P192" s="268"/>
      <c r="Q192" s="268"/>
      <c r="R192" s="268"/>
      <c r="S192" s="268"/>
      <c r="T192" s="273"/>
      <c r="U192" s="273"/>
      <c r="V192" s="273"/>
      <c r="W192" s="273"/>
      <c r="X192" s="273"/>
      <c r="Y192" s="121"/>
      <c r="Z192" s="121"/>
      <c r="AA192" s="273"/>
      <c r="AB192" s="273"/>
      <c r="AC192" s="273"/>
      <c r="AD192" s="273"/>
      <c r="AE192" s="273"/>
      <c r="AF192" s="273"/>
      <c r="AG192" s="278"/>
      <c r="AH192" s="278"/>
      <c r="AI192" s="282"/>
      <c r="AJ192" s="282"/>
      <c r="AK192" s="282"/>
      <c r="AL192" s="282"/>
      <c r="AM192" s="282"/>
      <c r="AN192" s="282"/>
      <c r="AO192" s="282"/>
      <c r="AP192" s="282"/>
      <c r="AQ192" s="282"/>
      <c r="AR192" s="282"/>
      <c r="AS192" s="282"/>
      <c r="AT192" s="282"/>
      <c r="AU192" s="282"/>
      <c r="AV192" s="282"/>
      <c r="AW192" s="282"/>
      <c r="AX192" s="282"/>
      <c r="AY192" s="282"/>
      <c r="AZ192" s="282"/>
      <c r="BA192" s="282"/>
      <c r="BB192" s="282"/>
      <c r="BC192" s="282"/>
      <c r="BD192" s="282"/>
      <c r="BE192" s="282"/>
      <c r="BF192" s="282"/>
      <c r="BG192" s="282"/>
      <c r="BH192" s="282"/>
      <c r="BI192" s="282"/>
      <c r="BJ192" s="282"/>
      <c r="BK192" s="282"/>
      <c r="BL192" s="282"/>
      <c r="BM192" s="282"/>
      <c r="BN192" s="282"/>
      <c r="BO192" s="282"/>
      <c r="BP192" s="282"/>
      <c r="BQ192" s="282"/>
      <c r="BR192" s="282"/>
      <c r="BS192" s="282"/>
      <c r="BT192" s="282"/>
      <c r="BU192" s="282"/>
      <c r="BV192" s="282"/>
      <c r="BW192" s="282"/>
      <c r="BX192" s="282"/>
    </row>
    <row r="193" spans="1:76" s="227" customFormat="1" ht="21.75" customHeight="1" x14ac:dyDescent="0.3">
      <c r="A193" s="268">
        <v>193</v>
      </c>
      <c r="B193" s="269">
        <v>41794</v>
      </c>
      <c r="C193" s="270">
        <v>13310651</v>
      </c>
      <c r="D193" s="271" t="s">
        <v>497</v>
      </c>
      <c r="E193" s="271" t="s">
        <v>503</v>
      </c>
      <c r="F193" s="272" t="s">
        <v>506</v>
      </c>
      <c r="G193" s="272" t="s">
        <v>507</v>
      </c>
      <c r="H193" s="268">
        <v>4167283224</v>
      </c>
      <c r="I193" s="273">
        <v>12500</v>
      </c>
      <c r="J193" s="273">
        <v>12500</v>
      </c>
      <c r="K193" s="268"/>
      <c r="L193" s="268"/>
      <c r="M193" s="268"/>
      <c r="N193" s="268"/>
      <c r="O193" s="268"/>
      <c r="P193" s="268"/>
      <c r="Q193" s="268"/>
      <c r="R193" s="268"/>
      <c r="S193" s="268"/>
      <c r="T193" s="273"/>
      <c r="U193" s="273"/>
      <c r="V193" s="273"/>
      <c r="W193" s="273"/>
      <c r="X193" s="273"/>
      <c r="Y193" s="121"/>
      <c r="Z193" s="121"/>
      <c r="AA193" s="273"/>
      <c r="AB193" s="273"/>
      <c r="AC193" s="273"/>
      <c r="AD193" s="273"/>
      <c r="AE193" s="273"/>
      <c r="AF193" s="273"/>
      <c r="AG193" s="278"/>
      <c r="AH193" s="278"/>
      <c r="AI193" s="282"/>
      <c r="AJ193" s="282"/>
      <c r="AK193" s="282"/>
      <c r="AL193" s="282"/>
      <c r="AM193" s="282"/>
      <c r="AN193" s="282"/>
      <c r="AO193" s="282"/>
      <c r="AP193" s="282"/>
      <c r="AQ193" s="282"/>
      <c r="AR193" s="282"/>
      <c r="AS193" s="282"/>
      <c r="AT193" s="282"/>
      <c r="AU193" s="282"/>
      <c r="AV193" s="282"/>
      <c r="AW193" s="282"/>
      <c r="AX193" s="282"/>
      <c r="AY193" s="282"/>
      <c r="AZ193" s="282"/>
      <c r="BA193" s="282"/>
      <c r="BB193" s="282"/>
      <c r="BC193" s="282"/>
      <c r="BD193" s="282"/>
      <c r="BE193" s="282"/>
      <c r="BF193" s="282"/>
      <c r="BG193" s="282"/>
      <c r="BH193" s="282"/>
      <c r="BI193" s="282"/>
      <c r="BJ193" s="282"/>
      <c r="BK193" s="282"/>
      <c r="BL193" s="282"/>
      <c r="BM193" s="282"/>
      <c r="BN193" s="282"/>
      <c r="BO193" s="282"/>
      <c r="BP193" s="282"/>
      <c r="BQ193" s="282"/>
      <c r="BR193" s="282"/>
      <c r="BS193" s="282"/>
      <c r="BT193" s="282"/>
      <c r="BU193" s="282"/>
      <c r="BV193" s="282"/>
      <c r="BW193" s="282"/>
      <c r="BX193" s="282"/>
    </row>
    <row r="194" spans="1:76" s="227" customFormat="1" ht="21.75" customHeight="1" x14ac:dyDescent="0.3">
      <c r="A194" s="268">
        <v>194</v>
      </c>
      <c r="B194" s="269">
        <v>41794</v>
      </c>
      <c r="C194" s="270">
        <v>13310651</v>
      </c>
      <c r="D194" s="271" t="s">
        <v>498</v>
      </c>
      <c r="E194" s="271" t="s">
        <v>503</v>
      </c>
      <c r="F194" s="272" t="s">
        <v>508</v>
      </c>
      <c r="G194" s="272" t="s">
        <v>507</v>
      </c>
      <c r="H194" s="268">
        <v>4167283224</v>
      </c>
      <c r="I194" s="273">
        <v>12500</v>
      </c>
      <c r="J194" s="273">
        <v>12500</v>
      </c>
      <c r="K194" s="268"/>
      <c r="L194" s="268"/>
      <c r="M194" s="268"/>
      <c r="N194" s="268"/>
      <c r="O194" s="268"/>
      <c r="P194" s="268"/>
      <c r="Q194" s="268"/>
      <c r="R194" s="268"/>
      <c r="S194" s="268"/>
      <c r="T194" s="273"/>
      <c r="U194" s="273"/>
      <c r="V194" s="273"/>
      <c r="W194" s="273"/>
      <c r="X194" s="273"/>
      <c r="Y194" s="121"/>
      <c r="Z194" s="121"/>
      <c r="AA194" s="273"/>
      <c r="AB194" s="273"/>
      <c r="AC194" s="273"/>
      <c r="AD194" s="273"/>
      <c r="AE194" s="273"/>
      <c r="AF194" s="273"/>
      <c r="AG194" s="278"/>
      <c r="AH194" s="278"/>
      <c r="AI194" s="281"/>
      <c r="AJ194" s="281"/>
      <c r="AK194" s="281"/>
      <c r="AL194" s="281"/>
      <c r="AM194" s="281"/>
      <c r="AN194" s="281"/>
      <c r="AO194" s="281"/>
      <c r="AP194" s="281"/>
      <c r="AQ194" s="281"/>
      <c r="AR194" s="281"/>
      <c r="AS194" s="281"/>
      <c r="AT194" s="281"/>
      <c r="AU194" s="281"/>
      <c r="AV194" s="281"/>
      <c r="AW194" s="281"/>
      <c r="AX194" s="281"/>
      <c r="AY194" s="281"/>
      <c r="AZ194" s="281"/>
      <c r="BA194" s="281"/>
      <c r="BB194" s="281"/>
      <c r="BC194" s="281"/>
      <c r="BD194" s="281"/>
      <c r="BE194" s="281"/>
      <c r="BF194" s="281"/>
      <c r="BG194" s="281"/>
      <c r="BH194" s="281"/>
      <c r="BI194" s="281"/>
      <c r="BJ194" s="281"/>
      <c r="BK194" s="281"/>
      <c r="BL194" s="281"/>
      <c r="BM194" s="281"/>
      <c r="BN194" s="281"/>
      <c r="BO194" s="281"/>
      <c r="BP194" s="281"/>
      <c r="BQ194" s="281"/>
      <c r="BR194" s="281"/>
      <c r="BS194" s="281"/>
      <c r="BT194" s="281"/>
      <c r="BU194" s="281"/>
      <c r="BV194" s="281"/>
      <c r="BW194" s="281"/>
      <c r="BX194" s="281"/>
    </row>
    <row r="195" spans="1:76" s="227" customFormat="1" ht="21.75" customHeight="1" x14ac:dyDescent="0.3">
      <c r="A195" s="268">
        <v>195</v>
      </c>
      <c r="B195" s="269">
        <v>41763</v>
      </c>
      <c r="C195" s="270">
        <v>10276703</v>
      </c>
      <c r="D195" s="271" t="s">
        <v>499</v>
      </c>
      <c r="E195" s="271"/>
      <c r="F195" s="272" t="s">
        <v>509</v>
      </c>
      <c r="G195" s="272" t="s">
        <v>510</v>
      </c>
      <c r="H195" s="268">
        <v>4242220394</v>
      </c>
      <c r="I195" s="273">
        <v>14500</v>
      </c>
      <c r="J195" s="273">
        <v>14500</v>
      </c>
      <c r="K195" s="268"/>
      <c r="L195" s="268"/>
      <c r="M195" s="268"/>
      <c r="N195" s="268"/>
      <c r="O195" s="268"/>
      <c r="P195" s="268"/>
      <c r="Q195" s="268"/>
      <c r="R195" s="268"/>
      <c r="S195" s="268"/>
      <c r="T195" s="273"/>
      <c r="U195" s="273"/>
      <c r="V195" s="273"/>
      <c r="W195" s="273"/>
      <c r="X195" s="273"/>
      <c r="Y195" s="121"/>
      <c r="Z195" s="121"/>
      <c r="AA195" s="273"/>
      <c r="AB195" s="273"/>
      <c r="AC195" s="273"/>
      <c r="AD195" s="273"/>
      <c r="AE195" s="273"/>
      <c r="AF195" s="273"/>
      <c r="AG195" s="278"/>
      <c r="AH195" s="278"/>
      <c r="AI195" s="282"/>
      <c r="AJ195" s="282"/>
      <c r="AK195" s="282"/>
      <c r="AL195" s="282"/>
      <c r="AM195" s="282"/>
      <c r="AN195" s="282"/>
      <c r="AO195" s="282"/>
      <c r="AP195" s="282"/>
      <c r="AQ195" s="282"/>
      <c r="AR195" s="282"/>
      <c r="AS195" s="282"/>
      <c r="AT195" s="282"/>
      <c r="AU195" s="282"/>
      <c r="AV195" s="282"/>
      <c r="AW195" s="282"/>
      <c r="AX195" s="282"/>
      <c r="AY195" s="282"/>
      <c r="AZ195" s="282"/>
      <c r="BA195" s="282"/>
      <c r="BB195" s="282"/>
      <c r="BC195" s="282"/>
      <c r="BD195" s="282"/>
      <c r="BE195" s="282"/>
      <c r="BF195" s="282"/>
      <c r="BG195" s="282"/>
      <c r="BH195" s="282"/>
      <c r="BI195" s="282"/>
      <c r="BJ195" s="282"/>
      <c r="BK195" s="282"/>
      <c r="BL195" s="282"/>
      <c r="BM195" s="282"/>
      <c r="BN195" s="282"/>
      <c r="BO195" s="282"/>
      <c r="BP195" s="282"/>
      <c r="BQ195" s="282"/>
      <c r="BR195" s="282"/>
      <c r="BS195" s="282"/>
      <c r="BT195" s="282"/>
      <c r="BU195" s="282"/>
      <c r="BV195" s="282"/>
      <c r="BW195" s="282"/>
      <c r="BX195" s="282"/>
    </row>
    <row r="196" spans="1:76" s="227" customFormat="1" ht="21.75" customHeight="1" x14ac:dyDescent="0.3">
      <c r="A196" s="268">
        <v>196</v>
      </c>
      <c r="B196" s="269">
        <v>41795</v>
      </c>
      <c r="C196" s="270">
        <v>12765960</v>
      </c>
      <c r="D196" s="271" t="s">
        <v>500</v>
      </c>
      <c r="E196" s="271"/>
      <c r="F196" s="272" t="s">
        <v>511</v>
      </c>
      <c r="G196" s="272" t="s">
        <v>512</v>
      </c>
      <c r="H196" s="268">
        <v>4141266801</v>
      </c>
      <c r="I196" s="273">
        <v>9500</v>
      </c>
      <c r="J196" s="273">
        <v>9500</v>
      </c>
      <c r="K196" s="268"/>
      <c r="L196" s="268"/>
      <c r="M196" s="268"/>
      <c r="N196" s="268"/>
      <c r="O196" s="268"/>
      <c r="P196" s="268"/>
      <c r="Q196" s="268"/>
      <c r="R196" s="268"/>
      <c r="S196" s="268"/>
      <c r="T196" s="273"/>
      <c r="U196" s="273"/>
      <c r="V196" s="273"/>
      <c r="W196" s="273"/>
      <c r="X196" s="273"/>
      <c r="Y196" s="121"/>
      <c r="Z196" s="121"/>
      <c r="AA196" s="273"/>
      <c r="AB196" s="273"/>
      <c r="AC196" s="273"/>
      <c r="AD196" s="273"/>
      <c r="AE196" s="273"/>
      <c r="AF196" s="273"/>
      <c r="AG196" s="278"/>
      <c r="AH196" s="278"/>
      <c r="AI196" s="282"/>
      <c r="AJ196" s="282"/>
      <c r="AK196" s="282"/>
      <c r="AL196" s="282"/>
      <c r="AM196" s="282"/>
      <c r="AN196" s="282"/>
      <c r="AO196" s="282"/>
      <c r="AP196" s="282"/>
      <c r="AQ196" s="282"/>
      <c r="AR196" s="282"/>
      <c r="AS196" s="282"/>
      <c r="AT196" s="282"/>
      <c r="AU196" s="282"/>
      <c r="AV196" s="282"/>
      <c r="AW196" s="282"/>
      <c r="AX196" s="282"/>
      <c r="AY196" s="282"/>
      <c r="AZ196" s="282"/>
      <c r="BA196" s="282"/>
      <c r="BB196" s="282"/>
      <c r="BC196" s="282"/>
      <c r="BD196" s="282"/>
      <c r="BE196" s="282"/>
      <c r="BF196" s="282"/>
      <c r="BG196" s="282"/>
      <c r="BH196" s="282"/>
      <c r="BI196" s="282"/>
      <c r="BJ196" s="282"/>
      <c r="BK196" s="282"/>
      <c r="BL196" s="282"/>
      <c r="BM196" s="282"/>
      <c r="BN196" s="282"/>
      <c r="BO196" s="282"/>
      <c r="BP196" s="282"/>
      <c r="BQ196" s="282"/>
      <c r="BR196" s="282"/>
      <c r="BS196" s="282"/>
      <c r="BT196" s="282"/>
      <c r="BU196" s="282"/>
      <c r="BV196" s="282"/>
      <c r="BW196" s="282"/>
      <c r="BX196" s="282"/>
    </row>
    <row r="197" spans="1:76" s="227" customFormat="1" ht="21.75" customHeight="1" x14ac:dyDescent="0.3">
      <c r="A197" s="268">
        <v>197</v>
      </c>
      <c r="B197" s="269">
        <v>41795</v>
      </c>
      <c r="C197" s="270">
        <v>14674194</v>
      </c>
      <c r="D197" s="271" t="s">
        <v>501</v>
      </c>
      <c r="E197" s="271"/>
      <c r="F197" s="272" t="s">
        <v>513</v>
      </c>
      <c r="G197" s="272" t="s">
        <v>514</v>
      </c>
      <c r="H197" s="268">
        <v>4123913417</v>
      </c>
      <c r="I197" s="273">
        <v>12500</v>
      </c>
      <c r="J197" s="273">
        <v>12500</v>
      </c>
      <c r="K197" s="268"/>
      <c r="L197" s="268"/>
      <c r="M197" s="268"/>
      <c r="N197" s="268"/>
      <c r="O197" s="268"/>
      <c r="P197" s="268"/>
      <c r="Q197" s="268"/>
      <c r="R197" s="268"/>
      <c r="S197" s="268"/>
      <c r="T197" s="273"/>
      <c r="U197" s="273"/>
      <c r="V197" s="273"/>
      <c r="W197" s="273"/>
      <c r="X197" s="273"/>
      <c r="Y197" s="121"/>
      <c r="Z197" s="121"/>
      <c r="AA197" s="273"/>
      <c r="AB197" s="273"/>
      <c r="AC197" s="273"/>
      <c r="AD197" s="273"/>
      <c r="AE197" s="273"/>
      <c r="AF197" s="273"/>
      <c r="AG197" s="278"/>
      <c r="AH197" s="278"/>
      <c r="AI197" s="282"/>
      <c r="AJ197" s="282"/>
      <c r="AK197" s="282"/>
      <c r="AL197" s="282"/>
      <c r="AM197" s="282"/>
      <c r="AN197" s="282"/>
      <c r="AO197" s="282"/>
      <c r="AP197" s="282"/>
      <c r="AQ197" s="282"/>
      <c r="AR197" s="282"/>
      <c r="AS197" s="282"/>
      <c r="AT197" s="282"/>
      <c r="AU197" s="282"/>
      <c r="AV197" s="282"/>
      <c r="AW197" s="282"/>
      <c r="AX197" s="282"/>
      <c r="AY197" s="282"/>
      <c r="AZ197" s="282"/>
      <c r="BA197" s="282"/>
      <c r="BB197" s="282"/>
      <c r="BC197" s="282"/>
      <c r="BD197" s="282"/>
      <c r="BE197" s="282"/>
      <c r="BF197" s="282"/>
      <c r="BG197" s="282"/>
      <c r="BH197" s="282"/>
      <c r="BI197" s="282"/>
      <c r="BJ197" s="282"/>
      <c r="BK197" s="282"/>
      <c r="BL197" s="282"/>
      <c r="BM197" s="282"/>
      <c r="BN197" s="282"/>
      <c r="BO197" s="282"/>
      <c r="BP197" s="282"/>
      <c r="BQ197" s="282"/>
      <c r="BR197" s="282"/>
      <c r="BS197" s="282"/>
      <c r="BT197" s="282"/>
      <c r="BU197" s="282"/>
      <c r="BV197" s="282"/>
      <c r="BW197" s="282"/>
      <c r="BX197" s="282"/>
    </row>
    <row r="198" spans="1:76" s="227" customFormat="1" ht="21.75" customHeight="1" x14ac:dyDescent="0.3">
      <c r="A198" s="268">
        <v>198</v>
      </c>
      <c r="B198" s="269">
        <v>41796</v>
      </c>
      <c r="C198" s="270">
        <v>10509163</v>
      </c>
      <c r="D198" s="271" t="s">
        <v>518</v>
      </c>
      <c r="E198" s="271" t="s">
        <v>231</v>
      </c>
      <c r="F198" s="272" t="s">
        <v>553</v>
      </c>
      <c r="G198" s="272" t="s">
        <v>554</v>
      </c>
      <c r="H198" s="268">
        <v>4241531453</v>
      </c>
      <c r="I198" s="273">
        <v>12500</v>
      </c>
      <c r="J198" s="273">
        <v>12500</v>
      </c>
      <c r="K198" s="268"/>
      <c r="L198" s="268"/>
      <c r="M198" s="268"/>
      <c r="N198" s="268"/>
      <c r="O198" s="268"/>
      <c r="P198" s="268"/>
      <c r="Q198" s="268"/>
      <c r="R198" s="268"/>
      <c r="S198" s="268"/>
      <c r="T198" s="273"/>
      <c r="U198" s="273"/>
      <c r="V198" s="273"/>
      <c r="W198" s="273"/>
      <c r="X198" s="273"/>
      <c r="Y198" s="121"/>
      <c r="Z198" s="121"/>
      <c r="AA198" s="273"/>
      <c r="AB198" s="273"/>
      <c r="AC198" s="273"/>
      <c r="AD198" s="273"/>
      <c r="AE198" s="273"/>
      <c r="AF198" s="273"/>
      <c r="AG198" s="278"/>
      <c r="AH198" s="278"/>
      <c r="AI198" s="282"/>
      <c r="AJ198" s="282"/>
      <c r="AK198" s="282"/>
      <c r="AL198" s="282"/>
      <c r="AM198" s="282"/>
      <c r="AN198" s="282"/>
      <c r="AO198" s="282"/>
      <c r="AP198" s="282"/>
      <c r="AQ198" s="282"/>
      <c r="AR198" s="282"/>
      <c r="AS198" s="282"/>
      <c r="AT198" s="282"/>
      <c r="AU198" s="282"/>
      <c r="AV198" s="282"/>
      <c r="AW198" s="282"/>
      <c r="AX198" s="282"/>
      <c r="AY198" s="282"/>
      <c r="AZ198" s="282"/>
      <c r="BA198" s="282"/>
      <c r="BB198" s="282"/>
      <c r="BC198" s="282"/>
      <c r="BD198" s="282"/>
      <c r="BE198" s="282"/>
      <c r="BF198" s="282"/>
      <c r="BG198" s="282"/>
      <c r="BH198" s="282"/>
      <c r="BI198" s="282"/>
      <c r="BJ198" s="282"/>
      <c r="BK198" s="282"/>
      <c r="BL198" s="282"/>
      <c r="BM198" s="282"/>
      <c r="BN198" s="282"/>
      <c r="BO198" s="282"/>
      <c r="BP198" s="282"/>
      <c r="BQ198" s="282"/>
      <c r="BR198" s="282"/>
      <c r="BS198" s="282"/>
      <c r="BT198" s="282"/>
      <c r="BU198" s="282"/>
      <c r="BV198" s="282"/>
      <c r="BW198" s="282"/>
      <c r="BX198" s="282"/>
    </row>
    <row r="199" spans="1:76" ht="21.75" customHeight="1" x14ac:dyDescent="0.3">
      <c r="A199" s="9">
        <v>199</v>
      </c>
      <c r="B199" s="368">
        <v>41800</v>
      </c>
      <c r="C199" s="133">
        <v>24669103</v>
      </c>
      <c r="D199" s="17" t="s">
        <v>519</v>
      </c>
      <c r="E199" s="126" t="s">
        <v>79</v>
      </c>
      <c r="F199" s="152" t="s">
        <v>555</v>
      </c>
      <c r="G199" s="152" t="s">
        <v>555</v>
      </c>
      <c r="H199" s="189">
        <v>4241657683</v>
      </c>
      <c r="I199" s="25">
        <v>42900</v>
      </c>
      <c r="J199" s="369">
        <v>3900</v>
      </c>
      <c r="K199" s="118"/>
      <c r="L199" s="118"/>
      <c r="M199" s="118"/>
      <c r="N199" s="118"/>
      <c r="O199" s="118"/>
      <c r="P199" s="118"/>
      <c r="Q199" s="118"/>
      <c r="R199" s="118"/>
      <c r="S199" s="118"/>
      <c r="T199" s="120"/>
      <c r="U199" s="125">
        <v>3900</v>
      </c>
      <c r="V199" s="125">
        <v>3900</v>
      </c>
      <c r="W199" s="125">
        <v>3900</v>
      </c>
      <c r="X199" s="125">
        <v>3900</v>
      </c>
      <c r="Y199" s="125"/>
      <c r="Z199" s="125"/>
      <c r="AA199" s="125">
        <v>3900</v>
      </c>
      <c r="AB199" s="125">
        <v>3900</v>
      </c>
      <c r="AC199" s="125">
        <v>3900</v>
      </c>
      <c r="AD199" s="125">
        <v>1950</v>
      </c>
      <c r="AE199" s="125"/>
      <c r="AF199" s="125"/>
      <c r="AG199" s="32">
        <f>SUM(U199:AF199)+J199-I199</f>
        <v>-9750</v>
      </c>
      <c r="AH199" s="61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</row>
    <row r="200" spans="1:76" s="227" customFormat="1" ht="21.75" customHeight="1" x14ac:dyDescent="0.3">
      <c r="A200" s="268">
        <v>200</v>
      </c>
      <c r="B200" s="269">
        <v>41801</v>
      </c>
      <c r="C200" s="270">
        <v>3329642</v>
      </c>
      <c r="D200" s="271" t="s">
        <v>520</v>
      </c>
      <c r="E200" s="271" t="s">
        <v>231</v>
      </c>
      <c r="F200" s="272" t="s">
        <v>557</v>
      </c>
      <c r="G200" s="272" t="s">
        <v>556</v>
      </c>
      <c r="H200" s="268">
        <v>4148993182</v>
      </c>
      <c r="I200" s="273">
        <v>12500</v>
      </c>
      <c r="J200" s="273">
        <v>12500</v>
      </c>
      <c r="K200" s="268"/>
      <c r="L200" s="268"/>
      <c r="M200" s="268"/>
      <c r="N200" s="268"/>
      <c r="O200" s="268"/>
      <c r="P200" s="268"/>
      <c r="Q200" s="268"/>
      <c r="R200" s="268"/>
      <c r="S200" s="268"/>
      <c r="T200" s="273"/>
      <c r="U200" s="273"/>
      <c r="V200" s="273"/>
      <c r="W200" s="273"/>
      <c r="X200" s="273"/>
      <c r="Y200" s="121"/>
      <c r="Z200" s="121"/>
      <c r="AA200" s="273"/>
      <c r="AB200" s="273"/>
      <c r="AC200" s="273"/>
      <c r="AD200" s="273"/>
      <c r="AE200" s="273"/>
      <c r="AF200" s="273"/>
      <c r="AG200" s="278"/>
      <c r="AH200" s="278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282"/>
      <c r="AW200" s="282"/>
      <c r="AX200" s="282"/>
      <c r="AY200" s="282"/>
      <c r="AZ200" s="282"/>
      <c r="BA200" s="282"/>
      <c r="BB200" s="282"/>
      <c r="BC200" s="282"/>
      <c r="BD200" s="282"/>
      <c r="BE200" s="282"/>
      <c r="BF200" s="282"/>
      <c r="BG200" s="282"/>
      <c r="BH200" s="282"/>
      <c r="BI200" s="282"/>
      <c r="BJ200" s="282"/>
      <c r="BK200" s="282"/>
      <c r="BL200" s="282"/>
      <c r="BM200" s="282"/>
      <c r="BN200" s="282"/>
      <c r="BO200" s="282"/>
      <c r="BP200" s="282"/>
      <c r="BQ200" s="282"/>
      <c r="BR200" s="282"/>
      <c r="BS200" s="282"/>
      <c r="BT200" s="282"/>
      <c r="BU200" s="282"/>
      <c r="BV200" s="282"/>
      <c r="BW200" s="282"/>
      <c r="BX200" s="282"/>
    </row>
    <row r="201" spans="1:76" s="227" customFormat="1" ht="21.75" customHeight="1" x14ac:dyDescent="0.3">
      <c r="A201" s="268">
        <v>201</v>
      </c>
      <c r="B201" s="269">
        <v>41801</v>
      </c>
      <c r="C201" s="270">
        <v>10695512</v>
      </c>
      <c r="D201" s="271" t="s">
        <v>521</v>
      </c>
      <c r="E201" s="271" t="s">
        <v>503</v>
      </c>
      <c r="F201" s="272" t="s">
        <v>558</v>
      </c>
      <c r="G201" s="272" t="s">
        <v>559</v>
      </c>
      <c r="H201" s="268">
        <v>4142266721</v>
      </c>
      <c r="I201" s="273">
        <v>14500</v>
      </c>
      <c r="J201" s="273">
        <v>14500</v>
      </c>
      <c r="K201" s="268"/>
      <c r="L201" s="268"/>
      <c r="M201" s="268"/>
      <c r="N201" s="268"/>
      <c r="O201" s="268"/>
      <c r="P201" s="268"/>
      <c r="Q201" s="268"/>
      <c r="R201" s="268"/>
      <c r="S201" s="268"/>
      <c r="T201" s="273"/>
      <c r="U201" s="273"/>
      <c r="V201" s="273"/>
      <c r="W201" s="273"/>
      <c r="X201" s="273"/>
      <c r="Y201" s="121"/>
      <c r="Z201" s="121"/>
      <c r="AA201" s="273"/>
      <c r="AB201" s="273"/>
      <c r="AC201" s="273"/>
      <c r="AD201" s="273"/>
      <c r="AE201" s="273"/>
      <c r="AF201" s="273"/>
      <c r="AG201" s="278"/>
      <c r="AH201" s="278"/>
      <c r="AI201" s="282"/>
      <c r="AJ201" s="282"/>
      <c r="AK201" s="282"/>
      <c r="AL201" s="282"/>
      <c r="AM201" s="282"/>
      <c r="AN201" s="282"/>
      <c r="AO201" s="282"/>
      <c r="AP201" s="282"/>
      <c r="AQ201" s="282"/>
      <c r="AR201" s="282"/>
      <c r="AS201" s="282"/>
      <c r="AT201" s="282"/>
      <c r="AU201" s="282"/>
      <c r="AV201" s="282"/>
      <c r="AW201" s="282"/>
      <c r="AX201" s="282"/>
      <c r="AY201" s="282"/>
      <c r="AZ201" s="282"/>
      <c r="BA201" s="282"/>
      <c r="BB201" s="282"/>
      <c r="BC201" s="282"/>
      <c r="BD201" s="282"/>
      <c r="BE201" s="282"/>
      <c r="BF201" s="282"/>
      <c r="BG201" s="282"/>
      <c r="BH201" s="282"/>
      <c r="BI201" s="282"/>
      <c r="BJ201" s="282"/>
      <c r="BK201" s="282"/>
      <c r="BL201" s="282"/>
      <c r="BM201" s="282"/>
      <c r="BN201" s="282"/>
      <c r="BO201" s="282"/>
      <c r="BP201" s="282"/>
      <c r="BQ201" s="282"/>
      <c r="BR201" s="282"/>
      <c r="BS201" s="282"/>
      <c r="BT201" s="282"/>
      <c r="BU201" s="282"/>
      <c r="BV201" s="282"/>
      <c r="BW201" s="282"/>
      <c r="BX201" s="282"/>
    </row>
    <row r="202" spans="1:76" s="227" customFormat="1" ht="21.75" customHeight="1" x14ac:dyDescent="0.3">
      <c r="A202" s="268">
        <v>202</v>
      </c>
      <c r="B202" s="269">
        <v>41801</v>
      </c>
      <c r="C202" s="270">
        <v>8825152</v>
      </c>
      <c r="D202" s="271" t="s">
        <v>522</v>
      </c>
      <c r="E202" s="271" t="s">
        <v>231</v>
      </c>
      <c r="F202" s="272" t="s">
        <v>560</v>
      </c>
      <c r="G202" s="272" t="s">
        <v>561</v>
      </c>
      <c r="H202" s="268">
        <v>4142359723</v>
      </c>
      <c r="I202" s="273">
        <v>12500</v>
      </c>
      <c r="J202" s="273">
        <v>12500</v>
      </c>
      <c r="K202" s="268"/>
      <c r="L202" s="268"/>
      <c r="M202" s="268"/>
      <c r="N202" s="268"/>
      <c r="O202" s="268"/>
      <c r="P202" s="268"/>
      <c r="Q202" s="268"/>
      <c r="R202" s="268"/>
      <c r="S202" s="268"/>
      <c r="T202" s="273"/>
      <c r="U202" s="273"/>
      <c r="V202" s="273"/>
      <c r="W202" s="273"/>
      <c r="X202" s="273"/>
      <c r="Y202" s="121"/>
      <c r="Z202" s="121"/>
      <c r="AA202" s="273"/>
      <c r="AB202" s="273"/>
      <c r="AC202" s="273"/>
      <c r="AD202" s="273"/>
      <c r="AE202" s="273"/>
      <c r="AF202" s="273"/>
      <c r="AG202" s="278"/>
      <c r="AH202" s="278"/>
      <c r="AI202" s="293"/>
      <c r="AJ202" s="293"/>
      <c r="AK202" s="293"/>
      <c r="AL202" s="293"/>
      <c r="AM202" s="293"/>
      <c r="AN202" s="293"/>
      <c r="AO202" s="293"/>
      <c r="AP202" s="293"/>
      <c r="AQ202" s="293"/>
      <c r="AR202" s="293"/>
      <c r="AS202" s="293"/>
      <c r="AT202" s="293"/>
      <c r="AU202" s="293"/>
      <c r="AV202" s="293"/>
      <c r="AW202" s="293"/>
      <c r="AX202" s="293"/>
      <c r="AY202" s="293"/>
      <c r="AZ202" s="293"/>
      <c r="BA202" s="293"/>
      <c r="BB202" s="293"/>
      <c r="BC202" s="293"/>
      <c r="BD202" s="293"/>
      <c r="BE202" s="293"/>
      <c r="BF202" s="293"/>
      <c r="BG202" s="293"/>
      <c r="BH202" s="293"/>
      <c r="BI202" s="293"/>
      <c r="BJ202" s="293"/>
      <c r="BK202" s="293"/>
      <c r="BL202" s="293"/>
      <c r="BM202" s="293"/>
      <c r="BN202" s="293"/>
      <c r="BO202" s="293"/>
      <c r="BP202" s="293"/>
      <c r="BQ202" s="293"/>
      <c r="BR202" s="293"/>
      <c r="BS202" s="293"/>
      <c r="BT202" s="293"/>
      <c r="BU202" s="293"/>
      <c r="BV202" s="293"/>
      <c r="BW202" s="293"/>
      <c r="BX202" s="293"/>
    </row>
    <row r="203" spans="1:76" s="227" customFormat="1" ht="21.75" customHeight="1" x14ac:dyDescent="0.3">
      <c r="A203" s="268">
        <v>203</v>
      </c>
      <c r="B203" s="269">
        <v>41802</v>
      </c>
      <c r="C203" s="270">
        <v>14481487</v>
      </c>
      <c r="D203" s="271" t="s">
        <v>523</v>
      </c>
      <c r="E203" s="271" t="s">
        <v>301</v>
      </c>
      <c r="F203" s="272" t="s">
        <v>563</v>
      </c>
      <c r="G203" s="272" t="s">
        <v>562</v>
      </c>
      <c r="H203" s="268">
        <v>4127255898</v>
      </c>
      <c r="I203" s="273">
        <v>13500</v>
      </c>
      <c r="J203" s="273">
        <v>13500</v>
      </c>
      <c r="K203" s="268"/>
      <c r="L203" s="268"/>
      <c r="M203" s="268"/>
      <c r="N203" s="268"/>
      <c r="O203" s="268"/>
      <c r="P203" s="268"/>
      <c r="Q203" s="268"/>
      <c r="R203" s="268"/>
      <c r="S203" s="268"/>
      <c r="T203" s="273"/>
      <c r="U203" s="273"/>
      <c r="V203" s="273"/>
      <c r="W203" s="273"/>
      <c r="X203" s="273"/>
      <c r="Y203" s="121"/>
      <c r="Z203" s="121"/>
      <c r="AA203" s="273"/>
      <c r="AB203" s="273"/>
      <c r="AC203" s="273"/>
      <c r="AD203" s="273"/>
      <c r="AE203" s="273"/>
      <c r="AF203" s="273"/>
      <c r="AG203" s="278"/>
      <c r="AH203" s="278"/>
      <c r="AI203" s="282"/>
      <c r="AJ203" s="282"/>
      <c r="AK203" s="282"/>
      <c r="AL203" s="282"/>
      <c r="AM203" s="282"/>
      <c r="AN203" s="282"/>
      <c r="AO203" s="282"/>
      <c r="AP203" s="282"/>
      <c r="AQ203" s="282"/>
      <c r="AR203" s="282"/>
      <c r="AS203" s="282"/>
      <c r="AT203" s="282"/>
      <c r="AU203" s="282"/>
      <c r="AV203" s="282"/>
      <c r="AW203" s="282"/>
      <c r="AX203" s="282"/>
      <c r="AY203" s="282"/>
      <c r="AZ203" s="282"/>
      <c r="BA203" s="282"/>
      <c r="BB203" s="282"/>
      <c r="BC203" s="282"/>
      <c r="BD203" s="282"/>
      <c r="BE203" s="282"/>
      <c r="BF203" s="282"/>
      <c r="BG203" s="282"/>
      <c r="BH203" s="282"/>
      <c r="BI203" s="282"/>
      <c r="BJ203" s="282"/>
      <c r="BK203" s="282"/>
      <c r="BL203" s="282"/>
      <c r="BM203" s="282"/>
      <c r="BN203" s="282"/>
      <c r="BO203" s="282"/>
      <c r="BP203" s="282"/>
      <c r="BQ203" s="282"/>
      <c r="BR203" s="282"/>
      <c r="BS203" s="282"/>
      <c r="BT203" s="282"/>
      <c r="BU203" s="282"/>
      <c r="BV203" s="282"/>
      <c r="BW203" s="282"/>
      <c r="BX203" s="282"/>
    </row>
    <row r="204" spans="1:76" s="34" customFormat="1" ht="21.75" customHeight="1" x14ac:dyDescent="0.3">
      <c r="A204" s="40">
        <v>204</v>
      </c>
      <c r="B204" s="85">
        <v>41800</v>
      </c>
      <c r="C204" s="134">
        <v>1037575231</v>
      </c>
      <c r="D204" s="41" t="s">
        <v>524</v>
      </c>
      <c r="E204" s="41" t="s">
        <v>301</v>
      </c>
      <c r="F204" s="143" t="s">
        <v>564</v>
      </c>
      <c r="G204" s="143" t="s">
        <v>564</v>
      </c>
      <c r="H204" s="40">
        <v>4241043202</v>
      </c>
      <c r="I204" s="86">
        <v>20000</v>
      </c>
      <c r="J204" s="86">
        <v>15000</v>
      </c>
      <c r="K204" s="40"/>
      <c r="L204" s="40"/>
      <c r="M204" s="40"/>
      <c r="N204" s="40"/>
      <c r="O204" s="40"/>
      <c r="P204" s="40"/>
      <c r="Q204" s="40"/>
      <c r="R204" s="40"/>
      <c r="S204" s="40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231"/>
      <c r="AH204" s="231"/>
      <c r="AI204" s="232"/>
      <c r="AJ204" s="232"/>
      <c r="AK204" s="232"/>
      <c r="AL204" s="232"/>
      <c r="AM204" s="232"/>
      <c r="AN204" s="232"/>
      <c r="AO204" s="232"/>
      <c r="AP204" s="232"/>
      <c r="AQ204" s="232"/>
      <c r="AR204" s="232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232"/>
      <c r="BH204" s="232"/>
      <c r="BI204" s="232"/>
      <c r="BJ204" s="232"/>
      <c r="BK204" s="232"/>
      <c r="BL204" s="232"/>
      <c r="BM204" s="232"/>
      <c r="BN204" s="232"/>
      <c r="BO204" s="232"/>
      <c r="BP204" s="232"/>
      <c r="BQ204" s="232"/>
      <c r="BR204" s="232"/>
      <c r="BS204" s="232"/>
      <c r="BT204" s="232"/>
      <c r="BU204" s="232"/>
      <c r="BV204" s="232"/>
      <c r="BW204" s="232"/>
      <c r="BX204" s="232"/>
    </row>
    <row r="205" spans="1:76" s="227" customFormat="1" ht="21.75" customHeight="1" x14ac:dyDescent="0.3">
      <c r="A205" s="268">
        <v>205</v>
      </c>
      <c r="B205" s="269">
        <v>41802</v>
      </c>
      <c r="C205" s="270">
        <v>10284643</v>
      </c>
      <c r="D205" s="271" t="s">
        <v>525</v>
      </c>
      <c r="E205" s="271" t="s">
        <v>231</v>
      </c>
      <c r="F205" s="272" t="s">
        <v>566</v>
      </c>
      <c r="G205" s="272" t="s">
        <v>565</v>
      </c>
      <c r="H205" s="268">
        <v>4167106234</v>
      </c>
      <c r="I205" s="273">
        <v>12500</v>
      </c>
      <c r="J205" s="273">
        <v>12500</v>
      </c>
      <c r="K205" s="268"/>
      <c r="L205" s="268"/>
      <c r="M205" s="268"/>
      <c r="N205" s="268"/>
      <c r="O205" s="268"/>
      <c r="P205" s="268"/>
      <c r="Q205" s="268"/>
      <c r="R205" s="268"/>
      <c r="S205" s="268"/>
      <c r="T205" s="273"/>
      <c r="U205" s="273"/>
      <c r="V205" s="273"/>
      <c r="W205" s="273"/>
      <c r="X205" s="273"/>
      <c r="Y205" s="121"/>
      <c r="Z205" s="121"/>
      <c r="AA205" s="273"/>
      <c r="AB205" s="273"/>
      <c r="AC205" s="273"/>
      <c r="AD205" s="273"/>
      <c r="AE205" s="273"/>
      <c r="AF205" s="273"/>
      <c r="AG205" s="278"/>
      <c r="AH205" s="278"/>
      <c r="AI205" s="282"/>
      <c r="AJ205" s="282"/>
      <c r="AK205" s="282"/>
      <c r="AL205" s="282"/>
      <c r="AM205" s="282"/>
      <c r="AN205" s="282"/>
      <c r="AO205" s="282"/>
      <c r="AP205" s="282"/>
      <c r="AQ205" s="282"/>
      <c r="AR205" s="282"/>
      <c r="AS205" s="282"/>
      <c r="AT205" s="282"/>
      <c r="AU205" s="282"/>
      <c r="AV205" s="282"/>
      <c r="AW205" s="282"/>
      <c r="AX205" s="282"/>
      <c r="AY205" s="282"/>
      <c r="AZ205" s="282"/>
      <c r="BA205" s="282"/>
      <c r="BB205" s="282"/>
      <c r="BC205" s="282"/>
      <c r="BD205" s="282"/>
      <c r="BE205" s="282"/>
      <c r="BF205" s="282"/>
      <c r="BG205" s="282"/>
      <c r="BH205" s="282"/>
      <c r="BI205" s="282"/>
      <c r="BJ205" s="282"/>
      <c r="BK205" s="282"/>
      <c r="BL205" s="282"/>
      <c r="BM205" s="282"/>
      <c r="BN205" s="282"/>
      <c r="BO205" s="282"/>
      <c r="BP205" s="282"/>
      <c r="BQ205" s="282"/>
      <c r="BR205" s="282"/>
      <c r="BS205" s="282"/>
      <c r="BT205" s="282"/>
      <c r="BU205" s="282"/>
      <c r="BV205" s="282"/>
      <c r="BW205" s="282"/>
      <c r="BX205" s="282"/>
    </row>
    <row r="206" spans="1:76" s="227" customFormat="1" ht="21.75" customHeight="1" x14ac:dyDescent="0.3">
      <c r="A206" s="268">
        <v>206</v>
      </c>
      <c r="B206" s="269">
        <v>41802</v>
      </c>
      <c r="C206" s="270">
        <v>13483133</v>
      </c>
      <c r="D206" s="271" t="s">
        <v>526</v>
      </c>
      <c r="E206" s="271" t="s">
        <v>231</v>
      </c>
      <c r="F206" s="272" t="s">
        <v>567</v>
      </c>
      <c r="G206" s="272" t="s">
        <v>568</v>
      </c>
      <c r="H206" s="268">
        <v>4142431886</v>
      </c>
      <c r="I206" s="273">
        <v>12500</v>
      </c>
      <c r="J206" s="273">
        <v>12500</v>
      </c>
      <c r="K206" s="268"/>
      <c r="L206" s="268"/>
      <c r="M206" s="268"/>
      <c r="N206" s="268"/>
      <c r="O206" s="268"/>
      <c r="P206" s="268"/>
      <c r="Q206" s="268"/>
      <c r="R206" s="268"/>
      <c r="S206" s="268"/>
      <c r="T206" s="273"/>
      <c r="U206" s="273"/>
      <c r="V206" s="273"/>
      <c r="W206" s="273"/>
      <c r="X206" s="273"/>
      <c r="Y206" s="121"/>
      <c r="Z206" s="121"/>
      <c r="AA206" s="273"/>
      <c r="AB206" s="273"/>
      <c r="AC206" s="273"/>
      <c r="AD206" s="273"/>
      <c r="AE206" s="273"/>
      <c r="AF206" s="273"/>
      <c r="AG206" s="278"/>
      <c r="AH206" s="278"/>
      <c r="AI206" s="282"/>
      <c r="AJ206" s="282"/>
      <c r="AK206" s="282"/>
      <c r="AL206" s="282"/>
      <c r="AM206" s="282"/>
      <c r="AN206" s="282"/>
      <c r="AO206" s="282"/>
      <c r="AP206" s="282"/>
      <c r="AQ206" s="282"/>
      <c r="AR206" s="282"/>
      <c r="AS206" s="282"/>
      <c r="AT206" s="282"/>
      <c r="AU206" s="282"/>
      <c r="AV206" s="282"/>
      <c r="AW206" s="282"/>
      <c r="AX206" s="282"/>
      <c r="AY206" s="282"/>
      <c r="AZ206" s="282"/>
      <c r="BA206" s="282"/>
      <c r="BB206" s="282"/>
      <c r="BC206" s="282"/>
      <c r="BD206" s="282"/>
      <c r="BE206" s="282"/>
      <c r="BF206" s="282"/>
      <c r="BG206" s="282"/>
      <c r="BH206" s="282"/>
      <c r="BI206" s="282"/>
      <c r="BJ206" s="282"/>
      <c r="BK206" s="282"/>
      <c r="BL206" s="282"/>
      <c r="BM206" s="282"/>
      <c r="BN206" s="282"/>
      <c r="BO206" s="282"/>
      <c r="BP206" s="282"/>
      <c r="BQ206" s="282"/>
      <c r="BR206" s="282"/>
      <c r="BS206" s="282"/>
      <c r="BT206" s="282"/>
      <c r="BU206" s="282"/>
      <c r="BV206" s="282"/>
      <c r="BW206" s="282"/>
      <c r="BX206" s="282"/>
    </row>
    <row r="207" spans="1:76" s="227" customFormat="1" ht="21.75" customHeight="1" x14ac:dyDescent="0.3">
      <c r="A207" s="268">
        <v>207</v>
      </c>
      <c r="B207" s="269">
        <v>41803</v>
      </c>
      <c r="C207" s="270">
        <v>13872265</v>
      </c>
      <c r="D207" s="271" t="s">
        <v>527</v>
      </c>
      <c r="E207" s="271" t="s">
        <v>231</v>
      </c>
      <c r="F207" s="272" t="s">
        <v>569</v>
      </c>
      <c r="G207" s="272" t="s">
        <v>570</v>
      </c>
      <c r="H207" s="268">
        <v>4141162679</v>
      </c>
      <c r="I207" s="273">
        <v>14500</v>
      </c>
      <c r="J207" s="273">
        <v>14500</v>
      </c>
      <c r="K207" s="268"/>
      <c r="L207" s="268"/>
      <c r="M207" s="268"/>
      <c r="N207" s="268"/>
      <c r="O207" s="268"/>
      <c r="P207" s="268"/>
      <c r="Q207" s="268"/>
      <c r="R207" s="268"/>
      <c r="S207" s="268"/>
      <c r="T207" s="273"/>
      <c r="U207" s="273"/>
      <c r="V207" s="273"/>
      <c r="W207" s="273"/>
      <c r="X207" s="273"/>
      <c r="Y207" s="121"/>
      <c r="Z207" s="121"/>
      <c r="AA207" s="273"/>
      <c r="AB207" s="273"/>
      <c r="AC207" s="273"/>
      <c r="AD207" s="273"/>
      <c r="AE207" s="273"/>
      <c r="AF207" s="273"/>
      <c r="AG207" s="278"/>
      <c r="AH207" s="278"/>
      <c r="AI207" s="281"/>
      <c r="AJ207" s="281"/>
      <c r="AK207" s="281"/>
      <c r="AL207" s="281"/>
      <c r="AM207" s="281"/>
      <c r="AN207" s="281"/>
      <c r="AO207" s="281"/>
      <c r="AP207" s="281"/>
      <c r="AQ207" s="281"/>
      <c r="AR207" s="281"/>
      <c r="AS207" s="281"/>
      <c r="AT207" s="281"/>
      <c r="AU207" s="281"/>
      <c r="AV207" s="281"/>
      <c r="AW207" s="281"/>
      <c r="AX207" s="281"/>
      <c r="AY207" s="281"/>
      <c r="AZ207" s="281"/>
      <c r="BA207" s="281"/>
      <c r="BB207" s="281"/>
      <c r="BC207" s="281"/>
      <c r="BD207" s="281"/>
      <c r="BE207" s="281"/>
      <c r="BF207" s="281"/>
      <c r="BG207" s="281"/>
      <c r="BH207" s="281"/>
      <c r="BI207" s="281"/>
      <c r="BJ207" s="281"/>
      <c r="BK207" s="281"/>
      <c r="BL207" s="281"/>
      <c r="BM207" s="281"/>
      <c r="BN207" s="281"/>
      <c r="BO207" s="281"/>
      <c r="BP207" s="281"/>
      <c r="BQ207" s="281"/>
      <c r="BR207" s="281"/>
      <c r="BS207" s="281"/>
      <c r="BT207" s="281"/>
      <c r="BU207" s="281"/>
      <c r="BV207" s="281"/>
      <c r="BW207" s="281"/>
      <c r="BX207" s="281"/>
    </row>
    <row r="208" spans="1:76" s="227" customFormat="1" ht="21.75" customHeight="1" x14ac:dyDescent="0.3">
      <c r="A208" s="268">
        <v>208</v>
      </c>
      <c r="B208" s="269">
        <v>41804</v>
      </c>
      <c r="C208" s="270">
        <v>12416267</v>
      </c>
      <c r="D208" s="271" t="s">
        <v>528</v>
      </c>
      <c r="E208" s="271" t="s">
        <v>231</v>
      </c>
      <c r="F208" s="272" t="s">
        <v>571</v>
      </c>
      <c r="G208" s="272" t="s">
        <v>572</v>
      </c>
      <c r="H208" s="268">
        <v>4140120185</v>
      </c>
      <c r="I208" s="273">
        <v>12500</v>
      </c>
      <c r="J208" s="273">
        <v>12500</v>
      </c>
      <c r="K208" s="268"/>
      <c r="L208" s="268"/>
      <c r="M208" s="268"/>
      <c r="N208" s="268"/>
      <c r="O208" s="268"/>
      <c r="P208" s="268"/>
      <c r="Q208" s="268"/>
      <c r="R208" s="268"/>
      <c r="S208" s="268"/>
      <c r="T208" s="273"/>
      <c r="U208" s="273"/>
      <c r="V208" s="273"/>
      <c r="W208" s="273"/>
      <c r="X208" s="273"/>
      <c r="Y208" s="121"/>
      <c r="Z208" s="121"/>
      <c r="AA208" s="273"/>
      <c r="AB208" s="273"/>
      <c r="AC208" s="273"/>
      <c r="AD208" s="273"/>
      <c r="AE208" s="273"/>
      <c r="AF208" s="273"/>
      <c r="AG208" s="278"/>
      <c r="AH208" s="278"/>
      <c r="AI208" s="282"/>
      <c r="AJ208" s="282"/>
      <c r="AK208" s="282"/>
      <c r="AL208" s="282"/>
      <c r="AM208" s="282"/>
      <c r="AN208" s="282"/>
      <c r="AO208" s="282"/>
      <c r="AP208" s="282"/>
      <c r="AQ208" s="282"/>
      <c r="AR208" s="282"/>
      <c r="AS208" s="282"/>
      <c r="AT208" s="282"/>
      <c r="AU208" s="282"/>
      <c r="AV208" s="282"/>
      <c r="AW208" s="282"/>
      <c r="AX208" s="282"/>
      <c r="AY208" s="282"/>
      <c r="AZ208" s="282"/>
      <c r="BA208" s="282"/>
      <c r="BB208" s="282"/>
      <c r="BC208" s="282"/>
      <c r="BD208" s="282"/>
      <c r="BE208" s="282"/>
      <c r="BF208" s="282"/>
      <c r="BG208" s="282"/>
      <c r="BH208" s="282"/>
      <c r="BI208" s="282"/>
      <c r="BJ208" s="282"/>
      <c r="BK208" s="282"/>
      <c r="BL208" s="282"/>
      <c r="BM208" s="282"/>
      <c r="BN208" s="282"/>
      <c r="BO208" s="282"/>
      <c r="BP208" s="282"/>
      <c r="BQ208" s="282"/>
      <c r="BR208" s="282"/>
      <c r="BS208" s="282"/>
      <c r="BT208" s="282"/>
      <c r="BU208" s="282"/>
      <c r="BV208" s="282"/>
      <c r="BW208" s="282"/>
      <c r="BX208" s="282"/>
    </row>
    <row r="209" spans="1:77" s="313" customFormat="1" ht="21.75" customHeight="1" x14ac:dyDescent="0.3">
      <c r="A209" s="340">
        <v>209</v>
      </c>
      <c r="B209" s="341">
        <v>41806</v>
      </c>
      <c r="C209" s="342">
        <v>12415345</v>
      </c>
      <c r="D209" s="347" t="s">
        <v>529</v>
      </c>
      <c r="E209" s="347" t="s">
        <v>301</v>
      </c>
      <c r="F209" s="348" t="s">
        <v>573</v>
      </c>
      <c r="G209" s="348" t="s">
        <v>574</v>
      </c>
      <c r="H209" s="340">
        <v>4141606080</v>
      </c>
      <c r="I209" s="344">
        <v>30000</v>
      </c>
      <c r="J209" s="344">
        <v>20000</v>
      </c>
      <c r="K209" s="340"/>
      <c r="L209" s="340"/>
      <c r="M209" s="340"/>
      <c r="N209" s="340"/>
      <c r="O209" s="340"/>
      <c r="P209" s="340"/>
      <c r="Q209" s="340"/>
      <c r="R209" s="340"/>
      <c r="S209" s="340"/>
      <c r="T209" s="344"/>
      <c r="U209" s="344"/>
      <c r="V209" s="344"/>
      <c r="W209" s="344"/>
      <c r="X209" s="344"/>
      <c r="Y209" s="119"/>
      <c r="Z209" s="119"/>
      <c r="AA209" s="344"/>
      <c r="AB209" s="344"/>
      <c r="AC209" s="344"/>
      <c r="AD209" s="344"/>
      <c r="AE209" s="344"/>
      <c r="AF209" s="344"/>
      <c r="AG209" s="373"/>
      <c r="AH209" s="373"/>
      <c r="AI209" s="356"/>
      <c r="AJ209" s="356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  <c r="BS209" s="356"/>
      <c r="BT209" s="356"/>
      <c r="BU209" s="356"/>
      <c r="BV209" s="356"/>
      <c r="BW209" s="356"/>
      <c r="BX209" s="356"/>
    </row>
    <row r="210" spans="1:77" s="313" customFormat="1" ht="21.75" customHeight="1" x14ac:dyDescent="0.3">
      <c r="A210" s="340">
        <v>210</v>
      </c>
      <c r="B210" s="341">
        <v>41806</v>
      </c>
      <c r="C210" s="342">
        <v>12689198</v>
      </c>
      <c r="D210" s="347" t="s">
        <v>530</v>
      </c>
      <c r="E210" s="347" t="s">
        <v>301</v>
      </c>
      <c r="F210" s="348" t="s">
        <v>575</v>
      </c>
      <c r="G210" s="348" t="s">
        <v>576</v>
      </c>
      <c r="H210" s="340">
        <v>4142609267</v>
      </c>
      <c r="I210" s="344">
        <v>30000</v>
      </c>
      <c r="J210" s="344" t="s">
        <v>65</v>
      </c>
      <c r="K210" s="340"/>
      <c r="L210" s="340"/>
      <c r="M210" s="340"/>
      <c r="N210" s="340"/>
      <c r="O210" s="340"/>
      <c r="P210" s="340"/>
      <c r="Q210" s="340"/>
      <c r="R210" s="340"/>
      <c r="S210" s="340"/>
      <c r="T210" s="344"/>
      <c r="U210" s="344"/>
      <c r="V210" s="344"/>
      <c r="W210" s="344"/>
      <c r="X210" s="344"/>
      <c r="Y210" s="119"/>
      <c r="Z210" s="119"/>
      <c r="AA210" s="344"/>
      <c r="AB210" s="344"/>
      <c r="AC210" s="344"/>
      <c r="AD210" s="344"/>
      <c r="AE210" s="344"/>
      <c r="AF210" s="344"/>
      <c r="AG210" s="373"/>
      <c r="AH210" s="373"/>
      <c r="AI210" s="356"/>
      <c r="AJ210" s="356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  <c r="BS210" s="356"/>
      <c r="BT210" s="356"/>
      <c r="BU210" s="356"/>
      <c r="BV210" s="356"/>
      <c r="BW210" s="356"/>
      <c r="BX210" s="356"/>
    </row>
    <row r="211" spans="1:77" s="227" customFormat="1" ht="21.75" customHeight="1" x14ac:dyDescent="0.3">
      <c r="A211" s="268">
        <v>211</v>
      </c>
      <c r="B211" s="269">
        <v>41806</v>
      </c>
      <c r="C211" s="270">
        <v>12689198</v>
      </c>
      <c r="D211" s="271" t="s">
        <v>531</v>
      </c>
      <c r="E211" s="271" t="s">
        <v>301</v>
      </c>
      <c r="F211" s="272" t="s">
        <v>582</v>
      </c>
      <c r="G211" s="272" t="s">
        <v>576</v>
      </c>
      <c r="H211" s="268">
        <v>4142609267</v>
      </c>
      <c r="I211" s="273">
        <v>14500</v>
      </c>
      <c r="J211" s="273">
        <v>14500</v>
      </c>
      <c r="K211" s="268"/>
      <c r="L211" s="268"/>
      <c r="M211" s="268"/>
      <c r="N211" s="268"/>
      <c r="O211" s="268"/>
      <c r="P211" s="268"/>
      <c r="Q211" s="268"/>
      <c r="R211" s="268"/>
      <c r="S211" s="268"/>
      <c r="T211" s="273"/>
      <c r="U211" s="273"/>
      <c r="V211" s="273"/>
      <c r="W211" s="273"/>
      <c r="X211" s="273"/>
      <c r="Y211" s="121"/>
      <c r="Z211" s="121"/>
      <c r="AA211" s="273"/>
      <c r="AB211" s="273"/>
      <c r="AC211" s="273"/>
      <c r="AD211" s="273"/>
      <c r="AE211" s="273"/>
      <c r="AF211" s="273"/>
      <c r="AG211" s="278"/>
      <c r="AH211" s="278"/>
      <c r="AI211" s="282"/>
      <c r="AJ211" s="282"/>
      <c r="AK211" s="282"/>
      <c r="AL211" s="282"/>
      <c r="AM211" s="282"/>
      <c r="AN211" s="282"/>
      <c r="AO211" s="282"/>
      <c r="AP211" s="282"/>
      <c r="AQ211" s="282"/>
      <c r="AR211" s="282"/>
      <c r="AS211" s="282"/>
      <c r="AT211" s="282"/>
      <c r="AU211" s="282"/>
      <c r="AV211" s="282"/>
      <c r="AW211" s="282"/>
      <c r="AX211" s="282"/>
      <c r="AY211" s="282"/>
      <c r="AZ211" s="282"/>
      <c r="BA211" s="282"/>
      <c r="BB211" s="282"/>
      <c r="BC211" s="282"/>
      <c r="BD211" s="282"/>
      <c r="BE211" s="282"/>
      <c r="BF211" s="282"/>
      <c r="BG211" s="282"/>
      <c r="BH211" s="282"/>
      <c r="BI211" s="282"/>
      <c r="BJ211" s="282"/>
      <c r="BK211" s="282"/>
      <c r="BL211" s="282"/>
      <c r="BM211" s="282"/>
      <c r="BN211" s="282"/>
      <c r="BO211" s="282"/>
      <c r="BP211" s="282"/>
      <c r="BQ211" s="282"/>
      <c r="BR211" s="282"/>
      <c r="BS211" s="282"/>
      <c r="BT211" s="282"/>
      <c r="BU211" s="282"/>
      <c r="BV211" s="282"/>
      <c r="BW211" s="282"/>
      <c r="BX211" s="282"/>
    </row>
    <row r="212" spans="1:77" s="227" customFormat="1" ht="21.75" customHeight="1" x14ac:dyDescent="0.3">
      <c r="A212" s="268">
        <v>212</v>
      </c>
      <c r="B212" s="269">
        <v>41806</v>
      </c>
      <c r="C212" s="270">
        <v>12689198</v>
      </c>
      <c r="D212" s="271" t="s">
        <v>532</v>
      </c>
      <c r="E212" s="271" t="s">
        <v>301</v>
      </c>
      <c r="F212" s="272" t="s">
        <v>575</v>
      </c>
      <c r="G212" s="272" t="s">
        <v>576</v>
      </c>
      <c r="H212" s="268">
        <v>4142609267</v>
      </c>
      <c r="I212" s="273">
        <v>14500</v>
      </c>
      <c r="J212" s="273">
        <v>14500</v>
      </c>
      <c r="K212" s="268"/>
      <c r="L212" s="268"/>
      <c r="M212" s="268"/>
      <c r="N212" s="268"/>
      <c r="O212" s="268"/>
      <c r="P212" s="268"/>
      <c r="Q212" s="268"/>
      <c r="R212" s="268"/>
      <c r="S212" s="268"/>
      <c r="T212" s="273"/>
      <c r="U212" s="273"/>
      <c r="V212" s="273"/>
      <c r="W212" s="273"/>
      <c r="X212" s="273"/>
      <c r="Y212" s="121"/>
      <c r="Z212" s="121"/>
      <c r="AA212" s="273"/>
      <c r="AB212" s="273"/>
      <c r="AC212" s="273"/>
      <c r="AD212" s="273"/>
      <c r="AE212" s="273"/>
      <c r="AF212" s="273"/>
      <c r="AG212" s="278"/>
      <c r="AH212" s="278"/>
      <c r="AI212" s="281"/>
      <c r="AJ212" s="281"/>
      <c r="AK212" s="281"/>
      <c r="AL212" s="281"/>
      <c r="AM212" s="281"/>
      <c r="AN212" s="281"/>
      <c r="AO212" s="281"/>
      <c r="AP212" s="281"/>
      <c r="AQ212" s="281"/>
      <c r="AR212" s="281"/>
      <c r="AS212" s="281"/>
      <c r="AT212" s="281"/>
      <c r="AU212" s="281"/>
      <c r="AV212" s="281"/>
      <c r="AW212" s="281"/>
      <c r="AX212" s="281"/>
      <c r="AY212" s="281"/>
      <c r="AZ212" s="281"/>
      <c r="BA212" s="281"/>
      <c r="BB212" s="281"/>
      <c r="BC212" s="281"/>
      <c r="BD212" s="281"/>
      <c r="BE212" s="281"/>
      <c r="BF212" s="281"/>
      <c r="BG212" s="281"/>
      <c r="BH212" s="281"/>
      <c r="BI212" s="281"/>
      <c r="BJ212" s="281"/>
      <c r="BK212" s="281"/>
      <c r="BL212" s="281"/>
      <c r="BM212" s="281"/>
      <c r="BN212" s="281"/>
      <c r="BO212" s="281"/>
      <c r="BP212" s="281"/>
      <c r="BQ212" s="281"/>
      <c r="BR212" s="281"/>
      <c r="BS212" s="281"/>
      <c r="BT212" s="281"/>
      <c r="BU212" s="281"/>
      <c r="BV212" s="281"/>
      <c r="BW212" s="281"/>
      <c r="BX212" s="281"/>
    </row>
    <row r="213" spans="1:77" s="216" customFormat="1" ht="21.75" customHeight="1" x14ac:dyDescent="0.3">
      <c r="A213" s="37">
        <v>213</v>
      </c>
      <c r="B213" s="73">
        <v>41807</v>
      </c>
      <c r="C213" s="132">
        <v>14538804</v>
      </c>
      <c r="D213" s="38" t="s">
        <v>533</v>
      </c>
      <c r="E213" s="13" t="s">
        <v>79</v>
      </c>
      <c r="F213" s="142" t="s">
        <v>577</v>
      </c>
      <c r="G213" s="142" t="s">
        <v>577</v>
      </c>
      <c r="H213" s="4">
        <v>4142492480</v>
      </c>
      <c r="I213" s="74">
        <v>42900</v>
      </c>
      <c r="J213" s="74">
        <v>7800</v>
      </c>
      <c r="K213" s="95"/>
      <c r="L213" s="95"/>
      <c r="M213" s="95"/>
      <c r="N213" s="95"/>
      <c r="O213" s="95"/>
      <c r="P213" s="95"/>
      <c r="Q213" s="95"/>
      <c r="R213" s="95"/>
      <c r="S213" s="95"/>
      <c r="T213" s="239"/>
      <c r="U213" s="239"/>
      <c r="V213" s="239"/>
      <c r="W213" s="239"/>
      <c r="X213" s="239"/>
      <c r="Y213" s="120"/>
      <c r="Z213" s="120"/>
      <c r="AA213" s="239"/>
      <c r="AB213" s="239"/>
      <c r="AC213" s="239"/>
      <c r="AD213" s="239"/>
      <c r="AE213" s="239"/>
      <c r="AF213" s="239"/>
      <c r="AG213" s="240"/>
      <c r="AH213" s="240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  <c r="AZ213" s="263"/>
      <c r="BA213" s="263"/>
      <c r="BB213" s="263"/>
      <c r="BC213" s="263"/>
      <c r="BD213" s="263"/>
      <c r="BE213" s="263"/>
      <c r="BF213" s="263"/>
      <c r="BG213" s="263"/>
      <c r="BH213" s="263"/>
      <c r="BI213" s="263"/>
      <c r="BJ213" s="263"/>
      <c r="BK213" s="263"/>
      <c r="BL213" s="263"/>
      <c r="BM213" s="263"/>
      <c r="BN213" s="263"/>
      <c r="BO213" s="263"/>
      <c r="BP213" s="263"/>
      <c r="BQ213" s="263"/>
      <c r="BR213" s="263"/>
      <c r="BS213" s="263"/>
      <c r="BT213" s="263"/>
      <c r="BU213" s="263"/>
      <c r="BV213" s="263"/>
      <c r="BW213" s="263"/>
      <c r="BX213" s="263"/>
    </row>
    <row r="214" spans="1:77" s="407" customFormat="1" ht="21.75" customHeight="1" x14ac:dyDescent="0.3">
      <c r="A214" s="400">
        <v>214</v>
      </c>
      <c r="B214" s="401">
        <v>41806</v>
      </c>
      <c r="C214" s="402">
        <v>13373370</v>
      </c>
      <c r="D214" s="403" t="s">
        <v>534</v>
      </c>
      <c r="E214" s="403" t="s">
        <v>301</v>
      </c>
      <c r="F214" s="404" t="s">
        <v>578</v>
      </c>
      <c r="G214" s="404" t="s">
        <v>579</v>
      </c>
      <c r="H214" s="400">
        <v>4149024239</v>
      </c>
      <c r="I214" s="405">
        <v>20000</v>
      </c>
      <c r="J214" s="405" t="s">
        <v>65</v>
      </c>
      <c r="K214" s="400"/>
      <c r="L214" s="400"/>
      <c r="M214" s="400"/>
      <c r="N214" s="400"/>
      <c r="O214" s="400"/>
      <c r="P214" s="400"/>
      <c r="Q214" s="400"/>
      <c r="R214" s="400"/>
      <c r="S214" s="400"/>
      <c r="T214" s="405"/>
      <c r="U214" s="405"/>
      <c r="V214" s="405"/>
      <c r="W214" s="405"/>
      <c r="X214" s="405"/>
      <c r="Y214" s="405"/>
      <c r="Z214" s="405"/>
      <c r="AA214" s="405"/>
      <c r="AB214" s="405"/>
      <c r="AC214" s="405"/>
      <c r="AD214" s="405"/>
      <c r="AE214" s="405"/>
      <c r="AF214" s="405"/>
      <c r="AG214" s="421"/>
      <c r="AH214" s="421"/>
    </row>
    <row r="215" spans="1:77" s="407" customFormat="1" ht="21.75" customHeight="1" x14ac:dyDescent="0.3">
      <c r="A215" s="400">
        <v>215</v>
      </c>
      <c r="B215" s="401">
        <v>41806</v>
      </c>
      <c r="C215" s="402">
        <v>13373370</v>
      </c>
      <c r="D215" s="403" t="s">
        <v>535</v>
      </c>
      <c r="E215" s="403" t="s">
        <v>301</v>
      </c>
      <c r="F215" s="404" t="s">
        <v>580</v>
      </c>
      <c r="G215" s="404" t="s">
        <v>579</v>
      </c>
      <c r="H215" s="400">
        <v>4149024239</v>
      </c>
      <c r="I215" s="405">
        <v>20000</v>
      </c>
      <c r="J215" s="405" t="s">
        <v>65</v>
      </c>
      <c r="K215" s="400"/>
      <c r="L215" s="400"/>
      <c r="M215" s="400"/>
      <c r="N215" s="400"/>
      <c r="O215" s="400"/>
      <c r="P215" s="400"/>
      <c r="Q215" s="400"/>
      <c r="R215" s="400"/>
      <c r="S215" s="400"/>
      <c r="T215" s="405"/>
      <c r="U215" s="405"/>
      <c r="V215" s="405"/>
      <c r="W215" s="405"/>
      <c r="X215" s="405"/>
      <c r="Y215" s="405"/>
      <c r="Z215" s="405"/>
      <c r="AA215" s="405"/>
      <c r="AB215" s="405"/>
      <c r="AC215" s="405"/>
      <c r="AD215" s="405"/>
      <c r="AE215" s="405"/>
      <c r="AF215" s="405"/>
      <c r="AG215" s="421"/>
      <c r="AH215" s="421"/>
    </row>
    <row r="216" spans="1:77" s="34" customFormat="1" ht="21.75" customHeight="1" x14ac:dyDescent="0.3">
      <c r="A216" s="40">
        <v>216</v>
      </c>
      <c r="B216" s="85">
        <v>41806</v>
      </c>
      <c r="C216" s="134">
        <v>13373370</v>
      </c>
      <c r="D216" s="41" t="s">
        <v>536</v>
      </c>
      <c r="E216" s="41" t="s">
        <v>301</v>
      </c>
      <c r="F216" s="143" t="s">
        <v>579</v>
      </c>
      <c r="G216" s="143" t="s">
        <v>579</v>
      </c>
      <c r="H216" s="40">
        <v>4149024239</v>
      </c>
      <c r="I216" s="86">
        <v>20000</v>
      </c>
      <c r="J216" s="86" t="s">
        <v>65</v>
      </c>
      <c r="K216" s="40"/>
      <c r="L216" s="40"/>
      <c r="M216" s="40"/>
      <c r="N216" s="40"/>
      <c r="O216" s="40"/>
      <c r="P216" s="40"/>
      <c r="Q216" s="40"/>
      <c r="R216" s="40"/>
      <c r="S216" s="40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231"/>
      <c r="AH216" s="231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</row>
    <row r="217" spans="1:77" s="227" customFormat="1" ht="21.75" customHeight="1" x14ac:dyDescent="0.3">
      <c r="A217" s="268">
        <v>217</v>
      </c>
      <c r="B217" s="269">
        <v>41808</v>
      </c>
      <c r="C217" s="270">
        <v>7395783</v>
      </c>
      <c r="D217" s="271" t="s">
        <v>537</v>
      </c>
      <c r="E217" s="271" t="s">
        <v>231</v>
      </c>
      <c r="F217" s="272" t="s">
        <v>586</v>
      </c>
      <c r="G217" s="272" t="s">
        <v>587</v>
      </c>
      <c r="H217" s="268">
        <v>4142618769</v>
      </c>
      <c r="I217" s="273">
        <v>12500</v>
      </c>
      <c r="J217" s="273">
        <v>12500</v>
      </c>
      <c r="K217" s="268"/>
      <c r="L217" s="268"/>
      <c r="M217" s="268"/>
      <c r="N217" s="268"/>
      <c r="O217" s="268"/>
      <c r="P217" s="268"/>
      <c r="Q217" s="268"/>
      <c r="R217" s="268"/>
      <c r="S217" s="268"/>
      <c r="T217" s="273"/>
      <c r="U217" s="273"/>
      <c r="V217" s="273"/>
      <c r="W217" s="273"/>
      <c r="X217" s="273"/>
      <c r="Y217" s="121"/>
      <c r="Z217" s="121"/>
      <c r="AA217" s="273"/>
      <c r="AB217" s="273"/>
      <c r="AC217" s="273"/>
      <c r="AD217" s="273"/>
      <c r="AE217" s="273"/>
      <c r="AF217" s="273"/>
      <c r="AG217" s="278"/>
      <c r="AH217" s="278"/>
      <c r="AI217" s="281"/>
      <c r="AJ217" s="281"/>
      <c r="AK217" s="281"/>
      <c r="AL217" s="281"/>
      <c r="AM217" s="281"/>
      <c r="AN217" s="281"/>
      <c r="AO217" s="281"/>
      <c r="AP217" s="281"/>
      <c r="AQ217" s="281"/>
      <c r="AR217" s="281"/>
      <c r="AS217" s="281"/>
      <c r="AT217" s="281"/>
      <c r="AU217" s="281"/>
      <c r="AV217" s="281"/>
      <c r="AW217" s="281"/>
      <c r="AX217" s="281"/>
      <c r="AY217" s="281"/>
      <c r="AZ217" s="281"/>
      <c r="BA217" s="281"/>
      <c r="BB217" s="281"/>
      <c r="BC217" s="281"/>
      <c r="BD217" s="281"/>
      <c r="BE217" s="281"/>
      <c r="BF217" s="281"/>
      <c r="BG217" s="281"/>
      <c r="BH217" s="281"/>
      <c r="BI217" s="281"/>
      <c r="BJ217" s="281"/>
      <c r="BK217" s="281"/>
      <c r="BL217" s="281"/>
      <c r="BM217" s="281"/>
      <c r="BN217" s="281"/>
      <c r="BO217" s="281"/>
      <c r="BP217" s="281"/>
      <c r="BQ217" s="281"/>
      <c r="BR217" s="281"/>
      <c r="BS217" s="281"/>
      <c r="BT217" s="281"/>
      <c r="BU217" s="281"/>
      <c r="BV217" s="281"/>
      <c r="BW217" s="281"/>
      <c r="BX217" s="281"/>
    </row>
    <row r="218" spans="1:77" s="227" customFormat="1" ht="21.75" customHeight="1" x14ac:dyDescent="0.3">
      <c r="A218" s="268">
        <v>218</v>
      </c>
      <c r="B218" s="269">
        <v>41808</v>
      </c>
      <c r="C218" s="270">
        <v>16020304</v>
      </c>
      <c r="D218" s="271" t="s">
        <v>538</v>
      </c>
      <c r="E218" s="271" t="s">
        <v>231</v>
      </c>
      <c r="F218" s="272" t="s">
        <v>238</v>
      </c>
      <c r="G218" s="272" t="s">
        <v>239</v>
      </c>
      <c r="H218" s="268">
        <v>4266765000</v>
      </c>
      <c r="I218" s="273">
        <v>12500</v>
      </c>
      <c r="J218" s="273">
        <v>12500</v>
      </c>
      <c r="K218" s="268"/>
      <c r="L218" s="268"/>
      <c r="M218" s="268"/>
      <c r="N218" s="268"/>
      <c r="O218" s="268"/>
      <c r="P218" s="268"/>
      <c r="Q218" s="268"/>
      <c r="R218" s="268"/>
      <c r="S218" s="268"/>
      <c r="T218" s="273"/>
      <c r="U218" s="273"/>
      <c r="V218" s="273"/>
      <c r="W218" s="273"/>
      <c r="X218" s="273"/>
      <c r="Y218" s="121"/>
      <c r="Z218" s="121"/>
      <c r="AA218" s="273"/>
      <c r="AB218" s="273"/>
      <c r="AC218" s="273"/>
      <c r="AD218" s="273"/>
      <c r="AE218" s="273"/>
      <c r="AF218" s="273"/>
      <c r="AG218" s="278"/>
      <c r="AH218" s="278"/>
      <c r="AI218" s="281"/>
      <c r="AJ218" s="281"/>
      <c r="AK218" s="281"/>
      <c r="AL218" s="281"/>
      <c r="AM218" s="281"/>
      <c r="AN218" s="281"/>
      <c r="AO218" s="281"/>
      <c r="AP218" s="281"/>
      <c r="AQ218" s="281"/>
      <c r="AR218" s="281"/>
      <c r="AS218" s="281"/>
      <c r="AT218" s="281"/>
      <c r="AU218" s="281"/>
      <c r="AV218" s="281"/>
      <c r="AW218" s="281"/>
      <c r="AX218" s="281"/>
      <c r="AY218" s="281"/>
      <c r="AZ218" s="281"/>
      <c r="BA218" s="281"/>
      <c r="BB218" s="281"/>
      <c r="BC218" s="281"/>
      <c r="BD218" s="281"/>
      <c r="BE218" s="281"/>
      <c r="BF218" s="281"/>
      <c r="BG218" s="281"/>
      <c r="BH218" s="281"/>
      <c r="BI218" s="281"/>
      <c r="BJ218" s="281"/>
      <c r="BK218" s="281"/>
      <c r="BL218" s="281"/>
      <c r="BM218" s="281"/>
      <c r="BN218" s="281"/>
      <c r="BO218" s="281"/>
      <c r="BP218" s="281"/>
      <c r="BQ218" s="281"/>
      <c r="BR218" s="281"/>
      <c r="BS218" s="281"/>
      <c r="BT218" s="281"/>
      <c r="BU218" s="281"/>
      <c r="BV218" s="281"/>
      <c r="BW218" s="281"/>
      <c r="BX218" s="281"/>
    </row>
    <row r="219" spans="1:77" s="227" customFormat="1" ht="21.75" customHeight="1" x14ac:dyDescent="0.3">
      <c r="A219" s="268">
        <v>219</v>
      </c>
      <c r="B219" s="269">
        <v>41808</v>
      </c>
      <c r="C219" s="270">
        <v>10865534</v>
      </c>
      <c r="D219" s="271" t="s">
        <v>539</v>
      </c>
      <c r="E219" s="271" t="s">
        <v>301</v>
      </c>
      <c r="F219" s="272" t="s">
        <v>590</v>
      </c>
      <c r="G219" s="272" t="s">
        <v>591</v>
      </c>
      <c r="H219" s="268">
        <v>4142423542</v>
      </c>
      <c r="I219" s="273"/>
      <c r="J219" s="273"/>
      <c r="K219" s="268"/>
      <c r="L219" s="268"/>
      <c r="M219" s="268"/>
      <c r="N219" s="268"/>
      <c r="O219" s="268"/>
      <c r="P219" s="268"/>
      <c r="Q219" s="268"/>
      <c r="R219" s="268"/>
      <c r="S219" s="268"/>
      <c r="T219" s="273"/>
      <c r="U219" s="273"/>
      <c r="V219" s="273"/>
      <c r="W219" s="273"/>
      <c r="X219" s="273"/>
      <c r="Y219" s="121"/>
      <c r="Z219" s="121"/>
      <c r="AA219" s="273"/>
      <c r="AB219" s="273"/>
      <c r="AC219" s="273"/>
      <c r="AD219" s="273"/>
      <c r="AE219" s="273"/>
      <c r="AF219" s="273"/>
      <c r="AG219" s="278"/>
      <c r="AH219" s="278"/>
      <c r="AI219" s="281"/>
      <c r="AJ219" s="281"/>
      <c r="AK219" s="281"/>
      <c r="AL219" s="281"/>
      <c r="AM219" s="281"/>
      <c r="AN219" s="281"/>
      <c r="AO219" s="281"/>
      <c r="AP219" s="281"/>
      <c r="AQ219" s="281"/>
      <c r="AR219" s="281"/>
      <c r="AS219" s="281"/>
      <c r="AT219" s="281"/>
      <c r="AU219" s="281"/>
      <c r="AV219" s="281"/>
      <c r="AW219" s="281"/>
      <c r="AX219" s="281"/>
      <c r="AY219" s="281"/>
      <c r="AZ219" s="281"/>
      <c r="BA219" s="281"/>
      <c r="BB219" s="281"/>
      <c r="BC219" s="281"/>
      <c r="BD219" s="281"/>
      <c r="BE219" s="281"/>
      <c r="BF219" s="281"/>
      <c r="BG219" s="281"/>
      <c r="BH219" s="281"/>
      <c r="BI219" s="281"/>
      <c r="BJ219" s="281"/>
      <c r="BK219" s="281"/>
      <c r="BL219" s="281"/>
      <c r="BM219" s="281"/>
      <c r="BN219" s="281"/>
      <c r="BO219" s="281"/>
      <c r="BP219" s="281"/>
      <c r="BQ219" s="281"/>
      <c r="BR219" s="281"/>
      <c r="BS219" s="281"/>
      <c r="BT219" s="281"/>
      <c r="BU219" s="281"/>
      <c r="BV219" s="281"/>
      <c r="BW219" s="281"/>
      <c r="BX219" s="281"/>
    </row>
    <row r="220" spans="1:77" s="227" customFormat="1" ht="21.75" customHeight="1" x14ac:dyDescent="0.3">
      <c r="A220" s="268">
        <v>220</v>
      </c>
      <c r="B220" s="269">
        <v>41809</v>
      </c>
      <c r="C220" s="270">
        <v>12731387</v>
      </c>
      <c r="D220" s="271" t="s">
        <v>540</v>
      </c>
      <c r="E220" s="271" t="s">
        <v>231</v>
      </c>
      <c r="F220" s="272" t="s">
        <v>588</v>
      </c>
      <c r="G220" s="272" t="s">
        <v>589</v>
      </c>
      <c r="H220" s="268">
        <v>4140184015</v>
      </c>
      <c r="I220" s="273">
        <v>12500</v>
      </c>
      <c r="J220" s="273">
        <v>12500</v>
      </c>
      <c r="K220" s="268"/>
      <c r="L220" s="268"/>
      <c r="M220" s="268"/>
      <c r="N220" s="268"/>
      <c r="O220" s="268"/>
      <c r="P220" s="268"/>
      <c r="Q220" s="268"/>
      <c r="R220" s="268"/>
      <c r="S220" s="268"/>
      <c r="T220" s="273"/>
      <c r="U220" s="273"/>
      <c r="V220" s="273"/>
      <c r="W220" s="273"/>
      <c r="X220" s="273"/>
      <c r="Y220" s="121"/>
      <c r="Z220" s="121"/>
      <c r="AA220" s="273"/>
      <c r="AB220" s="273"/>
      <c r="AC220" s="273"/>
      <c r="AD220" s="273"/>
      <c r="AE220" s="273"/>
      <c r="AF220" s="273"/>
      <c r="AG220" s="278"/>
      <c r="AH220" s="278"/>
      <c r="AI220" s="282"/>
      <c r="AJ220" s="282"/>
      <c r="AK220" s="282"/>
      <c r="AL220" s="282"/>
      <c r="AM220" s="282"/>
      <c r="AN220" s="282"/>
      <c r="AO220" s="282"/>
      <c r="AP220" s="282"/>
      <c r="AQ220" s="282"/>
      <c r="AR220" s="282"/>
      <c r="AS220" s="282"/>
      <c r="AT220" s="282"/>
      <c r="AU220" s="282"/>
      <c r="AV220" s="282"/>
      <c r="AW220" s="282"/>
      <c r="AX220" s="282"/>
      <c r="AY220" s="282"/>
      <c r="AZ220" s="282"/>
      <c r="BA220" s="282"/>
      <c r="BB220" s="282"/>
      <c r="BC220" s="282"/>
      <c r="BD220" s="282"/>
      <c r="BE220" s="282"/>
      <c r="BF220" s="282"/>
      <c r="BG220" s="282"/>
      <c r="BH220" s="282"/>
      <c r="BI220" s="282"/>
      <c r="BJ220" s="282"/>
      <c r="BK220" s="282"/>
      <c r="BL220" s="282"/>
      <c r="BM220" s="282"/>
      <c r="BN220" s="282"/>
      <c r="BO220" s="282"/>
      <c r="BP220" s="282"/>
      <c r="BQ220" s="282"/>
      <c r="BR220" s="282"/>
      <c r="BS220" s="282"/>
      <c r="BT220" s="282"/>
      <c r="BU220" s="282"/>
      <c r="BV220" s="282"/>
      <c r="BW220" s="282"/>
      <c r="BX220" s="282"/>
      <c r="BY220" s="282"/>
    </row>
    <row r="221" spans="1:77" s="227" customFormat="1" ht="21.75" customHeight="1" x14ac:dyDescent="0.3">
      <c r="A221" s="268">
        <v>221</v>
      </c>
      <c r="B221" s="269">
        <v>41810</v>
      </c>
      <c r="C221" s="270">
        <v>6843585</v>
      </c>
      <c r="D221" s="271" t="s">
        <v>541</v>
      </c>
      <c r="E221" s="271" t="s">
        <v>231</v>
      </c>
      <c r="F221" s="272" t="s">
        <v>593</v>
      </c>
      <c r="G221" s="272" t="s">
        <v>592</v>
      </c>
      <c r="H221" s="268">
        <v>4143979969</v>
      </c>
      <c r="I221" s="273">
        <v>12500</v>
      </c>
      <c r="J221" s="273">
        <v>12500</v>
      </c>
      <c r="K221" s="268"/>
      <c r="L221" s="268"/>
      <c r="M221" s="268"/>
      <c r="N221" s="268"/>
      <c r="O221" s="268"/>
      <c r="P221" s="268"/>
      <c r="Q221" s="268"/>
      <c r="R221" s="268"/>
      <c r="S221" s="268"/>
      <c r="T221" s="273"/>
      <c r="U221" s="273"/>
      <c r="V221" s="273"/>
      <c r="W221" s="273"/>
      <c r="X221" s="273"/>
      <c r="Y221" s="121"/>
      <c r="Z221" s="121"/>
      <c r="AA221" s="273"/>
      <c r="AB221" s="273"/>
      <c r="AC221" s="273"/>
      <c r="AD221" s="273"/>
      <c r="AE221" s="273"/>
      <c r="AF221" s="273"/>
      <c r="AG221" s="278"/>
      <c r="AH221" s="278"/>
      <c r="AI221" s="282"/>
      <c r="AJ221" s="282"/>
      <c r="AK221" s="282"/>
      <c r="AL221" s="282"/>
      <c r="AM221" s="282"/>
      <c r="AN221" s="282"/>
      <c r="AO221" s="282"/>
      <c r="AP221" s="282"/>
      <c r="AQ221" s="282"/>
      <c r="AR221" s="282"/>
      <c r="AS221" s="282"/>
      <c r="AT221" s="282"/>
      <c r="AU221" s="282"/>
      <c r="AV221" s="282"/>
      <c r="AW221" s="282"/>
      <c r="AX221" s="282"/>
      <c r="AY221" s="282"/>
      <c r="AZ221" s="282"/>
      <c r="BA221" s="282"/>
      <c r="BB221" s="282"/>
      <c r="BC221" s="282"/>
      <c r="BD221" s="282"/>
      <c r="BE221" s="282"/>
      <c r="BF221" s="282"/>
      <c r="BG221" s="282"/>
      <c r="BH221" s="282"/>
      <c r="BI221" s="282"/>
      <c r="BJ221" s="282"/>
      <c r="BK221" s="282"/>
      <c r="BL221" s="282"/>
      <c r="BM221" s="282"/>
      <c r="BN221" s="282"/>
      <c r="BO221" s="282"/>
      <c r="BP221" s="282"/>
      <c r="BQ221" s="282"/>
      <c r="BR221" s="282"/>
      <c r="BS221" s="282"/>
      <c r="BT221" s="282"/>
      <c r="BU221" s="282"/>
      <c r="BV221" s="282"/>
      <c r="BW221" s="282"/>
      <c r="BX221" s="282"/>
      <c r="BY221" s="282"/>
    </row>
    <row r="222" spans="1:77" s="227" customFormat="1" ht="21.75" customHeight="1" x14ac:dyDescent="0.3">
      <c r="A222" s="268">
        <v>222</v>
      </c>
      <c r="B222" s="269">
        <v>41810</v>
      </c>
      <c r="C222" s="270">
        <v>13697999</v>
      </c>
      <c r="D222" s="271" t="s">
        <v>542</v>
      </c>
      <c r="E222" s="271" t="s">
        <v>231</v>
      </c>
      <c r="F222" s="272" t="s">
        <v>594</v>
      </c>
      <c r="G222" s="272" t="s">
        <v>595</v>
      </c>
      <c r="H222" s="268">
        <v>4166091294</v>
      </c>
      <c r="I222" s="273">
        <v>14500</v>
      </c>
      <c r="J222" s="273">
        <v>14500</v>
      </c>
      <c r="K222" s="268"/>
      <c r="L222" s="268"/>
      <c r="M222" s="268"/>
      <c r="N222" s="268"/>
      <c r="O222" s="268"/>
      <c r="P222" s="268"/>
      <c r="Q222" s="268"/>
      <c r="R222" s="268"/>
      <c r="S222" s="268"/>
      <c r="T222" s="273"/>
      <c r="U222" s="273"/>
      <c r="V222" s="273"/>
      <c r="W222" s="273"/>
      <c r="X222" s="273"/>
      <c r="Y222" s="121"/>
      <c r="Z222" s="121"/>
      <c r="AA222" s="273"/>
      <c r="AB222" s="273"/>
      <c r="AC222" s="273"/>
      <c r="AD222" s="273"/>
      <c r="AE222" s="273"/>
      <c r="AF222" s="273"/>
      <c r="AG222" s="278"/>
      <c r="AH222" s="278"/>
      <c r="AI222" s="282"/>
      <c r="AJ222" s="282"/>
      <c r="AK222" s="282"/>
      <c r="AL222" s="282"/>
      <c r="AM222" s="282"/>
      <c r="AN222" s="282"/>
      <c r="AO222" s="282"/>
      <c r="AP222" s="282"/>
      <c r="AQ222" s="282"/>
      <c r="AR222" s="282"/>
      <c r="AS222" s="282"/>
      <c r="AT222" s="282"/>
      <c r="AU222" s="282"/>
      <c r="AV222" s="282"/>
      <c r="AW222" s="282"/>
      <c r="AX222" s="282"/>
      <c r="AY222" s="282"/>
      <c r="AZ222" s="282"/>
      <c r="BA222" s="282"/>
      <c r="BB222" s="282"/>
      <c r="BC222" s="282"/>
      <c r="BD222" s="282"/>
      <c r="BE222" s="282"/>
      <c r="BF222" s="282"/>
      <c r="BG222" s="282"/>
      <c r="BH222" s="282"/>
      <c r="BI222" s="282"/>
      <c r="BJ222" s="282"/>
      <c r="BK222" s="282"/>
      <c r="BL222" s="282"/>
      <c r="BM222" s="282"/>
      <c r="BN222" s="282"/>
      <c r="BO222" s="282"/>
      <c r="BP222" s="282"/>
      <c r="BQ222" s="282"/>
      <c r="BR222" s="282"/>
      <c r="BS222" s="282"/>
      <c r="BT222" s="282"/>
      <c r="BU222" s="282"/>
      <c r="BV222" s="282"/>
      <c r="BW222" s="282"/>
      <c r="BX222" s="282"/>
      <c r="BY222" s="282"/>
    </row>
    <row r="223" spans="1:77" s="227" customFormat="1" ht="21.75" customHeight="1" x14ac:dyDescent="0.3">
      <c r="A223" s="268">
        <v>223</v>
      </c>
      <c r="B223" s="269">
        <v>41808</v>
      </c>
      <c r="C223" s="270">
        <v>12159976</v>
      </c>
      <c r="D223" s="271" t="s">
        <v>543</v>
      </c>
      <c r="E223" s="271" t="s">
        <v>231</v>
      </c>
      <c r="F223" s="272" t="s">
        <v>596</v>
      </c>
      <c r="G223" s="272" t="s">
        <v>597</v>
      </c>
      <c r="H223" s="268">
        <v>4168057459</v>
      </c>
      <c r="I223" s="273">
        <v>12500</v>
      </c>
      <c r="J223" s="273">
        <v>12500</v>
      </c>
      <c r="K223" s="268"/>
      <c r="L223" s="268"/>
      <c r="M223" s="268"/>
      <c r="N223" s="268"/>
      <c r="O223" s="268"/>
      <c r="P223" s="268"/>
      <c r="Q223" s="268"/>
      <c r="R223" s="268"/>
      <c r="S223" s="268"/>
      <c r="T223" s="273"/>
      <c r="U223" s="273"/>
      <c r="V223" s="273"/>
      <c r="W223" s="273"/>
      <c r="X223" s="273"/>
      <c r="Y223" s="121"/>
      <c r="Z223" s="121"/>
      <c r="AA223" s="273"/>
      <c r="AB223" s="273"/>
      <c r="AC223" s="273"/>
      <c r="AD223" s="273"/>
      <c r="AE223" s="273"/>
      <c r="AF223" s="273"/>
      <c r="AG223" s="278"/>
      <c r="AH223" s="278"/>
      <c r="AI223" s="282"/>
      <c r="AJ223" s="282"/>
      <c r="AK223" s="282"/>
      <c r="AL223" s="282"/>
      <c r="AM223" s="282"/>
      <c r="AN223" s="282"/>
      <c r="AO223" s="282"/>
      <c r="AP223" s="282"/>
      <c r="AQ223" s="282"/>
      <c r="AR223" s="282"/>
      <c r="AS223" s="282"/>
      <c r="AT223" s="282"/>
      <c r="AU223" s="282"/>
      <c r="AV223" s="282"/>
      <c r="AW223" s="282"/>
      <c r="AX223" s="282"/>
      <c r="AY223" s="282"/>
      <c r="AZ223" s="282"/>
      <c r="BA223" s="282"/>
      <c r="BB223" s="282"/>
      <c r="BC223" s="282"/>
      <c r="BD223" s="282"/>
      <c r="BE223" s="282"/>
      <c r="BF223" s="282"/>
      <c r="BG223" s="282"/>
      <c r="BH223" s="282"/>
      <c r="BI223" s="282"/>
      <c r="BJ223" s="282"/>
      <c r="BK223" s="282"/>
      <c r="BL223" s="282"/>
      <c r="BM223" s="282"/>
      <c r="BN223" s="282"/>
      <c r="BO223" s="282"/>
      <c r="BP223" s="282"/>
      <c r="BQ223" s="282"/>
      <c r="BR223" s="282"/>
      <c r="BS223" s="282"/>
      <c r="BT223" s="282"/>
      <c r="BU223" s="282"/>
      <c r="BV223" s="282"/>
      <c r="BW223" s="282"/>
      <c r="BX223" s="282"/>
      <c r="BY223" s="282"/>
    </row>
    <row r="224" spans="1:77" s="227" customFormat="1" ht="21.75" customHeight="1" x14ac:dyDescent="0.3">
      <c r="A224" s="268">
        <v>224</v>
      </c>
      <c r="B224" s="269">
        <v>41814</v>
      </c>
      <c r="C224" s="270">
        <v>11735637</v>
      </c>
      <c r="D224" s="271" t="s">
        <v>544</v>
      </c>
      <c r="E224" s="271" t="s">
        <v>231</v>
      </c>
      <c r="F224" s="272" t="s">
        <v>598</v>
      </c>
      <c r="G224" s="272" t="s">
        <v>599</v>
      </c>
      <c r="H224" s="268">
        <v>4142314984</v>
      </c>
      <c r="I224" s="273">
        <v>14500</v>
      </c>
      <c r="J224" s="273">
        <v>14500</v>
      </c>
      <c r="K224" s="268"/>
      <c r="L224" s="268"/>
      <c r="M224" s="268"/>
      <c r="N224" s="268"/>
      <c r="O224" s="268"/>
      <c r="P224" s="268"/>
      <c r="Q224" s="268"/>
      <c r="R224" s="268"/>
      <c r="S224" s="268"/>
      <c r="T224" s="273"/>
      <c r="U224" s="273"/>
      <c r="V224" s="273"/>
      <c r="W224" s="273"/>
      <c r="X224" s="273"/>
      <c r="Y224" s="121"/>
      <c r="Z224" s="121"/>
      <c r="AA224" s="273"/>
      <c r="AB224" s="273"/>
      <c r="AC224" s="273"/>
      <c r="AD224" s="273"/>
      <c r="AE224" s="273"/>
      <c r="AF224" s="273"/>
      <c r="AG224" s="278"/>
      <c r="AH224" s="278"/>
      <c r="AI224" s="282"/>
      <c r="AJ224" s="282"/>
      <c r="AK224" s="282"/>
      <c r="AL224" s="282"/>
      <c r="AM224" s="282"/>
      <c r="AN224" s="282"/>
      <c r="AO224" s="282"/>
      <c r="AP224" s="282"/>
      <c r="AQ224" s="282"/>
      <c r="AR224" s="282"/>
      <c r="AS224" s="282"/>
      <c r="AT224" s="282"/>
      <c r="AU224" s="282"/>
      <c r="AV224" s="282"/>
      <c r="AW224" s="282"/>
      <c r="AX224" s="282"/>
      <c r="AY224" s="282"/>
      <c r="AZ224" s="282"/>
      <c r="BA224" s="282"/>
      <c r="BB224" s="282"/>
      <c r="BC224" s="282"/>
      <c r="BD224" s="282"/>
      <c r="BE224" s="282"/>
      <c r="BF224" s="282"/>
      <c r="BG224" s="282"/>
      <c r="BH224" s="282"/>
      <c r="BI224" s="282"/>
      <c r="BJ224" s="282"/>
      <c r="BK224" s="282"/>
      <c r="BL224" s="282"/>
      <c r="BM224" s="282"/>
      <c r="BN224" s="282"/>
      <c r="BO224" s="282"/>
      <c r="BP224" s="282"/>
      <c r="BQ224" s="282"/>
      <c r="BR224" s="282"/>
      <c r="BS224" s="282"/>
      <c r="BT224" s="282"/>
      <c r="BU224" s="282"/>
      <c r="BV224" s="282"/>
      <c r="BW224" s="282"/>
      <c r="BX224" s="282"/>
      <c r="BY224" s="282"/>
    </row>
    <row r="225" spans="1:77" s="227" customFormat="1" ht="21.75" customHeight="1" x14ac:dyDescent="0.3">
      <c r="A225" s="268">
        <v>225</v>
      </c>
      <c r="B225" s="269">
        <v>41815</v>
      </c>
      <c r="C225" s="270">
        <v>13991571</v>
      </c>
      <c r="D225" s="271" t="s">
        <v>545</v>
      </c>
      <c r="E225" s="271" t="s">
        <v>231</v>
      </c>
      <c r="F225" s="272" t="s">
        <v>600</v>
      </c>
      <c r="G225" s="272" t="s">
        <v>601</v>
      </c>
      <c r="H225" s="268">
        <v>4168522147</v>
      </c>
      <c r="I225" s="273">
        <v>12500</v>
      </c>
      <c r="J225" s="273">
        <v>12500</v>
      </c>
      <c r="K225" s="268"/>
      <c r="L225" s="268"/>
      <c r="M225" s="268"/>
      <c r="N225" s="268"/>
      <c r="O225" s="268"/>
      <c r="P225" s="268"/>
      <c r="Q225" s="268"/>
      <c r="R225" s="268"/>
      <c r="S225" s="268"/>
      <c r="T225" s="273"/>
      <c r="U225" s="273"/>
      <c r="V225" s="273"/>
      <c r="W225" s="273"/>
      <c r="X225" s="273"/>
      <c r="Y225" s="121"/>
      <c r="Z225" s="121"/>
      <c r="AA225" s="273"/>
      <c r="AB225" s="273"/>
      <c r="AC225" s="273"/>
      <c r="AD225" s="273"/>
      <c r="AE225" s="273"/>
      <c r="AF225" s="273"/>
      <c r="AG225" s="278"/>
      <c r="AH225" s="278"/>
      <c r="AI225" s="282"/>
      <c r="AJ225" s="282"/>
      <c r="AK225" s="282"/>
      <c r="AL225" s="282"/>
      <c r="AM225" s="282"/>
      <c r="AN225" s="282"/>
      <c r="AO225" s="282"/>
      <c r="AP225" s="282"/>
      <c r="AQ225" s="282"/>
      <c r="AR225" s="282"/>
      <c r="AS225" s="282"/>
      <c r="AT225" s="282"/>
      <c r="AU225" s="282"/>
      <c r="AV225" s="282"/>
      <c r="AW225" s="282"/>
      <c r="AX225" s="282"/>
      <c r="AY225" s="282"/>
      <c r="AZ225" s="282"/>
      <c r="BA225" s="282"/>
      <c r="BB225" s="282"/>
      <c r="BC225" s="282"/>
      <c r="BD225" s="282"/>
      <c r="BE225" s="282"/>
      <c r="BF225" s="282"/>
      <c r="BG225" s="282"/>
      <c r="BH225" s="282"/>
      <c r="BI225" s="282"/>
      <c r="BJ225" s="282"/>
      <c r="BK225" s="282"/>
      <c r="BL225" s="282"/>
      <c r="BM225" s="282"/>
      <c r="BN225" s="282"/>
      <c r="BO225" s="282"/>
      <c r="BP225" s="282"/>
      <c r="BQ225" s="282"/>
      <c r="BR225" s="282"/>
      <c r="BS225" s="282"/>
      <c r="BT225" s="282"/>
      <c r="BU225" s="282"/>
      <c r="BV225" s="282"/>
      <c r="BW225" s="282"/>
      <c r="BX225" s="282"/>
      <c r="BY225" s="282"/>
    </row>
    <row r="226" spans="1:77" s="227" customFormat="1" ht="21.75" customHeight="1" x14ac:dyDescent="0.3">
      <c r="A226" s="268">
        <v>226</v>
      </c>
      <c r="B226" s="269">
        <v>41815</v>
      </c>
      <c r="C226" s="270">
        <v>12640705</v>
      </c>
      <c r="D226" s="271" t="s">
        <v>546</v>
      </c>
      <c r="E226" s="271" t="s">
        <v>301</v>
      </c>
      <c r="F226" s="272" t="s">
        <v>602</v>
      </c>
      <c r="G226" s="272" t="s">
        <v>603</v>
      </c>
      <c r="H226" s="268">
        <v>4168311828</v>
      </c>
      <c r="I226" s="273">
        <v>12500</v>
      </c>
      <c r="J226" s="273">
        <v>12500</v>
      </c>
      <c r="K226" s="268"/>
      <c r="L226" s="268"/>
      <c r="M226" s="268"/>
      <c r="N226" s="268"/>
      <c r="O226" s="268"/>
      <c r="P226" s="268"/>
      <c r="Q226" s="268"/>
      <c r="R226" s="268"/>
      <c r="S226" s="268"/>
      <c r="T226" s="273"/>
      <c r="U226" s="273"/>
      <c r="V226" s="273"/>
      <c r="W226" s="273"/>
      <c r="X226" s="273"/>
      <c r="Y226" s="121"/>
      <c r="Z226" s="121"/>
      <c r="AA226" s="273"/>
      <c r="AB226" s="273"/>
      <c r="AC226" s="273"/>
      <c r="AD226" s="273"/>
      <c r="AE226" s="273"/>
      <c r="AF226" s="273"/>
      <c r="AG226" s="278"/>
      <c r="AH226" s="278"/>
      <c r="AI226" s="282"/>
      <c r="AJ226" s="282"/>
      <c r="AK226" s="282"/>
      <c r="AL226" s="282"/>
      <c r="AM226" s="282"/>
      <c r="AN226" s="282"/>
      <c r="AO226" s="282"/>
      <c r="AP226" s="282"/>
      <c r="AQ226" s="282"/>
      <c r="AR226" s="282"/>
      <c r="AS226" s="282"/>
      <c r="AT226" s="282"/>
      <c r="AU226" s="282"/>
      <c r="AV226" s="282"/>
      <c r="AW226" s="282"/>
      <c r="AX226" s="282"/>
      <c r="AY226" s="282"/>
      <c r="AZ226" s="282"/>
      <c r="BA226" s="282"/>
      <c r="BB226" s="282"/>
      <c r="BC226" s="282"/>
      <c r="BD226" s="282"/>
      <c r="BE226" s="282"/>
      <c r="BF226" s="282"/>
      <c r="BG226" s="282"/>
      <c r="BH226" s="282"/>
      <c r="BI226" s="282"/>
      <c r="BJ226" s="282"/>
      <c r="BK226" s="282"/>
      <c r="BL226" s="282"/>
      <c r="BM226" s="282"/>
      <c r="BN226" s="282"/>
      <c r="BO226" s="282"/>
      <c r="BP226" s="282"/>
      <c r="BQ226" s="282"/>
      <c r="BR226" s="282"/>
      <c r="BS226" s="282"/>
      <c r="BT226" s="282"/>
      <c r="BU226" s="282"/>
      <c r="BV226" s="282"/>
      <c r="BW226" s="282"/>
      <c r="BX226" s="282"/>
      <c r="BY226" s="282"/>
    </row>
    <row r="227" spans="1:77" s="227" customFormat="1" ht="21.75" customHeight="1" x14ac:dyDescent="0.3">
      <c r="A227" s="268">
        <v>227</v>
      </c>
      <c r="B227" s="269">
        <v>41816</v>
      </c>
      <c r="C227" s="270">
        <v>6873592</v>
      </c>
      <c r="D227" s="271" t="s">
        <v>547</v>
      </c>
      <c r="E227" s="271"/>
      <c r="F227" s="272" t="s">
        <v>604</v>
      </c>
      <c r="G227" s="272" t="s">
        <v>605</v>
      </c>
      <c r="H227" s="268">
        <v>4142856503</v>
      </c>
      <c r="I227" s="273">
        <v>12500</v>
      </c>
      <c r="J227" s="273">
        <v>12500</v>
      </c>
      <c r="K227" s="268"/>
      <c r="L227" s="268"/>
      <c r="M227" s="268"/>
      <c r="N227" s="268"/>
      <c r="O227" s="268"/>
      <c r="P227" s="268"/>
      <c r="Q227" s="268"/>
      <c r="R227" s="268"/>
      <c r="S227" s="268"/>
      <c r="T227" s="273"/>
      <c r="U227" s="273"/>
      <c r="V227" s="273"/>
      <c r="W227" s="273"/>
      <c r="X227" s="273"/>
      <c r="Y227" s="121"/>
      <c r="Z227" s="121"/>
      <c r="AA227" s="273"/>
      <c r="AB227" s="273"/>
      <c r="AC227" s="273"/>
      <c r="AD227" s="273"/>
      <c r="AE227" s="273"/>
      <c r="AF227" s="273"/>
      <c r="AG227" s="278"/>
      <c r="AH227" s="278"/>
      <c r="AI227" s="282"/>
      <c r="AJ227" s="282"/>
      <c r="AK227" s="282"/>
      <c r="AL227" s="282"/>
      <c r="AM227" s="282"/>
      <c r="AN227" s="282"/>
      <c r="AO227" s="282"/>
      <c r="AP227" s="282"/>
      <c r="AQ227" s="282"/>
      <c r="AR227" s="282"/>
      <c r="AS227" s="282"/>
      <c r="AT227" s="282"/>
      <c r="AU227" s="282"/>
      <c r="AV227" s="282"/>
      <c r="AW227" s="282"/>
      <c r="AX227" s="282"/>
      <c r="AY227" s="282"/>
      <c r="AZ227" s="282"/>
      <c r="BA227" s="282"/>
      <c r="BB227" s="282"/>
      <c r="BC227" s="282"/>
      <c r="BD227" s="282"/>
      <c r="BE227" s="282"/>
      <c r="BF227" s="282"/>
      <c r="BG227" s="282"/>
      <c r="BH227" s="282"/>
      <c r="BI227" s="282"/>
      <c r="BJ227" s="282"/>
      <c r="BK227" s="282"/>
      <c r="BL227" s="282"/>
      <c r="BM227" s="282"/>
      <c r="BN227" s="282"/>
      <c r="BO227" s="282"/>
      <c r="BP227" s="282"/>
      <c r="BQ227" s="282"/>
      <c r="BR227" s="282"/>
      <c r="BS227" s="282"/>
      <c r="BT227" s="282"/>
      <c r="BU227" s="282"/>
      <c r="BV227" s="282"/>
      <c r="BW227" s="282"/>
      <c r="BX227" s="282"/>
      <c r="BY227" s="282"/>
    </row>
    <row r="228" spans="1:77" s="227" customFormat="1" ht="21.75" customHeight="1" x14ac:dyDescent="0.3">
      <c r="A228" s="268">
        <v>228</v>
      </c>
      <c r="B228" s="269">
        <v>41818</v>
      </c>
      <c r="C228" s="270">
        <v>6224225</v>
      </c>
      <c r="D228" s="271" t="s">
        <v>548</v>
      </c>
      <c r="E228" s="271"/>
      <c r="F228" s="272" t="s">
        <v>606</v>
      </c>
      <c r="G228" s="272" t="s">
        <v>607</v>
      </c>
      <c r="H228" s="268">
        <v>4142249731</v>
      </c>
      <c r="I228" s="273">
        <v>13000</v>
      </c>
      <c r="J228" s="273">
        <v>13000</v>
      </c>
      <c r="K228" s="268"/>
      <c r="L228" s="268"/>
      <c r="M228" s="268"/>
      <c r="N228" s="268"/>
      <c r="O228" s="268"/>
      <c r="P228" s="268"/>
      <c r="Q228" s="268"/>
      <c r="R228" s="268"/>
      <c r="S228" s="268"/>
      <c r="T228" s="273"/>
      <c r="U228" s="273"/>
      <c r="V228" s="273"/>
      <c r="W228" s="273"/>
      <c r="X228" s="273"/>
      <c r="Y228" s="121"/>
      <c r="Z228" s="121"/>
      <c r="AA228" s="273"/>
      <c r="AB228" s="273"/>
      <c r="AC228" s="273"/>
      <c r="AD228" s="273"/>
      <c r="AE228" s="273"/>
      <c r="AF228" s="273"/>
      <c r="AG228" s="278"/>
      <c r="AH228" s="278"/>
      <c r="AI228" s="282"/>
      <c r="AJ228" s="282"/>
      <c r="AK228" s="282"/>
      <c r="AL228" s="282"/>
      <c r="AM228" s="282"/>
      <c r="AN228" s="282"/>
      <c r="AO228" s="282"/>
      <c r="AP228" s="282"/>
      <c r="AQ228" s="282"/>
      <c r="AR228" s="282"/>
      <c r="AS228" s="282"/>
      <c r="AT228" s="282"/>
      <c r="AU228" s="282"/>
      <c r="AV228" s="282"/>
      <c r="AW228" s="282"/>
      <c r="AX228" s="282"/>
      <c r="AY228" s="282"/>
      <c r="AZ228" s="282"/>
      <c r="BA228" s="282"/>
      <c r="BB228" s="282"/>
      <c r="BC228" s="282"/>
      <c r="BD228" s="282"/>
      <c r="BE228" s="282"/>
      <c r="BF228" s="282"/>
      <c r="BG228" s="282"/>
      <c r="BH228" s="282"/>
      <c r="BI228" s="282"/>
      <c r="BJ228" s="282"/>
      <c r="BK228" s="282"/>
      <c r="BL228" s="282"/>
      <c r="BM228" s="282"/>
      <c r="BN228" s="282"/>
      <c r="BO228" s="282"/>
      <c r="BP228" s="282"/>
      <c r="BQ228" s="282"/>
      <c r="BR228" s="282"/>
      <c r="BS228" s="282"/>
      <c r="BT228" s="282"/>
      <c r="BU228" s="282"/>
      <c r="BV228" s="282"/>
      <c r="BW228" s="282"/>
      <c r="BX228" s="282"/>
      <c r="BY228" s="282"/>
    </row>
    <row r="229" spans="1:77" s="227" customFormat="1" ht="21.75" customHeight="1" x14ac:dyDescent="0.3">
      <c r="A229" s="268">
        <v>229</v>
      </c>
      <c r="B229" s="269">
        <v>41820</v>
      </c>
      <c r="C229" s="270">
        <v>13232356</v>
      </c>
      <c r="D229" s="271" t="s">
        <v>549</v>
      </c>
      <c r="E229" s="271" t="s">
        <v>231</v>
      </c>
      <c r="F229" s="272" t="s">
        <v>608</v>
      </c>
      <c r="G229" s="272" t="s">
        <v>609</v>
      </c>
      <c r="H229" s="268">
        <v>4241079235</v>
      </c>
      <c r="I229" s="273">
        <v>12500</v>
      </c>
      <c r="J229" s="273">
        <v>12500</v>
      </c>
      <c r="K229" s="268"/>
      <c r="L229" s="268"/>
      <c r="M229" s="268"/>
      <c r="N229" s="268"/>
      <c r="O229" s="268"/>
      <c r="P229" s="268"/>
      <c r="Q229" s="268"/>
      <c r="R229" s="268"/>
      <c r="S229" s="268"/>
      <c r="T229" s="273"/>
      <c r="U229" s="273"/>
      <c r="V229" s="273"/>
      <c r="W229" s="273"/>
      <c r="X229" s="273"/>
      <c r="Y229" s="121"/>
      <c r="Z229" s="121"/>
      <c r="AA229" s="273"/>
      <c r="AB229" s="273"/>
      <c r="AC229" s="273"/>
      <c r="AD229" s="273"/>
      <c r="AE229" s="273"/>
      <c r="AF229" s="273"/>
      <c r="AG229" s="278"/>
      <c r="AH229" s="278"/>
      <c r="AI229" s="282"/>
      <c r="AJ229" s="282"/>
      <c r="AK229" s="282"/>
      <c r="AL229" s="282"/>
      <c r="AM229" s="282"/>
      <c r="AN229" s="282"/>
      <c r="AO229" s="282"/>
      <c r="AP229" s="282"/>
      <c r="AQ229" s="282"/>
      <c r="AR229" s="282"/>
      <c r="AS229" s="282"/>
      <c r="AT229" s="282"/>
      <c r="AU229" s="282"/>
      <c r="AV229" s="282"/>
      <c r="AW229" s="282"/>
      <c r="AX229" s="282"/>
      <c r="AY229" s="282"/>
      <c r="AZ229" s="282"/>
      <c r="BA229" s="282"/>
      <c r="BB229" s="282"/>
      <c r="BC229" s="282"/>
      <c r="BD229" s="282"/>
      <c r="BE229" s="282"/>
      <c r="BF229" s="282"/>
      <c r="BG229" s="282"/>
      <c r="BH229" s="282"/>
      <c r="BI229" s="282"/>
      <c r="BJ229" s="282"/>
      <c r="BK229" s="282"/>
      <c r="BL229" s="282"/>
      <c r="BM229" s="282"/>
      <c r="BN229" s="282"/>
      <c r="BO229" s="282"/>
      <c r="BP229" s="282"/>
      <c r="BQ229" s="282"/>
      <c r="BR229" s="282"/>
      <c r="BS229" s="282"/>
      <c r="BT229" s="282"/>
      <c r="BU229" s="282"/>
      <c r="BV229" s="282"/>
      <c r="BW229" s="282"/>
      <c r="BX229" s="282"/>
      <c r="BY229" s="282"/>
    </row>
    <row r="230" spans="1:77" s="227" customFormat="1" ht="21.75" customHeight="1" x14ac:dyDescent="0.3">
      <c r="A230" s="268">
        <v>230</v>
      </c>
      <c r="B230" s="269">
        <v>41820</v>
      </c>
      <c r="C230" s="270">
        <v>13232356</v>
      </c>
      <c r="D230" s="271" t="s">
        <v>550</v>
      </c>
      <c r="E230" s="271" t="s">
        <v>503</v>
      </c>
      <c r="F230" s="272" t="s">
        <v>610</v>
      </c>
      <c r="G230" s="272" t="s">
        <v>609</v>
      </c>
      <c r="H230" s="268">
        <v>4241079235</v>
      </c>
      <c r="I230" s="273">
        <v>12500</v>
      </c>
      <c r="J230" s="273">
        <v>12500</v>
      </c>
      <c r="K230" s="268"/>
      <c r="L230" s="268"/>
      <c r="M230" s="268"/>
      <c r="N230" s="268"/>
      <c r="O230" s="268"/>
      <c r="P230" s="268"/>
      <c r="Q230" s="268"/>
      <c r="R230" s="268"/>
      <c r="S230" s="268"/>
      <c r="T230" s="273"/>
      <c r="U230" s="273"/>
      <c r="V230" s="273"/>
      <c r="W230" s="273"/>
      <c r="X230" s="273"/>
      <c r="Y230" s="121"/>
      <c r="Z230" s="121"/>
      <c r="AA230" s="273"/>
      <c r="AB230" s="273"/>
      <c r="AC230" s="273"/>
      <c r="AD230" s="273"/>
      <c r="AE230" s="273"/>
      <c r="AF230" s="273"/>
      <c r="AG230" s="278"/>
      <c r="AH230" s="278"/>
      <c r="AI230" s="282"/>
      <c r="AJ230" s="282"/>
      <c r="AK230" s="282"/>
      <c r="AL230" s="282"/>
      <c r="AM230" s="282"/>
      <c r="AN230" s="282"/>
      <c r="AO230" s="282"/>
      <c r="AP230" s="282"/>
      <c r="AQ230" s="282"/>
      <c r="AR230" s="282"/>
      <c r="AS230" s="282"/>
      <c r="AT230" s="282"/>
      <c r="AU230" s="282"/>
      <c r="AV230" s="282"/>
      <c r="AW230" s="282"/>
      <c r="AX230" s="282"/>
      <c r="AY230" s="282"/>
      <c r="AZ230" s="282"/>
      <c r="BA230" s="282"/>
      <c r="BB230" s="282"/>
      <c r="BC230" s="282"/>
      <c r="BD230" s="282"/>
      <c r="BE230" s="282"/>
      <c r="BF230" s="282"/>
      <c r="BG230" s="282"/>
      <c r="BH230" s="282"/>
      <c r="BI230" s="282"/>
      <c r="BJ230" s="282"/>
      <c r="BK230" s="282"/>
      <c r="BL230" s="282"/>
      <c r="BM230" s="282"/>
      <c r="BN230" s="282"/>
      <c r="BO230" s="282"/>
      <c r="BP230" s="282"/>
      <c r="BQ230" s="282"/>
      <c r="BR230" s="282"/>
      <c r="BS230" s="282"/>
      <c r="BT230" s="282"/>
      <c r="BU230" s="282"/>
      <c r="BV230" s="282"/>
      <c r="BW230" s="282"/>
      <c r="BX230" s="282"/>
      <c r="BY230" s="282"/>
    </row>
    <row r="231" spans="1:77" s="227" customFormat="1" ht="21.75" customHeight="1" x14ac:dyDescent="0.3">
      <c r="A231" s="268">
        <v>231</v>
      </c>
      <c r="B231" s="269">
        <v>41820</v>
      </c>
      <c r="C231" s="270">
        <v>11872189</v>
      </c>
      <c r="D231" s="271" t="s">
        <v>551</v>
      </c>
      <c r="E231" s="271"/>
      <c r="F231" s="272" t="s">
        <v>611</v>
      </c>
      <c r="G231" s="272" t="s">
        <v>612</v>
      </c>
      <c r="H231" s="268">
        <v>4147855423</v>
      </c>
      <c r="I231" s="273">
        <v>12500</v>
      </c>
      <c r="J231" s="273">
        <v>12500</v>
      </c>
      <c r="K231" s="268"/>
      <c r="L231" s="268"/>
      <c r="M231" s="268"/>
      <c r="N231" s="268"/>
      <c r="O231" s="268"/>
      <c r="P231" s="268"/>
      <c r="Q231" s="268"/>
      <c r="R231" s="268"/>
      <c r="S231" s="268"/>
      <c r="T231" s="273"/>
      <c r="U231" s="273"/>
      <c r="V231" s="273"/>
      <c r="W231" s="273"/>
      <c r="X231" s="273"/>
      <c r="Y231" s="121"/>
      <c r="Z231" s="121"/>
      <c r="AA231" s="273"/>
      <c r="AB231" s="273"/>
      <c r="AC231" s="273"/>
      <c r="AD231" s="273"/>
      <c r="AE231" s="273"/>
      <c r="AF231" s="273"/>
      <c r="AG231" s="278"/>
      <c r="AH231" s="278"/>
      <c r="AI231" s="282"/>
      <c r="AJ231" s="282"/>
      <c r="AK231" s="282"/>
      <c r="AL231" s="282"/>
      <c r="AM231" s="282"/>
      <c r="AN231" s="282"/>
      <c r="AO231" s="282"/>
      <c r="AP231" s="282"/>
      <c r="AQ231" s="282"/>
      <c r="AR231" s="282"/>
      <c r="AS231" s="282"/>
      <c r="AT231" s="282"/>
      <c r="AU231" s="282"/>
      <c r="AV231" s="282"/>
      <c r="AW231" s="282"/>
      <c r="AX231" s="282"/>
      <c r="AY231" s="282"/>
      <c r="AZ231" s="282"/>
      <c r="BA231" s="282"/>
      <c r="BB231" s="282"/>
      <c r="BC231" s="282"/>
      <c r="BD231" s="282"/>
      <c r="BE231" s="282"/>
      <c r="BF231" s="282"/>
      <c r="BG231" s="282"/>
      <c r="BH231" s="282"/>
      <c r="BI231" s="282"/>
      <c r="BJ231" s="282"/>
      <c r="BK231" s="282"/>
      <c r="BL231" s="282"/>
      <c r="BM231" s="282"/>
      <c r="BN231" s="282"/>
      <c r="BO231" s="282"/>
      <c r="BP231" s="282"/>
      <c r="BQ231" s="282"/>
      <c r="BR231" s="282"/>
      <c r="BS231" s="282"/>
      <c r="BT231" s="282"/>
      <c r="BU231" s="282"/>
      <c r="BV231" s="282"/>
      <c r="BW231" s="282"/>
      <c r="BX231" s="282"/>
      <c r="BY231" s="282"/>
    </row>
    <row r="232" spans="1:77" s="227" customFormat="1" ht="21.75" customHeight="1" x14ac:dyDescent="0.3">
      <c r="A232" s="268">
        <v>232</v>
      </c>
      <c r="B232" s="269">
        <v>41820</v>
      </c>
      <c r="C232" s="270">
        <v>11872189</v>
      </c>
      <c r="D232" s="271" t="s">
        <v>552</v>
      </c>
      <c r="E232" s="271"/>
      <c r="F232" s="272" t="s">
        <v>613</v>
      </c>
      <c r="G232" s="272" t="s">
        <v>612</v>
      </c>
      <c r="H232" s="268">
        <v>4147855423</v>
      </c>
      <c r="I232" s="273">
        <v>12500</v>
      </c>
      <c r="J232" s="273">
        <v>12500</v>
      </c>
      <c r="K232" s="268"/>
      <c r="L232" s="268"/>
      <c r="M232" s="268"/>
      <c r="N232" s="268"/>
      <c r="O232" s="268"/>
      <c r="P232" s="268"/>
      <c r="Q232" s="268"/>
      <c r="R232" s="268"/>
      <c r="S232" s="268"/>
      <c r="T232" s="273"/>
      <c r="U232" s="273"/>
      <c r="V232" s="273"/>
      <c r="W232" s="273"/>
      <c r="X232" s="273"/>
      <c r="Y232" s="121"/>
      <c r="Z232" s="121"/>
      <c r="AA232" s="273"/>
      <c r="AB232" s="273"/>
      <c r="AC232" s="273"/>
      <c r="AD232" s="273"/>
      <c r="AE232" s="273"/>
      <c r="AF232" s="273"/>
      <c r="AG232" s="278"/>
      <c r="AH232" s="278"/>
      <c r="AI232" s="282"/>
      <c r="AJ232" s="282"/>
      <c r="AK232" s="282"/>
      <c r="AL232" s="282"/>
      <c r="AM232" s="282"/>
      <c r="AN232" s="282"/>
      <c r="AO232" s="282"/>
      <c r="AP232" s="282"/>
      <c r="AQ232" s="282"/>
      <c r="AR232" s="282"/>
      <c r="AS232" s="282"/>
      <c r="AT232" s="282"/>
      <c r="AU232" s="282"/>
      <c r="AV232" s="282"/>
      <c r="AW232" s="282"/>
      <c r="AX232" s="282"/>
      <c r="AY232" s="282"/>
      <c r="AZ232" s="282"/>
      <c r="BA232" s="282"/>
      <c r="BB232" s="282"/>
      <c r="BC232" s="282"/>
      <c r="BD232" s="282"/>
      <c r="BE232" s="282"/>
      <c r="BF232" s="282"/>
      <c r="BG232" s="282"/>
      <c r="BH232" s="282"/>
      <c r="BI232" s="282"/>
      <c r="BJ232" s="282"/>
      <c r="BK232" s="282"/>
      <c r="BL232" s="282"/>
      <c r="BM232" s="282"/>
      <c r="BN232" s="282"/>
      <c r="BO232" s="282"/>
      <c r="BP232" s="282"/>
      <c r="BQ232" s="282"/>
      <c r="BR232" s="282"/>
      <c r="BS232" s="282"/>
      <c r="BT232" s="282"/>
      <c r="BU232" s="282"/>
      <c r="BV232" s="282"/>
      <c r="BW232" s="282"/>
      <c r="BX232" s="282"/>
      <c r="BY232" s="282"/>
    </row>
    <row r="233" spans="1:77" s="227" customFormat="1" ht="21.75" customHeight="1" x14ac:dyDescent="0.3">
      <c r="A233" s="268">
        <v>233</v>
      </c>
      <c r="B233" s="269">
        <v>41821</v>
      </c>
      <c r="C233" s="270">
        <v>12881037</v>
      </c>
      <c r="D233" s="271" t="s">
        <v>614</v>
      </c>
      <c r="E233" s="271"/>
      <c r="F233" s="272" t="s">
        <v>679</v>
      </c>
      <c r="G233" s="272" t="s">
        <v>680</v>
      </c>
      <c r="H233" s="268">
        <v>4142826369</v>
      </c>
      <c r="I233" s="273">
        <v>10500</v>
      </c>
      <c r="J233" s="273">
        <v>10500</v>
      </c>
      <c r="K233" s="268"/>
      <c r="L233" s="268"/>
      <c r="M233" s="268"/>
      <c r="N233" s="268"/>
      <c r="O233" s="268"/>
      <c r="P233" s="268"/>
      <c r="Q233" s="268"/>
      <c r="R233" s="268"/>
      <c r="S233" s="268"/>
      <c r="T233" s="273"/>
      <c r="U233" s="273"/>
      <c r="V233" s="273"/>
      <c r="W233" s="273"/>
      <c r="X233" s="273"/>
      <c r="Y233" s="121"/>
      <c r="Z233" s="121"/>
      <c r="AA233" s="273"/>
      <c r="AB233" s="273"/>
      <c r="AC233" s="273"/>
      <c r="AD233" s="273"/>
      <c r="AE233" s="273"/>
      <c r="AF233" s="273"/>
      <c r="AG233" s="278"/>
      <c r="AH233" s="278"/>
      <c r="AI233" s="282"/>
      <c r="AJ233" s="282"/>
      <c r="AK233" s="282"/>
      <c r="AL233" s="282"/>
      <c r="AM233" s="282"/>
      <c r="AN233" s="282"/>
      <c r="AO233" s="282"/>
      <c r="AP233" s="282"/>
      <c r="AQ233" s="282"/>
      <c r="AR233" s="282"/>
      <c r="AS233" s="282"/>
      <c r="AT233" s="282"/>
      <c r="AU233" s="282"/>
      <c r="AV233" s="282"/>
      <c r="AW233" s="282"/>
      <c r="AX233" s="282"/>
      <c r="AY233" s="282"/>
      <c r="AZ233" s="282"/>
      <c r="BA233" s="282"/>
      <c r="BB233" s="282"/>
      <c r="BC233" s="282"/>
      <c r="BD233" s="282"/>
      <c r="BE233" s="282"/>
      <c r="BF233" s="282"/>
      <c r="BG233" s="282"/>
      <c r="BH233" s="282"/>
      <c r="BI233" s="282"/>
      <c r="BJ233" s="282"/>
      <c r="BK233" s="282"/>
      <c r="BL233" s="282"/>
      <c r="BM233" s="282"/>
      <c r="BN233" s="282"/>
      <c r="BO233" s="282"/>
      <c r="BP233" s="282"/>
      <c r="BQ233" s="282"/>
      <c r="BR233" s="282"/>
      <c r="BS233" s="282"/>
      <c r="BT233" s="282"/>
      <c r="BU233" s="282"/>
      <c r="BV233" s="282"/>
      <c r="BW233" s="282"/>
      <c r="BX233" s="282"/>
      <c r="BY233" s="282"/>
    </row>
    <row r="234" spans="1:77" s="227" customFormat="1" ht="21.75" customHeight="1" x14ac:dyDescent="0.3">
      <c r="A234" s="268">
        <v>234</v>
      </c>
      <c r="B234" s="269">
        <v>41821</v>
      </c>
      <c r="C234" s="270">
        <v>12881037</v>
      </c>
      <c r="D234" s="271" t="s">
        <v>615</v>
      </c>
      <c r="E234" s="271"/>
      <c r="F234" s="272" t="s">
        <v>681</v>
      </c>
      <c r="G234" s="272" t="s">
        <v>680</v>
      </c>
      <c r="H234" s="268">
        <v>4142826369</v>
      </c>
      <c r="I234" s="273">
        <v>10500</v>
      </c>
      <c r="J234" s="273">
        <v>10500</v>
      </c>
      <c r="K234" s="268"/>
      <c r="L234" s="268"/>
      <c r="M234" s="268"/>
      <c r="N234" s="268"/>
      <c r="O234" s="268"/>
      <c r="P234" s="268"/>
      <c r="Q234" s="268"/>
      <c r="R234" s="268"/>
      <c r="S234" s="268"/>
      <c r="T234" s="273"/>
      <c r="U234" s="273"/>
      <c r="V234" s="273"/>
      <c r="W234" s="273"/>
      <c r="X234" s="273"/>
      <c r="Y234" s="121"/>
      <c r="Z234" s="121"/>
      <c r="AA234" s="273"/>
      <c r="AB234" s="273"/>
      <c r="AC234" s="273"/>
      <c r="AD234" s="273"/>
      <c r="AE234" s="273"/>
      <c r="AF234" s="273"/>
      <c r="AG234" s="278"/>
      <c r="AH234" s="278"/>
      <c r="AI234" s="282"/>
      <c r="AJ234" s="282"/>
      <c r="AK234" s="282"/>
      <c r="AL234" s="282"/>
      <c r="AM234" s="282"/>
      <c r="AN234" s="282"/>
      <c r="AO234" s="282"/>
      <c r="AP234" s="282"/>
      <c r="AQ234" s="282"/>
      <c r="AR234" s="282"/>
      <c r="AS234" s="282"/>
      <c r="AT234" s="282"/>
      <c r="AU234" s="282"/>
      <c r="AV234" s="282"/>
      <c r="AW234" s="282"/>
      <c r="AX234" s="282"/>
      <c r="AY234" s="282"/>
      <c r="AZ234" s="282"/>
      <c r="BA234" s="282"/>
      <c r="BB234" s="282"/>
      <c r="BC234" s="282"/>
      <c r="BD234" s="282"/>
      <c r="BE234" s="282"/>
      <c r="BF234" s="282"/>
      <c r="BG234" s="282"/>
      <c r="BH234" s="282"/>
      <c r="BI234" s="282"/>
      <c r="BJ234" s="282"/>
      <c r="BK234" s="282"/>
      <c r="BL234" s="282"/>
      <c r="BM234" s="282"/>
      <c r="BN234" s="282"/>
      <c r="BO234" s="282"/>
      <c r="BP234" s="282"/>
      <c r="BQ234" s="282"/>
      <c r="BR234" s="282"/>
      <c r="BS234" s="282"/>
      <c r="BT234" s="282"/>
      <c r="BU234" s="282"/>
      <c r="BV234" s="282"/>
      <c r="BW234" s="282"/>
      <c r="BX234" s="282"/>
      <c r="BY234" s="282"/>
    </row>
    <row r="235" spans="1:77" s="227" customFormat="1" ht="21.75" customHeight="1" x14ac:dyDescent="0.3">
      <c r="A235" s="268">
        <v>235</v>
      </c>
      <c r="B235" s="269">
        <v>41821</v>
      </c>
      <c r="C235" s="270">
        <v>12881037</v>
      </c>
      <c r="D235" s="271" t="s">
        <v>616</v>
      </c>
      <c r="E235" s="271"/>
      <c r="F235" s="272" t="s">
        <v>682</v>
      </c>
      <c r="G235" s="272" t="s">
        <v>680</v>
      </c>
      <c r="H235" s="268">
        <v>4142826369</v>
      </c>
      <c r="I235" s="273">
        <v>10500</v>
      </c>
      <c r="J235" s="273">
        <v>10500</v>
      </c>
      <c r="K235" s="268"/>
      <c r="L235" s="268"/>
      <c r="M235" s="268"/>
      <c r="N235" s="268"/>
      <c r="O235" s="268"/>
      <c r="P235" s="268"/>
      <c r="Q235" s="268"/>
      <c r="R235" s="268"/>
      <c r="S235" s="268"/>
      <c r="T235" s="273"/>
      <c r="U235" s="273"/>
      <c r="V235" s="273"/>
      <c r="W235" s="273"/>
      <c r="X235" s="273"/>
      <c r="Y235" s="121"/>
      <c r="Z235" s="121"/>
      <c r="AA235" s="273"/>
      <c r="AB235" s="273"/>
      <c r="AC235" s="273"/>
      <c r="AD235" s="273"/>
      <c r="AE235" s="273"/>
      <c r="AF235" s="273"/>
      <c r="AG235" s="278"/>
      <c r="AH235" s="278"/>
      <c r="AI235" s="282"/>
      <c r="AJ235" s="282"/>
      <c r="AK235" s="282"/>
      <c r="AL235" s="282"/>
      <c r="AM235" s="282"/>
      <c r="AN235" s="282"/>
      <c r="AO235" s="282"/>
      <c r="AP235" s="282"/>
      <c r="AQ235" s="282"/>
      <c r="AR235" s="282"/>
      <c r="AS235" s="282"/>
      <c r="AT235" s="282"/>
      <c r="AU235" s="282"/>
      <c r="AV235" s="282"/>
      <c r="AW235" s="282"/>
      <c r="AX235" s="282"/>
      <c r="AY235" s="282"/>
      <c r="AZ235" s="282"/>
      <c r="BA235" s="282"/>
      <c r="BB235" s="282"/>
      <c r="BC235" s="282"/>
      <c r="BD235" s="282"/>
      <c r="BE235" s="282"/>
      <c r="BF235" s="282"/>
      <c r="BG235" s="282"/>
      <c r="BH235" s="282"/>
      <c r="BI235" s="282"/>
      <c r="BJ235" s="282"/>
      <c r="BK235" s="282"/>
      <c r="BL235" s="282"/>
      <c r="BM235" s="282"/>
      <c r="BN235" s="282"/>
      <c r="BO235" s="282"/>
      <c r="BP235" s="282"/>
      <c r="BQ235" s="282"/>
      <c r="BR235" s="282"/>
      <c r="BS235" s="282"/>
      <c r="BT235" s="282"/>
      <c r="BU235" s="282"/>
      <c r="BV235" s="282"/>
      <c r="BW235" s="282"/>
      <c r="BX235" s="282"/>
      <c r="BY235" s="282"/>
    </row>
    <row r="236" spans="1:77" s="227" customFormat="1" ht="21.75" customHeight="1" x14ac:dyDescent="0.3">
      <c r="A236" s="268">
        <v>236</v>
      </c>
      <c r="B236" s="269">
        <v>41822</v>
      </c>
      <c r="C236" s="270">
        <v>81629664</v>
      </c>
      <c r="D236" s="271" t="s">
        <v>617</v>
      </c>
      <c r="E236" s="271"/>
      <c r="F236" s="272" t="s">
        <v>683</v>
      </c>
      <c r="G236" s="272" t="s">
        <v>684</v>
      </c>
      <c r="H236" s="268">
        <v>4143986950</v>
      </c>
      <c r="I236" s="273">
        <v>12500</v>
      </c>
      <c r="J236" s="273">
        <v>12500</v>
      </c>
      <c r="K236" s="268"/>
      <c r="L236" s="268"/>
      <c r="M236" s="268"/>
      <c r="N236" s="268"/>
      <c r="O236" s="268"/>
      <c r="P236" s="268"/>
      <c r="Q236" s="268"/>
      <c r="R236" s="268"/>
      <c r="S236" s="268"/>
      <c r="T236" s="273"/>
      <c r="U236" s="273"/>
      <c r="V236" s="273"/>
      <c r="W236" s="273"/>
      <c r="X236" s="273"/>
      <c r="Y236" s="121"/>
      <c r="Z236" s="121"/>
      <c r="AA236" s="273"/>
      <c r="AB236" s="273"/>
      <c r="AC236" s="273"/>
      <c r="AD236" s="273"/>
      <c r="AE236" s="273"/>
      <c r="AF236" s="273"/>
      <c r="AG236" s="278"/>
      <c r="AH236" s="278"/>
      <c r="AI236" s="282"/>
      <c r="AJ236" s="282"/>
      <c r="AK236" s="282"/>
      <c r="AL236" s="282"/>
      <c r="AM236" s="282"/>
      <c r="AN236" s="282"/>
      <c r="AO236" s="282"/>
      <c r="AP236" s="282"/>
      <c r="AQ236" s="282"/>
      <c r="AR236" s="282"/>
      <c r="AS236" s="282"/>
      <c r="AT236" s="282"/>
      <c r="AU236" s="282"/>
      <c r="AV236" s="282"/>
      <c r="AW236" s="282"/>
      <c r="AX236" s="282"/>
      <c r="AY236" s="282"/>
      <c r="AZ236" s="282"/>
      <c r="BA236" s="282"/>
      <c r="BB236" s="282"/>
      <c r="BC236" s="282"/>
      <c r="BD236" s="282"/>
      <c r="BE236" s="282"/>
      <c r="BF236" s="282"/>
      <c r="BG236" s="282"/>
      <c r="BH236" s="282"/>
      <c r="BI236" s="282"/>
      <c r="BJ236" s="282"/>
      <c r="BK236" s="282"/>
      <c r="BL236" s="282"/>
      <c r="BM236" s="282"/>
      <c r="BN236" s="282"/>
      <c r="BO236" s="282"/>
      <c r="BP236" s="282"/>
      <c r="BQ236" s="282"/>
      <c r="BR236" s="282"/>
      <c r="BS236" s="282"/>
      <c r="BT236" s="282"/>
      <c r="BU236" s="282"/>
      <c r="BV236" s="282"/>
      <c r="BW236" s="282"/>
      <c r="BX236" s="282"/>
      <c r="BY236" s="282"/>
    </row>
    <row r="237" spans="1:77" s="227" customFormat="1" ht="21.75" customHeight="1" x14ac:dyDescent="0.3">
      <c r="A237" s="268">
        <v>237</v>
      </c>
      <c r="B237" s="269">
        <v>41822</v>
      </c>
      <c r="C237" s="270">
        <v>17753636</v>
      </c>
      <c r="D237" s="271" t="s">
        <v>618</v>
      </c>
      <c r="E237" s="271"/>
      <c r="F237" s="272" t="s">
        <v>685</v>
      </c>
      <c r="G237" s="272" t="s">
        <v>686</v>
      </c>
      <c r="H237" s="268">
        <v>4146858791</v>
      </c>
      <c r="I237" s="273">
        <v>13000</v>
      </c>
      <c r="J237" s="273">
        <v>13000</v>
      </c>
      <c r="K237" s="268"/>
      <c r="L237" s="268"/>
      <c r="M237" s="268"/>
      <c r="N237" s="268"/>
      <c r="O237" s="268"/>
      <c r="P237" s="268"/>
      <c r="Q237" s="268"/>
      <c r="R237" s="268"/>
      <c r="S237" s="268"/>
      <c r="T237" s="273"/>
      <c r="U237" s="273"/>
      <c r="V237" s="273"/>
      <c r="W237" s="273"/>
      <c r="X237" s="273"/>
      <c r="Y237" s="121"/>
      <c r="Z237" s="121"/>
      <c r="AA237" s="273"/>
      <c r="AB237" s="273"/>
      <c r="AC237" s="273"/>
      <c r="AD237" s="273"/>
      <c r="AE237" s="273"/>
      <c r="AF237" s="273"/>
      <c r="AG237" s="278"/>
      <c r="AH237" s="278"/>
      <c r="AI237" s="282"/>
      <c r="AJ237" s="282"/>
      <c r="AK237" s="282"/>
      <c r="AL237" s="282"/>
      <c r="AM237" s="282"/>
      <c r="AN237" s="282"/>
      <c r="AO237" s="282"/>
      <c r="AP237" s="282"/>
      <c r="AQ237" s="282"/>
      <c r="AR237" s="282"/>
      <c r="AS237" s="282"/>
      <c r="AT237" s="282"/>
      <c r="AU237" s="282"/>
      <c r="AV237" s="282"/>
      <c r="AW237" s="282"/>
      <c r="AX237" s="282"/>
      <c r="AY237" s="282"/>
      <c r="AZ237" s="282"/>
      <c r="BA237" s="282"/>
      <c r="BB237" s="282"/>
      <c r="BC237" s="282"/>
      <c r="BD237" s="282"/>
      <c r="BE237" s="282"/>
      <c r="BF237" s="282"/>
      <c r="BG237" s="282"/>
      <c r="BH237" s="282"/>
      <c r="BI237" s="282"/>
      <c r="BJ237" s="282"/>
      <c r="BK237" s="282"/>
      <c r="BL237" s="282"/>
      <c r="BM237" s="282"/>
      <c r="BN237" s="282"/>
      <c r="BO237" s="282"/>
      <c r="BP237" s="282"/>
      <c r="BQ237" s="282"/>
      <c r="BR237" s="282"/>
      <c r="BS237" s="282"/>
      <c r="BT237" s="282"/>
      <c r="BU237" s="282"/>
      <c r="BV237" s="282"/>
      <c r="BW237" s="282"/>
      <c r="BX237" s="282"/>
      <c r="BY237" s="282"/>
    </row>
    <row r="238" spans="1:77" s="227" customFormat="1" ht="21.75" customHeight="1" x14ac:dyDescent="0.3">
      <c r="A238" s="268">
        <v>238</v>
      </c>
      <c r="B238" s="269">
        <v>41823</v>
      </c>
      <c r="C238" s="270">
        <v>19671035</v>
      </c>
      <c r="D238" s="271" t="s">
        <v>619</v>
      </c>
      <c r="E238" s="271"/>
      <c r="F238" s="272" t="s">
        <v>688</v>
      </c>
      <c r="G238" s="272" t="s">
        <v>689</v>
      </c>
      <c r="H238" s="268">
        <v>4142344847</v>
      </c>
      <c r="I238" s="273">
        <v>14500</v>
      </c>
      <c r="J238" s="273">
        <v>14500</v>
      </c>
      <c r="K238" s="268"/>
      <c r="L238" s="268"/>
      <c r="M238" s="268"/>
      <c r="N238" s="268"/>
      <c r="O238" s="268"/>
      <c r="P238" s="268"/>
      <c r="Q238" s="268"/>
      <c r="R238" s="268"/>
      <c r="S238" s="268"/>
      <c r="T238" s="273"/>
      <c r="U238" s="273"/>
      <c r="V238" s="273"/>
      <c r="W238" s="273"/>
      <c r="X238" s="273"/>
      <c r="Y238" s="121"/>
      <c r="Z238" s="121"/>
      <c r="AA238" s="273"/>
      <c r="AB238" s="273"/>
      <c r="AC238" s="273"/>
      <c r="AD238" s="273"/>
      <c r="AE238" s="273"/>
      <c r="AF238" s="273"/>
      <c r="AG238" s="278"/>
      <c r="AH238" s="278"/>
      <c r="AI238" s="282"/>
      <c r="AJ238" s="282"/>
      <c r="AK238" s="282"/>
      <c r="AL238" s="282"/>
      <c r="AM238" s="282"/>
      <c r="AN238" s="282"/>
      <c r="AO238" s="282"/>
      <c r="AP238" s="282"/>
      <c r="AQ238" s="282"/>
      <c r="AR238" s="282"/>
      <c r="AS238" s="282"/>
      <c r="AT238" s="282"/>
      <c r="AU238" s="282"/>
      <c r="AV238" s="282"/>
      <c r="AW238" s="282"/>
      <c r="AX238" s="282"/>
      <c r="AY238" s="282"/>
      <c r="AZ238" s="282"/>
      <c r="BA238" s="282"/>
      <c r="BB238" s="282"/>
      <c r="BC238" s="282"/>
      <c r="BD238" s="282"/>
      <c r="BE238" s="282"/>
      <c r="BF238" s="282"/>
      <c r="BG238" s="282"/>
      <c r="BH238" s="282"/>
      <c r="BI238" s="282"/>
      <c r="BJ238" s="282"/>
      <c r="BK238" s="282"/>
      <c r="BL238" s="282"/>
      <c r="BM238" s="282"/>
      <c r="BN238" s="282"/>
      <c r="BO238" s="282"/>
      <c r="BP238" s="282"/>
      <c r="BQ238" s="282"/>
      <c r="BR238" s="282"/>
      <c r="BS238" s="282"/>
      <c r="BT238" s="282"/>
      <c r="BU238" s="282"/>
      <c r="BV238" s="282"/>
      <c r="BW238" s="282"/>
      <c r="BX238" s="282"/>
      <c r="BY238" s="282"/>
    </row>
    <row r="239" spans="1:77" s="227" customFormat="1" ht="21.75" customHeight="1" x14ac:dyDescent="0.3">
      <c r="A239" s="268">
        <v>239</v>
      </c>
      <c r="B239" s="269">
        <v>41823</v>
      </c>
      <c r="C239" s="270">
        <v>11918529</v>
      </c>
      <c r="D239" s="271" t="s">
        <v>620</v>
      </c>
      <c r="E239" s="271"/>
      <c r="F239" s="272" t="s">
        <v>691</v>
      </c>
      <c r="G239" s="272" t="s">
        <v>690</v>
      </c>
      <c r="H239" s="268">
        <v>4141124595</v>
      </c>
      <c r="I239" s="273">
        <v>12500</v>
      </c>
      <c r="J239" s="273">
        <v>12500</v>
      </c>
      <c r="K239" s="268"/>
      <c r="L239" s="268"/>
      <c r="M239" s="268"/>
      <c r="N239" s="268"/>
      <c r="O239" s="268"/>
      <c r="P239" s="268"/>
      <c r="Q239" s="268"/>
      <c r="R239" s="268"/>
      <c r="S239" s="268"/>
      <c r="T239" s="273"/>
      <c r="U239" s="273"/>
      <c r="V239" s="273"/>
      <c r="W239" s="273"/>
      <c r="X239" s="273"/>
      <c r="Y239" s="121"/>
      <c r="Z239" s="121"/>
      <c r="AA239" s="273"/>
      <c r="AB239" s="273"/>
      <c r="AC239" s="273"/>
      <c r="AD239" s="273"/>
      <c r="AE239" s="273"/>
      <c r="AF239" s="273"/>
      <c r="AG239" s="278"/>
      <c r="AH239" s="278"/>
      <c r="AI239" s="282"/>
      <c r="AJ239" s="282"/>
      <c r="AK239" s="282"/>
      <c r="AL239" s="282"/>
      <c r="AM239" s="282"/>
      <c r="AN239" s="282"/>
      <c r="AO239" s="282"/>
      <c r="AP239" s="282"/>
      <c r="AQ239" s="282"/>
      <c r="AR239" s="282"/>
      <c r="AS239" s="282"/>
      <c r="AT239" s="282"/>
      <c r="AU239" s="282"/>
      <c r="AV239" s="282"/>
      <c r="AW239" s="282"/>
      <c r="AX239" s="282"/>
      <c r="AY239" s="282"/>
      <c r="AZ239" s="282"/>
      <c r="BA239" s="282"/>
      <c r="BB239" s="282"/>
      <c r="BC239" s="282"/>
      <c r="BD239" s="282"/>
      <c r="BE239" s="282"/>
      <c r="BF239" s="282"/>
      <c r="BG239" s="282"/>
      <c r="BH239" s="282"/>
      <c r="BI239" s="282"/>
      <c r="BJ239" s="282"/>
      <c r="BK239" s="282"/>
      <c r="BL239" s="282"/>
      <c r="BM239" s="282"/>
      <c r="BN239" s="282"/>
      <c r="BO239" s="282"/>
      <c r="BP239" s="282"/>
      <c r="BQ239" s="282"/>
      <c r="BR239" s="282"/>
      <c r="BS239" s="282"/>
      <c r="BT239" s="282"/>
      <c r="BU239" s="282"/>
      <c r="BV239" s="282"/>
      <c r="BW239" s="282"/>
      <c r="BX239" s="282"/>
      <c r="BY239" s="282"/>
    </row>
    <row r="240" spans="1:77" s="227" customFormat="1" ht="21.75" customHeight="1" x14ac:dyDescent="0.3">
      <c r="A240" s="268">
        <v>240</v>
      </c>
      <c r="B240" s="269">
        <v>41768</v>
      </c>
      <c r="C240" s="270">
        <v>6259431</v>
      </c>
      <c r="D240" s="271" t="s">
        <v>621</v>
      </c>
      <c r="E240" s="271"/>
      <c r="F240" s="272" t="s">
        <v>692</v>
      </c>
      <c r="G240" s="272" t="s">
        <v>693</v>
      </c>
      <c r="H240" s="268">
        <v>4241864082</v>
      </c>
      <c r="I240" s="273">
        <v>10500</v>
      </c>
      <c r="J240" s="273">
        <v>10500</v>
      </c>
      <c r="K240" s="268"/>
      <c r="L240" s="268"/>
      <c r="M240" s="268"/>
      <c r="N240" s="268"/>
      <c r="O240" s="268"/>
      <c r="P240" s="268"/>
      <c r="Q240" s="268"/>
      <c r="R240" s="268"/>
      <c r="S240" s="268"/>
      <c r="T240" s="273"/>
      <c r="U240" s="273"/>
      <c r="V240" s="273"/>
      <c r="W240" s="273"/>
      <c r="X240" s="273"/>
      <c r="Y240" s="121"/>
      <c r="Z240" s="121"/>
      <c r="AA240" s="273"/>
      <c r="AB240" s="273"/>
      <c r="AC240" s="273"/>
      <c r="AD240" s="273"/>
      <c r="AE240" s="273"/>
      <c r="AF240" s="273"/>
      <c r="AG240" s="278"/>
      <c r="AH240" s="278"/>
      <c r="AI240" s="282"/>
      <c r="AJ240" s="282"/>
      <c r="AK240" s="282"/>
      <c r="AL240" s="282"/>
      <c r="AM240" s="282"/>
      <c r="AN240" s="282"/>
      <c r="AO240" s="282"/>
      <c r="AP240" s="282"/>
      <c r="AQ240" s="282"/>
      <c r="AR240" s="282"/>
      <c r="AS240" s="282"/>
      <c r="AT240" s="282"/>
      <c r="AU240" s="282"/>
      <c r="AV240" s="282"/>
      <c r="AW240" s="282"/>
      <c r="AX240" s="282"/>
      <c r="AY240" s="282"/>
      <c r="AZ240" s="282"/>
      <c r="BA240" s="282"/>
      <c r="BB240" s="282"/>
      <c r="BC240" s="282"/>
      <c r="BD240" s="282"/>
      <c r="BE240" s="282"/>
      <c r="BF240" s="282"/>
      <c r="BG240" s="282"/>
      <c r="BH240" s="282"/>
      <c r="BI240" s="282"/>
      <c r="BJ240" s="282"/>
      <c r="BK240" s="282"/>
      <c r="BL240" s="282"/>
      <c r="BM240" s="282"/>
      <c r="BN240" s="282"/>
      <c r="BO240" s="282"/>
      <c r="BP240" s="282"/>
      <c r="BQ240" s="282"/>
      <c r="BR240" s="282"/>
      <c r="BS240" s="282"/>
      <c r="BT240" s="282"/>
      <c r="BU240" s="282"/>
      <c r="BV240" s="282"/>
      <c r="BW240" s="282"/>
      <c r="BX240" s="282"/>
      <c r="BY240" s="282"/>
    </row>
    <row r="241" spans="1:80" s="227" customFormat="1" ht="21.75" customHeight="1" x14ac:dyDescent="0.3">
      <c r="A241" s="268">
        <v>241</v>
      </c>
      <c r="B241" s="269">
        <v>41824</v>
      </c>
      <c r="C241" s="270">
        <v>9882600</v>
      </c>
      <c r="D241" s="271" t="s">
        <v>622</v>
      </c>
      <c r="E241" s="271"/>
      <c r="F241" s="272" t="s">
        <v>694</v>
      </c>
      <c r="G241" s="272" t="s">
        <v>696</v>
      </c>
      <c r="H241" s="268">
        <v>4141235953</v>
      </c>
      <c r="I241" s="273">
        <v>13000</v>
      </c>
      <c r="J241" s="273">
        <v>13000</v>
      </c>
      <c r="K241" s="268"/>
      <c r="L241" s="268"/>
      <c r="M241" s="268"/>
      <c r="N241" s="268"/>
      <c r="O241" s="268"/>
      <c r="P241" s="268"/>
      <c r="Q241" s="268"/>
      <c r="R241" s="268"/>
      <c r="S241" s="268"/>
      <c r="T241" s="273"/>
      <c r="U241" s="273"/>
      <c r="V241" s="273"/>
      <c r="W241" s="273"/>
      <c r="X241" s="273"/>
      <c r="Y241" s="121"/>
      <c r="Z241" s="121"/>
      <c r="AA241" s="273"/>
      <c r="AB241" s="273"/>
      <c r="AC241" s="273"/>
      <c r="AD241" s="273"/>
      <c r="AE241" s="273"/>
      <c r="AF241" s="273"/>
      <c r="AG241" s="278"/>
      <c r="AH241" s="278"/>
      <c r="AI241" s="282"/>
      <c r="AJ241" s="282"/>
      <c r="AK241" s="282"/>
      <c r="AL241" s="282"/>
      <c r="AM241" s="282"/>
      <c r="AN241" s="282"/>
      <c r="AO241" s="282"/>
      <c r="AP241" s="282"/>
      <c r="AQ241" s="282"/>
      <c r="AR241" s="282"/>
      <c r="AS241" s="282"/>
      <c r="AT241" s="282"/>
      <c r="AU241" s="282"/>
      <c r="AV241" s="282"/>
      <c r="AW241" s="282"/>
      <c r="AX241" s="282"/>
      <c r="AY241" s="282"/>
      <c r="AZ241" s="282"/>
      <c r="BA241" s="282"/>
      <c r="BB241" s="282"/>
      <c r="BC241" s="282"/>
      <c r="BD241" s="282"/>
      <c r="BE241" s="282"/>
      <c r="BF241" s="282"/>
      <c r="BG241" s="282"/>
      <c r="BH241" s="282"/>
      <c r="BI241" s="282"/>
      <c r="BJ241" s="282"/>
      <c r="BK241" s="282"/>
      <c r="BL241" s="282"/>
      <c r="BM241" s="282"/>
      <c r="BN241" s="282"/>
      <c r="BO241" s="282"/>
      <c r="BP241" s="282"/>
      <c r="BQ241" s="282"/>
      <c r="BR241" s="282"/>
      <c r="BS241" s="282"/>
      <c r="BT241" s="282"/>
      <c r="BU241" s="282"/>
      <c r="BV241" s="282"/>
      <c r="BW241" s="282"/>
      <c r="BX241" s="282"/>
      <c r="BY241" s="282"/>
    </row>
    <row r="242" spans="1:80" s="227" customFormat="1" ht="21.75" customHeight="1" x14ac:dyDescent="0.3">
      <c r="A242" s="268">
        <v>242</v>
      </c>
      <c r="B242" s="269">
        <v>41824</v>
      </c>
      <c r="C242" s="270">
        <v>9882600</v>
      </c>
      <c r="D242" s="271" t="s">
        <v>623</v>
      </c>
      <c r="E242" s="271"/>
      <c r="F242" s="272" t="s">
        <v>695</v>
      </c>
      <c r="G242" s="272" t="s">
        <v>696</v>
      </c>
      <c r="H242" s="268">
        <v>4141235953</v>
      </c>
      <c r="I242" s="273">
        <v>13000</v>
      </c>
      <c r="J242" s="273">
        <v>13000</v>
      </c>
      <c r="K242" s="268"/>
      <c r="L242" s="268"/>
      <c r="M242" s="268"/>
      <c r="N242" s="268"/>
      <c r="O242" s="268"/>
      <c r="P242" s="268"/>
      <c r="Q242" s="268"/>
      <c r="R242" s="268"/>
      <c r="S242" s="268"/>
      <c r="T242" s="273"/>
      <c r="U242" s="273"/>
      <c r="V242" s="273"/>
      <c r="W242" s="273"/>
      <c r="X242" s="273"/>
      <c r="Y242" s="121"/>
      <c r="Z242" s="121"/>
      <c r="AA242" s="273"/>
      <c r="AB242" s="273"/>
      <c r="AC242" s="273"/>
      <c r="AD242" s="273"/>
      <c r="AE242" s="273"/>
      <c r="AF242" s="273"/>
      <c r="AG242" s="278"/>
      <c r="AH242" s="278"/>
      <c r="AI242" s="282"/>
      <c r="AJ242" s="282"/>
      <c r="AK242" s="282"/>
      <c r="AL242" s="282"/>
      <c r="AM242" s="282"/>
      <c r="AN242" s="282"/>
      <c r="AO242" s="282"/>
      <c r="AP242" s="282"/>
      <c r="AQ242" s="282"/>
      <c r="AR242" s="282"/>
      <c r="AS242" s="282"/>
      <c r="AT242" s="282"/>
      <c r="AU242" s="282"/>
      <c r="AV242" s="282"/>
      <c r="AW242" s="282"/>
      <c r="AX242" s="282"/>
      <c r="AY242" s="282"/>
      <c r="AZ242" s="282"/>
      <c r="BA242" s="282"/>
      <c r="BB242" s="282"/>
      <c r="BC242" s="282"/>
      <c r="BD242" s="282"/>
      <c r="BE242" s="282"/>
      <c r="BF242" s="282"/>
      <c r="BG242" s="282"/>
      <c r="BH242" s="282"/>
      <c r="BI242" s="282"/>
      <c r="BJ242" s="282"/>
      <c r="BK242" s="282"/>
      <c r="BL242" s="282"/>
      <c r="BM242" s="282"/>
      <c r="BN242" s="282"/>
      <c r="BO242" s="282"/>
      <c r="BP242" s="282"/>
      <c r="BQ242" s="282"/>
      <c r="BR242" s="282"/>
      <c r="BS242" s="282"/>
      <c r="BT242" s="282"/>
      <c r="BU242" s="282"/>
      <c r="BV242" s="282"/>
      <c r="BW242" s="282"/>
      <c r="BX242" s="282"/>
      <c r="BY242" s="282"/>
    </row>
    <row r="243" spans="1:80" s="279" customFormat="1" ht="21.75" customHeight="1" x14ac:dyDescent="0.3">
      <c r="A243" s="268">
        <v>243</v>
      </c>
      <c r="B243" s="269">
        <v>41824</v>
      </c>
      <c r="C243" s="270">
        <v>81695665</v>
      </c>
      <c r="D243" s="271" t="s">
        <v>624</v>
      </c>
      <c r="E243" s="271"/>
      <c r="F243" s="272" t="s">
        <v>697</v>
      </c>
      <c r="G243" s="272" t="s">
        <v>698</v>
      </c>
      <c r="H243" s="268">
        <v>4242845430</v>
      </c>
      <c r="I243" s="273">
        <v>14500</v>
      </c>
      <c r="J243" s="273">
        <v>14500</v>
      </c>
      <c r="K243" s="268"/>
      <c r="L243" s="268"/>
      <c r="M243" s="268"/>
      <c r="N243" s="268"/>
      <c r="O243" s="268"/>
      <c r="P243" s="268"/>
      <c r="Q243" s="268"/>
      <c r="R243" s="268"/>
      <c r="S243" s="268"/>
      <c r="T243" s="273"/>
      <c r="U243" s="273"/>
      <c r="V243" s="273"/>
      <c r="W243" s="273"/>
      <c r="X243" s="273"/>
      <c r="Y243" s="121"/>
      <c r="Z243" s="121"/>
      <c r="AA243" s="273"/>
      <c r="AB243" s="273"/>
      <c r="AC243" s="273"/>
      <c r="AD243" s="273"/>
      <c r="AE243" s="273"/>
      <c r="AF243" s="273"/>
      <c r="AG243" s="278"/>
      <c r="AH243" s="278"/>
      <c r="AI243" s="282"/>
      <c r="AJ243" s="282"/>
      <c r="AK243" s="282"/>
      <c r="AL243" s="282"/>
      <c r="AM243" s="282"/>
      <c r="AN243" s="282"/>
      <c r="AO243" s="282"/>
      <c r="AP243" s="282"/>
      <c r="AQ243" s="282"/>
      <c r="AR243" s="282"/>
      <c r="AS243" s="282"/>
      <c r="AT243" s="282"/>
      <c r="AU243" s="282"/>
      <c r="AV243" s="282"/>
      <c r="AW243" s="282"/>
      <c r="AX243" s="282"/>
      <c r="AY243" s="282"/>
      <c r="AZ243" s="282"/>
      <c r="BA243" s="282"/>
      <c r="BB243" s="282"/>
      <c r="BC243" s="282"/>
      <c r="BD243" s="282"/>
      <c r="BE243" s="282"/>
      <c r="BF243" s="282"/>
      <c r="BG243" s="282"/>
      <c r="BH243" s="282"/>
      <c r="BI243" s="282"/>
      <c r="BJ243" s="282"/>
      <c r="BK243" s="282"/>
      <c r="BL243" s="282"/>
      <c r="BM243" s="282"/>
      <c r="BN243" s="282"/>
      <c r="BO243" s="282"/>
      <c r="BP243" s="282"/>
      <c r="BQ243" s="282"/>
      <c r="BR243" s="282"/>
      <c r="BS243" s="282"/>
      <c r="BT243" s="282"/>
      <c r="BU243" s="282"/>
      <c r="BV243" s="282"/>
      <c r="BW243" s="282"/>
      <c r="BX243" s="282"/>
      <c r="BY243" s="282"/>
    </row>
    <row r="244" spans="1:80" s="279" customFormat="1" ht="21.75" customHeight="1" x14ac:dyDescent="0.3">
      <c r="A244" s="268">
        <v>244</v>
      </c>
      <c r="B244" s="269">
        <v>41837</v>
      </c>
      <c r="C244" s="270">
        <v>11071767</v>
      </c>
      <c r="D244" s="271" t="s">
        <v>625</v>
      </c>
      <c r="E244" s="271"/>
      <c r="F244" s="272" t="s">
        <v>718</v>
      </c>
      <c r="G244" s="272" t="s">
        <v>438</v>
      </c>
      <c r="H244" s="268">
        <v>4242421235</v>
      </c>
      <c r="I244" s="273">
        <v>12500</v>
      </c>
      <c r="J244" s="273">
        <v>12500</v>
      </c>
      <c r="K244" s="268"/>
      <c r="L244" s="268"/>
      <c r="M244" s="268"/>
      <c r="N244" s="268"/>
      <c r="O244" s="268"/>
      <c r="P244" s="268"/>
      <c r="Q244" s="268"/>
      <c r="R244" s="268"/>
      <c r="S244" s="268"/>
      <c r="T244" s="273"/>
      <c r="U244" s="273"/>
      <c r="V244" s="273"/>
      <c r="W244" s="273"/>
      <c r="X244" s="273"/>
      <c r="Y244" s="121"/>
      <c r="Z244" s="121"/>
      <c r="AA244" s="273"/>
      <c r="AB244" s="273"/>
      <c r="AC244" s="273"/>
      <c r="AD244" s="273"/>
      <c r="AE244" s="273"/>
      <c r="AF244" s="273"/>
      <c r="AG244" s="278"/>
      <c r="AH244" s="278"/>
      <c r="AI244" s="282"/>
      <c r="AJ244" s="282"/>
      <c r="AK244" s="282"/>
      <c r="AL244" s="282"/>
      <c r="AM244" s="282"/>
      <c r="AN244" s="282"/>
      <c r="AO244" s="282"/>
      <c r="AP244" s="282"/>
      <c r="AQ244" s="282"/>
      <c r="AR244" s="282"/>
      <c r="AS244" s="282"/>
      <c r="AT244" s="282"/>
      <c r="AU244" s="282"/>
      <c r="AV244" s="282"/>
      <c r="AW244" s="282"/>
      <c r="AX244" s="282"/>
      <c r="AY244" s="282"/>
      <c r="AZ244" s="282"/>
      <c r="BA244" s="282"/>
      <c r="BB244" s="282"/>
      <c r="BC244" s="282"/>
      <c r="BD244" s="282"/>
      <c r="BE244" s="282"/>
      <c r="BF244" s="282"/>
      <c r="BG244" s="282"/>
      <c r="BH244" s="282"/>
      <c r="BI244" s="282"/>
      <c r="BJ244" s="282"/>
      <c r="BK244" s="282"/>
      <c r="BL244" s="282"/>
      <c r="BM244" s="282"/>
      <c r="BN244" s="282"/>
      <c r="BO244" s="282"/>
      <c r="BP244" s="282"/>
      <c r="BQ244" s="282"/>
      <c r="BR244" s="282"/>
      <c r="BS244" s="282"/>
      <c r="BT244" s="282"/>
      <c r="BU244" s="282"/>
      <c r="BV244" s="282"/>
      <c r="BW244" s="282"/>
      <c r="BX244" s="282"/>
      <c r="BY244" s="282"/>
    </row>
    <row r="245" spans="1:80" s="279" customFormat="1" ht="21.75" customHeight="1" x14ac:dyDescent="0.3">
      <c r="A245" s="268">
        <v>245</v>
      </c>
      <c r="B245" s="269">
        <v>41827</v>
      </c>
      <c r="C245" s="270">
        <v>2158038</v>
      </c>
      <c r="D245" s="271" t="s">
        <v>626</v>
      </c>
      <c r="E245" s="271"/>
      <c r="F245" s="272" t="s">
        <v>699</v>
      </c>
      <c r="G245" s="272" t="s">
        <v>700</v>
      </c>
      <c r="H245" s="268">
        <v>4241824065</v>
      </c>
      <c r="I245" s="273">
        <v>13000</v>
      </c>
      <c r="J245" s="273">
        <v>13000</v>
      </c>
      <c r="K245" s="268"/>
      <c r="L245" s="268"/>
      <c r="M245" s="268"/>
      <c r="N245" s="268"/>
      <c r="O245" s="268"/>
      <c r="P245" s="268"/>
      <c r="Q245" s="268"/>
      <c r="R245" s="268"/>
      <c r="S245" s="268"/>
      <c r="T245" s="273"/>
      <c r="U245" s="273"/>
      <c r="V245" s="273"/>
      <c r="W245" s="273"/>
      <c r="X245" s="273"/>
      <c r="Y245" s="121"/>
      <c r="Z245" s="121"/>
      <c r="AA245" s="273"/>
      <c r="AB245" s="273"/>
      <c r="AC245" s="273"/>
      <c r="AD245" s="273"/>
      <c r="AE245" s="273"/>
      <c r="AF245" s="273"/>
      <c r="AG245" s="278"/>
      <c r="AH245" s="278"/>
      <c r="AI245" s="282"/>
      <c r="AJ245" s="282"/>
      <c r="AK245" s="282"/>
      <c r="AL245" s="282"/>
      <c r="AM245" s="282"/>
      <c r="AN245" s="282"/>
      <c r="AO245" s="282"/>
      <c r="AP245" s="282"/>
      <c r="AQ245" s="282"/>
      <c r="AR245" s="282"/>
      <c r="AS245" s="282"/>
      <c r="AT245" s="282"/>
      <c r="AU245" s="282"/>
      <c r="AV245" s="282"/>
      <c r="AW245" s="282"/>
      <c r="AX245" s="282"/>
      <c r="AY245" s="282"/>
      <c r="AZ245" s="282"/>
      <c r="BA245" s="282"/>
      <c r="BB245" s="282"/>
      <c r="BC245" s="282"/>
      <c r="BD245" s="282"/>
      <c r="BE245" s="282"/>
      <c r="BF245" s="282"/>
      <c r="BG245" s="282"/>
      <c r="BH245" s="282"/>
      <c r="BI245" s="282"/>
      <c r="BJ245" s="282"/>
      <c r="BK245" s="282"/>
      <c r="BL245" s="282"/>
      <c r="BM245" s="282"/>
      <c r="BN245" s="282"/>
      <c r="BO245" s="282"/>
      <c r="BP245" s="282"/>
      <c r="BQ245" s="282"/>
      <c r="BR245" s="282"/>
      <c r="BS245" s="282"/>
      <c r="BT245" s="282"/>
      <c r="BU245" s="282"/>
      <c r="BV245" s="282"/>
      <c r="BW245" s="282"/>
      <c r="BX245" s="282"/>
      <c r="BY245" s="282"/>
    </row>
    <row r="246" spans="1:80" s="279" customFormat="1" ht="21.75" customHeight="1" x14ac:dyDescent="0.3">
      <c r="A246" s="268">
        <v>246</v>
      </c>
      <c r="B246" s="269">
        <v>41827</v>
      </c>
      <c r="C246" s="270">
        <v>12640705</v>
      </c>
      <c r="D246" s="271" t="s">
        <v>627</v>
      </c>
      <c r="E246" s="271"/>
      <c r="F246" s="272" t="s">
        <v>701</v>
      </c>
      <c r="G246" s="272" t="s">
        <v>603</v>
      </c>
      <c r="H246" s="268">
        <v>4168311828</v>
      </c>
      <c r="I246" s="273">
        <v>12500</v>
      </c>
      <c r="J246" s="273">
        <v>12500</v>
      </c>
      <c r="K246" s="268"/>
      <c r="L246" s="268"/>
      <c r="M246" s="268"/>
      <c r="N246" s="268"/>
      <c r="O246" s="268"/>
      <c r="P246" s="268"/>
      <c r="Q246" s="268"/>
      <c r="R246" s="268"/>
      <c r="S246" s="268"/>
      <c r="T246" s="273"/>
      <c r="U246" s="273"/>
      <c r="V246" s="273"/>
      <c r="W246" s="273"/>
      <c r="X246" s="273"/>
      <c r="Y246" s="121"/>
      <c r="Z246" s="121"/>
      <c r="AA246" s="273"/>
      <c r="AB246" s="273"/>
      <c r="AC246" s="273"/>
      <c r="AD246" s="273"/>
      <c r="AE246" s="273"/>
      <c r="AF246" s="273"/>
      <c r="AG246" s="278"/>
      <c r="AH246" s="278"/>
      <c r="AI246" s="282"/>
      <c r="AJ246" s="282"/>
      <c r="AK246" s="282"/>
      <c r="AL246" s="282"/>
      <c r="AM246" s="282"/>
      <c r="AN246" s="282"/>
      <c r="AO246" s="282"/>
      <c r="AP246" s="282"/>
      <c r="AQ246" s="282"/>
      <c r="AR246" s="282"/>
      <c r="AS246" s="282"/>
      <c r="AT246" s="282"/>
      <c r="AU246" s="282"/>
      <c r="AV246" s="282"/>
      <c r="AW246" s="282"/>
      <c r="AX246" s="282"/>
      <c r="AY246" s="282"/>
      <c r="AZ246" s="282"/>
      <c r="BA246" s="282"/>
      <c r="BB246" s="282"/>
      <c r="BC246" s="282"/>
      <c r="BD246" s="282"/>
      <c r="BE246" s="282"/>
      <c r="BF246" s="282"/>
      <c r="BG246" s="282"/>
      <c r="BH246" s="282"/>
      <c r="BI246" s="282"/>
      <c r="BJ246" s="282"/>
      <c r="BK246" s="282"/>
      <c r="BL246" s="282"/>
      <c r="BM246" s="282"/>
      <c r="BN246" s="282"/>
      <c r="BO246" s="282"/>
      <c r="BP246" s="282"/>
      <c r="BQ246" s="282"/>
      <c r="BR246" s="282"/>
      <c r="BS246" s="282"/>
      <c r="BT246" s="282"/>
      <c r="BU246" s="282"/>
      <c r="BV246" s="282"/>
      <c r="BW246" s="282"/>
      <c r="BX246" s="282"/>
      <c r="BY246" s="282"/>
    </row>
    <row r="247" spans="1:80" s="279" customFormat="1" ht="21.75" customHeight="1" x14ac:dyDescent="0.3">
      <c r="A247" s="268">
        <v>247</v>
      </c>
      <c r="B247" s="269">
        <v>41829</v>
      </c>
      <c r="C247" s="270">
        <v>11918529</v>
      </c>
      <c r="D247" s="271" t="s">
        <v>628</v>
      </c>
      <c r="E247" s="271"/>
      <c r="F247" s="272" t="s">
        <v>702</v>
      </c>
      <c r="G247" s="272" t="s">
        <v>690</v>
      </c>
      <c r="H247" s="268">
        <v>4141124595</v>
      </c>
      <c r="I247" s="273">
        <v>12500</v>
      </c>
      <c r="J247" s="273">
        <v>12500</v>
      </c>
      <c r="K247" s="268"/>
      <c r="L247" s="268"/>
      <c r="M247" s="268"/>
      <c r="N247" s="268"/>
      <c r="O247" s="268"/>
      <c r="P247" s="268"/>
      <c r="Q247" s="268"/>
      <c r="R247" s="268"/>
      <c r="S247" s="268"/>
      <c r="T247" s="273"/>
      <c r="U247" s="273"/>
      <c r="V247" s="273"/>
      <c r="W247" s="273"/>
      <c r="X247" s="273"/>
      <c r="Y247" s="121"/>
      <c r="Z247" s="121"/>
      <c r="AA247" s="273"/>
      <c r="AB247" s="273"/>
      <c r="AC247" s="273"/>
      <c r="AD247" s="273"/>
      <c r="AE247" s="273"/>
      <c r="AF247" s="273"/>
      <c r="AG247" s="278"/>
      <c r="AH247" s="278"/>
      <c r="AI247" s="282"/>
      <c r="AJ247" s="282"/>
      <c r="AK247" s="282"/>
      <c r="AL247" s="282"/>
      <c r="AM247" s="282"/>
      <c r="AN247" s="282"/>
      <c r="AO247" s="282"/>
      <c r="AP247" s="282"/>
      <c r="AQ247" s="282"/>
      <c r="AR247" s="282"/>
      <c r="AS247" s="282"/>
      <c r="AT247" s="282"/>
      <c r="AU247" s="282"/>
      <c r="AV247" s="282"/>
      <c r="AW247" s="282"/>
      <c r="AX247" s="282"/>
      <c r="AY247" s="282"/>
      <c r="AZ247" s="282"/>
      <c r="BA247" s="282"/>
      <c r="BB247" s="282"/>
      <c r="BC247" s="282"/>
      <c r="BD247" s="282"/>
      <c r="BE247" s="282"/>
      <c r="BF247" s="282"/>
      <c r="BG247" s="282"/>
      <c r="BH247" s="282"/>
      <c r="BI247" s="282"/>
      <c r="BJ247" s="282"/>
      <c r="BK247" s="282"/>
      <c r="BL247" s="282"/>
      <c r="BM247" s="282"/>
      <c r="BN247" s="282"/>
      <c r="BO247" s="282"/>
      <c r="BP247" s="282"/>
      <c r="BQ247" s="282"/>
      <c r="BR247" s="282"/>
      <c r="BS247" s="282"/>
      <c r="BT247" s="282"/>
      <c r="BU247" s="282"/>
      <c r="BV247" s="282"/>
      <c r="BW247" s="282"/>
      <c r="BX247" s="282"/>
      <c r="BY247" s="282"/>
      <c r="BZ247" s="282"/>
      <c r="CA247" s="282"/>
      <c r="CB247" s="282"/>
    </row>
    <row r="248" spans="1:80" s="279" customFormat="1" ht="21.75" customHeight="1" x14ac:dyDescent="0.3">
      <c r="A248" s="268">
        <v>248</v>
      </c>
      <c r="B248" s="269">
        <v>41828</v>
      </c>
      <c r="C248" s="270">
        <v>11199896</v>
      </c>
      <c r="D248" s="271" t="s">
        <v>629</v>
      </c>
      <c r="E248" s="271"/>
      <c r="F248" s="272" t="s">
        <v>703</v>
      </c>
      <c r="G248" s="272" t="s">
        <v>704</v>
      </c>
      <c r="H248" s="268">
        <v>4265115702</v>
      </c>
      <c r="I248" s="273">
        <v>12500</v>
      </c>
      <c r="J248" s="273">
        <v>12500</v>
      </c>
      <c r="K248" s="268"/>
      <c r="L248" s="268"/>
      <c r="M248" s="268"/>
      <c r="N248" s="268"/>
      <c r="O248" s="268"/>
      <c r="P248" s="268"/>
      <c r="Q248" s="268"/>
      <c r="R248" s="268"/>
      <c r="S248" s="268"/>
      <c r="T248" s="273"/>
      <c r="U248" s="273"/>
      <c r="V248" s="273"/>
      <c r="W248" s="273"/>
      <c r="X248" s="273"/>
      <c r="Y248" s="121"/>
      <c r="Z248" s="121"/>
      <c r="AA248" s="273"/>
      <c r="AB248" s="273"/>
      <c r="AC248" s="273"/>
      <c r="AD248" s="273"/>
      <c r="AE248" s="273"/>
      <c r="AF248" s="273"/>
      <c r="AG248" s="278"/>
      <c r="AH248" s="278"/>
      <c r="AI248" s="282"/>
      <c r="AJ248" s="282"/>
      <c r="AK248" s="282"/>
      <c r="AL248" s="282"/>
      <c r="AM248" s="282"/>
      <c r="AN248" s="282"/>
      <c r="AO248" s="282"/>
      <c r="AP248" s="282"/>
      <c r="AQ248" s="282"/>
      <c r="AR248" s="282"/>
      <c r="AS248" s="282"/>
      <c r="AT248" s="282"/>
      <c r="AU248" s="282"/>
      <c r="AV248" s="282"/>
      <c r="AW248" s="282"/>
      <c r="AX248" s="282"/>
      <c r="AY248" s="282"/>
      <c r="AZ248" s="282"/>
      <c r="BA248" s="282"/>
      <c r="BB248" s="282"/>
      <c r="BC248" s="282"/>
      <c r="BD248" s="282"/>
      <c r="BE248" s="282"/>
      <c r="BF248" s="282"/>
      <c r="BG248" s="282"/>
      <c r="BH248" s="282"/>
      <c r="BI248" s="282"/>
      <c r="BJ248" s="282"/>
      <c r="BK248" s="282"/>
      <c r="BL248" s="282"/>
      <c r="BM248" s="282"/>
      <c r="BN248" s="282"/>
      <c r="BO248" s="282"/>
      <c r="BP248" s="282"/>
      <c r="BQ248" s="282"/>
      <c r="BR248" s="282"/>
      <c r="BS248" s="282"/>
      <c r="BT248" s="282"/>
      <c r="BU248" s="282"/>
      <c r="BV248" s="282"/>
      <c r="BW248" s="282"/>
      <c r="BX248" s="282"/>
      <c r="BY248" s="282"/>
    </row>
    <row r="249" spans="1:80" s="279" customFormat="1" ht="21.75" customHeight="1" x14ac:dyDescent="0.3">
      <c r="A249" s="268">
        <v>249</v>
      </c>
      <c r="B249" s="269">
        <v>41828</v>
      </c>
      <c r="C249" s="270">
        <v>15914286</v>
      </c>
      <c r="D249" s="271" t="s">
        <v>630</v>
      </c>
      <c r="E249" s="271"/>
      <c r="F249" s="272" t="s">
        <v>705</v>
      </c>
      <c r="G249" s="272" t="s">
        <v>706</v>
      </c>
      <c r="H249" s="268">
        <v>4127372052</v>
      </c>
      <c r="I249" s="273">
        <v>12500</v>
      </c>
      <c r="J249" s="273">
        <v>12500</v>
      </c>
      <c r="K249" s="268"/>
      <c r="L249" s="268"/>
      <c r="M249" s="268"/>
      <c r="N249" s="268"/>
      <c r="O249" s="268"/>
      <c r="P249" s="268"/>
      <c r="Q249" s="268"/>
      <c r="R249" s="268"/>
      <c r="S249" s="268"/>
      <c r="T249" s="273"/>
      <c r="U249" s="273"/>
      <c r="V249" s="273"/>
      <c r="W249" s="273"/>
      <c r="X249" s="273"/>
      <c r="Y249" s="121"/>
      <c r="Z249" s="121"/>
      <c r="AA249" s="273"/>
      <c r="AB249" s="273"/>
      <c r="AC249" s="273"/>
      <c r="AD249" s="273"/>
      <c r="AE249" s="273"/>
      <c r="AF249" s="273"/>
      <c r="AG249" s="278"/>
      <c r="AH249" s="278"/>
      <c r="AI249" s="282"/>
      <c r="AJ249" s="282"/>
      <c r="AK249" s="282"/>
      <c r="AL249" s="282"/>
      <c r="AM249" s="282"/>
      <c r="AN249" s="282"/>
      <c r="AO249" s="282"/>
      <c r="AP249" s="282"/>
      <c r="AQ249" s="282"/>
      <c r="AR249" s="282"/>
      <c r="AS249" s="282"/>
      <c r="AT249" s="282"/>
      <c r="AU249" s="282"/>
      <c r="AV249" s="282"/>
      <c r="AW249" s="282"/>
      <c r="AX249" s="282"/>
      <c r="AY249" s="282"/>
      <c r="AZ249" s="282"/>
      <c r="BA249" s="282"/>
      <c r="BB249" s="282"/>
      <c r="BC249" s="282"/>
      <c r="BD249" s="282"/>
      <c r="BE249" s="282"/>
      <c r="BF249" s="282"/>
      <c r="BG249" s="282"/>
      <c r="BH249" s="282"/>
      <c r="BI249" s="282"/>
      <c r="BJ249" s="282"/>
      <c r="BK249" s="282"/>
      <c r="BL249" s="282"/>
      <c r="BM249" s="282"/>
      <c r="BN249" s="282"/>
      <c r="BO249" s="282"/>
      <c r="BP249" s="282"/>
      <c r="BQ249" s="282"/>
      <c r="BR249" s="282"/>
      <c r="BS249" s="282"/>
      <c r="BT249" s="282"/>
      <c r="BU249" s="282"/>
      <c r="BV249" s="282"/>
      <c r="BW249" s="282"/>
      <c r="BX249" s="282"/>
      <c r="BY249" s="282"/>
    </row>
    <row r="250" spans="1:80" s="279" customFormat="1" ht="21.75" customHeight="1" x14ac:dyDescent="0.3">
      <c r="A250" s="268">
        <v>250</v>
      </c>
      <c r="B250" s="269">
        <v>41828</v>
      </c>
      <c r="C250" s="270">
        <v>15519799</v>
      </c>
      <c r="D250" s="271" t="s">
        <v>631</v>
      </c>
      <c r="E250" s="271"/>
      <c r="F250" s="272" t="s">
        <v>707</v>
      </c>
      <c r="G250" s="272" t="s">
        <v>708</v>
      </c>
      <c r="H250" s="268">
        <v>4127639293</v>
      </c>
      <c r="I250" s="273">
        <v>12500</v>
      </c>
      <c r="J250" s="273">
        <v>12500</v>
      </c>
      <c r="K250" s="268"/>
      <c r="L250" s="268"/>
      <c r="M250" s="268"/>
      <c r="N250" s="268"/>
      <c r="O250" s="268"/>
      <c r="P250" s="268"/>
      <c r="Q250" s="268"/>
      <c r="R250" s="268"/>
      <c r="S250" s="268"/>
      <c r="T250" s="273"/>
      <c r="U250" s="273"/>
      <c r="V250" s="273"/>
      <c r="W250" s="273"/>
      <c r="X250" s="273"/>
      <c r="Y250" s="121"/>
      <c r="Z250" s="121"/>
      <c r="AA250" s="273"/>
      <c r="AB250" s="273"/>
      <c r="AC250" s="273"/>
      <c r="AD250" s="273"/>
      <c r="AE250" s="273"/>
      <c r="AF250" s="273"/>
      <c r="AG250" s="278"/>
      <c r="AH250" s="278"/>
      <c r="AI250" s="282"/>
      <c r="AJ250" s="282"/>
      <c r="AK250" s="282"/>
      <c r="AL250" s="282"/>
      <c r="AM250" s="282"/>
      <c r="AN250" s="282"/>
      <c r="AO250" s="282"/>
      <c r="AP250" s="282"/>
      <c r="AQ250" s="282"/>
      <c r="AR250" s="282"/>
      <c r="AS250" s="282"/>
      <c r="AT250" s="282"/>
      <c r="AU250" s="282"/>
      <c r="AV250" s="282"/>
      <c r="AW250" s="282"/>
      <c r="AX250" s="282"/>
      <c r="AY250" s="282"/>
      <c r="AZ250" s="282"/>
      <c r="BA250" s="282"/>
      <c r="BB250" s="282"/>
      <c r="BC250" s="282"/>
      <c r="BD250" s="282"/>
      <c r="BE250" s="282"/>
      <c r="BF250" s="282"/>
      <c r="BG250" s="282"/>
      <c r="BH250" s="282"/>
      <c r="BI250" s="282"/>
      <c r="BJ250" s="282"/>
      <c r="BK250" s="282"/>
      <c r="BL250" s="282"/>
      <c r="BM250" s="282"/>
      <c r="BN250" s="282"/>
      <c r="BO250" s="282"/>
      <c r="BP250" s="282"/>
      <c r="BQ250" s="282"/>
      <c r="BR250" s="282"/>
      <c r="BS250" s="282"/>
      <c r="BT250" s="282"/>
      <c r="BU250" s="282"/>
      <c r="BV250" s="282"/>
      <c r="BW250" s="282"/>
      <c r="BX250" s="282"/>
      <c r="BY250" s="282"/>
    </row>
    <row r="251" spans="1:80" s="279" customFormat="1" ht="21.75" customHeight="1" x14ac:dyDescent="0.3">
      <c r="A251" s="268">
        <v>251</v>
      </c>
      <c r="B251" s="269">
        <v>41830</v>
      </c>
      <c r="C251" s="270">
        <v>13909455</v>
      </c>
      <c r="D251" s="271" t="s">
        <v>632</v>
      </c>
      <c r="E251" s="271"/>
      <c r="F251" s="272" t="s">
        <v>710</v>
      </c>
      <c r="G251" s="272" t="s">
        <v>709</v>
      </c>
      <c r="H251" s="268">
        <v>4242249777</v>
      </c>
      <c r="I251" s="273">
        <v>14500</v>
      </c>
      <c r="J251" s="273">
        <v>14500</v>
      </c>
      <c r="K251" s="268"/>
      <c r="L251" s="268"/>
      <c r="M251" s="268"/>
      <c r="N251" s="268"/>
      <c r="O251" s="268"/>
      <c r="P251" s="268"/>
      <c r="Q251" s="268"/>
      <c r="R251" s="268"/>
      <c r="S251" s="268"/>
      <c r="T251" s="273"/>
      <c r="U251" s="273"/>
      <c r="V251" s="273"/>
      <c r="W251" s="273"/>
      <c r="X251" s="273"/>
      <c r="Y251" s="121"/>
      <c r="Z251" s="121"/>
      <c r="AA251" s="273"/>
      <c r="AB251" s="273"/>
      <c r="AC251" s="273"/>
      <c r="AD251" s="273"/>
      <c r="AE251" s="273"/>
      <c r="AF251" s="273"/>
      <c r="AG251" s="278"/>
      <c r="AH251" s="278"/>
      <c r="AI251" s="282"/>
      <c r="AJ251" s="282"/>
      <c r="AK251" s="282"/>
      <c r="AL251" s="282"/>
      <c r="AM251" s="282"/>
      <c r="AN251" s="282"/>
      <c r="AO251" s="282"/>
      <c r="AP251" s="282"/>
      <c r="AQ251" s="282"/>
      <c r="AR251" s="282"/>
      <c r="AS251" s="282"/>
      <c r="AT251" s="282"/>
      <c r="AU251" s="282"/>
      <c r="AV251" s="282"/>
      <c r="AW251" s="282"/>
      <c r="AX251" s="282"/>
      <c r="AY251" s="282"/>
      <c r="AZ251" s="282"/>
      <c r="BA251" s="282"/>
      <c r="BB251" s="282"/>
      <c r="BC251" s="282"/>
      <c r="BD251" s="282"/>
      <c r="BE251" s="282"/>
      <c r="BF251" s="282"/>
      <c r="BG251" s="282"/>
      <c r="BH251" s="282"/>
      <c r="BI251" s="282"/>
      <c r="BJ251" s="282"/>
      <c r="BK251" s="282"/>
      <c r="BL251" s="282"/>
      <c r="BM251" s="282"/>
      <c r="BN251" s="282"/>
      <c r="BO251" s="282"/>
      <c r="BP251" s="282"/>
      <c r="BQ251" s="282"/>
      <c r="BR251" s="282"/>
      <c r="BS251" s="282"/>
      <c r="BT251" s="282"/>
      <c r="BU251" s="282"/>
      <c r="BV251" s="282"/>
      <c r="BW251" s="282"/>
      <c r="BX251" s="282"/>
      <c r="BY251" s="282"/>
    </row>
    <row r="252" spans="1:80" s="279" customFormat="1" ht="21.75" customHeight="1" x14ac:dyDescent="0.3">
      <c r="A252" s="268">
        <v>252</v>
      </c>
      <c r="B252" s="269">
        <v>41830</v>
      </c>
      <c r="C252" s="270">
        <v>8685263</v>
      </c>
      <c r="D252" s="271" t="s">
        <v>633</v>
      </c>
      <c r="E252" s="271"/>
      <c r="F252" s="272" t="s">
        <v>711</v>
      </c>
      <c r="G252" s="272" t="s">
        <v>712</v>
      </c>
      <c r="H252" s="268">
        <v>4160295525</v>
      </c>
      <c r="I252" s="273">
        <v>12500</v>
      </c>
      <c r="J252" s="273">
        <v>12500</v>
      </c>
      <c r="K252" s="268"/>
      <c r="L252" s="268"/>
      <c r="M252" s="268"/>
      <c r="N252" s="268"/>
      <c r="O252" s="268"/>
      <c r="P252" s="268"/>
      <c r="Q252" s="268"/>
      <c r="R252" s="268"/>
      <c r="S252" s="268"/>
      <c r="T252" s="273"/>
      <c r="U252" s="273"/>
      <c r="V252" s="273"/>
      <c r="W252" s="273"/>
      <c r="X252" s="273"/>
      <c r="Y252" s="121"/>
      <c r="Z252" s="121"/>
      <c r="AA252" s="273"/>
      <c r="AB252" s="273"/>
      <c r="AC252" s="273"/>
      <c r="AD252" s="273"/>
      <c r="AE252" s="273"/>
      <c r="AF252" s="273"/>
      <c r="AG252" s="278"/>
      <c r="AH252" s="278"/>
      <c r="AI252" s="282"/>
      <c r="AJ252" s="282"/>
      <c r="AK252" s="282"/>
      <c r="AL252" s="282"/>
      <c r="AM252" s="282"/>
      <c r="AN252" s="282"/>
      <c r="AO252" s="282"/>
      <c r="AP252" s="282"/>
      <c r="AQ252" s="282"/>
      <c r="AR252" s="282"/>
      <c r="AS252" s="282"/>
      <c r="AT252" s="282"/>
      <c r="AU252" s="282"/>
      <c r="AV252" s="282"/>
      <c r="AW252" s="282"/>
      <c r="AX252" s="282"/>
      <c r="AY252" s="282"/>
      <c r="AZ252" s="282"/>
      <c r="BA252" s="282"/>
      <c r="BB252" s="282"/>
      <c r="BC252" s="282"/>
      <c r="BD252" s="282"/>
      <c r="BE252" s="282"/>
      <c r="BF252" s="282"/>
      <c r="BG252" s="282"/>
      <c r="BH252" s="282"/>
      <c r="BI252" s="282"/>
      <c r="BJ252" s="282"/>
      <c r="BK252" s="282"/>
      <c r="BL252" s="282"/>
      <c r="BM252" s="282"/>
      <c r="BN252" s="282"/>
      <c r="BO252" s="282"/>
      <c r="BP252" s="282"/>
      <c r="BQ252" s="282"/>
      <c r="BR252" s="282"/>
      <c r="BS252" s="282"/>
      <c r="BT252" s="282"/>
      <c r="BU252" s="282"/>
      <c r="BV252" s="282"/>
      <c r="BW252" s="282"/>
      <c r="BX252" s="282"/>
      <c r="BY252" s="282"/>
    </row>
    <row r="253" spans="1:80" s="279" customFormat="1" ht="21.75" customHeight="1" x14ac:dyDescent="0.3">
      <c r="A253" s="268">
        <v>253</v>
      </c>
      <c r="B253" s="269">
        <v>41830</v>
      </c>
      <c r="C253" s="270">
        <v>8685263</v>
      </c>
      <c r="D253" s="271" t="s">
        <v>634</v>
      </c>
      <c r="E253" s="271"/>
      <c r="F253" s="272" t="s">
        <v>713</v>
      </c>
      <c r="G253" s="272" t="s">
        <v>712</v>
      </c>
      <c r="H253" s="268">
        <v>4160295525</v>
      </c>
      <c r="I253" s="273">
        <v>12500</v>
      </c>
      <c r="J253" s="273">
        <v>12500</v>
      </c>
      <c r="K253" s="268"/>
      <c r="L253" s="268"/>
      <c r="M253" s="268"/>
      <c r="N253" s="268"/>
      <c r="O253" s="268"/>
      <c r="P253" s="268"/>
      <c r="Q253" s="268"/>
      <c r="R253" s="268"/>
      <c r="S253" s="268"/>
      <c r="T253" s="273"/>
      <c r="U253" s="273"/>
      <c r="V253" s="273"/>
      <c r="W253" s="273"/>
      <c r="X253" s="273"/>
      <c r="Y253" s="121"/>
      <c r="Z253" s="121"/>
      <c r="AA253" s="273"/>
      <c r="AB253" s="273"/>
      <c r="AC253" s="273"/>
      <c r="AD253" s="273"/>
      <c r="AE253" s="273"/>
      <c r="AF253" s="273"/>
      <c r="AG253" s="278"/>
      <c r="AH253" s="278"/>
      <c r="AI253" s="282"/>
      <c r="AJ253" s="282"/>
      <c r="AK253" s="282"/>
      <c r="AL253" s="282"/>
      <c r="AM253" s="282"/>
      <c r="AN253" s="282"/>
      <c r="AO253" s="282"/>
      <c r="AP253" s="282"/>
      <c r="AQ253" s="282"/>
      <c r="AR253" s="282"/>
      <c r="AS253" s="282"/>
      <c r="AT253" s="282"/>
      <c r="AU253" s="282"/>
      <c r="AV253" s="282"/>
      <c r="AW253" s="282"/>
      <c r="AX253" s="282"/>
      <c r="AY253" s="282"/>
      <c r="AZ253" s="282"/>
      <c r="BA253" s="282"/>
      <c r="BB253" s="282"/>
      <c r="BC253" s="282"/>
      <c r="BD253" s="282"/>
      <c r="BE253" s="282"/>
      <c r="BF253" s="282"/>
      <c r="BG253" s="282"/>
      <c r="BH253" s="282"/>
      <c r="BI253" s="282"/>
      <c r="BJ253" s="282"/>
      <c r="BK253" s="282"/>
      <c r="BL253" s="282"/>
      <c r="BM253" s="282"/>
      <c r="BN253" s="282"/>
      <c r="BO253" s="282"/>
      <c r="BP253" s="282"/>
      <c r="BQ253" s="282"/>
      <c r="BR253" s="282"/>
      <c r="BS253" s="282"/>
      <c r="BT253" s="282"/>
      <c r="BU253" s="282"/>
      <c r="BV253" s="282"/>
      <c r="BW253" s="282"/>
      <c r="BX253" s="282"/>
      <c r="BY253" s="282"/>
    </row>
    <row r="254" spans="1:80" s="279" customFormat="1" ht="21.75" customHeight="1" x14ac:dyDescent="0.3">
      <c r="A254" s="268">
        <v>254</v>
      </c>
      <c r="B254" s="269">
        <v>41831</v>
      </c>
      <c r="C254" s="270">
        <v>17107674</v>
      </c>
      <c r="D254" s="271" t="s">
        <v>635</v>
      </c>
      <c r="E254" s="271"/>
      <c r="F254" s="272" t="s">
        <v>714</v>
      </c>
      <c r="G254" s="272" t="s">
        <v>715</v>
      </c>
      <c r="H254" s="268">
        <v>4241812622</v>
      </c>
      <c r="I254" s="273">
        <v>12500</v>
      </c>
      <c r="J254" s="273">
        <v>12500</v>
      </c>
      <c r="K254" s="268"/>
      <c r="L254" s="268"/>
      <c r="M254" s="268"/>
      <c r="N254" s="268"/>
      <c r="O254" s="268"/>
      <c r="P254" s="268"/>
      <c r="Q254" s="268"/>
      <c r="R254" s="268"/>
      <c r="S254" s="268"/>
      <c r="T254" s="273"/>
      <c r="U254" s="273"/>
      <c r="V254" s="273"/>
      <c r="W254" s="273"/>
      <c r="X254" s="273"/>
      <c r="Y254" s="121"/>
      <c r="Z254" s="121"/>
      <c r="AA254" s="273"/>
      <c r="AB254" s="273"/>
      <c r="AC254" s="273"/>
      <c r="AD254" s="273"/>
      <c r="AE254" s="273"/>
      <c r="AF254" s="273"/>
      <c r="AG254" s="278"/>
      <c r="AH254" s="278"/>
      <c r="AI254" s="282"/>
      <c r="AJ254" s="282"/>
      <c r="AK254" s="282"/>
      <c r="AL254" s="282"/>
      <c r="AM254" s="282"/>
      <c r="AN254" s="282"/>
      <c r="AO254" s="282"/>
      <c r="AP254" s="282"/>
      <c r="AQ254" s="282"/>
      <c r="AR254" s="282"/>
      <c r="AS254" s="282"/>
      <c r="AT254" s="282"/>
      <c r="AU254" s="282"/>
      <c r="AV254" s="282"/>
      <c r="AW254" s="282"/>
      <c r="AX254" s="282"/>
      <c r="AY254" s="282"/>
      <c r="AZ254" s="282"/>
      <c r="BA254" s="282"/>
      <c r="BB254" s="282"/>
      <c r="BC254" s="282"/>
      <c r="BD254" s="282"/>
      <c r="BE254" s="282"/>
      <c r="BF254" s="282"/>
      <c r="BG254" s="282"/>
      <c r="BH254" s="282"/>
      <c r="BI254" s="282"/>
      <c r="BJ254" s="282"/>
      <c r="BK254" s="282"/>
      <c r="BL254" s="282"/>
      <c r="BM254" s="282"/>
      <c r="BN254" s="282"/>
      <c r="BO254" s="282"/>
      <c r="BP254" s="282"/>
      <c r="BQ254" s="282"/>
      <c r="BR254" s="282"/>
      <c r="BS254" s="282"/>
      <c r="BT254" s="282"/>
      <c r="BU254" s="282"/>
      <c r="BV254" s="282"/>
      <c r="BW254" s="282"/>
      <c r="BX254" s="282"/>
      <c r="BY254" s="282"/>
    </row>
    <row r="255" spans="1:80" s="36" customFormat="1" ht="21.75" customHeight="1" x14ac:dyDescent="0.3">
      <c r="A255" s="42">
        <v>255</v>
      </c>
      <c r="B255" s="92">
        <v>41831</v>
      </c>
      <c r="C255" s="156">
        <v>20454433</v>
      </c>
      <c r="D255" s="31" t="s">
        <v>636</v>
      </c>
      <c r="E255" s="31" t="s">
        <v>79</v>
      </c>
      <c r="F255" s="145" t="s">
        <v>716</v>
      </c>
      <c r="G255" s="145" t="s">
        <v>716</v>
      </c>
      <c r="H255" s="42">
        <v>4149648284</v>
      </c>
      <c r="I255" s="68">
        <v>42900</v>
      </c>
      <c r="J255" s="68">
        <v>3900</v>
      </c>
      <c r="K255" s="78"/>
      <c r="L255" s="78"/>
      <c r="M255" s="78"/>
      <c r="N255" s="78"/>
      <c r="O255" s="78"/>
      <c r="P255" s="78"/>
      <c r="Q255" s="78"/>
      <c r="R255" s="78"/>
      <c r="S255" s="78"/>
      <c r="T255" s="105"/>
      <c r="U255" s="105"/>
      <c r="V255" s="43">
        <v>3900</v>
      </c>
      <c r="W255" s="105"/>
      <c r="X255" s="105"/>
      <c r="Y255" s="105"/>
      <c r="Z255" s="105"/>
      <c r="AA255" s="105"/>
      <c r="AB255" s="105"/>
      <c r="AC255" s="105"/>
      <c r="AD255" s="239"/>
      <c r="AE255" s="239"/>
      <c r="AF255" s="239"/>
      <c r="AG255" s="240"/>
      <c r="AH255" s="32">
        <f>SUM(V255:AG255)+J255-I255</f>
        <v>-35100</v>
      </c>
      <c r="AI255" s="241"/>
      <c r="AJ255" s="241"/>
      <c r="AK255" s="241"/>
      <c r="AL255" s="241"/>
      <c r="AM255" s="241"/>
      <c r="AN255" s="241"/>
      <c r="AO255" s="241"/>
      <c r="AP255" s="241"/>
      <c r="AQ255" s="241"/>
      <c r="AR255" s="241"/>
      <c r="AS255" s="241"/>
      <c r="AT255" s="241"/>
      <c r="AU255" s="241"/>
      <c r="AV255" s="241"/>
      <c r="AW255" s="241"/>
      <c r="AX255" s="241"/>
      <c r="AY255" s="241"/>
      <c r="AZ255" s="241"/>
      <c r="BA255" s="241"/>
      <c r="BB255" s="241"/>
      <c r="BC255" s="241"/>
      <c r="BD255" s="241"/>
      <c r="BE255" s="241"/>
      <c r="BF255" s="241"/>
      <c r="BG255" s="241"/>
      <c r="BH255" s="241"/>
      <c r="BI255" s="241"/>
      <c r="BJ255" s="241"/>
      <c r="BK255" s="241"/>
      <c r="BL255" s="241"/>
      <c r="BM255" s="241"/>
      <c r="BN255" s="241"/>
      <c r="BO255" s="241"/>
      <c r="BP255" s="241"/>
      <c r="BQ255" s="241"/>
      <c r="BR255" s="241"/>
      <c r="BS255" s="241"/>
      <c r="BT255" s="241"/>
      <c r="BU255" s="241"/>
      <c r="BV255" s="241"/>
      <c r="BW255" s="241"/>
      <c r="BX255" s="241"/>
      <c r="BY255" s="241"/>
    </row>
    <row r="256" spans="1:80" s="36" customFormat="1" ht="21.75" customHeight="1" x14ac:dyDescent="0.3">
      <c r="A256" s="42">
        <v>256</v>
      </c>
      <c r="B256" s="92">
        <v>41831</v>
      </c>
      <c r="C256" s="156">
        <v>21640040</v>
      </c>
      <c r="D256" s="31" t="s">
        <v>637</v>
      </c>
      <c r="E256" s="31" t="s">
        <v>79</v>
      </c>
      <c r="F256" s="145" t="s">
        <v>717</v>
      </c>
      <c r="G256" s="145" t="s">
        <v>717</v>
      </c>
      <c r="H256" s="42">
        <v>4164150785</v>
      </c>
      <c r="I256" s="68">
        <v>42900</v>
      </c>
      <c r="J256" s="68">
        <v>3900</v>
      </c>
      <c r="K256" s="78"/>
      <c r="L256" s="78"/>
      <c r="M256" s="78"/>
      <c r="N256" s="78"/>
      <c r="O256" s="78"/>
      <c r="P256" s="78"/>
      <c r="Q256" s="78"/>
      <c r="R256" s="78"/>
      <c r="S256" s="78"/>
      <c r="T256" s="105"/>
      <c r="U256" s="105"/>
      <c r="V256" s="43">
        <v>3900</v>
      </c>
      <c r="W256" s="43">
        <v>3900</v>
      </c>
      <c r="X256" s="105"/>
      <c r="Y256" s="43"/>
      <c r="Z256" s="43"/>
      <c r="AA256" s="105"/>
      <c r="AB256" s="105"/>
      <c r="AC256" s="239"/>
      <c r="AD256" s="239"/>
      <c r="AE256" s="239"/>
      <c r="AF256" s="239"/>
      <c r="AG256" s="240"/>
      <c r="AH256" s="32">
        <f>SUM(V256:AG256)+J256-I256</f>
        <v>-31200</v>
      </c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  <c r="AU256" s="241"/>
      <c r="AV256" s="241"/>
      <c r="AW256" s="241"/>
      <c r="AX256" s="241"/>
      <c r="AY256" s="241"/>
      <c r="AZ256" s="241"/>
      <c r="BA256" s="241"/>
      <c r="BB256" s="241"/>
      <c r="BC256" s="241"/>
      <c r="BD256" s="241"/>
      <c r="BE256" s="241"/>
      <c r="BF256" s="241"/>
      <c r="BG256" s="241"/>
      <c r="BH256" s="241"/>
      <c r="BI256" s="241"/>
      <c r="BJ256" s="241"/>
      <c r="BK256" s="241"/>
      <c r="BL256" s="241"/>
      <c r="BM256" s="241"/>
      <c r="BN256" s="241"/>
      <c r="BO256" s="241"/>
      <c r="BP256" s="241"/>
      <c r="BQ256" s="241"/>
      <c r="BR256" s="241"/>
      <c r="BS256" s="241"/>
      <c r="BT256" s="241"/>
      <c r="BU256" s="241"/>
      <c r="BV256" s="241"/>
      <c r="BW256" s="241"/>
      <c r="BX256" s="241"/>
      <c r="BY256" s="241"/>
    </row>
    <row r="257" spans="1:80" s="279" customFormat="1" ht="21.75" customHeight="1" x14ac:dyDescent="0.3">
      <c r="A257" s="268">
        <v>257</v>
      </c>
      <c r="B257" s="269">
        <v>41834</v>
      </c>
      <c r="C257" s="270">
        <v>13909455</v>
      </c>
      <c r="D257" s="271" t="s">
        <v>638</v>
      </c>
      <c r="E257" s="271"/>
      <c r="F257" s="272" t="s">
        <v>719</v>
      </c>
      <c r="G257" s="272" t="s">
        <v>720</v>
      </c>
      <c r="H257" s="268">
        <v>4242243777</v>
      </c>
      <c r="I257" s="273">
        <v>14500</v>
      </c>
      <c r="J257" s="273">
        <v>14500</v>
      </c>
      <c r="K257" s="268"/>
      <c r="L257" s="268"/>
      <c r="M257" s="268"/>
      <c r="N257" s="268"/>
      <c r="O257" s="268"/>
      <c r="P257" s="268"/>
      <c r="Q257" s="268"/>
      <c r="R257" s="268"/>
      <c r="S257" s="268"/>
      <c r="T257" s="273"/>
      <c r="U257" s="273"/>
      <c r="V257" s="273"/>
      <c r="W257" s="273"/>
      <c r="X257" s="273"/>
      <c r="Y257" s="121"/>
      <c r="Z257" s="121"/>
      <c r="AA257" s="273"/>
      <c r="AB257" s="273"/>
      <c r="AC257" s="273"/>
      <c r="AD257" s="273"/>
      <c r="AE257" s="273"/>
      <c r="AF257" s="273"/>
      <c r="AG257" s="278"/>
      <c r="AH257" s="278"/>
      <c r="AI257" s="282"/>
      <c r="AJ257" s="282"/>
      <c r="AK257" s="282"/>
      <c r="AL257" s="282"/>
      <c r="AM257" s="282"/>
      <c r="AN257" s="282"/>
      <c r="AO257" s="282"/>
      <c r="AP257" s="282"/>
      <c r="AQ257" s="282"/>
      <c r="AR257" s="282"/>
      <c r="AS257" s="282"/>
      <c r="AT257" s="282"/>
      <c r="AU257" s="282"/>
      <c r="AV257" s="282"/>
      <c r="AW257" s="282"/>
      <c r="AX257" s="282"/>
      <c r="AY257" s="282"/>
      <c r="AZ257" s="282"/>
      <c r="BA257" s="282"/>
      <c r="BB257" s="282"/>
      <c r="BC257" s="282"/>
      <c r="BD257" s="282"/>
      <c r="BE257" s="282"/>
      <c r="BF257" s="282"/>
      <c r="BG257" s="282"/>
      <c r="BH257" s="282"/>
      <c r="BI257" s="282"/>
      <c r="BJ257" s="282"/>
      <c r="BK257" s="282"/>
      <c r="BL257" s="282"/>
      <c r="BM257" s="282"/>
      <c r="BN257" s="282"/>
      <c r="BO257" s="282"/>
      <c r="BP257" s="282"/>
      <c r="BQ257" s="282"/>
      <c r="BR257" s="282"/>
      <c r="BS257" s="282"/>
      <c r="BT257" s="282"/>
      <c r="BU257" s="282"/>
      <c r="BV257" s="282"/>
      <c r="BW257" s="282"/>
      <c r="BX257" s="282"/>
      <c r="BY257" s="282"/>
    </row>
    <row r="258" spans="1:80" s="331" customFormat="1" ht="21.75" customHeight="1" x14ac:dyDescent="0.3">
      <c r="A258" s="309">
        <v>258</v>
      </c>
      <c r="B258" s="306">
        <v>41863</v>
      </c>
      <c r="C258" s="374">
        <v>10276703</v>
      </c>
      <c r="D258" s="308" t="s">
        <v>639</v>
      </c>
      <c r="E258" s="308" t="s">
        <v>79</v>
      </c>
      <c r="F258" s="310" t="s">
        <v>721</v>
      </c>
      <c r="G258" s="310" t="s">
        <v>510</v>
      </c>
      <c r="H258" s="309">
        <v>4242220394</v>
      </c>
      <c r="I258" s="311">
        <v>42900</v>
      </c>
      <c r="J258" s="311">
        <v>3900</v>
      </c>
      <c r="K258" s="97"/>
      <c r="L258" s="97"/>
      <c r="M258" s="97"/>
      <c r="N258" s="97"/>
      <c r="O258" s="97"/>
      <c r="P258" s="97"/>
      <c r="Q258" s="97"/>
      <c r="R258" s="97"/>
      <c r="S258" s="97"/>
      <c r="T258" s="140"/>
      <c r="U258" s="140"/>
      <c r="V258" s="140"/>
      <c r="W258" s="327"/>
      <c r="X258" s="327"/>
      <c r="Y258" s="327"/>
      <c r="Z258" s="327"/>
      <c r="AA258" s="327"/>
      <c r="AB258" s="327"/>
      <c r="AC258" s="327"/>
      <c r="AD258" s="327"/>
      <c r="AE258" s="327"/>
      <c r="AF258" s="327"/>
      <c r="AG258" s="422"/>
      <c r="AH258" s="422"/>
    </row>
    <row r="259" spans="1:80" s="279" customFormat="1" ht="21.75" customHeight="1" x14ac:dyDescent="0.3">
      <c r="A259" s="268">
        <v>259</v>
      </c>
      <c r="B259" s="269">
        <v>41834</v>
      </c>
      <c r="C259" s="270">
        <v>13373320</v>
      </c>
      <c r="D259" s="271" t="s">
        <v>640</v>
      </c>
      <c r="E259" s="271"/>
      <c r="F259" s="272" t="s">
        <v>578</v>
      </c>
      <c r="G259" s="272" t="s">
        <v>579</v>
      </c>
      <c r="H259" s="268">
        <v>4143024239</v>
      </c>
      <c r="I259" s="273">
        <v>14500</v>
      </c>
      <c r="J259" s="273">
        <v>14500</v>
      </c>
      <c r="K259" s="268"/>
      <c r="L259" s="268"/>
      <c r="M259" s="268"/>
      <c r="N259" s="268"/>
      <c r="O259" s="268"/>
      <c r="P259" s="268"/>
      <c r="Q259" s="268"/>
      <c r="R259" s="268"/>
      <c r="S259" s="268"/>
      <c r="T259" s="273"/>
      <c r="U259" s="273"/>
      <c r="V259" s="273"/>
      <c r="W259" s="273"/>
      <c r="X259" s="273"/>
      <c r="Y259" s="121"/>
      <c r="Z259" s="121"/>
      <c r="AA259" s="273"/>
      <c r="AB259" s="273"/>
      <c r="AC259" s="273"/>
      <c r="AD259" s="273"/>
      <c r="AE259" s="273"/>
      <c r="AF259" s="162"/>
      <c r="AG259" s="174"/>
      <c r="AH259" s="174"/>
    </row>
    <row r="260" spans="1:80" s="279" customFormat="1" ht="21.75" customHeight="1" x14ac:dyDescent="0.3">
      <c r="A260" s="268">
        <v>260</v>
      </c>
      <c r="B260" s="269">
        <v>41834</v>
      </c>
      <c r="C260" s="270">
        <v>13373320</v>
      </c>
      <c r="D260" s="271" t="s">
        <v>641</v>
      </c>
      <c r="E260" s="271"/>
      <c r="F260" s="272" t="s">
        <v>580</v>
      </c>
      <c r="G260" s="272" t="s">
        <v>579</v>
      </c>
      <c r="H260" s="268">
        <v>4143024239</v>
      </c>
      <c r="I260" s="273">
        <v>14500</v>
      </c>
      <c r="J260" s="273">
        <v>14500</v>
      </c>
      <c r="K260" s="268"/>
      <c r="L260" s="268"/>
      <c r="M260" s="268"/>
      <c r="N260" s="268"/>
      <c r="O260" s="268"/>
      <c r="P260" s="268"/>
      <c r="Q260" s="268"/>
      <c r="R260" s="268"/>
      <c r="S260" s="268"/>
      <c r="T260" s="273"/>
      <c r="U260" s="273"/>
      <c r="V260" s="273"/>
      <c r="W260" s="273"/>
      <c r="X260" s="273"/>
      <c r="Y260" s="121"/>
      <c r="Z260" s="121"/>
      <c r="AA260" s="273"/>
      <c r="AB260" s="273"/>
      <c r="AC260" s="273"/>
      <c r="AD260" s="273"/>
      <c r="AE260" s="273"/>
      <c r="AF260" s="162"/>
      <c r="AG260" s="174"/>
      <c r="AH260" s="174"/>
      <c r="AI260" s="282"/>
      <c r="AJ260" s="282"/>
      <c r="AK260" s="282"/>
      <c r="AL260" s="282"/>
      <c r="AM260" s="282"/>
      <c r="AN260" s="282"/>
      <c r="AO260" s="282"/>
      <c r="AP260" s="282"/>
      <c r="AQ260" s="282"/>
      <c r="AR260" s="282"/>
      <c r="AS260" s="282"/>
      <c r="AT260" s="282"/>
      <c r="AU260" s="282"/>
      <c r="AV260" s="282"/>
      <c r="AW260" s="282"/>
      <c r="AX260" s="282"/>
      <c r="AY260" s="282"/>
      <c r="AZ260" s="282"/>
      <c r="BA260" s="282"/>
      <c r="BB260" s="282"/>
      <c r="BC260" s="282"/>
      <c r="BD260" s="282"/>
      <c r="BE260" s="282"/>
      <c r="BF260" s="282"/>
      <c r="BG260" s="282"/>
      <c r="BH260" s="282"/>
      <c r="BI260" s="282"/>
      <c r="BJ260" s="282"/>
      <c r="BK260" s="282"/>
      <c r="BL260" s="282"/>
      <c r="BM260" s="282"/>
      <c r="BN260" s="282"/>
      <c r="BO260" s="282"/>
      <c r="BP260" s="282"/>
      <c r="BQ260" s="282"/>
      <c r="BR260" s="282"/>
      <c r="BS260" s="282"/>
      <c r="BT260" s="282"/>
      <c r="BU260" s="282"/>
      <c r="BV260" s="282"/>
      <c r="BW260" s="282"/>
      <c r="BX260" s="282"/>
      <c r="BY260" s="282"/>
      <c r="BZ260" s="282"/>
      <c r="CA260" s="282"/>
      <c r="CB260" s="282"/>
    </row>
    <row r="261" spans="1:80" s="279" customFormat="1" ht="21.75" customHeight="1" x14ac:dyDescent="0.3">
      <c r="A261" s="268">
        <v>261</v>
      </c>
      <c r="B261" s="269">
        <v>41834</v>
      </c>
      <c r="C261" s="270">
        <v>5891648</v>
      </c>
      <c r="D261" s="271" t="s">
        <v>642</v>
      </c>
      <c r="E261" s="271"/>
      <c r="F261" s="272" t="s">
        <v>722</v>
      </c>
      <c r="G261" s="272" t="s">
        <v>723</v>
      </c>
      <c r="H261" s="268">
        <v>4165861869</v>
      </c>
      <c r="I261" s="273">
        <v>12500</v>
      </c>
      <c r="J261" s="273">
        <v>12500</v>
      </c>
      <c r="K261" s="268"/>
      <c r="L261" s="268"/>
      <c r="M261" s="268"/>
      <c r="N261" s="268"/>
      <c r="O261" s="268"/>
      <c r="P261" s="268"/>
      <c r="Q261" s="268"/>
      <c r="R261" s="268"/>
      <c r="S261" s="268"/>
      <c r="T261" s="273"/>
      <c r="U261" s="273"/>
      <c r="V261" s="273"/>
      <c r="W261" s="273"/>
      <c r="X261" s="273"/>
      <c r="Y261" s="121"/>
      <c r="Z261" s="121"/>
      <c r="AA261" s="273"/>
      <c r="AB261" s="273"/>
      <c r="AC261" s="273"/>
      <c r="AD261" s="273"/>
      <c r="AE261" s="273"/>
      <c r="AF261" s="162"/>
      <c r="AG261" s="174"/>
      <c r="AH261" s="174"/>
      <c r="AI261" s="294">
        <f>SUM(W261:AH261)+J261-I261</f>
        <v>0</v>
      </c>
    </row>
    <row r="262" spans="1:80" s="279" customFormat="1" ht="21.75" customHeight="1" x14ac:dyDescent="0.3">
      <c r="A262" s="268">
        <v>262</v>
      </c>
      <c r="B262" s="269">
        <v>41832</v>
      </c>
      <c r="C262" s="270">
        <v>6692608</v>
      </c>
      <c r="D262" s="271" t="s">
        <v>643</v>
      </c>
      <c r="E262" s="271"/>
      <c r="F262" s="272" t="s">
        <v>724</v>
      </c>
      <c r="G262" s="272" t="s">
        <v>725</v>
      </c>
      <c r="H262" s="268">
        <v>4142320217</v>
      </c>
      <c r="I262" s="273">
        <v>12500</v>
      </c>
      <c r="J262" s="273">
        <v>12500</v>
      </c>
      <c r="K262" s="268"/>
      <c r="L262" s="268"/>
      <c r="M262" s="268"/>
      <c r="N262" s="268"/>
      <c r="O262" s="268"/>
      <c r="P262" s="268"/>
      <c r="Q262" s="268"/>
      <c r="R262" s="268"/>
      <c r="S262" s="268"/>
      <c r="T262" s="273"/>
      <c r="U262" s="273"/>
      <c r="V262" s="273"/>
      <c r="W262" s="273"/>
      <c r="X262" s="273"/>
      <c r="Y262" s="121"/>
      <c r="Z262" s="121"/>
      <c r="AA262" s="273"/>
      <c r="AB262" s="273"/>
      <c r="AC262" s="273"/>
      <c r="AD262" s="273"/>
      <c r="AE262" s="273"/>
      <c r="AF262" s="162"/>
      <c r="AG262" s="174"/>
      <c r="AH262" s="174"/>
    </row>
    <row r="263" spans="1:80" s="279" customFormat="1" ht="21.75" customHeight="1" x14ac:dyDescent="0.3">
      <c r="A263" s="268">
        <v>263</v>
      </c>
      <c r="B263" s="269">
        <v>41837</v>
      </c>
      <c r="C263" s="270">
        <v>11897824</v>
      </c>
      <c r="D263" s="271" t="s">
        <v>644</v>
      </c>
      <c r="E263" s="271"/>
      <c r="F263" s="272" t="s">
        <v>726</v>
      </c>
      <c r="G263" s="272" t="s">
        <v>727</v>
      </c>
      <c r="H263" s="268">
        <v>4265134159</v>
      </c>
      <c r="I263" s="273">
        <v>14500</v>
      </c>
      <c r="J263" s="273">
        <v>14500</v>
      </c>
      <c r="K263" s="268"/>
      <c r="L263" s="268"/>
      <c r="M263" s="268"/>
      <c r="N263" s="268"/>
      <c r="O263" s="268"/>
      <c r="P263" s="268"/>
      <c r="Q263" s="268"/>
      <c r="R263" s="268"/>
      <c r="S263" s="268"/>
      <c r="T263" s="273"/>
      <c r="U263" s="273"/>
      <c r="V263" s="273"/>
      <c r="W263" s="273"/>
      <c r="X263" s="273"/>
      <c r="Y263" s="121"/>
      <c r="Z263" s="121"/>
      <c r="AA263" s="273"/>
      <c r="AB263" s="273"/>
      <c r="AC263" s="273"/>
      <c r="AD263" s="273"/>
      <c r="AE263" s="273"/>
      <c r="AF263" s="122"/>
      <c r="AG263" s="280"/>
      <c r="AH263" s="280"/>
    </row>
    <row r="264" spans="1:80" s="279" customFormat="1" ht="21.75" customHeight="1" x14ac:dyDescent="0.3">
      <c r="A264" s="268">
        <v>264</v>
      </c>
      <c r="B264" s="269">
        <v>41838</v>
      </c>
      <c r="C264" s="270">
        <v>12390292</v>
      </c>
      <c r="D264" s="271" t="s">
        <v>645</v>
      </c>
      <c r="E264" s="271"/>
      <c r="F264" s="272" t="s">
        <v>728</v>
      </c>
      <c r="G264" s="272" t="s">
        <v>729</v>
      </c>
      <c r="H264" s="268">
        <v>4265166178</v>
      </c>
      <c r="I264" s="273">
        <v>14500</v>
      </c>
      <c r="J264" s="273">
        <v>14500</v>
      </c>
      <c r="K264" s="268"/>
      <c r="L264" s="268"/>
      <c r="M264" s="268"/>
      <c r="N264" s="268"/>
      <c r="O264" s="268"/>
      <c r="P264" s="268"/>
      <c r="Q264" s="268"/>
      <c r="R264" s="268"/>
      <c r="S264" s="268"/>
      <c r="T264" s="273"/>
      <c r="U264" s="273"/>
      <c r="V264" s="273"/>
      <c r="W264" s="273"/>
      <c r="X264" s="273"/>
      <c r="Y264" s="121"/>
      <c r="Z264" s="121"/>
      <c r="AA264" s="273"/>
      <c r="AB264" s="273"/>
      <c r="AC264" s="273"/>
      <c r="AD264" s="273"/>
      <c r="AE264" s="273"/>
      <c r="AF264" s="122"/>
      <c r="AG264" s="280"/>
      <c r="AH264" s="280"/>
    </row>
    <row r="265" spans="1:80" s="279" customFormat="1" ht="21.75" customHeight="1" x14ac:dyDescent="0.3">
      <c r="A265" s="268">
        <v>265</v>
      </c>
      <c r="B265" s="269">
        <v>41835</v>
      </c>
      <c r="C265" s="270">
        <v>10282153</v>
      </c>
      <c r="D265" s="271" t="s">
        <v>646</v>
      </c>
      <c r="E265" s="271"/>
      <c r="F265" s="272" t="s">
        <v>730</v>
      </c>
      <c r="G265" s="272" t="s">
        <v>731</v>
      </c>
      <c r="H265" s="268">
        <v>4141294235</v>
      </c>
      <c r="I265" s="273">
        <v>14500</v>
      </c>
      <c r="J265" s="273">
        <v>14500</v>
      </c>
      <c r="K265" s="268"/>
      <c r="L265" s="268"/>
      <c r="M265" s="268"/>
      <c r="N265" s="268"/>
      <c r="O265" s="268"/>
      <c r="P265" s="268"/>
      <c r="Q265" s="268"/>
      <c r="R265" s="268"/>
      <c r="S265" s="268"/>
      <c r="T265" s="273"/>
      <c r="U265" s="273"/>
      <c r="V265" s="273"/>
      <c r="W265" s="273"/>
      <c r="X265" s="273"/>
      <c r="Y265" s="121"/>
      <c r="Z265" s="121"/>
      <c r="AA265" s="273"/>
      <c r="AB265" s="273"/>
      <c r="AC265" s="273"/>
      <c r="AD265" s="273"/>
      <c r="AE265" s="273"/>
      <c r="AF265" s="122"/>
      <c r="AG265" s="280"/>
      <c r="AH265" s="280"/>
    </row>
    <row r="266" spans="1:80" s="227" customFormat="1" ht="21.75" customHeight="1" x14ac:dyDescent="0.3">
      <c r="A266" s="268">
        <v>266</v>
      </c>
      <c r="B266" s="269">
        <v>41835</v>
      </c>
      <c r="C266" s="270">
        <v>6692208</v>
      </c>
      <c r="D266" s="271" t="s">
        <v>647</v>
      </c>
      <c r="E266" s="271"/>
      <c r="F266" s="272" t="s">
        <v>732</v>
      </c>
      <c r="G266" s="272" t="s">
        <v>725</v>
      </c>
      <c r="H266" s="268">
        <v>4142320217</v>
      </c>
      <c r="I266" s="273"/>
      <c r="J266" s="273"/>
      <c r="K266" s="268"/>
      <c r="L266" s="268"/>
      <c r="M266" s="268"/>
      <c r="N266" s="268"/>
      <c r="O266" s="268"/>
      <c r="P266" s="268"/>
      <c r="Q266" s="268"/>
      <c r="R266" s="268"/>
      <c r="S266" s="268"/>
      <c r="T266" s="273"/>
      <c r="U266" s="273"/>
      <c r="V266" s="273"/>
      <c r="W266" s="273"/>
      <c r="X266" s="273"/>
      <c r="Y266" s="121"/>
      <c r="Z266" s="121"/>
      <c r="AA266" s="273"/>
      <c r="AB266" s="273"/>
      <c r="AC266" s="273"/>
      <c r="AD266" s="273"/>
      <c r="AE266" s="273"/>
      <c r="AF266" s="122"/>
      <c r="AG266" s="280"/>
      <c r="AH266" s="280"/>
    </row>
    <row r="267" spans="1:80" s="227" customFormat="1" ht="21.75" customHeight="1" x14ac:dyDescent="0.3">
      <c r="A267" s="268">
        <v>267</v>
      </c>
      <c r="B267" s="269">
        <v>41835</v>
      </c>
      <c r="C267" s="270">
        <v>6692208</v>
      </c>
      <c r="D267" s="271" t="s">
        <v>648</v>
      </c>
      <c r="E267" s="271"/>
      <c r="F267" s="272" t="s">
        <v>735</v>
      </c>
      <c r="G267" s="272" t="s">
        <v>725</v>
      </c>
      <c r="H267" s="268">
        <v>4142320217</v>
      </c>
      <c r="I267" s="273"/>
      <c r="J267" s="273"/>
      <c r="K267" s="268"/>
      <c r="L267" s="268"/>
      <c r="M267" s="268"/>
      <c r="N267" s="268"/>
      <c r="O267" s="268"/>
      <c r="P267" s="268"/>
      <c r="Q267" s="268"/>
      <c r="R267" s="268"/>
      <c r="S267" s="268"/>
      <c r="T267" s="273"/>
      <c r="U267" s="273"/>
      <c r="V267" s="273"/>
      <c r="W267" s="273"/>
      <c r="X267" s="273"/>
      <c r="Y267" s="121"/>
      <c r="Z267" s="121"/>
      <c r="AA267" s="273"/>
      <c r="AB267" s="273"/>
      <c r="AC267" s="273"/>
      <c r="AD267" s="273"/>
      <c r="AE267" s="273"/>
      <c r="AF267" s="122"/>
      <c r="AG267" s="280"/>
      <c r="AH267" s="280"/>
    </row>
    <row r="268" spans="1:80" s="227" customFormat="1" ht="21.75" customHeight="1" x14ac:dyDescent="0.3">
      <c r="A268" s="268">
        <v>268</v>
      </c>
      <c r="B268" s="269">
        <v>41843</v>
      </c>
      <c r="C268" s="270">
        <v>9414816</v>
      </c>
      <c r="D268" s="271" t="s">
        <v>649</v>
      </c>
      <c r="E268" s="271"/>
      <c r="F268" s="272" t="s">
        <v>733</v>
      </c>
      <c r="G268" s="272" t="s">
        <v>734</v>
      </c>
      <c r="H268" s="268">
        <v>4142491235</v>
      </c>
      <c r="I268" s="273">
        <v>14500</v>
      </c>
      <c r="J268" s="273">
        <v>14500</v>
      </c>
      <c r="K268" s="268"/>
      <c r="L268" s="268"/>
      <c r="M268" s="268"/>
      <c r="N268" s="268"/>
      <c r="O268" s="268"/>
      <c r="P268" s="268"/>
      <c r="Q268" s="268"/>
      <c r="R268" s="268"/>
      <c r="S268" s="268"/>
      <c r="T268" s="273"/>
      <c r="U268" s="273"/>
      <c r="V268" s="273"/>
      <c r="W268" s="273"/>
      <c r="X268" s="273"/>
      <c r="Y268" s="121"/>
      <c r="Z268" s="121"/>
      <c r="AA268" s="273"/>
      <c r="AB268" s="273"/>
      <c r="AC268" s="273"/>
      <c r="AD268" s="273"/>
      <c r="AE268" s="273"/>
      <c r="AF268" s="122"/>
      <c r="AG268" s="280"/>
      <c r="AH268" s="280"/>
    </row>
    <row r="269" spans="1:80" s="227" customFormat="1" ht="21.75" customHeight="1" x14ac:dyDescent="0.3">
      <c r="A269" s="268">
        <v>269</v>
      </c>
      <c r="B269" s="274">
        <v>41842</v>
      </c>
      <c r="C269" s="275">
        <v>13945184</v>
      </c>
      <c r="D269" s="271" t="s">
        <v>650</v>
      </c>
      <c r="E269" s="271"/>
      <c r="F269" s="272" t="s">
        <v>743</v>
      </c>
      <c r="G269" s="276" t="s">
        <v>744</v>
      </c>
      <c r="H269" s="277">
        <v>4121928064</v>
      </c>
      <c r="I269" s="278">
        <v>14500</v>
      </c>
      <c r="J269" s="273">
        <v>14500</v>
      </c>
      <c r="K269" s="268"/>
      <c r="L269" s="268"/>
      <c r="M269" s="268"/>
      <c r="N269" s="268"/>
      <c r="O269" s="268"/>
      <c r="P269" s="268"/>
      <c r="Q269" s="268"/>
      <c r="R269" s="268"/>
      <c r="S269" s="268"/>
      <c r="T269" s="273"/>
      <c r="U269" s="273"/>
      <c r="V269" s="273"/>
      <c r="W269" s="273"/>
      <c r="X269" s="273"/>
      <c r="Y269" s="121"/>
      <c r="Z269" s="121"/>
      <c r="AA269" s="273"/>
      <c r="AB269" s="273"/>
      <c r="AC269" s="273"/>
      <c r="AD269" s="273"/>
      <c r="AE269" s="273"/>
      <c r="AF269" s="122"/>
      <c r="AG269" s="280"/>
      <c r="AH269" s="280"/>
    </row>
    <row r="270" spans="1:80" s="227" customFormat="1" ht="21.75" customHeight="1" x14ac:dyDescent="0.3">
      <c r="A270" s="268">
        <v>270</v>
      </c>
      <c r="B270" s="269">
        <v>41842</v>
      </c>
      <c r="C270" s="275"/>
      <c r="D270" s="271" t="s">
        <v>651</v>
      </c>
      <c r="E270" s="271"/>
      <c r="F270" s="272" t="s">
        <v>736</v>
      </c>
      <c r="G270" s="272" t="s">
        <v>153</v>
      </c>
      <c r="H270" s="268">
        <v>4242317630</v>
      </c>
      <c r="I270" s="273">
        <v>14500</v>
      </c>
      <c r="J270" s="273">
        <v>14500</v>
      </c>
      <c r="K270" s="268"/>
      <c r="L270" s="268"/>
      <c r="M270" s="268"/>
      <c r="N270" s="268"/>
      <c r="O270" s="268"/>
      <c r="P270" s="268"/>
      <c r="Q270" s="268"/>
      <c r="R270" s="268"/>
      <c r="S270" s="268"/>
      <c r="T270" s="273"/>
      <c r="U270" s="273"/>
      <c r="V270" s="273"/>
      <c r="W270" s="273"/>
      <c r="X270" s="273"/>
      <c r="Y270" s="121"/>
      <c r="Z270" s="121"/>
      <c r="AA270" s="273"/>
      <c r="AB270" s="273"/>
      <c r="AC270" s="273"/>
      <c r="AD270" s="273"/>
      <c r="AE270" s="273"/>
      <c r="AF270" s="122"/>
      <c r="AG270" s="280"/>
      <c r="AH270" s="280"/>
    </row>
    <row r="271" spans="1:80" s="227" customFormat="1" ht="21.75" customHeight="1" x14ac:dyDescent="0.3">
      <c r="A271" s="268">
        <v>271</v>
      </c>
      <c r="B271" s="269">
        <v>41842</v>
      </c>
      <c r="C271" s="270">
        <v>10377495</v>
      </c>
      <c r="D271" s="271" t="s">
        <v>652</v>
      </c>
      <c r="E271" s="271"/>
      <c r="F271" s="272" t="s">
        <v>737</v>
      </c>
      <c r="G271" s="272" t="s">
        <v>738</v>
      </c>
      <c r="H271" s="268">
        <v>4142237373</v>
      </c>
      <c r="I271" s="273">
        <v>14500</v>
      </c>
      <c r="J271" s="273">
        <v>14500</v>
      </c>
      <c r="K271" s="268"/>
      <c r="L271" s="268"/>
      <c r="M271" s="268"/>
      <c r="N271" s="268"/>
      <c r="O271" s="268"/>
      <c r="P271" s="268"/>
      <c r="Q271" s="268"/>
      <c r="R271" s="268"/>
      <c r="S271" s="268"/>
      <c r="T271" s="273"/>
      <c r="U271" s="273"/>
      <c r="V271" s="273"/>
      <c r="W271" s="273"/>
      <c r="X271" s="273"/>
      <c r="Y271" s="121"/>
      <c r="Z271" s="121"/>
      <c r="AA271" s="273"/>
      <c r="AB271" s="273"/>
      <c r="AC271" s="273"/>
      <c r="AD271" s="273"/>
      <c r="AE271" s="273"/>
      <c r="AF271" s="122"/>
      <c r="AG271" s="280"/>
      <c r="AH271" s="280"/>
    </row>
    <row r="272" spans="1:80" s="313" customFormat="1" ht="21.75" customHeight="1" x14ac:dyDescent="0.3">
      <c r="A272" s="340">
        <v>272</v>
      </c>
      <c r="B272" s="396">
        <v>41872</v>
      </c>
      <c r="C272" s="397">
        <v>13945189</v>
      </c>
      <c r="D272" s="347" t="s">
        <v>653</v>
      </c>
      <c r="E272" s="347"/>
      <c r="F272" s="398" t="s">
        <v>743</v>
      </c>
      <c r="G272" s="398" t="s">
        <v>744</v>
      </c>
      <c r="H272" s="345">
        <v>4121928064</v>
      </c>
      <c r="I272" s="373">
        <v>30000</v>
      </c>
      <c r="J272" s="373">
        <v>3900</v>
      </c>
      <c r="K272" s="399">
        <v>26100</v>
      </c>
      <c r="L272" s="340"/>
      <c r="M272" s="340"/>
      <c r="N272" s="340"/>
      <c r="O272" s="340"/>
      <c r="P272" s="340"/>
      <c r="Q272" s="340"/>
      <c r="R272" s="340"/>
      <c r="S272" s="340"/>
      <c r="T272" s="344"/>
      <c r="U272" s="344"/>
      <c r="V272" s="344"/>
      <c r="W272" s="344"/>
      <c r="X272" s="344"/>
      <c r="Y272" s="119"/>
      <c r="Z272" s="119"/>
      <c r="AA272" s="344"/>
      <c r="AB272" s="344"/>
      <c r="AC272" s="344"/>
      <c r="AD272" s="344"/>
      <c r="AE272" s="344"/>
      <c r="AF272" s="344"/>
      <c r="AG272" s="373"/>
      <c r="AH272" s="373"/>
    </row>
    <row r="273" spans="1:301" s="227" customFormat="1" ht="21.75" customHeight="1" x14ac:dyDescent="0.3">
      <c r="A273" s="268">
        <v>273</v>
      </c>
      <c r="B273" s="269">
        <v>41848</v>
      </c>
      <c r="C273" s="270">
        <v>16562630</v>
      </c>
      <c r="D273" s="271" t="s">
        <v>654</v>
      </c>
      <c r="E273" s="271"/>
      <c r="F273" s="272" t="s">
        <v>739</v>
      </c>
      <c r="G273" s="272" t="s">
        <v>740</v>
      </c>
      <c r="H273" s="268">
        <v>4241082088</v>
      </c>
      <c r="I273" s="273">
        <v>14500</v>
      </c>
      <c r="J273" s="273">
        <v>14500</v>
      </c>
      <c r="K273" s="268"/>
      <c r="L273" s="268"/>
      <c r="M273" s="268"/>
      <c r="N273" s="268"/>
      <c r="O273" s="268"/>
      <c r="P273" s="268"/>
      <c r="Q273" s="268"/>
      <c r="R273" s="268"/>
      <c r="S273" s="268"/>
      <c r="T273" s="273"/>
      <c r="U273" s="273"/>
      <c r="V273" s="273"/>
      <c r="W273" s="273"/>
      <c r="X273" s="273"/>
      <c r="Y273" s="121"/>
      <c r="Z273" s="121"/>
      <c r="AA273" s="273"/>
      <c r="AB273" s="273"/>
      <c r="AC273" s="273"/>
      <c r="AD273" s="273"/>
      <c r="AE273" s="273"/>
      <c r="AF273" s="273"/>
      <c r="AG273" s="278"/>
      <c r="AH273" s="278"/>
    </row>
    <row r="274" spans="1:301" s="227" customFormat="1" ht="21.75" customHeight="1" x14ac:dyDescent="0.3">
      <c r="A274" s="268">
        <v>274</v>
      </c>
      <c r="B274" s="269">
        <v>41848</v>
      </c>
      <c r="C274" s="270">
        <v>8628579</v>
      </c>
      <c r="D274" s="271" t="s">
        <v>655</v>
      </c>
      <c r="E274" s="271"/>
      <c r="F274" s="272" t="s">
        <v>741</v>
      </c>
      <c r="G274" s="272" t="s">
        <v>742</v>
      </c>
      <c r="H274" s="268">
        <v>4129233871</v>
      </c>
      <c r="I274" s="273">
        <v>14500</v>
      </c>
      <c r="J274" s="273">
        <v>14500</v>
      </c>
      <c r="K274" s="268"/>
      <c r="L274" s="268"/>
      <c r="M274" s="268"/>
      <c r="N274" s="268"/>
      <c r="O274" s="268"/>
      <c r="P274" s="268"/>
      <c r="Q274" s="268"/>
      <c r="R274" s="268"/>
      <c r="S274" s="268"/>
      <c r="T274" s="273"/>
      <c r="U274" s="273"/>
      <c r="V274" s="273"/>
      <c r="W274" s="273"/>
      <c r="X274" s="273"/>
      <c r="Y274" s="121"/>
      <c r="Z274" s="121"/>
      <c r="AA274" s="273"/>
      <c r="AB274" s="273"/>
      <c r="AC274" s="273"/>
      <c r="AD274" s="273"/>
      <c r="AE274" s="273"/>
      <c r="AF274" s="273"/>
      <c r="AG274" s="278"/>
      <c r="AH274" s="278"/>
    </row>
    <row r="275" spans="1:301" s="281" customFormat="1" ht="21.75" customHeight="1" x14ac:dyDescent="0.3">
      <c r="A275" s="268">
        <v>275</v>
      </c>
      <c r="B275" s="269">
        <v>41848</v>
      </c>
      <c r="C275" s="270">
        <v>8628579</v>
      </c>
      <c r="D275" s="271" t="s">
        <v>656</v>
      </c>
      <c r="E275" s="271"/>
      <c r="F275" s="272" t="s">
        <v>742</v>
      </c>
      <c r="G275" s="272" t="s">
        <v>742</v>
      </c>
      <c r="H275" s="268">
        <v>4129233871</v>
      </c>
      <c r="I275" s="273">
        <v>14500</v>
      </c>
      <c r="J275" s="273">
        <v>14500</v>
      </c>
      <c r="K275" s="268"/>
      <c r="L275" s="268"/>
      <c r="M275" s="268"/>
      <c r="N275" s="268"/>
      <c r="O275" s="268"/>
      <c r="P275" s="268"/>
      <c r="Q275" s="268"/>
      <c r="R275" s="268"/>
      <c r="S275" s="268"/>
      <c r="T275" s="273"/>
      <c r="U275" s="273"/>
      <c r="V275" s="273"/>
      <c r="W275" s="273"/>
      <c r="X275" s="273"/>
      <c r="Y275" s="121"/>
      <c r="Z275" s="121"/>
      <c r="AA275" s="273"/>
      <c r="AB275" s="273"/>
      <c r="AC275" s="273"/>
      <c r="AD275" s="273"/>
      <c r="AE275" s="273"/>
      <c r="AF275" s="273"/>
      <c r="AG275" s="278"/>
      <c r="AH275" s="278"/>
    </row>
    <row r="276" spans="1:301" s="313" customFormat="1" ht="21.75" customHeight="1" x14ac:dyDescent="0.3">
      <c r="A276" s="173">
        <v>276</v>
      </c>
      <c r="B276" s="423">
        <v>41851</v>
      </c>
      <c r="C276" s="424">
        <v>10876944</v>
      </c>
      <c r="D276" s="329" t="s">
        <v>657</v>
      </c>
      <c r="E276" s="325" t="s">
        <v>79</v>
      </c>
      <c r="F276" s="326" t="s">
        <v>779</v>
      </c>
      <c r="G276" s="326" t="s">
        <v>780</v>
      </c>
      <c r="H276" s="305">
        <v>4129344591</v>
      </c>
      <c r="I276" s="163">
        <v>42900</v>
      </c>
      <c r="J276" s="163">
        <v>3900</v>
      </c>
      <c r="K276" s="97"/>
      <c r="L276" s="97"/>
      <c r="M276" s="97"/>
      <c r="N276" s="97"/>
      <c r="O276" s="97"/>
      <c r="P276" s="97"/>
      <c r="Q276" s="97"/>
      <c r="R276" s="97"/>
      <c r="S276" s="97"/>
      <c r="T276" s="140"/>
      <c r="U276" s="140"/>
      <c r="V276" s="163">
        <v>3900</v>
      </c>
      <c r="W276" s="163">
        <v>3900</v>
      </c>
      <c r="X276" s="163">
        <v>3900</v>
      </c>
      <c r="Y276" s="163"/>
      <c r="Z276" s="163"/>
      <c r="AA276" s="163">
        <v>3900</v>
      </c>
      <c r="AB276" s="163">
        <v>3900</v>
      </c>
      <c r="AC276" s="163">
        <v>1950</v>
      </c>
      <c r="AD276" s="163"/>
      <c r="AE276" s="163"/>
      <c r="AF276" s="163"/>
      <c r="AG276" s="372"/>
      <c r="AH276" s="372"/>
      <c r="AI276" s="356"/>
      <c r="AJ276" s="356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  <c r="BS276" s="356"/>
      <c r="BT276" s="356"/>
      <c r="BU276" s="356"/>
      <c r="BV276" s="356"/>
      <c r="BW276" s="356"/>
      <c r="BX276" s="356"/>
      <c r="BY276" s="356"/>
      <c r="BZ276" s="356"/>
      <c r="CA276" s="356"/>
      <c r="CB276" s="356"/>
      <c r="CC276" s="356"/>
      <c r="CD276" s="356"/>
      <c r="CE276" s="356"/>
      <c r="CF276" s="356"/>
      <c r="CG276" s="356"/>
      <c r="CH276" s="356"/>
      <c r="CI276" s="356"/>
      <c r="CJ276" s="356"/>
      <c r="CK276" s="356"/>
      <c r="CL276" s="356"/>
      <c r="CM276" s="356"/>
      <c r="CN276" s="356"/>
      <c r="CO276" s="356"/>
      <c r="CP276" s="356"/>
      <c r="CQ276" s="356"/>
      <c r="CR276" s="356"/>
      <c r="CS276" s="356"/>
      <c r="CT276" s="356"/>
      <c r="CU276" s="356"/>
      <c r="CV276" s="356"/>
      <c r="CW276" s="356"/>
      <c r="CX276" s="356"/>
      <c r="CY276" s="356"/>
    </row>
    <row r="277" spans="1:301" s="313" customFormat="1" ht="21.75" customHeight="1" x14ac:dyDescent="0.3">
      <c r="A277" s="173">
        <v>277</v>
      </c>
      <c r="B277" s="423">
        <v>41851</v>
      </c>
      <c r="C277" s="424">
        <v>10876944</v>
      </c>
      <c r="D277" s="329" t="s">
        <v>657</v>
      </c>
      <c r="E277" s="325" t="s">
        <v>79</v>
      </c>
      <c r="F277" s="326" t="s">
        <v>781</v>
      </c>
      <c r="G277" s="326" t="s">
        <v>780</v>
      </c>
      <c r="H277" s="305">
        <v>4129344591</v>
      </c>
      <c r="I277" s="163">
        <v>42900</v>
      </c>
      <c r="J277" s="163">
        <v>3900</v>
      </c>
      <c r="K277" s="97"/>
      <c r="L277" s="97"/>
      <c r="M277" s="97"/>
      <c r="N277" s="97"/>
      <c r="O277" s="97"/>
      <c r="P277" s="97"/>
      <c r="Q277" s="97"/>
      <c r="R277" s="97"/>
      <c r="S277" s="97"/>
      <c r="T277" s="140"/>
      <c r="U277" s="140"/>
      <c r="V277" s="163">
        <v>3900</v>
      </c>
      <c r="W277" s="163">
        <v>3900</v>
      </c>
      <c r="X277" s="163">
        <v>3900</v>
      </c>
      <c r="Y277" s="163"/>
      <c r="Z277" s="163"/>
      <c r="AA277" s="163">
        <v>3900</v>
      </c>
      <c r="AB277" s="163">
        <v>3900</v>
      </c>
      <c r="AC277" s="163">
        <v>1950</v>
      </c>
      <c r="AD277" s="163"/>
      <c r="AE277" s="163"/>
      <c r="AF277" s="163"/>
      <c r="AG277" s="372"/>
      <c r="AH277" s="372"/>
      <c r="AI277" s="356"/>
      <c r="AJ277" s="356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  <c r="BS277" s="356"/>
      <c r="BT277" s="356"/>
      <c r="BU277" s="356"/>
      <c r="BV277" s="356"/>
      <c r="BW277" s="356"/>
      <c r="BX277" s="356"/>
      <c r="BY277" s="356"/>
      <c r="BZ277" s="356"/>
      <c r="CA277" s="356"/>
      <c r="CB277" s="356"/>
      <c r="CC277" s="356"/>
      <c r="CD277" s="356"/>
      <c r="CE277" s="356"/>
      <c r="CF277" s="356"/>
      <c r="CG277" s="356"/>
      <c r="CH277" s="356"/>
      <c r="CI277" s="356"/>
      <c r="CJ277" s="356"/>
      <c r="CK277" s="356"/>
      <c r="CL277" s="356"/>
      <c r="CM277" s="356"/>
      <c r="CN277" s="356"/>
      <c r="CO277" s="356"/>
      <c r="CP277" s="356"/>
      <c r="CQ277" s="356"/>
      <c r="CR277" s="356"/>
      <c r="CS277" s="356"/>
      <c r="CT277" s="356"/>
      <c r="CU277" s="356"/>
      <c r="CV277" s="356"/>
      <c r="CW277" s="356"/>
      <c r="CX277" s="356"/>
      <c r="CY277" s="356"/>
    </row>
    <row r="278" spans="1:301" s="227" customFormat="1" ht="21.75" customHeight="1" x14ac:dyDescent="0.3">
      <c r="A278" s="268">
        <v>278</v>
      </c>
      <c r="B278" s="269">
        <v>41851</v>
      </c>
      <c r="C278" s="270">
        <v>10382292</v>
      </c>
      <c r="D278" s="271" t="s">
        <v>658</v>
      </c>
      <c r="E278" s="271"/>
      <c r="F278" s="272" t="s">
        <v>745</v>
      </c>
      <c r="G278" s="272" t="s">
        <v>746</v>
      </c>
      <c r="H278" s="268">
        <v>4125752579</v>
      </c>
      <c r="I278" s="273">
        <v>14500</v>
      </c>
      <c r="J278" s="273">
        <v>14500</v>
      </c>
      <c r="K278" s="268"/>
      <c r="L278" s="268"/>
      <c r="M278" s="268"/>
      <c r="N278" s="268"/>
      <c r="O278" s="268"/>
      <c r="P278" s="268"/>
      <c r="Q278" s="268"/>
      <c r="R278" s="268"/>
      <c r="S278" s="268"/>
      <c r="T278" s="273"/>
      <c r="U278" s="273"/>
      <c r="V278" s="273"/>
      <c r="W278" s="273"/>
      <c r="X278" s="273"/>
      <c r="Y278" s="121"/>
      <c r="Z278" s="121"/>
      <c r="AA278" s="273"/>
      <c r="AB278" s="273"/>
      <c r="AC278" s="273"/>
      <c r="AD278" s="273"/>
      <c r="AE278" s="273"/>
      <c r="AF278" s="273"/>
      <c r="AG278" s="278"/>
      <c r="AH278" s="278"/>
      <c r="AI278" s="282"/>
      <c r="AJ278" s="282"/>
      <c r="AK278" s="282"/>
      <c r="AL278" s="282"/>
      <c r="AM278" s="282"/>
      <c r="AN278" s="282"/>
      <c r="AO278" s="282"/>
      <c r="AP278" s="282"/>
      <c r="AQ278" s="282"/>
      <c r="AR278" s="282"/>
      <c r="AS278" s="282"/>
      <c r="AT278" s="282"/>
      <c r="AU278" s="282"/>
      <c r="AV278" s="282"/>
      <c r="AW278" s="282"/>
      <c r="AX278" s="282"/>
      <c r="AY278" s="282"/>
      <c r="AZ278" s="282"/>
      <c r="BA278" s="282"/>
      <c r="BB278" s="282"/>
      <c r="BC278" s="282"/>
      <c r="BD278" s="282"/>
      <c r="BE278" s="282"/>
      <c r="BF278" s="282"/>
      <c r="BG278" s="282"/>
      <c r="BH278" s="282"/>
      <c r="BI278" s="282"/>
      <c r="BJ278" s="282"/>
      <c r="BK278" s="282"/>
      <c r="BL278" s="282"/>
      <c r="BM278" s="282"/>
      <c r="BN278" s="282"/>
      <c r="BO278" s="282"/>
      <c r="BP278" s="282"/>
      <c r="BQ278" s="282"/>
      <c r="BR278" s="282"/>
      <c r="BS278" s="282"/>
      <c r="BT278" s="282"/>
      <c r="BU278" s="282"/>
      <c r="BV278" s="282"/>
      <c r="BW278" s="282"/>
      <c r="BX278" s="282"/>
      <c r="BY278" s="282"/>
      <c r="BZ278" s="282"/>
      <c r="CA278" s="282"/>
      <c r="CB278" s="282"/>
      <c r="CC278" s="282"/>
      <c r="CD278" s="282"/>
      <c r="CE278" s="282"/>
      <c r="CF278" s="282"/>
      <c r="CG278" s="282"/>
      <c r="CH278" s="282"/>
      <c r="CI278" s="282"/>
      <c r="CJ278" s="282"/>
      <c r="CK278" s="282"/>
      <c r="CL278" s="282"/>
      <c r="CM278" s="282"/>
      <c r="CN278" s="282"/>
      <c r="CO278" s="282"/>
      <c r="CP278" s="282"/>
      <c r="CQ278" s="282"/>
      <c r="CR278" s="282"/>
      <c r="CS278" s="282"/>
      <c r="CT278" s="282"/>
      <c r="CU278" s="282"/>
      <c r="CV278" s="282"/>
      <c r="CW278" s="282"/>
      <c r="CX278" s="282"/>
      <c r="CY278" s="282"/>
    </row>
    <row r="279" spans="1:301" s="227" customFormat="1" ht="21.75" customHeight="1" x14ac:dyDescent="0.3">
      <c r="A279" s="268">
        <v>279</v>
      </c>
      <c r="B279" s="269">
        <v>41851</v>
      </c>
      <c r="C279" s="270">
        <v>10382292</v>
      </c>
      <c r="D279" s="271" t="s">
        <v>659</v>
      </c>
      <c r="E279" s="271"/>
      <c r="F279" s="272" t="s">
        <v>782</v>
      </c>
      <c r="G279" s="272" t="s">
        <v>746</v>
      </c>
      <c r="H279" s="268">
        <v>4125752579</v>
      </c>
      <c r="I279" s="273">
        <v>14500</v>
      </c>
      <c r="J279" s="273">
        <v>14500</v>
      </c>
      <c r="K279" s="268"/>
      <c r="L279" s="268"/>
      <c r="M279" s="268"/>
      <c r="N279" s="268"/>
      <c r="O279" s="268"/>
      <c r="P279" s="268"/>
      <c r="Q279" s="268"/>
      <c r="R279" s="268"/>
      <c r="S279" s="268"/>
      <c r="T279" s="273"/>
      <c r="U279" s="273"/>
      <c r="V279" s="273"/>
      <c r="W279" s="273"/>
      <c r="X279" s="273"/>
      <c r="Y279" s="121"/>
      <c r="Z279" s="121"/>
      <c r="AA279" s="273"/>
      <c r="AB279" s="273"/>
      <c r="AC279" s="273"/>
      <c r="AD279" s="273"/>
      <c r="AE279" s="273"/>
      <c r="AF279" s="273"/>
      <c r="AG279" s="278"/>
      <c r="AH279" s="278"/>
    </row>
    <row r="280" spans="1:301" s="227" customFormat="1" ht="21.75" customHeight="1" x14ac:dyDescent="0.3">
      <c r="A280" s="268">
        <v>280</v>
      </c>
      <c r="B280" s="269">
        <v>41852</v>
      </c>
      <c r="C280" s="270">
        <v>9347273</v>
      </c>
      <c r="D280" s="271" t="s">
        <v>660</v>
      </c>
      <c r="E280" s="271"/>
      <c r="F280" s="272" t="s">
        <v>747</v>
      </c>
      <c r="G280" s="272" t="s">
        <v>748</v>
      </c>
      <c r="H280" s="268">
        <v>4242091458</v>
      </c>
      <c r="I280" s="273">
        <v>12500</v>
      </c>
      <c r="J280" s="273">
        <v>12500</v>
      </c>
      <c r="K280" s="268"/>
      <c r="L280" s="268"/>
      <c r="M280" s="268"/>
      <c r="N280" s="268"/>
      <c r="O280" s="268"/>
      <c r="P280" s="268"/>
      <c r="Q280" s="268"/>
      <c r="R280" s="268"/>
      <c r="S280" s="268"/>
      <c r="T280" s="273"/>
      <c r="U280" s="273"/>
      <c r="V280" s="273"/>
      <c r="W280" s="273"/>
      <c r="X280" s="273"/>
      <c r="Y280" s="121"/>
      <c r="Z280" s="121"/>
      <c r="AA280" s="273"/>
      <c r="AB280" s="273"/>
      <c r="AC280" s="273"/>
      <c r="AD280" s="273"/>
      <c r="AE280" s="273"/>
      <c r="AF280" s="273"/>
      <c r="AG280" s="278"/>
      <c r="AH280" s="278"/>
    </row>
    <row r="281" spans="1:301" s="227" customFormat="1" ht="21.75" customHeight="1" x14ac:dyDescent="0.3">
      <c r="A281" s="268">
        <v>281</v>
      </c>
      <c r="B281" s="269">
        <v>41863</v>
      </c>
      <c r="C281" s="270">
        <v>15408546</v>
      </c>
      <c r="D281" s="271" t="s">
        <v>661</v>
      </c>
      <c r="E281" s="271"/>
      <c r="F281" s="272" t="s">
        <v>783</v>
      </c>
      <c r="G281" s="272" t="s">
        <v>784</v>
      </c>
      <c r="H281" s="268">
        <v>4142817125</v>
      </c>
      <c r="I281" s="273">
        <v>14500</v>
      </c>
      <c r="J281" s="273">
        <v>14500</v>
      </c>
      <c r="K281" s="268"/>
      <c r="L281" s="268"/>
      <c r="M281" s="268"/>
      <c r="N281" s="268"/>
      <c r="O281" s="268"/>
      <c r="P281" s="268"/>
      <c r="Q281" s="268"/>
      <c r="R281" s="268"/>
      <c r="S281" s="268"/>
      <c r="T281" s="273"/>
      <c r="U281" s="273"/>
      <c r="V281" s="273"/>
      <c r="W281" s="273"/>
      <c r="X281" s="273"/>
      <c r="Y281" s="121"/>
      <c r="Z281" s="121"/>
      <c r="AA281" s="273"/>
      <c r="AB281" s="273"/>
      <c r="AC281" s="273"/>
      <c r="AD281" s="273"/>
      <c r="AE281" s="273"/>
      <c r="AF281" s="273"/>
      <c r="AG281" s="278"/>
      <c r="AH281" s="278"/>
      <c r="AI281" s="282"/>
      <c r="AJ281" s="282"/>
      <c r="AK281" s="282"/>
      <c r="AL281" s="282"/>
      <c r="AM281" s="282"/>
      <c r="AN281" s="282"/>
      <c r="AO281" s="282"/>
      <c r="AP281" s="282"/>
      <c r="AQ281" s="282"/>
      <c r="AR281" s="282"/>
      <c r="AS281" s="282"/>
      <c r="AT281" s="282"/>
      <c r="AU281" s="282"/>
      <c r="AV281" s="282"/>
      <c r="AW281" s="282"/>
      <c r="AX281" s="282"/>
      <c r="AY281" s="282"/>
      <c r="AZ281" s="282"/>
      <c r="BA281" s="282"/>
      <c r="BB281" s="282"/>
      <c r="BC281" s="282"/>
      <c r="BD281" s="282"/>
      <c r="BE281" s="282"/>
      <c r="BF281" s="282"/>
      <c r="BG281" s="282"/>
      <c r="BH281" s="282"/>
      <c r="BI281" s="282"/>
      <c r="BJ281" s="282"/>
      <c r="BK281" s="282"/>
      <c r="BL281" s="282"/>
      <c r="BM281" s="282"/>
      <c r="BN281" s="282"/>
      <c r="BO281" s="282"/>
      <c r="BP281" s="282"/>
      <c r="BQ281" s="282"/>
      <c r="BR281" s="282"/>
      <c r="BS281" s="282"/>
      <c r="BT281" s="282"/>
      <c r="BU281" s="282"/>
      <c r="BV281" s="282"/>
      <c r="BW281" s="282"/>
      <c r="BX281" s="282"/>
      <c r="BY281" s="282"/>
      <c r="BZ281" s="282"/>
      <c r="CA281" s="282"/>
      <c r="CB281" s="282"/>
      <c r="CC281" s="282"/>
      <c r="CD281" s="282"/>
      <c r="CE281" s="282"/>
      <c r="CF281" s="282"/>
      <c r="CG281" s="282"/>
      <c r="CH281" s="282"/>
      <c r="CI281" s="282"/>
      <c r="CJ281" s="282"/>
      <c r="CK281" s="282"/>
      <c r="CL281" s="282"/>
      <c r="CM281" s="282"/>
      <c r="CN281" s="282"/>
      <c r="CO281" s="282"/>
      <c r="CP281" s="282"/>
      <c r="CQ281" s="282"/>
      <c r="CR281" s="282"/>
      <c r="CS281" s="282"/>
      <c r="CT281" s="282"/>
      <c r="CU281" s="282"/>
      <c r="CV281" s="282"/>
      <c r="CW281" s="282"/>
      <c r="CX281" s="282"/>
      <c r="CY281" s="282"/>
      <c r="CZ281" s="282"/>
      <c r="DA281" s="282"/>
      <c r="DB281" s="282"/>
      <c r="DC281" s="282"/>
      <c r="DD281" s="282"/>
      <c r="DE281" s="282"/>
      <c r="DF281" s="282"/>
      <c r="DG281" s="282"/>
      <c r="DH281" s="282"/>
      <c r="DI281" s="282"/>
      <c r="DJ281" s="282"/>
      <c r="DK281" s="282"/>
      <c r="DL281" s="282"/>
      <c r="DM281" s="282"/>
      <c r="DN281" s="282"/>
      <c r="DO281" s="282"/>
      <c r="DP281" s="282"/>
      <c r="DQ281" s="282"/>
      <c r="DR281" s="282"/>
      <c r="DS281" s="282"/>
      <c r="DT281" s="282"/>
      <c r="DU281" s="282"/>
      <c r="DV281" s="282"/>
      <c r="DW281" s="282"/>
      <c r="DX281" s="282"/>
      <c r="DY281" s="282"/>
      <c r="DZ281" s="282"/>
      <c r="EA281" s="282"/>
      <c r="EB281" s="282"/>
      <c r="EC281" s="282"/>
      <c r="ED281" s="282"/>
      <c r="EE281" s="282"/>
      <c r="EF281" s="282"/>
      <c r="EG281" s="282"/>
      <c r="EH281" s="282"/>
      <c r="EI281" s="282"/>
      <c r="EJ281" s="282"/>
      <c r="EK281" s="282"/>
      <c r="EL281" s="282"/>
      <c r="EM281" s="282"/>
      <c r="EN281" s="282"/>
      <c r="EO281" s="282"/>
      <c r="EP281" s="282"/>
      <c r="EQ281" s="282"/>
      <c r="ER281" s="282"/>
      <c r="ES281" s="282"/>
      <c r="ET281" s="282"/>
      <c r="EU281" s="282"/>
      <c r="EV281" s="282"/>
      <c r="EW281" s="282"/>
      <c r="EX281" s="282"/>
      <c r="EY281" s="282"/>
      <c r="EZ281" s="282"/>
      <c r="FA281" s="282"/>
      <c r="FB281" s="282"/>
      <c r="FC281" s="282"/>
      <c r="FD281" s="282"/>
      <c r="FE281" s="282"/>
      <c r="FF281" s="282"/>
      <c r="FG281" s="282"/>
      <c r="FH281" s="282"/>
      <c r="FI281" s="282"/>
      <c r="FJ281" s="282"/>
      <c r="FK281" s="282"/>
      <c r="FL281" s="282"/>
      <c r="FM281" s="282"/>
      <c r="FN281" s="282"/>
      <c r="FO281" s="282"/>
      <c r="FP281" s="282"/>
      <c r="FQ281" s="282"/>
      <c r="FR281" s="282"/>
      <c r="FS281" s="282"/>
      <c r="FT281" s="282"/>
      <c r="FU281" s="282"/>
      <c r="FV281" s="282"/>
      <c r="FW281" s="282"/>
      <c r="FX281" s="282"/>
      <c r="FY281" s="282"/>
      <c r="FZ281" s="282"/>
      <c r="GA281" s="282"/>
      <c r="GB281" s="282"/>
      <c r="GC281" s="282"/>
      <c r="GD281" s="282"/>
      <c r="GE281" s="282"/>
      <c r="GF281" s="282"/>
      <c r="GG281" s="282"/>
      <c r="GH281" s="282"/>
      <c r="GI281" s="282"/>
      <c r="GJ281" s="282"/>
      <c r="GK281" s="282"/>
      <c r="GL281" s="282"/>
      <c r="GM281" s="282"/>
      <c r="GN281" s="282"/>
      <c r="GO281" s="282"/>
      <c r="GP281" s="282"/>
      <c r="GQ281" s="282"/>
      <c r="GR281" s="282"/>
      <c r="GS281" s="282"/>
      <c r="GT281" s="282"/>
      <c r="GU281" s="282"/>
      <c r="GV281" s="282"/>
      <c r="GW281" s="282"/>
      <c r="GX281" s="282"/>
      <c r="GY281" s="282"/>
      <c r="GZ281" s="282"/>
      <c r="HA281" s="282"/>
      <c r="HB281" s="282"/>
      <c r="HC281" s="282"/>
      <c r="HD281" s="282"/>
      <c r="HE281" s="282"/>
      <c r="HF281" s="282"/>
      <c r="HG281" s="282"/>
      <c r="HH281" s="282"/>
      <c r="HI281" s="282"/>
      <c r="HJ281" s="282"/>
      <c r="HK281" s="282"/>
      <c r="HL281" s="282"/>
      <c r="HM281" s="282"/>
      <c r="HN281" s="282"/>
      <c r="HO281" s="282"/>
      <c r="HP281" s="282"/>
      <c r="HQ281" s="282"/>
      <c r="HR281" s="282"/>
      <c r="HS281" s="282"/>
      <c r="HT281" s="282"/>
      <c r="HU281" s="282"/>
      <c r="HV281" s="282"/>
      <c r="HW281" s="282"/>
      <c r="HX281" s="282"/>
      <c r="HY281" s="282"/>
      <c r="HZ281" s="282"/>
      <c r="IA281" s="282"/>
      <c r="IB281" s="282"/>
      <c r="IC281" s="282"/>
      <c r="ID281" s="282"/>
      <c r="IE281" s="282"/>
      <c r="IF281" s="282"/>
      <c r="IG281" s="282"/>
      <c r="IH281" s="282"/>
      <c r="II281" s="282"/>
      <c r="IJ281" s="282"/>
      <c r="IK281" s="282"/>
      <c r="IL281" s="282"/>
      <c r="IM281" s="282"/>
      <c r="IN281" s="282"/>
      <c r="IO281" s="282"/>
      <c r="IP281" s="282"/>
      <c r="IQ281" s="282"/>
      <c r="IR281" s="282"/>
      <c r="IS281" s="282"/>
      <c r="IT281" s="282"/>
      <c r="IU281" s="282"/>
      <c r="IV281" s="282"/>
      <c r="IW281" s="282"/>
      <c r="IX281" s="282"/>
      <c r="IY281" s="282"/>
      <c r="IZ281" s="282"/>
      <c r="JA281" s="282"/>
      <c r="JB281" s="282"/>
      <c r="JC281" s="282"/>
      <c r="JD281" s="282"/>
      <c r="JE281" s="282"/>
      <c r="JF281" s="282"/>
      <c r="JG281" s="282"/>
      <c r="JH281" s="282"/>
      <c r="JI281" s="282"/>
      <c r="JJ281" s="282"/>
      <c r="JK281" s="282"/>
      <c r="JL281" s="282"/>
      <c r="JM281" s="282"/>
      <c r="JN281" s="282"/>
      <c r="JO281" s="282"/>
      <c r="JP281" s="282"/>
      <c r="JQ281" s="282"/>
      <c r="JR281" s="282"/>
      <c r="JS281" s="282"/>
      <c r="JT281" s="282"/>
      <c r="JU281" s="282"/>
      <c r="JV281" s="282"/>
      <c r="JW281" s="282"/>
      <c r="JX281" s="282"/>
      <c r="JY281" s="282"/>
      <c r="JZ281" s="282"/>
      <c r="KA281" s="282"/>
      <c r="KB281" s="282"/>
      <c r="KC281" s="282"/>
      <c r="KD281" s="282"/>
      <c r="KE281" s="282"/>
      <c r="KF281" s="282"/>
      <c r="KG281" s="282"/>
      <c r="KH281" s="282"/>
      <c r="KI281" s="282"/>
      <c r="KJ281" s="282"/>
      <c r="KK281" s="282"/>
      <c r="KL281" s="282"/>
      <c r="KM281" s="282"/>
      <c r="KN281" s="282"/>
      <c r="KO281" s="282"/>
    </row>
    <row r="282" spans="1:301" s="227" customFormat="1" ht="21.75" customHeight="1" x14ac:dyDescent="0.3">
      <c r="A282" s="268">
        <v>282</v>
      </c>
      <c r="B282" s="269">
        <v>41865</v>
      </c>
      <c r="C282" s="270">
        <v>16007030</v>
      </c>
      <c r="D282" s="271" t="s">
        <v>662</v>
      </c>
      <c r="E282" s="271"/>
      <c r="F282" s="272" t="s">
        <v>785</v>
      </c>
      <c r="G282" s="272" t="s">
        <v>786</v>
      </c>
      <c r="H282" s="268">
        <v>4265202381</v>
      </c>
      <c r="I282" s="273">
        <v>14500</v>
      </c>
      <c r="J282" s="273">
        <v>14500</v>
      </c>
      <c r="K282" s="268"/>
      <c r="L282" s="268"/>
      <c r="M282" s="268"/>
      <c r="N282" s="268"/>
      <c r="O282" s="268"/>
      <c r="P282" s="268"/>
      <c r="Q282" s="268"/>
      <c r="R282" s="268"/>
      <c r="S282" s="268"/>
      <c r="T282" s="273"/>
      <c r="U282" s="273"/>
      <c r="V282" s="273"/>
      <c r="W282" s="273"/>
      <c r="X282" s="273"/>
      <c r="Y282" s="121"/>
      <c r="Z282" s="121"/>
      <c r="AA282" s="273"/>
      <c r="AB282" s="273"/>
      <c r="AC282" s="273"/>
      <c r="AD282" s="273"/>
      <c r="AE282" s="273"/>
      <c r="AF282" s="273"/>
      <c r="AG282" s="278"/>
      <c r="AH282" s="278"/>
      <c r="AI282" s="282"/>
      <c r="AJ282" s="282"/>
      <c r="AK282" s="282"/>
      <c r="AL282" s="282"/>
      <c r="AM282" s="282"/>
      <c r="AN282" s="282"/>
      <c r="AO282" s="282"/>
      <c r="AP282" s="282"/>
      <c r="AQ282" s="282"/>
      <c r="AR282" s="282"/>
      <c r="AS282" s="282"/>
      <c r="AT282" s="282"/>
      <c r="AU282" s="282"/>
      <c r="AV282" s="282"/>
      <c r="AW282" s="282"/>
      <c r="AX282" s="282"/>
      <c r="AY282" s="282"/>
      <c r="AZ282" s="282"/>
      <c r="BA282" s="282"/>
      <c r="BB282" s="282"/>
      <c r="BC282" s="282"/>
      <c r="BD282" s="282"/>
      <c r="BE282" s="282"/>
      <c r="BF282" s="282"/>
      <c r="BG282" s="282"/>
      <c r="BH282" s="282"/>
      <c r="BI282" s="282"/>
      <c r="BJ282" s="282"/>
      <c r="BK282" s="282"/>
      <c r="BL282" s="282"/>
      <c r="BM282" s="282"/>
      <c r="BN282" s="282"/>
      <c r="BO282" s="282"/>
      <c r="BP282" s="282"/>
      <c r="BQ282" s="282"/>
      <c r="BR282" s="282"/>
      <c r="BS282" s="282"/>
      <c r="BT282" s="282"/>
      <c r="BU282" s="282"/>
      <c r="BV282" s="282"/>
      <c r="BW282" s="282"/>
      <c r="BX282" s="282"/>
      <c r="BY282" s="282"/>
      <c r="BZ282" s="282"/>
      <c r="CA282" s="282"/>
      <c r="CB282" s="282"/>
      <c r="CC282" s="282"/>
      <c r="CD282" s="282"/>
      <c r="CE282" s="282"/>
      <c r="CF282" s="282"/>
      <c r="CG282" s="282"/>
      <c r="CH282" s="282"/>
      <c r="CI282" s="282"/>
      <c r="CJ282" s="282"/>
      <c r="CK282" s="282"/>
      <c r="CL282" s="282"/>
      <c r="CM282" s="282"/>
      <c r="CN282" s="282"/>
      <c r="CO282" s="282"/>
      <c r="CP282" s="282"/>
      <c r="CQ282" s="282"/>
      <c r="CR282" s="282"/>
      <c r="CS282" s="282"/>
      <c r="CT282" s="282"/>
      <c r="CU282" s="282"/>
      <c r="CV282" s="282"/>
      <c r="CW282" s="282"/>
      <c r="CX282" s="282"/>
      <c r="CY282" s="282"/>
      <c r="CZ282" s="282"/>
      <c r="DA282" s="282"/>
      <c r="DB282" s="282"/>
      <c r="DC282" s="282"/>
      <c r="DD282" s="282"/>
      <c r="DE282" s="282"/>
      <c r="DF282" s="282"/>
      <c r="DG282" s="282"/>
      <c r="DH282" s="282"/>
      <c r="DI282" s="282"/>
      <c r="DJ282" s="282"/>
      <c r="DK282" s="282"/>
      <c r="DL282" s="282"/>
      <c r="DM282" s="282"/>
      <c r="DN282" s="282"/>
      <c r="DO282" s="282"/>
      <c r="DP282" s="282"/>
      <c r="DQ282" s="282"/>
      <c r="DR282" s="282"/>
      <c r="DS282" s="282"/>
      <c r="DT282" s="282"/>
      <c r="DU282" s="282"/>
      <c r="DV282" s="282"/>
      <c r="DW282" s="282"/>
      <c r="DX282" s="282"/>
      <c r="DY282" s="282"/>
      <c r="DZ282" s="282"/>
      <c r="EA282" s="282"/>
      <c r="EB282" s="282"/>
      <c r="EC282" s="282"/>
      <c r="ED282" s="282"/>
      <c r="EE282" s="282"/>
      <c r="EF282" s="282"/>
      <c r="EG282" s="282"/>
      <c r="EH282" s="282"/>
      <c r="EI282" s="282"/>
      <c r="EJ282" s="282"/>
      <c r="EK282" s="282"/>
      <c r="EL282" s="282"/>
      <c r="EM282" s="282"/>
      <c r="EN282" s="282"/>
      <c r="EO282" s="282"/>
      <c r="EP282" s="282"/>
      <c r="EQ282" s="282"/>
      <c r="ER282" s="282"/>
      <c r="ES282" s="282"/>
      <c r="ET282" s="282"/>
      <c r="EU282" s="282"/>
      <c r="EV282" s="282"/>
      <c r="EW282" s="282"/>
      <c r="EX282" s="282"/>
      <c r="EY282" s="282"/>
      <c r="EZ282" s="282"/>
      <c r="FA282" s="282"/>
      <c r="FB282" s="282"/>
      <c r="FC282" s="282"/>
      <c r="FD282" s="282"/>
      <c r="FE282" s="282"/>
      <c r="FF282" s="282"/>
      <c r="FG282" s="282"/>
      <c r="FH282" s="282"/>
      <c r="FI282" s="282"/>
      <c r="FJ282" s="282"/>
      <c r="FK282" s="282"/>
      <c r="FL282" s="282"/>
      <c r="FM282" s="282"/>
      <c r="FN282" s="282"/>
      <c r="FO282" s="282"/>
      <c r="FP282" s="282"/>
      <c r="FQ282" s="282"/>
      <c r="FR282" s="282"/>
      <c r="FS282" s="282"/>
      <c r="FT282" s="282"/>
      <c r="FU282" s="282"/>
      <c r="FV282" s="282"/>
      <c r="FW282" s="282"/>
      <c r="FX282" s="282"/>
      <c r="FY282" s="282"/>
      <c r="FZ282" s="282"/>
      <c r="GA282" s="282"/>
      <c r="GB282" s="282"/>
      <c r="GC282" s="282"/>
      <c r="GD282" s="282"/>
      <c r="GE282" s="282"/>
      <c r="GF282" s="282"/>
      <c r="GG282" s="282"/>
      <c r="GH282" s="282"/>
      <c r="GI282" s="282"/>
      <c r="GJ282" s="282"/>
      <c r="GK282" s="282"/>
      <c r="GL282" s="282"/>
      <c r="GM282" s="282"/>
      <c r="GN282" s="282"/>
      <c r="GO282" s="282"/>
      <c r="GP282" s="282"/>
      <c r="GQ282" s="282"/>
      <c r="GR282" s="282"/>
      <c r="GS282" s="282"/>
      <c r="GT282" s="282"/>
      <c r="GU282" s="282"/>
      <c r="GV282" s="282"/>
      <c r="GW282" s="282"/>
      <c r="GX282" s="282"/>
      <c r="GY282" s="282"/>
      <c r="GZ282" s="282"/>
      <c r="HA282" s="282"/>
      <c r="HB282" s="282"/>
      <c r="HC282" s="282"/>
      <c r="HD282" s="282"/>
      <c r="HE282" s="282"/>
      <c r="HF282" s="282"/>
      <c r="HG282" s="282"/>
      <c r="HH282" s="282"/>
      <c r="HI282" s="282"/>
      <c r="HJ282" s="282"/>
      <c r="HK282" s="282"/>
      <c r="HL282" s="282"/>
      <c r="HM282" s="282"/>
      <c r="HN282" s="282"/>
      <c r="HO282" s="282"/>
      <c r="HP282" s="282"/>
      <c r="HQ282" s="282"/>
      <c r="HR282" s="282"/>
      <c r="HS282" s="282"/>
      <c r="HT282" s="282"/>
      <c r="HU282" s="282"/>
      <c r="HV282" s="282"/>
      <c r="HW282" s="282"/>
      <c r="HX282" s="282"/>
      <c r="HY282" s="282"/>
      <c r="HZ282" s="282"/>
      <c r="IA282" s="282"/>
      <c r="IB282" s="282"/>
      <c r="IC282" s="282"/>
      <c r="ID282" s="282"/>
      <c r="IE282" s="282"/>
      <c r="IF282" s="282"/>
      <c r="IG282" s="282"/>
      <c r="IH282" s="282"/>
      <c r="II282" s="282"/>
      <c r="IJ282" s="282"/>
      <c r="IK282" s="282"/>
      <c r="IL282" s="282"/>
      <c r="IM282" s="282"/>
      <c r="IN282" s="282"/>
      <c r="IO282" s="282"/>
      <c r="IP282" s="282"/>
      <c r="IQ282" s="282"/>
      <c r="IR282" s="282"/>
      <c r="IS282" s="282"/>
      <c r="IT282" s="282"/>
      <c r="IU282" s="282"/>
      <c r="IV282" s="282"/>
      <c r="IW282" s="282"/>
      <c r="IX282" s="282"/>
      <c r="IY282" s="282"/>
      <c r="IZ282" s="282"/>
      <c r="JA282" s="282"/>
      <c r="JB282" s="282"/>
      <c r="JC282" s="282"/>
      <c r="JD282" s="282"/>
      <c r="JE282" s="282"/>
      <c r="JF282" s="282"/>
      <c r="JG282" s="282"/>
      <c r="JH282" s="282"/>
      <c r="JI282" s="282"/>
      <c r="JJ282" s="282"/>
      <c r="JK282" s="282"/>
      <c r="JL282" s="282"/>
      <c r="JM282" s="282"/>
      <c r="JN282" s="282"/>
      <c r="JO282" s="282"/>
      <c r="JP282" s="282"/>
      <c r="JQ282" s="282"/>
      <c r="JR282" s="282"/>
      <c r="JS282" s="282"/>
      <c r="JT282" s="282"/>
      <c r="JU282" s="282"/>
      <c r="JV282" s="282"/>
      <c r="JW282" s="282"/>
      <c r="JX282" s="282"/>
      <c r="JY282" s="282"/>
      <c r="JZ282" s="282"/>
      <c r="KA282" s="282"/>
      <c r="KB282" s="282"/>
      <c r="KC282" s="282"/>
      <c r="KD282" s="282"/>
      <c r="KE282" s="282"/>
      <c r="KF282" s="282"/>
      <c r="KG282" s="282"/>
      <c r="KH282" s="282"/>
      <c r="KI282" s="282"/>
      <c r="KJ282" s="282"/>
      <c r="KK282" s="282"/>
      <c r="KL282" s="282"/>
      <c r="KM282" s="282"/>
      <c r="KN282" s="282"/>
      <c r="KO282" s="282"/>
    </row>
    <row r="283" spans="1:301" s="227" customFormat="1" ht="21.75" customHeight="1" x14ac:dyDescent="0.3">
      <c r="A283" s="268">
        <v>283</v>
      </c>
      <c r="B283" s="269">
        <v>41869</v>
      </c>
      <c r="C283" s="270">
        <v>19559655</v>
      </c>
      <c r="D283" s="271" t="s">
        <v>663</v>
      </c>
      <c r="E283" s="271"/>
      <c r="F283" s="272" t="s">
        <v>787</v>
      </c>
      <c r="G283" s="272" t="s">
        <v>788</v>
      </c>
      <c r="H283" s="268">
        <v>4123724991</v>
      </c>
      <c r="I283" s="273">
        <v>14500</v>
      </c>
      <c r="J283" s="273">
        <v>14500</v>
      </c>
      <c r="K283" s="268"/>
      <c r="L283" s="268"/>
      <c r="M283" s="268"/>
      <c r="N283" s="268"/>
      <c r="O283" s="268"/>
      <c r="P283" s="268"/>
      <c r="Q283" s="268"/>
      <c r="R283" s="268"/>
      <c r="S283" s="268"/>
      <c r="T283" s="273"/>
      <c r="U283" s="273"/>
      <c r="V283" s="273"/>
      <c r="W283" s="273"/>
      <c r="X283" s="273"/>
      <c r="Y283" s="121"/>
      <c r="Z283" s="121"/>
      <c r="AA283" s="273"/>
      <c r="AB283" s="273"/>
      <c r="AC283" s="273"/>
      <c r="AD283" s="273"/>
      <c r="AE283" s="273"/>
      <c r="AF283" s="273"/>
      <c r="AG283" s="278"/>
      <c r="AH283" s="278"/>
      <c r="AI283" s="282"/>
      <c r="AJ283" s="282"/>
      <c r="AK283" s="282"/>
      <c r="AL283" s="282"/>
      <c r="AM283" s="282"/>
      <c r="AN283" s="282"/>
      <c r="AO283" s="282"/>
      <c r="AP283" s="282"/>
      <c r="AQ283" s="282"/>
      <c r="AR283" s="282"/>
      <c r="AS283" s="282"/>
      <c r="AT283" s="282"/>
      <c r="AU283" s="282"/>
      <c r="AV283" s="282"/>
      <c r="AW283" s="282"/>
      <c r="AX283" s="282"/>
      <c r="AY283" s="282"/>
      <c r="AZ283" s="282"/>
      <c r="BA283" s="282"/>
      <c r="BB283" s="282"/>
      <c r="BC283" s="282"/>
      <c r="BD283" s="282"/>
      <c r="BE283" s="282"/>
      <c r="BF283" s="282"/>
      <c r="BG283" s="282"/>
      <c r="BH283" s="282"/>
      <c r="BI283" s="282"/>
      <c r="BJ283" s="282"/>
      <c r="BK283" s="282"/>
      <c r="BL283" s="282"/>
      <c r="BM283" s="282"/>
      <c r="BN283" s="282"/>
      <c r="BO283" s="282"/>
      <c r="BP283" s="282"/>
      <c r="BQ283" s="282"/>
      <c r="BR283" s="282"/>
      <c r="BS283" s="282"/>
      <c r="BT283" s="282"/>
      <c r="BU283" s="282"/>
      <c r="BV283" s="282"/>
      <c r="BW283" s="282"/>
      <c r="BX283" s="282"/>
      <c r="BY283" s="282"/>
      <c r="BZ283" s="282"/>
      <c r="CA283" s="282"/>
      <c r="CB283" s="282"/>
      <c r="CC283" s="282"/>
      <c r="CD283" s="282"/>
      <c r="CE283" s="282"/>
      <c r="CF283" s="282"/>
      <c r="CG283" s="282"/>
      <c r="CH283" s="282"/>
      <c r="CI283" s="282"/>
      <c r="CJ283" s="282"/>
      <c r="CK283" s="282"/>
      <c r="CL283" s="282"/>
      <c r="CM283" s="282"/>
      <c r="CN283" s="282"/>
      <c r="CO283" s="282"/>
      <c r="CP283" s="282"/>
      <c r="CQ283" s="282"/>
      <c r="CR283" s="282"/>
      <c r="CS283" s="282"/>
      <c r="CT283" s="282"/>
      <c r="CU283" s="282"/>
      <c r="CV283" s="282"/>
      <c r="CW283" s="282"/>
      <c r="CX283" s="282"/>
      <c r="CY283" s="282"/>
      <c r="CZ283" s="282"/>
      <c r="DA283" s="282"/>
      <c r="DB283" s="282"/>
      <c r="DC283" s="282"/>
      <c r="DD283" s="282"/>
      <c r="DE283" s="282"/>
      <c r="DF283" s="282"/>
      <c r="DG283" s="282"/>
      <c r="DH283" s="282"/>
      <c r="DI283" s="282"/>
      <c r="DJ283" s="282"/>
      <c r="DK283" s="282"/>
      <c r="DL283" s="282"/>
      <c r="DM283" s="282"/>
      <c r="DN283" s="282"/>
      <c r="DO283" s="282"/>
      <c r="DP283" s="282"/>
      <c r="DQ283" s="282"/>
      <c r="DR283" s="282"/>
      <c r="DS283" s="282"/>
      <c r="DT283" s="282"/>
      <c r="DU283" s="282"/>
      <c r="DV283" s="282"/>
      <c r="DW283" s="282"/>
      <c r="DX283" s="282"/>
      <c r="DY283" s="282"/>
      <c r="DZ283" s="282"/>
      <c r="EA283" s="282"/>
      <c r="EB283" s="282"/>
      <c r="EC283" s="282"/>
      <c r="ED283" s="282"/>
      <c r="EE283" s="282"/>
      <c r="EF283" s="282"/>
      <c r="EG283" s="282"/>
      <c r="EH283" s="282"/>
      <c r="EI283" s="282"/>
      <c r="EJ283" s="282"/>
      <c r="EK283" s="282"/>
      <c r="EL283" s="282"/>
      <c r="EM283" s="282"/>
      <c r="EN283" s="282"/>
      <c r="EO283" s="282"/>
      <c r="EP283" s="282"/>
      <c r="EQ283" s="282"/>
      <c r="ER283" s="282"/>
      <c r="ES283" s="282"/>
      <c r="ET283" s="282"/>
      <c r="EU283" s="282"/>
      <c r="EV283" s="282"/>
      <c r="EW283" s="282"/>
      <c r="EX283" s="282"/>
      <c r="EY283" s="282"/>
      <c r="EZ283" s="282"/>
      <c r="FA283" s="282"/>
      <c r="FB283" s="282"/>
      <c r="FC283" s="282"/>
      <c r="FD283" s="282"/>
      <c r="FE283" s="282"/>
      <c r="FF283" s="282"/>
      <c r="FG283" s="282"/>
      <c r="FH283" s="282"/>
      <c r="FI283" s="282"/>
      <c r="FJ283" s="282"/>
      <c r="FK283" s="282"/>
      <c r="FL283" s="282"/>
      <c r="FM283" s="282"/>
      <c r="FN283" s="282"/>
      <c r="FO283" s="282"/>
      <c r="FP283" s="282"/>
      <c r="FQ283" s="282"/>
      <c r="FR283" s="282"/>
      <c r="FS283" s="282"/>
      <c r="FT283" s="282"/>
      <c r="FU283" s="282"/>
      <c r="FV283" s="282"/>
      <c r="FW283" s="282"/>
      <c r="FX283" s="282"/>
      <c r="FY283" s="282"/>
      <c r="FZ283" s="282"/>
      <c r="GA283" s="282"/>
      <c r="GB283" s="282"/>
      <c r="GC283" s="282"/>
      <c r="GD283" s="282"/>
      <c r="GE283" s="282"/>
      <c r="GF283" s="282"/>
      <c r="GG283" s="282"/>
      <c r="GH283" s="282"/>
      <c r="GI283" s="282"/>
      <c r="GJ283" s="282"/>
      <c r="GK283" s="282"/>
      <c r="GL283" s="282"/>
      <c r="GM283" s="282"/>
      <c r="GN283" s="282"/>
      <c r="GO283" s="282"/>
      <c r="GP283" s="282"/>
      <c r="GQ283" s="282"/>
      <c r="GR283" s="282"/>
      <c r="GS283" s="282"/>
      <c r="GT283" s="282"/>
      <c r="GU283" s="282"/>
      <c r="GV283" s="282"/>
      <c r="GW283" s="282"/>
      <c r="GX283" s="282"/>
      <c r="GY283" s="282"/>
      <c r="GZ283" s="282"/>
      <c r="HA283" s="282"/>
      <c r="HB283" s="282"/>
      <c r="HC283" s="282"/>
      <c r="HD283" s="282"/>
      <c r="HE283" s="282"/>
      <c r="HF283" s="282"/>
      <c r="HG283" s="282"/>
      <c r="HH283" s="282"/>
      <c r="HI283" s="282"/>
      <c r="HJ283" s="282"/>
      <c r="HK283" s="282"/>
      <c r="HL283" s="282"/>
      <c r="HM283" s="282"/>
      <c r="HN283" s="282"/>
      <c r="HO283" s="282"/>
      <c r="HP283" s="282"/>
      <c r="HQ283" s="282"/>
      <c r="HR283" s="282"/>
      <c r="HS283" s="282"/>
      <c r="HT283" s="282"/>
      <c r="HU283" s="282"/>
      <c r="HV283" s="282"/>
      <c r="HW283" s="282"/>
      <c r="HX283" s="282"/>
      <c r="HY283" s="282"/>
      <c r="HZ283" s="282"/>
      <c r="IA283" s="282"/>
      <c r="IB283" s="282"/>
      <c r="IC283" s="282"/>
      <c r="ID283" s="282"/>
      <c r="IE283" s="282"/>
      <c r="IF283" s="282"/>
      <c r="IG283" s="282"/>
      <c r="IH283" s="282"/>
      <c r="II283" s="282"/>
      <c r="IJ283" s="282"/>
      <c r="IK283" s="282"/>
      <c r="IL283" s="282"/>
      <c r="IM283" s="282"/>
      <c r="IN283" s="282"/>
      <c r="IO283" s="282"/>
      <c r="IP283" s="282"/>
      <c r="IQ283" s="282"/>
      <c r="IR283" s="282"/>
      <c r="IS283" s="282"/>
      <c r="IT283" s="282"/>
      <c r="IU283" s="282"/>
      <c r="IV283" s="282"/>
      <c r="IW283" s="282"/>
      <c r="IX283" s="282"/>
      <c r="IY283" s="282"/>
      <c r="IZ283" s="282"/>
      <c r="JA283" s="282"/>
      <c r="JB283" s="282"/>
      <c r="JC283" s="282"/>
      <c r="JD283" s="282"/>
      <c r="JE283" s="282"/>
      <c r="JF283" s="282"/>
      <c r="JG283" s="282"/>
      <c r="JH283" s="282"/>
      <c r="JI283" s="282"/>
      <c r="JJ283" s="282"/>
      <c r="JK283" s="282"/>
      <c r="JL283" s="282"/>
      <c r="JM283" s="282"/>
      <c r="JN283" s="282"/>
      <c r="JO283" s="282"/>
      <c r="JP283" s="282"/>
      <c r="JQ283" s="282"/>
      <c r="JR283" s="282"/>
      <c r="JS283" s="282"/>
      <c r="JT283" s="282"/>
      <c r="JU283" s="282"/>
      <c r="JV283" s="282"/>
      <c r="JW283" s="282"/>
      <c r="JX283" s="282"/>
      <c r="JY283" s="282"/>
      <c r="JZ283" s="282"/>
      <c r="KA283" s="282"/>
      <c r="KB283" s="282"/>
      <c r="KC283" s="282"/>
      <c r="KD283" s="282"/>
      <c r="KE283" s="282"/>
      <c r="KF283" s="282"/>
      <c r="KG283" s="282"/>
      <c r="KH283" s="282"/>
      <c r="KI283" s="282"/>
      <c r="KJ283" s="282"/>
      <c r="KK283" s="282"/>
      <c r="KL283" s="282"/>
      <c r="KM283" s="282"/>
      <c r="KN283" s="282"/>
      <c r="KO283" s="282"/>
    </row>
    <row r="284" spans="1:301" s="2" customFormat="1" ht="21.75" customHeight="1" x14ac:dyDescent="0.3">
      <c r="A284" s="9">
        <v>284</v>
      </c>
      <c r="B284" s="334">
        <v>41869</v>
      </c>
      <c r="C284" s="133">
        <v>8825152</v>
      </c>
      <c r="D284" s="17" t="s">
        <v>664</v>
      </c>
      <c r="E284" s="333"/>
      <c r="F284" s="371" t="s">
        <v>560</v>
      </c>
      <c r="G284" s="371" t="s">
        <v>561</v>
      </c>
      <c r="H284" s="370">
        <v>4142359723</v>
      </c>
      <c r="I284" s="369">
        <v>42900</v>
      </c>
      <c r="J284" s="369">
        <v>3900</v>
      </c>
      <c r="K284" s="370"/>
      <c r="L284" s="370"/>
      <c r="M284" s="370"/>
      <c r="N284" s="370"/>
      <c r="O284" s="370"/>
      <c r="P284" s="370"/>
      <c r="Q284" s="370"/>
      <c r="R284" s="370"/>
      <c r="S284" s="370"/>
      <c r="T284" s="369"/>
      <c r="U284" s="369"/>
      <c r="V284" s="369"/>
      <c r="W284" s="369">
        <v>3900</v>
      </c>
      <c r="X284" s="369">
        <v>3900</v>
      </c>
      <c r="Y284" s="175"/>
      <c r="Z284" s="175"/>
      <c r="AA284" s="369">
        <v>3900</v>
      </c>
      <c r="AB284" s="369">
        <v>3900</v>
      </c>
      <c r="AC284" s="369"/>
      <c r="AD284" s="369"/>
      <c r="AE284" s="369"/>
      <c r="AF284" s="369"/>
      <c r="AG284" s="57"/>
      <c r="AH284" s="57"/>
    </row>
    <row r="285" spans="1:301" s="58" customFormat="1" ht="21.75" customHeight="1" x14ac:dyDescent="0.3">
      <c r="A285" s="9">
        <v>285</v>
      </c>
      <c r="B285" s="368">
        <v>41870</v>
      </c>
      <c r="C285" s="133">
        <v>13232356</v>
      </c>
      <c r="D285" s="17" t="s">
        <v>665</v>
      </c>
      <c r="E285" s="126" t="s">
        <v>79</v>
      </c>
      <c r="F285" s="152" t="s">
        <v>608</v>
      </c>
      <c r="G285" s="152" t="s">
        <v>609</v>
      </c>
      <c r="H285" s="189">
        <v>4241079253</v>
      </c>
      <c r="I285" s="65">
        <v>42900</v>
      </c>
      <c r="J285" s="65">
        <v>3900</v>
      </c>
      <c r="K285" s="118"/>
      <c r="L285" s="118"/>
      <c r="M285" s="118"/>
      <c r="N285" s="118"/>
      <c r="O285" s="118"/>
      <c r="P285" s="118"/>
      <c r="Q285" s="118"/>
      <c r="R285" s="118"/>
      <c r="S285" s="118"/>
      <c r="T285" s="120"/>
      <c r="U285" s="120"/>
      <c r="V285" s="120"/>
      <c r="W285" s="65">
        <v>3900</v>
      </c>
      <c r="X285" s="65">
        <v>3900</v>
      </c>
      <c r="Y285" s="65"/>
      <c r="Z285" s="65"/>
      <c r="AA285" s="65">
        <v>3900</v>
      </c>
      <c r="AB285" s="65">
        <v>3900</v>
      </c>
      <c r="AC285" s="65"/>
      <c r="AD285" s="65"/>
      <c r="AE285" s="65"/>
      <c r="AF285" s="65"/>
      <c r="AG285" s="26"/>
      <c r="AH285" s="26"/>
    </row>
    <row r="286" spans="1:301" s="58" customFormat="1" ht="21.75" customHeight="1" x14ac:dyDescent="0.3">
      <c r="A286" s="9">
        <v>286</v>
      </c>
      <c r="B286" s="368">
        <v>41870</v>
      </c>
      <c r="C286" s="133">
        <v>13232356</v>
      </c>
      <c r="D286" s="17" t="s">
        <v>666</v>
      </c>
      <c r="E286" s="126" t="s">
        <v>79</v>
      </c>
      <c r="F286" s="152" t="s">
        <v>610</v>
      </c>
      <c r="G286" s="152" t="s">
        <v>609</v>
      </c>
      <c r="H286" s="189">
        <v>4241079253</v>
      </c>
      <c r="I286" s="65">
        <v>42900</v>
      </c>
      <c r="J286" s="65">
        <v>3900</v>
      </c>
      <c r="K286" s="118"/>
      <c r="L286" s="118"/>
      <c r="M286" s="118"/>
      <c r="N286" s="118"/>
      <c r="O286" s="118"/>
      <c r="P286" s="118"/>
      <c r="Q286" s="118"/>
      <c r="R286" s="118"/>
      <c r="S286" s="118"/>
      <c r="T286" s="120"/>
      <c r="U286" s="120"/>
      <c r="V286" s="120"/>
      <c r="W286" s="65">
        <v>3900</v>
      </c>
      <c r="X286" s="65">
        <v>3900</v>
      </c>
      <c r="Y286" s="65"/>
      <c r="Z286" s="65"/>
      <c r="AA286" s="65">
        <v>3900</v>
      </c>
      <c r="AB286" s="65">
        <v>3900</v>
      </c>
      <c r="AC286" s="65"/>
      <c r="AD286" s="65"/>
      <c r="AE286" s="65"/>
      <c r="AF286" s="65"/>
      <c r="AG286" s="26"/>
      <c r="AH286" s="26"/>
    </row>
    <row r="287" spans="1:301" s="281" customFormat="1" ht="21.75" customHeight="1" x14ac:dyDescent="0.3">
      <c r="A287" s="268">
        <v>287</v>
      </c>
      <c r="B287" s="269">
        <v>41871</v>
      </c>
      <c r="C287" s="270">
        <v>13494392</v>
      </c>
      <c r="D287" s="271" t="s">
        <v>667</v>
      </c>
      <c r="E287" s="271" t="s">
        <v>301</v>
      </c>
      <c r="F287" s="272" t="s">
        <v>789</v>
      </c>
      <c r="G287" s="272" t="s">
        <v>790</v>
      </c>
      <c r="H287" s="268">
        <v>4142387279</v>
      </c>
      <c r="I287" s="273">
        <v>14500</v>
      </c>
      <c r="J287" s="273">
        <v>14500</v>
      </c>
      <c r="K287" s="268"/>
      <c r="L287" s="268"/>
      <c r="M287" s="268"/>
      <c r="N287" s="268"/>
      <c r="O287" s="268"/>
      <c r="P287" s="268"/>
      <c r="Q287" s="268"/>
      <c r="R287" s="268"/>
      <c r="S287" s="268"/>
      <c r="T287" s="273"/>
      <c r="U287" s="273"/>
      <c r="V287" s="273"/>
      <c r="W287" s="273"/>
      <c r="X287" s="273"/>
      <c r="Y287" s="121"/>
      <c r="Z287" s="121"/>
      <c r="AA287" s="273"/>
      <c r="AB287" s="273"/>
      <c r="AC287" s="273"/>
      <c r="AD287" s="273"/>
      <c r="AE287" s="273"/>
      <c r="AF287" s="273"/>
      <c r="AG287" s="278"/>
      <c r="AH287" s="278"/>
    </row>
    <row r="288" spans="1:301" s="216" customFormat="1" ht="21.75" customHeight="1" x14ac:dyDescent="0.3">
      <c r="A288" s="37">
        <v>288</v>
      </c>
      <c r="B288" s="73">
        <v>41873</v>
      </c>
      <c r="C288" s="132">
        <v>24998110</v>
      </c>
      <c r="D288" s="38" t="s">
        <v>668</v>
      </c>
      <c r="E288" s="13" t="s">
        <v>79</v>
      </c>
      <c r="F288" s="142" t="s">
        <v>791</v>
      </c>
      <c r="G288" s="142" t="s">
        <v>791</v>
      </c>
      <c r="H288" s="4">
        <v>4242348163</v>
      </c>
      <c r="I288" s="74">
        <v>15600</v>
      </c>
      <c r="J288" s="74">
        <v>3900</v>
      </c>
      <c r="K288" s="78"/>
      <c r="L288" s="78"/>
      <c r="M288" s="78"/>
      <c r="N288" s="78"/>
      <c r="O288" s="78"/>
      <c r="P288" s="78"/>
      <c r="Q288" s="78"/>
      <c r="R288" s="78"/>
      <c r="S288" s="78"/>
      <c r="T288" s="105"/>
      <c r="U288" s="105"/>
      <c r="V288" s="105"/>
      <c r="W288" s="74">
        <v>3900</v>
      </c>
      <c r="X288" s="239"/>
      <c r="Y288" s="120"/>
      <c r="Z288" s="120"/>
      <c r="AA288" s="239"/>
      <c r="AB288" s="239"/>
      <c r="AC288" s="239"/>
      <c r="AD288" s="239"/>
      <c r="AE288" s="239"/>
      <c r="AF288" s="239"/>
      <c r="AG288" s="240"/>
      <c r="AH288" s="240"/>
      <c r="AI288" s="260"/>
      <c r="AJ288" s="260"/>
      <c r="AK288" s="260"/>
      <c r="AL288" s="260"/>
      <c r="AM288" s="260"/>
      <c r="AN288" s="260"/>
      <c r="AO288" s="260"/>
      <c r="AP288" s="260"/>
      <c r="AQ288" s="260"/>
      <c r="AR288" s="260"/>
      <c r="AS288" s="260"/>
      <c r="AT288" s="260"/>
      <c r="AU288" s="260"/>
      <c r="AV288" s="260"/>
      <c r="AW288" s="260"/>
      <c r="AX288" s="260"/>
      <c r="AY288" s="260"/>
      <c r="AZ288" s="260"/>
      <c r="BA288" s="260"/>
      <c r="BB288" s="260"/>
      <c r="BC288" s="260"/>
      <c r="BD288" s="260"/>
      <c r="BE288" s="260"/>
      <c r="BF288" s="260"/>
      <c r="BG288" s="260"/>
      <c r="BH288" s="260"/>
      <c r="BI288" s="260"/>
      <c r="BJ288" s="260"/>
      <c r="BK288" s="260"/>
      <c r="BL288" s="260"/>
      <c r="BM288" s="260"/>
      <c r="BN288" s="260"/>
      <c r="BO288" s="260"/>
      <c r="BP288" s="260"/>
      <c r="BQ288" s="260"/>
      <c r="BR288" s="260"/>
      <c r="BS288" s="260"/>
      <c r="BT288" s="260"/>
      <c r="BU288" s="260"/>
      <c r="BV288" s="260"/>
      <c r="BW288" s="260"/>
      <c r="BX288" s="260"/>
      <c r="BY288" s="260"/>
      <c r="BZ288" s="260"/>
      <c r="CA288" s="260"/>
      <c r="CB288" s="260"/>
      <c r="CC288" s="260"/>
      <c r="CD288" s="260"/>
    </row>
    <row r="289" spans="1:58" ht="21.75" customHeight="1" x14ac:dyDescent="0.3">
      <c r="A289" s="5">
        <v>289</v>
      </c>
      <c r="B289" s="123">
        <v>41879</v>
      </c>
      <c r="C289" s="131">
        <v>17389655</v>
      </c>
      <c r="D289" s="12" t="s">
        <v>669</v>
      </c>
      <c r="E289" s="22" t="s">
        <v>301</v>
      </c>
      <c r="F289" s="151" t="s">
        <v>317</v>
      </c>
      <c r="G289" s="151" t="s">
        <v>318</v>
      </c>
      <c r="H289" s="114">
        <v>4120199438</v>
      </c>
      <c r="I289" s="119">
        <v>30000</v>
      </c>
      <c r="J289" s="119">
        <v>30000</v>
      </c>
      <c r="K289" s="114"/>
      <c r="L289" s="114"/>
      <c r="M289" s="114"/>
      <c r="N289" s="114"/>
      <c r="O289" s="114"/>
      <c r="P289" s="114"/>
      <c r="Q289" s="114"/>
      <c r="R289" s="114"/>
      <c r="S289" s="114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30"/>
      <c r="AH289" s="30"/>
    </row>
    <row r="290" spans="1:58" s="281" customFormat="1" ht="21.75" customHeight="1" x14ac:dyDescent="0.3">
      <c r="A290" s="268">
        <v>290</v>
      </c>
      <c r="B290" s="269">
        <v>41876</v>
      </c>
      <c r="C290" s="270">
        <v>15408546</v>
      </c>
      <c r="D290" s="271" t="s">
        <v>670</v>
      </c>
      <c r="E290" s="271" t="s">
        <v>301</v>
      </c>
      <c r="F290" s="272" t="s">
        <v>792</v>
      </c>
      <c r="G290" s="272" t="s">
        <v>784</v>
      </c>
      <c r="H290" s="268">
        <v>4142817125</v>
      </c>
      <c r="I290" s="273">
        <v>9500</v>
      </c>
      <c r="J290" s="273">
        <v>9500</v>
      </c>
      <c r="K290" s="268"/>
      <c r="L290" s="268"/>
      <c r="M290" s="268"/>
      <c r="N290" s="268"/>
      <c r="O290" s="268"/>
      <c r="P290" s="268"/>
      <c r="Q290" s="268"/>
      <c r="R290" s="268"/>
      <c r="S290" s="268"/>
      <c r="T290" s="273"/>
      <c r="U290" s="273"/>
      <c r="V290" s="273"/>
      <c r="W290" s="273"/>
      <c r="X290" s="273"/>
      <c r="Y290" s="121"/>
      <c r="Z290" s="121"/>
      <c r="AA290" s="273"/>
      <c r="AB290" s="273"/>
      <c r="AC290" s="273"/>
      <c r="AD290" s="273"/>
      <c r="AE290" s="273"/>
      <c r="AF290" s="273"/>
      <c r="AG290" s="278"/>
      <c r="AH290" s="278"/>
    </row>
    <row r="291" spans="1:58" ht="21.75" customHeight="1" x14ac:dyDescent="0.3">
      <c r="A291" s="5">
        <v>291</v>
      </c>
      <c r="B291" s="123">
        <v>41877</v>
      </c>
      <c r="C291" s="131">
        <v>13909455</v>
      </c>
      <c r="D291" s="12" t="s">
        <v>671</v>
      </c>
      <c r="E291" s="22" t="s">
        <v>301</v>
      </c>
      <c r="F291" s="151" t="s">
        <v>793</v>
      </c>
      <c r="G291" s="151" t="s">
        <v>709</v>
      </c>
      <c r="H291" s="114">
        <v>4242249777</v>
      </c>
      <c r="I291" s="119">
        <v>30000</v>
      </c>
      <c r="J291" s="119">
        <v>30000</v>
      </c>
      <c r="K291" s="114"/>
      <c r="L291" s="114"/>
      <c r="M291" s="114"/>
      <c r="N291" s="114"/>
      <c r="O291" s="114"/>
      <c r="P291" s="114"/>
      <c r="Q291" s="114"/>
      <c r="R291" s="114"/>
      <c r="S291" s="114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30"/>
      <c r="AH291" s="30"/>
    </row>
    <row r="292" spans="1:58" s="243" customFormat="1" ht="21.75" customHeight="1" x14ac:dyDescent="0.3">
      <c r="A292" s="37">
        <v>292</v>
      </c>
      <c r="B292" s="73">
        <v>41873</v>
      </c>
      <c r="C292" s="132">
        <v>12309531</v>
      </c>
      <c r="D292" s="38" t="s">
        <v>672</v>
      </c>
      <c r="E292" s="13" t="s">
        <v>79</v>
      </c>
      <c r="F292" s="142" t="s">
        <v>794</v>
      </c>
      <c r="G292" s="142" t="s">
        <v>451</v>
      </c>
      <c r="H292" s="4">
        <v>4142269442</v>
      </c>
      <c r="I292" s="74">
        <v>42900</v>
      </c>
      <c r="J292" s="74">
        <v>3900</v>
      </c>
      <c r="K292" s="78"/>
      <c r="L292" s="78"/>
      <c r="M292" s="78"/>
      <c r="N292" s="78"/>
      <c r="O292" s="78"/>
      <c r="P292" s="78"/>
      <c r="Q292" s="78"/>
      <c r="R292" s="78"/>
      <c r="S292" s="78"/>
      <c r="T292" s="105"/>
      <c r="U292" s="105"/>
      <c r="V292" s="105"/>
      <c r="W292" s="74">
        <v>3900</v>
      </c>
      <c r="X292" s="74">
        <v>3900</v>
      </c>
      <c r="Y292" s="74"/>
      <c r="Z292" s="74"/>
      <c r="AA292" s="74">
        <v>3900</v>
      </c>
      <c r="AB292" s="74"/>
      <c r="AC292" s="74"/>
      <c r="AD292" s="74"/>
      <c r="AE292" s="74"/>
      <c r="AF292" s="74"/>
      <c r="AG292" s="28"/>
      <c r="AH292" s="28"/>
    </row>
    <row r="293" spans="1:58" s="346" customFormat="1" ht="21.75" customHeight="1" x14ac:dyDescent="0.3">
      <c r="A293" s="173">
        <v>293</v>
      </c>
      <c r="B293" s="324">
        <v>41877</v>
      </c>
      <c r="C293" s="307">
        <v>25840898</v>
      </c>
      <c r="D293" s="329" t="s">
        <v>673</v>
      </c>
      <c r="E293" s="325" t="s">
        <v>79</v>
      </c>
      <c r="F293" s="326" t="s">
        <v>795</v>
      </c>
      <c r="G293" s="326" t="s">
        <v>795</v>
      </c>
      <c r="H293" s="305">
        <v>4122180504</v>
      </c>
      <c r="I293" s="163">
        <v>42900</v>
      </c>
      <c r="J293" s="163">
        <v>3900</v>
      </c>
      <c r="K293" s="97"/>
      <c r="L293" s="97"/>
      <c r="M293" s="97"/>
      <c r="N293" s="97"/>
      <c r="O293" s="97"/>
      <c r="P293" s="97"/>
      <c r="Q293" s="97"/>
      <c r="R293" s="97"/>
      <c r="S293" s="97"/>
      <c r="T293" s="140"/>
      <c r="U293" s="140"/>
      <c r="V293" s="140"/>
      <c r="W293" s="163">
        <v>3900</v>
      </c>
      <c r="X293" s="163">
        <v>3900</v>
      </c>
      <c r="Y293" s="65"/>
      <c r="Z293" s="65"/>
      <c r="AA293" s="163"/>
      <c r="AB293" s="163"/>
      <c r="AC293" s="163"/>
      <c r="AD293" s="163"/>
      <c r="AE293" s="163"/>
      <c r="AF293" s="163"/>
      <c r="AG293" s="372"/>
      <c r="AH293" s="372"/>
    </row>
    <row r="294" spans="1:58" s="346" customFormat="1" ht="21.75" customHeight="1" x14ac:dyDescent="0.3">
      <c r="A294" s="340">
        <v>294</v>
      </c>
      <c r="B294" s="341">
        <v>41873</v>
      </c>
      <c r="C294" s="342">
        <v>14674194</v>
      </c>
      <c r="D294" s="347" t="s">
        <v>674</v>
      </c>
      <c r="E294" s="347" t="s">
        <v>301</v>
      </c>
      <c r="F294" s="348" t="s">
        <v>513</v>
      </c>
      <c r="G294" s="348" t="s">
        <v>514</v>
      </c>
      <c r="H294" s="340">
        <v>4123913417</v>
      </c>
      <c r="I294" s="344">
        <v>30000</v>
      </c>
      <c r="J294" s="344">
        <v>30000</v>
      </c>
      <c r="K294" s="340"/>
      <c r="L294" s="340"/>
      <c r="M294" s="340"/>
      <c r="N294" s="340"/>
      <c r="O294" s="340"/>
      <c r="P294" s="340"/>
      <c r="Q294" s="340"/>
      <c r="R294" s="340"/>
      <c r="S294" s="340"/>
      <c r="T294" s="344"/>
      <c r="U294" s="344"/>
      <c r="V294" s="344"/>
      <c r="W294" s="344"/>
      <c r="X294" s="344"/>
      <c r="Y294" s="119"/>
      <c r="Z294" s="119"/>
      <c r="AA294" s="344"/>
      <c r="AB294" s="344"/>
      <c r="AC294" s="344"/>
      <c r="AD294" s="344"/>
      <c r="AE294" s="344"/>
      <c r="AF294" s="344"/>
      <c r="AG294" s="373"/>
      <c r="AH294" s="373"/>
    </row>
    <row r="295" spans="1:58" s="313" customFormat="1" ht="21.75" customHeight="1" x14ac:dyDescent="0.3">
      <c r="A295" s="340">
        <v>295</v>
      </c>
      <c r="B295" s="341">
        <v>41872</v>
      </c>
      <c r="C295" s="342">
        <v>81313805</v>
      </c>
      <c r="D295" s="347" t="s">
        <v>675</v>
      </c>
      <c r="E295" s="347" t="s">
        <v>301</v>
      </c>
      <c r="F295" s="348" t="s">
        <v>494</v>
      </c>
      <c r="G295" s="348" t="s">
        <v>495</v>
      </c>
      <c r="H295" s="340">
        <v>4241214033</v>
      </c>
      <c r="I295" s="344"/>
      <c r="J295" s="344"/>
      <c r="K295" s="340"/>
      <c r="L295" s="340"/>
      <c r="M295" s="340"/>
      <c r="N295" s="340"/>
      <c r="O295" s="340"/>
      <c r="P295" s="340"/>
      <c r="Q295" s="340"/>
      <c r="R295" s="340"/>
      <c r="S295" s="340"/>
      <c r="T295" s="344"/>
      <c r="U295" s="344"/>
      <c r="V295" s="344"/>
      <c r="W295" s="344"/>
      <c r="X295" s="344"/>
      <c r="Y295" s="119"/>
      <c r="Z295" s="119"/>
      <c r="AA295" s="344"/>
      <c r="AB295" s="344"/>
      <c r="AC295" s="344"/>
      <c r="AD295" s="344"/>
      <c r="AE295" s="344"/>
      <c r="AF295" s="344"/>
      <c r="AG295" s="373"/>
      <c r="AH295" s="373"/>
    </row>
    <row r="296" spans="1:58" ht="21.75" customHeight="1" x14ac:dyDescent="0.3">
      <c r="A296" s="9">
        <v>296</v>
      </c>
      <c r="B296" s="368">
        <v>41873</v>
      </c>
      <c r="C296" s="133">
        <v>16671581</v>
      </c>
      <c r="D296" s="17" t="s">
        <v>676</v>
      </c>
      <c r="E296" s="126" t="s">
        <v>79</v>
      </c>
      <c r="F296" s="152" t="s">
        <v>850</v>
      </c>
      <c r="G296" s="152" t="s">
        <v>490</v>
      </c>
      <c r="H296" s="189">
        <v>4241466686</v>
      </c>
      <c r="I296" s="65">
        <v>42900</v>
      </c>
      <c r="J296" s="65">
        <v>3900</v>
      </c>
      <c r="K296" s="118"/>
      <c r="L296" s="118"/>
      <c r="M296" s="118"/>
      <c r="N296" s="118"/>
      <c r="O296" s="118"/>
      <c r="P296" s="118"/>
      <c r="Q296" s="118"/>
      <c r="R296" s="118"/>
      <c r="S296" s="118"/>
      <c r="T296" s="120"/>
      <c r="U296" s="120"/>
      <c r="V296" s="120"/>
      <c r="W296" s="65">
        <v>3900</v>
      </c>
      <c r="X296" s="65">
        <v>3900</v>
      </c>
      <c r="Y296" s="65"/>
      <c r="Z296" s="65"/>
      <c r="AA296" s="65">
        <v>3900</v>
      </c>
      <c r="AB296" s="65">
        <v>3900</v>
      </c>
      <c r="AC296" s="65">
        <v>1950</v>
      </c>
      <c r="AD296" s="65"/>
      <c r="AE296" s="65"/>
      <c r="AF296" s="65"/>
      <c r="AG296" s="26"/>
      <c r="AH296" s="26"/>
    </row>
    <row r="297" spans="1:58" ht="21.75" customHeight="1" x14ac:dyDescent="0.3">
      <c r="A297" s="5">
        <v>297</v>
      </c>
      <c r="B297" s="123">
        <v>41880</v>
      </c>
      <c r="C297" s="131">
        <v>15914286</v>
      </c>
      <c r="D297" s="12" t="s">
        <v>677</v>
      </c>
      <c r="E297" s="22" t="s">
        <v>79</v>
      </c>
      <c r="F297" s="151" t="s">
        <v>705</v>
      </c>
      <c r="G297" s="151" t="s">
        <v>706</v>
      </c>
      <c r="H297" s="114">
        <v>4127372052</v>
      </c>
      <c r="I297" s="119">
        <v>30000</v>
      </c>
      <c r="J297" s="119">
        <v>3900</v>
      </c>
      <c r="K297" s="114"/>
      <c r="L297" s="114"/>
      <c r="M297" s="114"/>
      <c r="N297" s="114"/>
      <c r="O297" s="114"/>
      <c r="P297" s="114"/>
      <c r="Q297" s="114"/>
      <c r="R297" s="114"/>
      <c r="S297" s="114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30"/>
      <c r="AH297" s="30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</row>
    <row r="298" spans="1:58" ht="21.75" customHeight="1" x14ac:dyDescent="0.3">
      <c r="A298" s="5">
        <v>298</v>
      </c>
      <c r="B298" s="123">
        <v>41878</v>
      </c>
      <c r="C298" s="131">
        <v>11303271</v>
      </c>
      <c r="D298" s="12" t="s">
        <v>678</v>
      </c>
      <c r="E298" s="22" t="s">
        <v>301</v>
      </c>
      <c r="F298" s="151" t="s">
        <v>321</v>
      </c>
      <c r="G298" s="151" t="s">
        <v>322</v>
      </c>
      <c r="H298" s="114">
        <v>4166132082</v>
      </c>
      <c r="I298" s="119">
        <v>30000</v>
      </c>
      <c r="J298" s="119">
        <v>30000</v>
      </c>
      <c r="K298" s="114"/>
      <c r="L298" s="114"/>
      <c r="M298" s="114"/>
      <c r="N298" s="114"/>
      <c r="O298" s="114"/>
      <c r="P298" s="114"/>
      <c r="Q298" s="114"/>
      <c r="R298" s="114"/>
      <c r="S298" s="114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30"/>
      <c r="AH298" s="30"/>
    </row>
    <row r="299" spans="1:58" s="47" customFormat="1" ht="21.75" customHeight="1" x14ac:dyDescent="0.3">
      <c r="A299" s="5">
        <v>299</v>
      </c>
      <c r="B299" s="123">
        <v>41879</v>
      </c>
      <c r="C299" s="131">
        <v>5150033</v>
      </c>
      <c r="D299" s="12" t="s">
        <v>749</v>
      </c>
      <c r="E299" s="22" t="s">
        <v>301</v>
      </c>
      <c r="F299" s="151" t="s">
        <v>798</v>
      </c>
      <c r="G299" s="151" t="s">
        <v>799</v>
      </c>
      <c r="H299" s="114">
        <v>4265192308</v>
      </c>
      <c r="I299" s="119">
        <v>30000</v>
      </c>
      <c r="J299" s="119">
        <v>30000</v>
      </c>
      <c r="K299" s="114"/>
      <c r="L299" s="114"/>
      <c r="M299" s="114"/>
      <c r="N299" s="114"/>
      <c r="O299" s="114"/>
      <c r="P299" s="114"/>
      <c r="Q299" s="114"/>
      <c r="R299" s="114"/>
      <c r="S299" s="114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30"/>
      <c r="AH299" s="30"/>
    </row>
    <row r="300" spans="1:58" s="281" customFormat="1" ht="21.75" customHeight="1" x14ac:dyDescent="0.3">
      <c r="A300" s="268">
        <v>300</v>
      </c>
      <c r="B300" s="269">
        <v>41883</v>
      </c>
      <c r="C300" s="270">
        <v>13608554</v>
      </c>
      <c r="D300" s="271" t="s">
        <v>750</v>
      </c>
      <c r="E300" s="271" t="s">
        <v>301</v>
      </c>
      <c r="F300" s="272" t="s">
        <v>796</v>
      </c>
      <c r="G300" s="272" t="s">
        <v>797</v>
      </c>
      <c r="H300" s="268">
        <v>4142874200</v>
      </c>
      <c r="I300" s="273">
        <v>10500</v>
      </c>
      <c r="J300" s="273">
        <v>10500</v>
      </c>
      <c r="K300" s="268"/>
      <c r="L300" s="268"/>
      <c r="M300" s="268"/>
      <c r="N300" s="268"/>
      <c r="O300" s="268"/>
      <c r="P300" s="268"/>
      <c r="Q300" s="268"/>
      <c r="R300" s="268"/>
      <c r="S300" s="268"/>
      <c r="T300" s="273"/>
      <c r="U300" s="273"/>
      <c r="V300" s="273"/>
      <c r="W300" s="273"/>
      <c r="X300" s="273"/>
      <c r="Y300" s="121"/>
      <c r="Z300" s="121"/>
      <c r="AA300" s="273"/>
      <c r="AB300" s="273"/>
      <c r="AC300" s="273"/>
      <c r="AD300" s="273"/>
      <c r="AE300" s="273"/>
      <c r="AF300" s="273"/>
      <c r="AG300" s="278"/>
      <c r="AH300" s="278"/>
    </row>
    <row r="301" spans="1:58" s="313" customFormat="1" ht="21.75" customHeight="1" x14ac:dyDescent="0.3">
      <c r="A301" s="173">
        <v>301</v>
      </c>
      <c r="B301" s="324">
        <v>41883</v>
      </c>
      <c r="C301" s="307">
        <v>16147932</v>
      </c>
      <c r="D301" s="329" t="s">
        <v>751</v>
      </c>
      <c r="E301" s="325" t="s">
        <v>79</v>
      </c>
      <c r="F301" s="326" t="s">
        <v>800</v>
      </c>
      <c r="G301" s="326" t="s">
        <v>800</v>
      </c>
      <c r="H301" s="305">
        <v>4140202245</v>
      </c>
      <c r="I301" s="163">
        <v>42900</v>
      </c>
      <c r="J301" s="163">
        <v>3900</v>
      </c>
      <c r="K301" s="97"/>
      <c r="L301" s="97"/>
      <c r="M301" s="97"/>
      <c r="N301" s="97"/>
      <c r="O301" s="97"/>
      <c r="P301" s="97"/>
      <c r="Q301" s="97"/>
      <c r="R301" s="97"/>
      <c r="S301" s="97"/>
      <c r="T301" s="140"/>
      <c r="U301" s="140"/>
      <c r="V301" s="140"/>
      <c r="W301" s="140"/>
      <c r="X301" s="163">
        <v>3900</v>
      </c>
      <c r="Y301" s="163"/>
      <c r="Z301" s="163"/>
      <c r="AA301" s="140"/>
      <c r="AB301" s="140"/>
      <c r="AC301" s="140"/>
      <c r="AD301" s="140"/>
      <c r="AE301" s="140"/>
      <c r="AF301" s="140"/>
      <c r="AG301" s="425"/>
      <c r="AH301" s="425"/>
      <c r="AI301" s="420"/>
      <c r="AJ301" s="420"/>
      <c r="AK301" s="420"/>
      <c r="AL301" s="420"/>
      <c r="AM301" s="420"/>
      <c r="AN301" s="420"/>
      <c r="AO301" s="420"/>
    </row>
    <row r="302" spans="1:58" ht="21.75" customHeight="1" x14ac:dyDescent="0.3">
      <c r="A302" s="9">
        <v>302</v>
      </c>
      <c r="B302" s="368">
        <v>41883</v>
      </c>
      <c r="C302" s="133">
        <v>6873845</v>
      </c>
      <c r="D302" s="17" t="s">
        <v>752</v>
      </c>
      <c r="E302" s="126" t="s">
        <v>79</v>
      </c>
      <c r="F302" s="152" t="s">
        <v>1118</v>
      </c>
      <c r="G302" s="152" t="s">
        <v>801</v>
      </c>
      <c r="H302" s="189">
        <v>4241062976</v>
      </c>
      <c r="I302" s="65">
        <v>42900</v>
      </c>
      <c r="J302" s="65">
        <v>3900</v>
      </c>
      <c r="K302" s="118"/>
      <c r="L302" s="118"/>
      <c r="M302" s="118"/>
      <c r="N302" s="118"/>
      <c r="O302" s="118"/>
      <c r="P302" s="118"/>
      <c r="Q302" s="118"/>
      <c r="R302" s="118"/>
      <c r="S302" s="118"/>
      <c r="T302" s="120"/>
      <c r="U302" s="120"/>
      <c r="V302" s="120"/>
      <c r="W302" s="120"/>
      <c r="X302" s="65">
        <v>3900</v>
      </c>
      <c r="Y302" s="65"/>
      <c r="Z302" s="65"/>
      <c r="AA302" s="65">
        <v>3900</v>
      </c>
      <c r="AB302" s="65">
        <v>3900</v>
      </c>
      <c r="AC302" s="65"/>
      <c r="AD302" s="65"/>
      <c r="AE302" s="65"/>
      <c r="AF302" s="65"/>
      <c r="AG302" s="26"/>
      <c r="AH302" s="26"/>
    </row>
    <row r="303" spans="1:58" s="58" customFormat="1" ht="21.75" customHeight="1" x14ac:dyDescent="0.3">
      <c r="A303" s="5">
        <v>303</v>
      </c>
      <c r="B303" s="123">
        <v>41891</v>
      </c>
      <c r="C303" s="131">
        <v>16562630</v>
      </c>
      <c r="D303" s="12" t="s">
        <v>753</v>
      </c>
      <c r="E303" s="22" t="s">
        <v>301</v>
      </c>
      <c r="F303" s="151" t="s">
        <v>739</v>
      </c>
      <c r="G303" s="151" t="s">
        <v>740</v>
      </c>
      <c r="H303" s="114">
        <v>4265189213</v>
      </c>
      <c r="I303" s="119">
        <v>30000</v>
      </c>
      <c r="J303" s="119">
        <v>30000</v>
      </c>
      <c r="K303" s="114"/>
      <c r="L303" s="114"/>
      <c r="M303" s="114"/>
      <c r="N303" s="114"/>
      <c r="O303" s="114"/>
      <c r="P303" s="114"/>
      <c r="Q303" s="114"/>
      <c r="R303" s="114"/>
      <c r="S303" s="114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30"/>
      <c r="AH303" s="30"/>
    </row>
    <row r="304" spans="1:58" s="313" customFormat="1" ht="21.75" customHeight="1" x14ac:dyDescent="0.3">
      <c r="A304" s="340">
        <v>304</v>
      </c>
      <c r="B304" s="341">
        <v>41893</v>
      </c>
      <c r="C304" s="342">
        <v>10377495</v>
      </c>
      <c r="D304" s="347" t="s">
        <v>754</v>
      </c>
      <c r="E304" s="347" t="s">
        <v>301</v>
      </c>
      <c r="F304" s="348" t="s">
        <v>737</v>
      </c>
      <c r="G304" s="348" t="s">
        <v>738</v>
      </c>
      <c r="H304" s="340">
        <v>4142237373</v>
      </c>
      <c r="I304" s="344">
        <v>30000</v>
      </c>
      <c r="J304" s="344">
        <v>30000</v>
      </c>
      <c r="K304" s="340"/>
      <c r="L304" s="340"/>
      <c r="M304" s="340"/>
      <c r="N304" s="340"/>
      <c r="O304" s="340"/>
      <c r="P304" s="340"/>
      <c r="Q304" s="340"/>
      <c r="R304" s="340"/>
      <c r="S304" s="340"/>
      <c r="T304" s="344"/>
      <c r="U304" s="344"/>
      <c r="V304" s="344"/>
      <c r="W304" s="344"/>
      <c r="X304" s="344"/>
      <c r="Y304" s="344"/>
      <c r="Z304" s="344"/>
      <c r="AA304" s="344"/>
      <c r="AB304" s="344"/>
      <c r="AC304" s="344"/>
      <c r="AD304" s="344"/>
      <c r="AE304" s="344"/>
      <c r="AF304" s="344"/>
      <c r="AG304" s="373"/>
      <c r="AH304" s="373"/>
    </row>
    <row r="305" spans="1:60" s="313" customFormat="1" ht="21.75" customHeight="1" x14ac:dyDescent="0.3">
      <c r="A305" s="173">
        <v>305</v>
      </c>
      <c r="B305" s="324">
        <v>41897</v>
      </c>
      <c r="C305" s="307">
        <v>10384851</v>
      </c>
      <c r="D305" s="329" t="s">
        <v>755</v>
      </c>
      <c r="E305" s="325" t="s">
        <v>79</v>
      </c>
      <c r="F305" s="326" t="s">
        <v>745</v>
      </c>
      <c r="G305" s="326" t="s">
        <v>802</v>
      </c>
      <c r="H305" s="305">
        <v>4123047890</v>
      </c>
      <c r="I305" s="163">
        <v>36465</v>
      </c>
      <c r="J305" s="163">
        <v>3900</v>
      </c>
      <c r="K305" s="97"/>
      <c r="L305" s="97"/>
      <c r="M305" s="97"/>
      <c r="N305" s="97"/>
      <c r="O305" s="97"/>
      <c r="P305" s="97"/>
      <c r="Q305" s="97"/>
      <c r="R305" s="97"/>
      <c r="S305" s="97"/>
      <c r="T305" s="140"/>
      <c r="U305" s="140"/>
      <c r="V305" s="140"/>
      <c r="W305" s="140"/>
      <c r="X305" s="163">
        <v>3900</v>
      </c>
      <c r="Y305" s="65">
        <v>3900</v>
      </c>
      <c r="Z305" s="65">
        <v>3900</v>
      </c>
      <c r="AA305" s="163">
        <v>3900</v>
      </c>
      <c r="AB305" s="163">
        <v>3900</v>
      </c>
      <c r="AC305" s="163"/>
      <c r="AD305" s="163"/>
      <c r="AE305" s="163"/>
      <c r="AF305" s="163"/>
      <c r="AG305" s="372"/>
      <c r="AH305" s="372"/>
    </row>
    <row r="306" spans="1:60" s="313" customFormat="1" ht="21.75" customHeight="1" x14ac:dyDescent="0.3">
      <c r="A306" s="173">
        <v>306</v>
      </c>
      <c r="B306" s="324">
        <v>41897</v>
      </c>
      <c r="C306" s="307">
        <v>10384851</v>
      </c>
      <c r="D306" s="329" t="s">
        <v>756</v>
      </c>
      <c r="E306" s="325" t="s">
        <v>79</v>
      </c>
      <c r="F306" s="326" t="s">
        <v>782</v>
      </c>
      <c r="G306" s="326" t="s">
        <v>802</v>
      </c>
      <c r="H306" s="305">
        <v>4123047890</v>
      </c>
      <c r="I306" s="163">
        <v>36465</v>
      </c>
      <c r="J306" s="163">
        <v>3315</v>
      </c>
      <c r="K306" s="97"/>
      <c r="L306" s="97"/>
      <c r="M306" s="97"/>
      <c r="N306" s="97"/>
      <c r="O306" s="97"/>
      <c r="P306" s="97"/>
      <c r="Q306" s="97"/>
      <c r="R306" s="97"/>
      <c r="S306" s="97"/>
      <c r="T306" s="140"/>
      <c r="U306" s="140"/>
      <c r="V306" s="140"/>
      <c r="W306" s="140"/>
      <c r="X306" s="163">
        <v>3315</v>
      </c>
      <c r="Y306" s="65">
        <v>3315</v>
      </c>
      <c r="Z306" s="65">
        <v>3315</v>
      </c>
      <c r="AA306" s="163">
        <v>3315</v>
      </c>
      <c r="AB306" s="163">
        <v>3315</v>
      </c>
      <c r="AC306" s="163"/>
      <c r="AD306" s="163"/>
      <c r="AE306" s="163"/>
      <c r="AF306" s="163"/>
      <c r="AG306" s="372"/>
      <c r="AH306" s="372"/>
    </row>
    <row r="307" spans="1:60" s="47" customFormat="1" ht="21.75" customHeight="1" x14ac:dyDescent="0.3">
      <c r="A307" s="5">
        <v>307</v>
      </c>
      <c r="B307" s="129">
        <v>41907</v>
      </c>
      <c r="C307" s="139">
        <v>9629303</v>
      </c>
      <c r="D307" s="12" t="s">
        <v>757</v>
      </c>
      <c r="E307" s="22"/>
      <c r="F307" s="151" t="s">
        <v>486</v>
      </c>
      <c r="G307" s="151" t="s">
        <v>1015</v>
      </c>
      <c r="H307" s="114">
        <v>4120807281</v>
      </c>
      <c r="I307" s="119">
        <v>26500</v>
      </c>
      <c r="J307" s="119">
        <v>26500</v>
      </c>
      <c r="K307" s="114"/>
      <c r="L307" s="114"/>
      <c r="M307" s="114"/>
      <c r="N307" s="114"/>
      <c r="O307" s="114"/>
      <c r="P307" s="114"/>
      <c r="Q307" s="114"/>
      <c r="R307" s="114"/>
      <c r="S307" s="114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30"/>
      <c r="AH307" s="30"/>
    </row>
    <row r="308" spans="1:60" s="346" customFormat="1" ht="21.75" customHeight="1" x14ac:dyDescent="0.3">
      <c r="A308" s="173">
        <v>308</v>
      </c>
      <c r="B308" s="324">
        <v>41898</v>
      </c>
      <c r="C308" s="307">
        <v>7949289</v>
      </c>
      <c r="D308" s="329" t="s">
        <v>758</v>
      </c>
      <c r="E308" s="325" t="s">
        <v>79</v>
      </c>
      <c r="F308" s="326" t="s">
        <v>455</v>
      </c>
      <c r="G308" s="326" t="s">
        <v>456</v>
      </c>
      <c r="H308" s="305">
        <v>4142868178</v>
      </c>
      <c r="I308" s="163">
        <v>42900</v>
      </c>
      <c r="J308" s="163">
        <v>3900</v>
      </c>
      <c r="K308" s="97"/>
      <c r="L308" s="97"/>
      <c r="M308" s="97"/>
      <c r="N308" s="97"/>
      <c r="O308" s="97"/>
      <c r="P308" s="97"/>
      <c r="Q308" s="97"/>
      <c r="R308" s="97"/>
      <c r="S308" s="97"/>
      <c r="T308" s="140"/>
      <c r="U308" s="140"/>
      <c r="V308" s="140"/>
      <c r="W308" s="140"/>
      <c r="X308" s="311">
        <v>3900</v>
      </c>
      <c r="Y308" s="163"/>
      <c r="Z308" s="163"/>
      <c r="AA308" s="163"/>
      <c r="AB308" s="163"/>
      <c r="AC308" s="163"/>
      <c r="AD308" s="163"/>
      <c r="AE308" s="163"/>
      <c r="AF308" s="163"/>
      <c r="AG308" s="372"/>
      <c r="AH308" s="372"/>
    </row>
    <row r="309" spans="1:60" s="47" customFormat="1" ht="21.75" customHeight="1" x14ac:dyDescent="0.3">
      <c r="A309" s="9">
        <v>309</v>
      </c>
      <c r="B309" s="368">
        <v>41908</v>
      </c>
      <c r="C309" s="133">
        <v>6156222</v>
      </c>
      <c r="D309" s="17" t="s">
        <v>759</v>
      </c>
      <c r="E309" s="126" t="s">
        <v>79</v>
      </c>
      <c r="F309" s="152" t="s">
        <v>803</v>
      </c>
      <c r="G309" s="152" t="s">
        <v>804</v>
      </c>
      <c r="H309" s="189">
        <v>4241297211</v>
      </c>
      <c r="I309" s="65">
        <v>36465</v>
      </c>
      <c r="J309" s="65">
        <v>3315</v>
      </c>
      <c r="K309" s="118"/>
      <c r="L309" s="118"/>
      <c r="M309" s="118"/>
      <c r="N309" s="118"/>
      <c r="O309" s="118"/>
      <c r="P309" s="118"/>
      <c r="Q309" s="118"/>
      <c r="R309" s="118"/>
      <c r="S309" s="118"/>
      <c r="T309" s="120"/>
      <c r="U309" s="120"/>
      <c r="V309" s="120"/>
      <c r="W309" s="120"/>
      <c r="X309" s="125">
        <v>3315</v>
      </c>
      <c r="Y309" s="65"/>
      <c r="Z309" s="65"/>
      <c r="AA309" s="65">
        <v>3315</v>
      </c>
      <c r="AB309" s="65">
        <v>3315</v>
      </c>
      <c r="AC309" s="65"/>
      <c r="AD309" s="65"/>
      <c r="AE309" s="65"/>
      <c r="AF309" s="65"/>
      <c r="AG309" s="26"/>
      <c r="AH309" s="26"/>
    </row>
    <row r="310" spans="1:60" s="313" customFormat="1" ht="21.75" customHeight="1" x14ac:dyDescent="0.3">
      <c r="A310" s="340">
        <v>310</v>
      </c>
      <c r="B310" s="341">
        <v>41904</v>
      </c>
      <c r="C310" s="342">
        <v>11044234</v>
      </c>
      <c r="D310" s="347" t="s">
        <v>760</v>
      </c>
      <c r="E310" s="347" t="s">
        <v>301</v>
      </c>
      <c r="F310" s="348" t="s">
        <v>805</v>
      </c>
      <c r="G310" s="348" t="s">
        <v>806</v>
      </c>
      <c r="H310" s="340">
        <v>4142417081</v>
      </c>
      <c r="I310" s="344">
        <v>20000</v>
      </c>
      <c r="J310" s="344">
        <v>20000</v>
      </c>
      <c r="K310" s="340"/>
      <c r="L310" s="340"/>
      <c r="M310" s="340"/>
      <c r="N310" s="340"/>
      <c r="O310" s="340"/>
      <c r="P310" s="340"/>
      <c r="Q310" s="340"/>
      <c r="R310" s="340"/>
      <c r="S310" s="340"/>
      <c r="T310" s="344"/>
      <c r="U310" s="344"/>
      <c r="V310" s="344"/>
      <c r="W310" s="344"/>
      <c r="X310" s="344"/>
      <c r="Y310" s="344"/>
      <c r="Z310" s="344"/>
      <c r="AA310" s="344"/>
      <c r="AB310" s="344"/>
      <c r="AC310" s="344"/>
      <c r="AD310" s="344"/>
      <c r="AE310" s="344"/>
      <c r="AF310" s="344"/>
      <c r="AG310" s="373"/>
      <c r="AH310" s="373"/>
      <c r="AI310" s="346"/>
      <c r="AJ310" s="346"/>
      <c r="AK310" s="346"/>
      <c r="AL310" s="346"/>
      <c r="AM310" s="346"/>
      <c r="AN310" s="346"/>
      <c r="AO310" s="346"/>
      <c r="AP310" s="346"/>
      <c r="AQ310" s="346"/>
      <c r="AR310" s="346"/>
      <c r="AS310" s="346"/>
      <c r="AT310" s="346"/>
      <c r="AU310" s="346"/>
      <c r="AV310" s="346"/>
      <c r="AW310" s="346"/>
      <c r="AX310" s="346"/>
      <c r="AY310" s="346"/>
      <c r="AZ310" s="346"/>
      <c r="BA310" s="346"/>
      <c r="BB310" s="346"/>
      <c r="BC310" s="346"/>
      <c r="BD310" s="346"/>
      <c r="BE310" s="346"/>
      <c r="BF310" s="346"/>
      <c r="BG310" s="346"/>
      <c r="BH310" s="346"/>
    </row>
    <row r="311" spans="1:60" ht="21.75" customHeight="1" x14ac:dyDescent="0.3">
      <c r="A311" s="9">
        <v>311</v>
      </c>
      <c r="B311" s="368">
        <v>41901</v>
      </c>
      <c r="C311" s="133">
        <v>12160289</v>
      </c>
      <c r="D311" s="17" t="s">
        <v>761</v>
      </c>
      <c r="E311" s="126" t="s">
        <v>79</v>
      </c>
      <c r="F311" s="152" t="s">
        <v>807</v>
      </c>
      <c r="G311" s="152" t="s">
        <v>807</v>
      </c>
      <c r="H311" s="189">
        <v>4165355769</v>
      </c>
      <c r="I311" s="65">
        <v>42900</v>
      </c>
      <c r="J311" s="65">
        <v>3900</v>
      </c>
      <c r="K311" s="118"/>
      <c r="L311" s="118"/>
      <c r="M311" s="118"/>
      <c r="N311" s="118"/>
      <c r="O311" s="118"/>
      <c r="P311" s="118"/>
      <c r="Q311" s="118"/>
      <c r="R311" s="118"/>
      <c r="S311" s="118"/>
      <c r="T311" s="120"/>
      <c r="U311" s="120"/>
      <c r="V311" s="120"/>
      <c r="W311" s="120"/>
      <c r="X311" s="125">
        <v>3900</v>
      </c>
      <c r="Y311" s="65"/>
      <c r="Z311" s="65"/>
      <c r="AA311" s="65">
        <v>3900</v>
      </c>
      <c r="AB311" s="65">
        <v>3900</v>
      </c>
      <c r="AC311" s="65">
        <v>3900</v>
      </c>
      <c r="AD311" s="65">
        <v>1950</v>
      </c>
      <c r="AE311" s="65"/>
      <c r="AF311" s="65"/>
      <c r="AG311" s="26"/>
      <c r="AH311" s="26"/>
    </row>
    <row r="312" spans="1:60" s="313" customFormat="1" ht="21.75" customHeight="1" x14ac:dyDescent="0.3">
      <c r="A312" s="173">
        <v>312</v>
      </c>
      <c r="B312" s="324">
        <v>41908</v>
      </c>
      <c r="C312" s="307">
        <v>0</v>
      </c>
      <c r="D312" s="329" t="s">
        <v>762</v>
      </c>
      <c r="E312" s="325" t="s">
        <v>79</v>
      </c>
      <c r="F312" s="326" t="s">
        <v>808</v>
      </c>
      <c r="G312" s="326" t="s">
        <v>561</v>
      </c>
      <c r="H312" s="305">
        <v>4142359723</v>
      </c>
      <c r="I312" s="163">
        <v>36465</v>
      </c>
      <c r="J312" s="163">
        <v>3315</v>
      </c>
      <c r="K312" s="97"/>
      <c r="L312" s="97"/>
      <c r="M312" s="97"/>
      <c r="N312" s="97"/>
      <c r="O312" s="97"/>
      <c r="P312" s="97"/>
      <c r="Q312" s="97"/>
      <c r="R312" s="97"/>
      <c r="S312" s="97"/>
      <c r="T312" s="140"/>
      <c r="U312" s="140"/>
      <c r="V312" s="140"/>
      <c r="W312" s="140"/>
      <c r="X312" s="311">
        <v>3315</v>
      </c>
      <c r="Y312" s="163"/>
      <c r="Z312" s="163"/>
      <c r="AA312" s="163">
        <v>3315</v>
      </c>
      <c r="AB312" s="163">
        <v>3315</v>
      </c>
      <c r="AC312" s="163">
        <v>3315</v>
      </c>
      <c r="AD312" s="163"/>
      <c r="AE312" s="163"/>
      <c r="AF312" s="163"/>
      <c r="AG312" s="372"/>
      <c r="AH312" s="372"/>
    </row>
    <row r="313" spans="1:60" s="34" customFormat="1" ht="21.75" customHeight="1" x14ac:dyDescent="0.3">
      <c r="A313" s="37">
        <v>313</v>
      </c>
      <c r="B313" s="73">
        <v>41901</v>
      </c>
      <c r="C313" s="132">
        <v>17107674</v>
      </c>
      <c r="D313" s="38" t="s">
        <v>763</v>
      </c>
      <c r="E313" s="13" t="s">
        <v>79</v>
      </c>
      <c r="F313" s="142" t="s">
        <v>714</v>
      </c>
      <c r="G313" s="142" t="s">
        <v>715</v>
      </c>
      <c r="H313" s="4">
        <v>4241812622</v>
      </c>
      <c r="I313" s="74">
        <v>42900</v>
      </c>
      <c r="J313" s="74">
        <v>3900</v>
      </c>
      <c r="K313" s="78"/>
      <c r="L313" s="78"/>
      <c r="M313" s="78"/>
      <c r="N313" s="78"/>
      <c r="O313" s="78"/>
      <c r="P313" s="78"/>
      <c r="Q313" s="78"/>
      <c r="R313" s="78"/>
      <c r="S313" s="78"/>
      <c r="T313" s="105"/>
      <c r="U313" s="105"/>
      <c r="V313" s="105"/>
      <c r="W313" s="105"/>
      <c r="X313" s="68">
        <v>3900</v>
      </c>
      <c r="Y313" s="74"/>
      <c r="Z313" s="74"/>
      <c r="AA313" s="74">
        <v>3900</v>
      </c>
      <c r="AB313" s="74">
        <v>3900</v>
      </c>
      <c r="AC313" s="74">
        <v>3900</v>
      </c>
      <c r="AD313" s="74"/>
      <c r="AE313" s="74"/>
      <c r="AF313" s="74"/>
      <c r="AG313" s="28"/>
      <c r="AH313" s="28"/>
    </row>
    <row r="314" spans="1:60" s="407" customFormat="1" ht="21.75" customHeight="1" x14ac:dyDescent="0.3">
      <c r="A314" s="400">
        <v>314</v>
      </c>
      <c r="B314" s="400"/>
      <c r="C314" s="402">
        <v>17955006</v>
      </c>
      <c r="D314" s="403" t="s">
        <v>764</v>
      </c>
      <c r="E314" s="403" t="s">
        <v>79</v>
      </c>
      <c r="F314" s="404" t="s">
        <v>809</v>
      </c>
      <c r="G314" s="404" t="s">
        <v>809</v>
      </c>
      <c r="H314" s="400">
        <v>4123761544</v>
      </c>
      <c r="I314" s="405">
        <v>20000</v>
      </c>
      <c r="J314" s="405">
        <v>20000</v>
      </c>
      <c r="K314" s="400"/>
      <c r="L314" s="400"/>
      <c r="M314" s="400"/>
      <c r="N314" s="400"/>
      <c r="O314" s="400"/>
      <c r="P314" s="400"/>
      <c r="Q314" s="400"/>
      <c r="R314" s="400"/>
      <c r="S314" s="400"/>
      <c r="T314" s="405"/>
      <c r="U314" s="405"/>
      <c r="V314" s="405"/>
      <c r="W314" s="405"/>
      <c r="X314" s="405"/>
      <c r="Y314" s="405"/>
      <c r="Z314" s="405"/>
      <c r="AA314" s="405"/>
      <c r="AB314" s="405"/>
      <c r="AC314" s="405"/>
      <c r="AD314" s="405"/>
      <c r="AE314" s="405"/>
      <c r="AF314" s="405"/>
      <c r="AG314" s="421"/>
      <c r="AH314" s="421"/>
    </row>
    <row r="315" spans="1:60" s="407" customFormat="1" ht="21.75" customHeight="1" x14ac:dyDescent="0.3">
      <c r="A315" s="400">
        <v>315</v>
      </c>
      <c r="B315" s="401">
        <v>41904</v>
      </c>
      <c r="C315" s="402">
        <v>11918529</v>
      </c>
      <c r="D315" s="403" t="s">
        <v>765</v>
      </c>
      <c r="E315" s="403" t="s">
        <v>301</v>
      </c>
      <c r="F315" s="404" t="s">
        <v>691</v>
      </c>
      <c r="G315" s="404" t="s">
        <v>690</v>
      </c>
      <c r="H315" s="400">
        <v>4141124595</v>
      </c>
      <c r="I315" s="405">
        <v>20000</v>
      </c>
      <c r="J315" s="405">
        <v>20000</v>
      </c>
      <c r="K315" s="400"/>
      <c r="L315" s="400"/>
      <c r="M315" s="400"/>
      <c r="N315" s="400"/>
      <c r="O315" s="400"/>
      <c r="P315" s="400"/>
      <c r="Q315" s="400"/>
      <c r="R315" s="400"/>
      <c r="S315" s="400"/>
      <c r="T315" s="405"/>
      <c r="U315" s="405"/>
      <c r="V315" s="405"/>
      <c r="W315" s="405"/>
      <c r="X315" s="405"/>
      <c r="Y315" s="405"/>
      <c r="Z315" s="405"/>
      <c r="AA315" s="405"/>
      <c r="AB315" s="405"/>
      <c r="AC315" s="405"/>
      <c r="AD315" s="405"/>
      <c r="AE315" s="405"/>
      <c r="AF315" s="405"/>
      <c r="AG315" s="421"/>
      <c r="AH315" s="421"/>
    </row>
    <row r="316" spans="1:60" ht="21.75" customHeight="1" x14ac:dyDescent="0.3">
      <c r="A316" s="5">
        <v>316</v>
      </c>
      <c r="B316" s="123">
        <v>41901</v>
      </c>
      <c r="C316" s="131">
        <v>10786542</v>
      </c>
      <c r="D316" s="12" t="s">
        <v>766</v>
      </c>
      <c r="E316" s="22" t="s">
        <v>79</v>
      </c>
      <c r="F316" s="151" t="s">
        <v>356</v>
      </c>
      <c r="G316" s="151" t="s">
        <v>357</v>
      </c>
      <c r="H316" s="114">
        <v>4265181042</v>
      </c>
      <c r="I316" s="119">
        <v>30000</v>
      </c>
      <c r="J316" s="119">
        <v>30000</v>
      </c>
      <c r="K316" s="114"/>
      <c r="L316" s="114"/>
      <c r="M316" s="114"/>
      <c r="N316" s="114"/>
      <c r="O316" s="114"/>
      <c r="P316" s="114"/>
      <c r="Q316" s="114"/>
      <c r="R316" s="114"/>
      <c r="S316" s="114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30"/>
      <c r="AH316" s="30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</row>
    <row r="317" spans="1:60" s="407" customFormat="1" ht="21.75" customHeight="1" x14ac:dyDescent="0.3">
      <c r="A317" s="400">
        <v>317</v>
      </c>
      <c r="B317" s="401">
        <v>41905</v>
      </c>
      <c r="C317" s="402">
        <v>6446510</v>
      </c>
      <c r="D317" s="403" t="s">
        <v>767</v>
      </c>
      <c r="E317" s="403" t="s">
        <v>301</v>
      </c>
      <c r="F317" s="404" t="s">
        <v>810</v>
      </c>
      <c r="G317" s="404" t="s">
        <v>811</v>
      </c>
      <c r="H317" s="400">
        <v>4241602433</v>
      </c>
      <c r="I317" s="405">
        <v>20000</v>
      </c>
      <c r="J317" s="405">
        <v>20000</v>
      </c>
      <c r="K317" s="400"/>
      <c r="L317" s="400"/>
      <c r="M317" s="400"/>
      <c r="N317" s="400"/>
      <c r="O317" s="400"/>
      <c r="P317" s="400"/>
      <c r="Q317" s="400"/>
      <c r="R317" s="400"/>
      <c r="S317" s="400"/>
      <c r="T317" s="405"/>
      <c r="U317" s="405"/>
      <c r="V317" s="405"/>
      <c r="W317" s="405"/>
      <c r="X317" s="405"/>
      <c r="Y317" s="405"/>
      <c r="Z317" s="405"/>
      <c r="AA317" s="405"/>
      <c r="AB317" s="405"/>
      <c r="AC317" s="405"/>
      <c r="AD317" s="405"/>
      <c r="AE317" s="405"/>
      <c r="AF317" s="405"/>
      <c r="AG317" s="421"/>
      <c r="AH317" s="421"/>
    </row>
    <row r="318" spans="1:60" ht="21.75" customHeight="1" x14ac:dyDescent="0.3">
      <c r="A318" s="5">
        <v>318</v>
      </c>
      <c r="B318" s="123">
        <v>41905</v>
      </c>
      <c r="C318" s="131">
        <v>9483014</v>
      </c>
      <c r="D318" s="12" t="s">
        <v>768</v>
      </c>
      <c r="E318" s="22" t="s">
        <v>301</v>
      </c>
      <c r="F318" s="151" t="s">
        <v>812</v>
      </c>
      <c r="G318" s="151" t="s">
        <v>144</v>
      </c>
      <c r="H318" s="114">
        <v>4165248282</v>
      </c>
      <c r="I318" s="119">
        <v>30000</v>
      </c>
      <c r="J318" s="119">
        <v>3900</v>
      </c>
      <c r="K318" s="114"/>
      <c r="L318" s="114"/>
      <c r="M318" s="114"/>
      <c r="N318" s="114"/>
      <c r="O318" s="114"/>
      <c r="P318" s="114"/>
      <c r="Q318" s="114"/>
      <c r="R318" s="114"/>
      <c r="S318" s="114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30"/>
      <c r="AH318" s="30"/>
    </row>
    <row r="319" spans="1:60" s="407" customFormat="1" ht="21.75" customHeight="1" x14ac:dyDescent="0.3">
      <c r="A319" s="400">
        <v>319</v>
      </c>
      <c r="B319" s="401">
        <v>41906</v>
      </c>
      <c r="C319" s="402">
        <v>18747187</v>
      </c>
      <c r="D319" s="403" t="s">
        <v>769</v>
      </c>
      <c r="E319" s="403" t="s">
        <v>301</v>
      </c>
      <c r="F319" s="404" t="s">
        <v>813</v>
      </c>
      <c r="G319" s="404" t="s">
        <v>814</v>
      </c>
      <c r="H319" s="400">
        <v>4241533298</v>
      </c>
      <c r="I319" s="405">
        <v>20000</v>
      </c>
      <c r="J319" s="405">
        <v>20000</v>
      </c>
      <c r="K319" s="400"/>
      <c r="L319" s="400"/>
      <c r="M319" s="400"/>
      <c r="N319" s="400"/>
      <c r="O319" s="400"/>
      <c r="P319" s="400"/>
      <c r="Q319" s="400"/>
      <c r="R319" s="400"/>
      <c r="S319" s="400"/>
      <c r="T319" s="405"/>
      <c r="U319" s="405"/>
      <c r="V319" s="405"/>
      <c r="W319" s="405"/>
      <c r="X319" s="405"/>
      <c r="Y319" s="405"/>
      <c r="Z319" s="405"/>
      <c r="AA319" s="405"/>
      <c r="AB319" s="405"/>
      <c r="AC319" s="405"/>
      <c r="AD319" s="405"/>
      <c r="AE319" s="405"/>
      <c r="AF319" s="405"/>
      <c r="AG319" s="421"/>
      <c r="AH319" s="421"/>
    </row>
    <row r="320" spans="1:60" ht="21.75" customHeight="1" x14ac:dyDescent="0.3">
      <c r="A320" s="5">
        <v>320</v>
      </c>
      <c r="B320" s="123">
        <v>41907</v>
      </c>
      <c r="C320" s="131">
        <v>12160803</v>
      </c>
      <c r="D320" s="12" t="s">
        <v>770</v>
      </c>
      <c r="E320" s="22" t="s">
        <v>301</v>
      </c>
      <c r="F320" s="151" t="s">
        <v>817</v>
      </c>
      <c r="G320" s="151" t="s">
        <v>818</v>
      </c>
      <c r="H320" s="114">
        <v>4142882907</v>
      </c>
      <c r="I320" s="119">
        <v>30000</v>
      </c>
      <c r="J320" s="119">
        <v>30000</v>
      </c>
      <c r="K320" s="114"/>
      <c r="L320" s="114"/>
      <c r="M320" s="114"/>
      <c r="N320" s="114"/>
      <c r="O320" s="114"/>
      <c r="P320" s="114"/>
      <c r="Q320" s="114"/>
      <c r="R320" s="114"/>
      <c r="S320" s="114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30"/>
      <c r="AH320" s="30"/>
    </row>
    <row r="321" spans="1:301" s="47" customFormat="1" ht="21.75" customHeight="1" x14ac:dyDescent="0.3">
      <c r="A321" s="5">
        <v>321</v>
      </c>
      <c r="B321" s="123">
        <v>41907</v>
      </c>
      <c r="C321" s="131">
        <v>9629303</v>
      </c>
      <c r="D321" s="12" t="s">
        <v>771</v>
      </c>
      <c r="E321" s="22" t="s">
        <v>301</v>
      </c>
      <c r="F321" s="151" t="s">
        <v>485</v>
      </c>
      <c r="G321" s="151" t="s">
        <v>1015</v>
      </c>
      <c r="H321" s="114">
        <v>4120807281</v>
      </c>
      <c r="I321" s="119">
        <v>26500</v>
      </c>
      <c r="J321" s="119">
        <v>26500</v>
      </c>
      <c r="K321" s="114"/>
      <c r="L321" s="114"/>
      <c r="M321" s="114"/>
      <c r="N321" s="114"/>
      <c r="O321" s="114"/>
      <c r="P321" s="114"/>
      <c r="Q321" s="114"/>
      <c r="R321" s="114"/>
      <c r="S321" s="114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30"/>
      <c r="AH321" s="30"/>
    </row>
    <row r="322" spans="1:301" s="47" customFormat="1" ht="21.75" customHeight="1" x14ac:dyDescent="0.3">
      <c r="A322" s="5">
        <v>322</v>
      </c>
      <c r="B322" s="123">
        <v>41907</v>
      </c>
      <c r="C322" s="131">
        <v>9629303</v>
      </c>
      <c r="D322" s="12" t="s">
        <v>772</v>
      </c>
      <c r="E322" s="22" t="s">
        <v>301</v>
      </c>
      <c r="F322" s="151" t="s">
        <v>819</v>
      </c>
      <c r="G322" s="151" t="s">
        <v>1015</v>
      </c>
      <c r="H322" s="114">
        <v>4120807281</v>
      </c>
      <c r="I322" s="119">
        <v>26500</v>
      </c>
      <c r="J322" s="119">
        <v>26500</v>
      </c>
      <c r="K322" s="114"/>
      <c r="L322" s="114"/>
      <c r="M322" s="114"/>
      <c r="N322" s="114"/>
      <c r="O322" s="114"/>
      <c r="P322" s="114"/>
      <c r="Q322" s="114"/>
      <c r="R322" s="114"/>
      <c r="S322" s="114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30"/>
      <c r="AH322" s="30"/>
    </row>
    <row r="323" spans="1:301" ht="21.75" customHeight="1" x14ac:dyDescent="0.3">
      <c r="A323" s="9">
        <v>323</v>
      </c>
      <c r="B323" s="368">
        <v>41911</v>
      </c>
      <c r="C323" s="133">
        <v>12159314</v>
      </c>
      <c r="D323" s="17" t="s">
        <v>773</v>
      </c>
      <c r="E323" s="126" t="s">
        <v>79</v>
      </c>
      <c r="F323" s="152" t="s">
        <v>820</v>
      </c>
      <c r="G323" s="152" t="s">
        <v>821</v>
      </c>
      <c r="H323" s="189">
        <v>4167115967</v>
      </c>
      <c r="I323" s="65">
        <v>42900</v>
      </c>
      <c r="J323" s="65">
        <v>3900</v>
      </c>
      <c r="K323" s="118"/>
      <c r="L323" s="118"/>
      <c r="M323" s="118"/>
      <c r="N323" s="118"/>
      <c r="O323" s="118"/>
      <c r="P323" s="118"/>
      <c r="Q323" s="118"/>
      <c r="R323" s="118"/>
      <c r="S323" s="118"/>
      <c r="T323" s="120"/>
      <c r="U323" s="120"/>
      <c r="V323" s="120"/>
      <c r="W323" s="120"/>
      <c r="X323" s="125">
        <v>3900</v>
      </c>
      <c r="Y323" s="65"/>
      <c r="Z323" s="65"/>
      <c r="AA323" s="65">
        <v>3900</v>
      </c>
      <c r="AB323" s="65">
        <v>3900</v>
      </c>
      <c r="AC323" s="65"/>
      <c r="AD323" s="65"/>
      <c r="AE323" s="65"/>
      <c r="AF323" s="65"/>
      <c r="AG323" s="26"/>
      <c r="AH323" s="26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  <c r="CY323" s="47"/>
      <c r="CZ323" s="47"/>
      <c r="DA323" s="47"/>
      <c r="DB323" s="47"/>
      <c r="DC323" s="47"/>
      <c r="DD323" s="47"/>
      <c r="DE323" s="47"/>
      <c r="DF323" s="47"/>
      <c r="DG323" s="47"/>
      <c r="DH323" s="47"/>
      <c r="DI323" s="47"/>
      <c r="DJ323" s="47"/>
      <c r="DK323" s="47"/>
      <c r="DL323" s="47"/>
      <c r="DM323" s="47"/>
      <c r="DN323" s="47"/>
      <c r="DO323" s="47"/>
      <c r="DP323" s="47"/>
      <c r="DQ323" s="47"/>
      <c r="DR323" s="47"/>
      <c r="DS323" s="47"/>
      <c r="DT323" s="47"/>
      <c r="DU323" s="47"/>
      <c r="DV323" s="47"/>
      <c r="DW323" s="47"/>
      <c r="DX323" s="47"/>
      <c r="DY323" s="47"/>
      <c r="DZ323" s="47"/>
      <c r="EA323" s="47"/>
      <c r="EB323" s="47"/>
      <c r="EC323" s="47"/>
      <c r="ED323" s="47"/>
      <c r="EE323" s="47"/>
      <c r="EF323" s="47"/>
      <c r="EG323" s="47"/>
      <c r="EH323" s="47"/>
      <c r="EI323" s="47"/>
      <c r="EJ323" s="47"/>
      <c r="EK323" s="47"/>
      <c r="EL323" s="47"/>
      <c r="EM323" s="47"/>
      <c r="EN323" s="47"/>
      <c r="EO323" s="47"/>
      <c r="EP323" s="47"/>
      <c r="EQ323" s="47"/>
      <c r="ER323" s="47"/>
      <c r="ES323" s="47"/>
      <c r="ET323" s="47"/>
      <c r="EU323" s="47"/>
      <c r="EV323" s="47"/>
      <c r="EW323" s="47"/>
      <c r="EX323" s="47"/>
      <c r="EY323" s="47"/>
      <c r="EZ323" s="47"/>
      <c r="FA323" s="47"/>
      <c r="FB323" s="47"/>
      <c r="FC323" s="47"/>
      <c r="FD323" s="47"/>
      <c r="FE323" s="47"/>
      <c r="FF323" s="47"/>
      <c r="FG323" s="47"/>
      <c r="FH323" s="47"/>
      <c r="FI323" s="47"/>
      <c r="FJ323" s="47"/>
      <c r="FK323" s="47"/>
      <c r="FL323" s="47"/>
      <c r="FM323" s="47"/>
      <c r="FN323" s="47"/>
      <c r="FO323" s="47"/>
      <c r="FP323" s="47"/>
      <c r="FQ323" s="47"/>
      <c r="FR323" s="47"/>
      <c r="FS323" s="47"/>
      <c r="FT323" s="47"/>
      <c r="FU323" s="47"/>
      <c r="FV323" s="47"/>
      <c r="FW323" s="47"/>
      <c r="FX323" s="47"/>
      <c r="FY323" s="47"/>
      <c r="FZ323" s="47"/>
      <c r="GA323" s="47"/>
      <c r="GB323" s="47"/>
      <c r="GC323" s="47"/>
      <c r="GD323" s="47"/>
      <c r="GE323" s="47"/>
      <c r="GF323" s="47"/>
      <c r="GG323" s="47"/>
      <c r="GH323" s="47"/>
      <c r="GI323" s="47"/>
      <c r="GJ323" s="47"/>
      <c r="GK323" s="47"/>
      <c r="GL323" s="47"/>
      <c r="GM323" s="47"/>
      <c r="GN323" s="47"/>
      <c r="GO323" s="47"/>
      <c r="GP323" s="47"/>
      <c r="GQ323" s="47"/>
      <c r="GR323" s="47"/>
      <c r="GS323" s="47"/>
      <c r="GT323" s="47"/>
      <c r="GU323" s="47"/>
      <c r="GV323" s="47"/>
      <c r="GW323" s="47"/>
      <c r="GX323" s="47"/>
      <c r="GY323" s="47"/>
      <c r="GZ323" s="47"/>
      <c r="HA323" s="47"/>
      <c r="HB323" s="47"/>
      <c r="HC323" s="47"/>
      <c r="HD323" s="47"/>
      <c r="HE323" s="47"/>
      <c r="HF323" s="47"/>
      <c r="HG323" s="47"/>
      <c r="HH323" s="47"/>
      <c r="HI323" s="47"/>
      <c r="HJ323" s="47"/>
      <c r="HK323" s="47"/>
      <c r="HL323" s="47"/>
      <c r="HM323" s="47"/>
      <c r="HN323" s="47"/>
      <c r="HO323" s="47"/>
      <c r="HP323" s="47"/>
      <c r="HQ323" s="47"/>
      <c r="HR323" s="47"/>
      <c r="HS323" s="47"/>
      <c r="HT323" s="47"/>
      <c r="HU323" s="47"/>
      <c r="HV323" s="47"/>
      <c r="HW323" s="47"/>
      <c r="HX323" s="47"/>
      <c r="HY323" s="47"/>
      <c r="HZ323" s="47"/>
      <c r="IA323" s="47"/>
      <c r="IB323" s="47"/>
      <c r="IC323" s="47"/>
      <c r="ID323" s="47"/>
      <c r="IE323" s="47"/>
      <c r="IF323" s="47"/>
      <c r="IG323" s="47"/>
      <c r="IH323" s="47"/>
      <c r="II323" s="47"/>
      <c r="IJ323" s="47"/>
      <c r="IK323" s="47"/>
      <c r="IL323" s="47"/>
      <c r="IM323" s="47"/>
      <c r="IN323" s="47"/>
      <c r="IO323" s="47"/>
      <c r="IP323" s="47"/>
      <c r="IQ323" s="47"/>
      <c r="IR323" s="47"/>
      <c r="IS323" s="47"/>
      <c r="IT323" s="47"/>
      <c r="IU323" s="47"/>
      <c r="IV323" s="47"/>
      <c r="IW323" s="47"/>
      <c r="IX323" s="47"/>
      <c r="IY323" s="47"/>
      <c r="IZ323" s="47"/>
      <c r="JA323" s="47"/>
      <c r="JB323" s="47"/>
      <c r="JC323" s="47"/>
      <c r="JD323" s="47"/>
      <c r="JE323" s="47"/>
      <c r="JF323" s="47"/>
      <c r="JG323" s="47"/>
      <c r="JH323" s="47"/>
      <c r="JI323" s="47"/>
      <c r="JJ323" s="47"/>
      <c r="JK323" s="47"/>
      <c r="JL323" s="47"/>
      <c r="JM323" s="47"/>
      <c r="JN323" s="47"/>
      <c r="JO323" s="47"/>
      <c r="JP323" s="47"/>
      <c r="JQ323" s="47"/>
      <c r="JR323" s="47"/>
      <c r="JS323" s="47"/>
      <c r="JT323" s="47"/>
      <c r="JU323" s="47"/>
      <c r="JV323" s="47"/>
      <c r="JW323" s="47"/>
      <c r="JX323" s="47"/>
      <c r="JY323" s="47"/>
      <c r="JZ323" s="47"/>
      <c r="KA323" s="47"/>
      <c r="KB323" s="47"/>
      <c r="KC323" s="47"/>
      <c r="KD323" s="47"/>
      <c r="KE323" s="47"/>
      <c r="KF323" s="47"/>
      <c r="KG323" s="47"/>
      <c r="KH323" s="47"/>
      <c r="KI323" s="47"/>
      <c r="KJ323" s="47"/>
      <c r="KK323" s="47"/>
      <c r="KL323" s="47"/>
      <c r="KM323" s="47"/>
      <c r="KN323" s="47"/>
      <c r="KO323" s="47"/>
    </row>
    <row r="324" spans="1:301" ht="21.75" customHeight="1" x14ac:dyDescent="0.3">
      <c r="A324" s="9">
        <v>324</v>
      </c>
      <c r="B324" s="368">
        <v>41912</v>
      </c>
      <c r="C324" s="133">
        <v>13991571</v>
      </c>
      <c r="D324" s="17" t="s">
        <v>774</v>
      </c>
      <c r="E324" s="126" t="s">
        <v>79</v>
      </c>
      <c r="F324" s="152" t="s">
        <v>600</v>
      </c>
      <c r="G324" s="152" t="s">
        <v>601</v>
      </c>
      <c r="H324" s="189">
        <v>4168522147</v>
      </c>
      <c r="I324" s="65">
        <v>42900</v>
      </c>
      <c r="J324" s="65">
        <v>3900</v>
      </c>
      <c r="K324" s="118"/>
      <c r="L324" s="118"/>
      <c r="M324" s="118"/>
      <c r="N324" s="118"/>
      <c r="O324" s="118"/>
      <c r="P324" s="118"/>
      <c r="Q324" s="118"/>
      <c r="R324" s="118"/>
      <c r="S324" s="118"/>
      <c r="T324" s="120"/>
      <c r="U324" s="120"/>
      <c r="V324" s="120"/>
      <c r="W324" s="120"/>
      <c r="X324" s="65">
        <v>3900</v>
      </c>
      <c r="Y324" s="65"/>
      <c r="Z324" s="65"/>
      <c r="AA324" s="65">
        <v>3900</v>
      </c>
      <c r="AB324" s="65">
        <v>3900</v>
      </c>
      <c r="AC324" s="65"/>
      <c r="AD324" s="65"/>
      <c r="AE324" s="65"/>
      <c r="AF324" s="65"/>
      <c r="AG324" s="26"/>
      <c r="AH324" s="26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R324" s="47"/>
      <c r="CS324" s="47"/>
      <c r="CT324" s="47"/>
      <c r="CU324" s="47"/>
      <c r="CV324" s="47"/>
      <c r="CW324" s="47"/>
      <c r="CX324" s="47"/>
      <c r="CY324" s="47"/>
      <c r="CZ324" s="47"/>
      <c r="DA324" s="47"/>
      <c r="DB324" s="47"/>
      <c r="DC324" s="47"/>
      <c r="DD324" s="47"/>
      <c r="DE324" s="47"/>
      <c r="DF324" s="47"/>
      <c r="DG324" s="47"/>
      <c r="DH324" s="47"/>
      <c r="DI324" s="47"/>
      <c r="DJ324" s="47"/>
      <c r="DK324" s="47"/>
      <c r="DL324" s="47"/>
      <c r="DM324" s="47"/>
      <c r="DN324" s="47"/>
      <c r="DO324" s="47"/>
      <c r="DP324" s="47"/>
      <c r="DQ324" s="47"/>
      <c r="DR324" s="47"/>
      <c r="DS324" s="47"/>
      <c r="DT324" s="47"/>
      <c r="DU324" s="47"/>
      <c r="DV324" s="47"/>
      <c r="DW324" s="47"/>
      <c r="DX324" s="47"/>
      <c r="DY324" s="47"/>
      <c r="DZ324" s="47"/>
      <c r="EA324" s="47"/>
      <c r="EB324" s="47"/>
      <c r="EC324" s="47"/>
      <c r="ED324" s="47"/>
      <c r="EE324" s="47"/>
      <c r="EF324" s="47"/>
      <c r="EG324" s="47"/>
      <c r="EH324" s="47"/>
      <c r="EI324" s="47"/>
      <c r="EJ324" s="47"/>
      <c r="EK324" s="47"/>
      <c r="EL324" s="47"/>
      <c r="EM324" s="47"/>
      <c r="EN324" s="47"/>
      <c r="EO324" s="47"/>
      <c r="EP324" s="47"/>
      <c r="EQ324" s="47"/>
      <c r="ER324" s="47"/>
      <c r="ES324" s="47"/>
      <c r="ET324" s="47"/>
      <c r="EU324" s="47"/>
      <c r="EV324" s="47"/>
      <c r="EW324" s="47"/>
      <c r="EX324" s="47"/>
      <c r="EY324" s="47"/>
      <c r="EZ324" s="47"/>
      <c r="FA324" s="47"/>
      <c r="FB324" s="47"/>
      <c r="FC324" s="47"/>
      <c r="FD324" s="47"/>
      <c r="FE324" s="47"/>
      <c r="FF324" s="47"/>
      <c r="FG324" s="47"/>
      <c r="FH324" s="47"/>
      <c r="FI324" s="47"/>
      <c r="FJ324" s="47"/>
      <c r="FK324" s="47"/>
      <c r="FL324" s="47"/>
      <c r="FM324" s="47"/>
      <c r="FN324" s="47"/>
      <c r="FO324" s="47"/>
      <c r="FP324" s="47"/>
      <c r="FQ324" s="47"/>
      <c r="FR324" s="47"/>
      <c r="FS324" s="47"/>
      <c r="FT324" s="47"/>
      <c r="FU324" s="47"/>
      <c r="FV324" s="47"/>
      <c r="FW324" s="47"/>
      <c r="FX324" s="47"/>
      <c r="FY324" s="47"/>
      <c r="FZ324" s="47"/>
      <c r="GA324" s="47"/>
      <c r="GB324" s="47"/>
      <c r="GC324" s="47"/>
      <c r="GD324" s="47"/>
      <c r="GE324" s="47"/>
      <c r="GF324" s="47"/>
      <c r="GG324" s="47"/>
      <c r="GH324" s="47"/>
      <c r="GI324" s="47"/>
      <c r="GJ324" s="47"/>
      <c r="GK324" s="47"/>
      <c r="GL324" s="47"/>
      <c r="GM324" s="47"/>
      <c r="GN324" s="47"/>
      <c r="GO324" s="47"/>
      <c r="GP324" s="47"/>
      <c r="GQ324" s="47"/>
      <c r="GR324" s="47"/>
      <c r="GS324" s="47"/>
      <c r="GT324" s="47"/>
      <c r="GU324" s="47"/>
      <c r="GV324" s="47"/>
      <c r="GW324" s="47"/>
      <c r="GX324" s="47"/>
      <c r="GY324" s="47"/>
      <c r="GZ324" s="47"/>
      <c r="HA324" s="47"/>
      <c r="HB324" s="47"/>
      <c r="HC324" s="47"/>
      <c r="HD324" s="47"/>
      <c r="HE324" s="47"/>
      <c r="HF324" s="47"/>
      <c r="HG324" s="47"/>
      <c r="HH324" s="47"/>
      <c r="HI324" s="47"/>
      <c r="HJ324" s="47"/>
      <c r="HK324" s="47"/>
      <c r="HL324" s="47"/>
      <c r="HM324" s="47"/>
      <c r="HN324" s="47"/>
      <c r="HO324" s="47"/>
      <c r="HP324" s="47"/>
      <c r="HQ324" s="47"/>
      <c r="HR324" s="47"/>
      <c r="HS324" s="47"/>
      <c r="HT324" s="47"/>
      <c r="HU324" s="47"/>
      <c r="HV324" s="47"/>
      <c r="HW324" s="47"/>
      <c r="HX324" s="47"/>
      <c r="HY324" s="47"/>
      <c r="HZ324" s="47"/>
      <c r="IA324" s="47"/>
      <c r="IB324" s="47"/>
      <c r="IC324" s="47"/>
      <c r="ID324" s="47"/>
      <c r="IE324" s="47"/>
      <c r="IF324" s="47"/>
      <c r="IG324" s="47"/>
      <c r="IH324" s="47"/>
      <c r="II324" s="47"/>
      <c r="IJ324" s="47"/>
      <c r="IK324" s="47"/>
      <c r="IL324" s="47"/>
      <c r="IM324" s="47"/>
      <c r="IN324" s="47"/>
      <c r="IO324" s="47"/>
      <c r="IP324" s="47"/>
      <c r="IQ324" s="47"/>
      <c r="IR324" s="47"/>
      <c r="IS324" s="47"/>
      <c r="IT324" s="47"/>
      <c r="IU324" s="47"/>
      <c r="IV324" s="47"/>
      <c r="IW324" s="47"/>
      <c r="IX324" s="47"/>
      <c r="IY324" s="47"/>
      <c r="IZ324" s="47"/>
      <c r="JA324" s="47"/>
      <c r="JB324" s="47"/>
      <c r="JC324" s="47"/>
      <c r="JD324" s="47"/>
      <c r="JE324" s="47"/>
      <c r="JF324" s="47"/>
      <c r="JG324" s="47"/>
      <c r="JH324" s="47"/>
      <c r="JI324" s="47"/>
      <c r="JJ324" s="47"/>
      <c r="JK324" s="47"/>
      <c r="JL324" s="47"/>
      <c r="JM324" s="47"/>
      <c r="JN324" s="47"/>
      <c r="JO324" s="47"/>
      <c r="JP324" s="47"/>
      <c r="JQ324" s="47"/>
      <c r="JR324" s="47"/>
      <c r="JS324" s="47"/>
      <c r="JT324" s="47"/>
      <c r="JU324" s="47"/>
      <c r="JV324" s="47"/>
      <c r="JW324" s="47"/>
      <c r="JX324" s="47"/>
      <c r="JY324" s="47"/>
      <c r="JZ324" s="47"/>
      <c r="KA324" s="47"/>
      <c r="KB324" s="47"/>
      <c r="KC324" s="47"/>
      <c r="KD324" s="47"/>
      <c r="KE324" s="47"/>
      <c r="KF324" s="47"/>
      <c r="KG324" s="47"/>
      <c r="KH324" s="47"/>
      <c r="KI324" s="47"/>
      <c r="KJ324" s="47"/>
      <c r="KK324" s="47"/>
      <c r="KL324" s="47"/>
      <c r="KM324" s="47"/>
      <c r="KN324" s="47"/>
      <c r="KO324" s="47"/>
    </row>
    <row r="325" spans="1:301" ht="21.75" customHeight="1" x14ac:dyDescent="0.3">
      <c r="A325" s="9">
        <v>325</v>
      </c>
      <c r="B325" s="368">
        <v>41911</v>
      </c>
      <c r="C325" s="133">
        <v>10518372</v>
      </c>
      <c r="D325" s="17" t="s">
        <v>775</v>
      </c>
      <c r="E325" s="126" t="s">
        <v>79</v>
      </c>
      <c r="F325" s="152" t="s">
        <v>822</v>
      </c>
      <c r="G325" s="152" t="s">
        <v>822</v>
      </c>
      <c r="H325" s="189">
        <v>4141330515</v>
      </c>
      <c r="I325" s="65">
        <v>53900</v>
      </c>
      <c r="J325" s="65">
        <v>4900</v>
      </c>
      <c r="K325" s="118"/>
      <c r="L325" s="118"/>
      <c r="M325" s="118"/>
      <c r="N325" s="118"/>
      <c r="O325" s="118"/>
      <c r="P325" s="118"/>
      <c r="Q325" s="118"/>
      <c r="R325" s="118"/>
      <c r="S325" s="118"/>
      <c r="T325" s="120"/>
      <c r="U325" s="120"/>
      <c r="V325" s="120"/>
      <c r="W325" s="120"/>
      <c r="X325" s="65"/>
      <c r="Y325" s="65"/>
      <c r="Z325" s="65"/>
      <c r="AA325" s="65"/>
      <c r="AB325" s="65"/>
      <c r="AC325" s="65"/>
      <c r="AD325" s="65"/>
      <c r="AE325" s="65"/>
      <c r="AF325" s="65"/>
      <c r="AG325" s="26"/>
      <c r="AH325" s="26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  <c r="CY325" s="47"/>
      <c r="CZ325" s="47"/>
      <c r="DA325" s="47"/>
      <c r="DB325" s="47"/>
      <c r="DC325" s="47"/>
      <c r="DD325" s="47"/>
      <c r="DE325" s="47"/>
      <c r="DF325" s="47"/>
      <c r="DG325" s="47"/>
      <c r="DH325" s="47"/>
      <c r="DI325" s="47"/>
      <c r="DJ325" s="47"/>
      <c r="DK325" s="47"/>
      <c r="DL325" s="47"/>
      <c r="DM325" s="47"/>
      <c r="DN325" s="47"/>
      <c r="DO325" s="47"/>
      <c r="DP325" s="47"/>
      <c r="DQ325" s="47"/>
      <c r="DR325" s="47"/>
      <c r="DS325" s="47"/>
      <c r="DT325" s="47"/>
      <c r="DU325" s="47"/>
      <c r="DV325" s="47"/>
      <c r="DW325" s="47"/>
      <c r="DX325" s="47"/>
      <c r="DY325" s="47"/>
      <c r="DZ325" s="47"/>
      <c r="EA325" s="47"/>
      <c r="EB325" s="47"/>
      <c r="EC325" s="47"/>
      <c r="ED325" s="47"/>
      <c r="EE325" s="47"/>
      <c r="EF325" s="47"/>
      <c r="EG325" s="47"/>
      <c r="EH325" s="47"/>
      <c r="EI325" s="47"/>
      <c r="EJ325" s="47"/>
      <c r="EK325" s="47"/>
      <c r="EL325" s="47"/>
      <c r="EM325" s="47"/>
      <c r="EN325" s="47"/>
      <c r="EO325" s="47"/>
      <c r="EP325" s="47"/>
      <c r="EQ325" s="47"/>
      <c r="ER325" s="47"/>
      <c r="ES325" s="47"/>
      <c r="ET325" s="47"/>
      <c r="EU325" s="47"/>
      <c r="EV325" s="47"/>
      <c r="EW325" s="47"/>
      <c r="EX325" s="47"/>
      <c r="EY325" s="47"/>
      <c r="EZ325" s="47"/>
      <c r="FA325" s="47"/>
      <c r="FB325" s="47"/>
      <c r="FC325" s="47"/>
      <c r="FD325" s="47"/>
      <c r="FE325" s="47"/>
      <c r="FF325" s="47"/>
      <c r="FG325" s="47"/>
      <c r="FH325" s="47"/>
      <c r="FI325" s="47"/>
      <c r="FJ325" s="47"/>
      <c r="FK325" s="47"/>
      <c r="FL325" s="47"/>
      <c r="FM325" s="47"/>
      <c r="FN325" s="47"/>
      <c r="FO325" s="47"/>
      <c r="FP325" s="47"/>
      <c r="FQ325" s="47"/>
      <c r="FR325" s="47"/>
      <c r="FS325" s="47"/>
      <c r="FT325" s="47"/>
      <c r="FU325" s="47"/>
      <c r="FV325" s="47"/>
      <c r="FW325" s="47"/>
      <c r="FX325" s="47"/>
      <c r="FY325" s="47"/>
      <c r="FZ325" s="47"/>
      <c r="GA325" s="47"/>
      <c r="GB325" s="47"/>
      <c r="GC325" s="47"/>
      <c r="GD325" s="47"/>
      <c r="GE325" s="47"/>
      <c r="GF325" s="47"/>
      <c r="GG325" s="47"/>
      <c r="GH325" s="47"/>
      <c r="GI325" s="47"/>
      <c r="GJ325" s="47"/>
      <c r="GK325" s="47"/>
      <c r="GL325" s="47"/>
      <c r="GM325" s="47"/>
      <c r="GN325" s="47"/>
      <c r="GO325" s="47"/>
      <c r="GP325" s="47"/>
      <c r="GQ325" s="47"/>
      <c r="GR325" s="47"/>
      <c r="GS325" s="47"/>
      <c r="GT325" s="47"/>
      <c r="GU325" s="47"/>
      <c r="GV325" s="47"/>
      <c r="GW325" s="47"/>
      <c r="GX325" s="47"/>
      <c r="GY325" s="47"/>
      <c r="GZ325" s="47"/>
      <c r="HA325" s="47"/>
      <c r="HB325" s="47"/>
      <c r="HC325" s="47"/>
      <c r="HD325" s="47"/>
      <c r="HE325" s="47"/>
      <c r="HF325" s="47"/>
      <c r="HG325" s="47"/>
      <c r="HH325" s="47"/>
      <c r="HI325" s="47"/>
      <c r="HJ325" s="47"/>
      <c r="HK325" s="47"/>
      <c r="HL325" s="47"/>
      <c r="HM325" s="47"/>
      <c r="HN325" s="47"/>
      <c r="HO325" s="47"/>
      <c r="HP325" s="47"/>
      <c r="HQ325" s="47"/>
      <c r="HR325" s="47"/>
      <c r="HS325" s="47"/>
      <c r="HT325" s="47"/>
      <c r="HU325" s="47"/>
      <c r="HV325" s="47"/>
      <c r="HW325" s="47"/>
      <c r="HX325" s="47"/>
      <c r="HY325" s="47"/>
      <c r="HZ325" s="47"/>
      <c r="IA325" s="47"/>
      <c r="IB325" s="47"/>
      <c r="IC325" s="47"/>
      <c r="ID325" s="47"/>
      <c r="IE325" s="47"/>
      <c r="IF325" s="47"/>
      <c r="IG325" s="47"/>
      <c r="IH325" s="47"/>
      <c r="II325" s="47"/>
      <c r="IJ325" s="47"/>
      <c r="IK325" s="47"/>
      <c r="IL325" s="47"/>
      <c r="IM325" s="47"/>
      <c r="IN325" s="47"/>
      <c r="IO325" s="47"/>
      <c r="IP325" s="47"/>
      <c r="IQ325" s="47"/>
      <c r="IR325" s="47"/>
      <c r="IS325" s="47"/>
      <c r="IT325" s="47"/>
      <c r="IU325" s="47"/>
      <c r="IV325" s="47"/>
      <c r="IW325" s="47"/>
      <c r="IX325" s="47"/>
      <c r="IY325" s="47"/>
      <c r="IZ325" s="47"/>
      <c r="JA325" s="47"/>
      <c r="JB325" s="47"/>
      <c r="JC325" s="47"/>
      <c r="JD325" s="47"/>
      <c r="JE325" s="47"/>
      <c r="JF325" s="47"/>
      <c r="JG325" s="47"/>
      <c r="JH325" s="47"/>
      <c r="JI325" s="47"/>
      <c r="JJ325" s="47"/>
      <c r="JK325" s="47"/>
      <c r="JL325" s="47"/>
      <c r="JM325" s="47"/>
      <c r="JN325" s="47"/>
      <c r="JO325" s="47"/>
      <c r="JP325" s="47"/>
      <c r="JQ325" s="47"/>
      <c r="JR325" s="47"/>
      <c r="JS325" s="47"/>
      <c r="JT325" s="47"/>
      <c r="JU325" s="47"/>
      <c r="JV325" s="47"/>
      <c r="JW325" s="47"/>
      <c r="JX325" s="47"/>
      <c r="JY325" s="47"/>
      <c r="JZ325" s="47"/>
      <c r="KA325" s="47"/>
      <c r="KB325" s="47"/>
      <c r="KC325" s="47"/>
      <c r="KD325" s="47"/>
      <c r="KE325" s="47"/>
      <c r="KF325" s="47"/>
      <c r="KG325" s="47"/>
      <c r="KH325" s="47"/>
      <c r="KI325" s="47"/>
      <c r="KJ325" s="47"/>
      <c r="KK325" s="47"/>
      <c r="KL325" s="47"/>
      <c r="KM325" s="47"/>
      <c r="KN325" s="47"/>
      <c r="KO325" s="47"/>
    </row>
    <row r="326" spans="1:301" s="313" customFormat="1" ht="21.75" customHeight="1" x14ac:dyDescent="0.3">
      <c r="A326" s="173">
        <v>326</v>
      </c>
      <c r="B326" s="324">
        <v>41913</v>
      </c>
      <c r="C326" s="307">
        <v>81695707</v>
      </c>
      <c r="D326" s="329" t="s">
        <v>776</v>
      </c>
      <c r="E326" s="325" t="s">
        <v>79</v>
      </c>
      <c r="F326" s="326" t="s">
        <v>823</v>
      </c>
      <c r="G326" s="326" t="s">
        <v>824</v>
      </c>
      <c r="H326" s="305">
        <v>4165371705</v>
      </c>
      <c r="I326" s="163">
        <v>38500</v>
      </c>
      <c r="J326" s="163">
        <v>3500</v>
      </c>
      <c r="K326" s="97"/>
      <c r="L326" s="97"/>
      <c r="M326" s="97"/>
      <c r="N326" s="97"/>
      <c r="O326" s="97"/>
      <c r="P326" s="97"/>
      <c r="Q326" s="97"/>
      <c r="R326" s="97"/>
      <c r="S326" s="97"/>
      <c r="T326" s="140"/>
      <c r="U326" s="140"/>
      <c r="V326" s="140"/>
      <c r="W326" s="140"/>
      <c r="X326" s="140"/>
      <c r="Y326" s="163"/>
      <c r="Z326" s="163"/>
      <c r="AA326" s="163">
        <v>3500</v>
      </c>
      <c r="AB326" s="163">
        <v>3500</v>
      </c>
      <c r="AC326" s="163">
        <v>3500</v>
      </c>
      <c r="AD326" s="163"/>
      <c r="AE326" s="163"/>
      <c r="AF326" s="163"/>
      <c r="AG326" s="372"/>
      <c r="AH326" s="372"/>
    </row>
    <row r="327" spans="1:301" s="313" customFormat="1" ht="21.75" customHeight="1" x14ac:dyDescent="0.3">
      <c r="A327" s="173">
        <v>327</v>
      </c>
      <c r="B327" s="324">
        <v>41913</v>
      </c>
      <c r="C327" s="307">
        <v>81695707</v>
      </c>
      <c r="D327" s="329" t="s">
        <v>777</v>
      </c>
      <c r="E327" s="325" t="s">
        <v>79</v>
      </c>
      <c r="F327" s="326" t="s">
        <v>825</v>
      </c>
      <c r="G327" s="326" t="s">
        <v>824</v>
      </c>
      <c r="H327" s="305">
        <v>4165371705</v>
      </c>
      <c r="I327" s="163">
        <v>38500</v>
      </c>
      <c r="J327" s="163">
        <v>3500</v>
      </c>
      <c r="K327" s="97"/>
      <c r="L327" s="97"/>
      <c r="M327" s="97"/>
      <c r="N327" s="97"/>
      <c r="O327" s="97"/>
      <c r="P327" s="97"/>
      <c r="Q327" s="97"/>
      <c r="R327" s="97"/>
      <c r="S327" s="97"/>
      <c r="T327" s="140"/>
      <c r="U327" s="140"/>
      <c r="V327" s="140"/>
      <c r="W327" s="140"/>
      <c r="X327" s="140"/>
      <c r="Y327" s="163"/>
      <c r="Z327" s="163"/>
      <c r="AA327" s="163">
        <v>3500</v>
      </c>
      <c r="AB327" s="163">
        <v>3500</v>
      </c>
      <c r="AC327" s="163">
        <v>3500</v>
      </c>
      <c r="AD327" s="163"/>
      <c r="AE327" s="163"/>
      <c r="AF327" s="163"/>
      <c r="AG327" s="372"/>
      <c r="AH327" s="372"/>
    </row>
    <row r="328" spans="1:301" s="313" customFormat="1" ht="21.75" customHeight="1" x14ac:dyDescent="0.3">
      <c r="A328" s="173">
        <v>328</v>
      </c>
      <c r="B328" s="324">
        <v>41916</v>
      </c>
      <c r="C328" s="307">
        <v>11201077</v>
      </c>
      <c r="D328" s="329" t="s">
        <v>778</v>
      </c>
      <c r="E328" s="325" t="s">
        <v>79</v>
      </c>
      <c r="F328" s="326" t="s">
        <v>826</v>
      </c>
      <c r="G328" s="326" t="s">
        <v>827</v>
      </c>
      <c r="H328" s="305">
        <v>4142937878</v>
      </c>
      <c r="I328" s="163">
        <v>42900</v>
      </c>
      <c r="J328" s="163">
        <v>3900</v>
      </c>
      <c r="K328" s="97"/>
      <c r="L328" s="97"/>
      <c r="M328" s="97"/>
      <c r="N328" s="97"/>
      <c r="O328" s="97"/>
      <c r="P328" s="97"/>
      <c r="Q328" s="97"/>
      <c r="R328" s="97"/>
      <c r="S328" s="97"/>
      <c r="T328" s="140"/>
      <c r="U328" s="140"/>
      <c r="V328" s="140"/>
      <c r="W328" s="140"/>
      <c r="X328" s="140"/>
      <c r="Y328" s="163"/>
      <c r="Z328" s="163"/>
      <c r="AA328" s="163">
        <v>3900</v>
      </c>
      <c r="AB328" s="163">
        <v>3900</v>
      </c>
      <c r="AC328" s="163">
        <v>3900</v>
      </c>
      <c r="AD328" s="163"/>
      <c r="AE328" s="163"/>
      <c r="AF328" s="163"/>
      <c r="AG328" s="372"/>
      <c r="AH328" s="372"/>
    </row>
    <row r="329" spans="1:301" s="313" customFormat="1" ht="21.75" customHeight="1" x14ac:dyDescent="0.3">
      <c r="A329" s="173">
        <v>329</v>
      </c>
      <c r="B329" s="324">
        <v>41916</v>
      </c>
      <c r="C329" s="307">
        <v>11201077</v>
      </c>
      <c r="D329" s="329" t="s">
        <v>828</v>
      </c>
      <c r="E329" s="325" t="s">
        <v>79</v>
      </c>
      <c r="F329" s="326" t="s">
        <v>827</v>
      </c>
      <c r="G329" s="326" t="s">
        <v>827</v>
      </c>
      <c r="H329" s="305">
        <v>4142937878</v>
      </c>
      <c r="I329" s="163">
        <v>42900</v>
      </c>
      <c r="J329" s="163">
        <v>3900</v>
      </c>
      <c r="K329" s="97"/>
      <c r="L329" s="97"/>
      <c r="M329" s="97"/>
      <c r="N329" s="97"/>
      <c r="O329" s="97"/>
      <c r="P329" s="97"/>
      <c r="Q329" s="97"/>
      <c r="R329" s="97"/>
      <c r="S329" s="97"/>
      <c r="T329" s="140"/>
      <c r="U329" s="140"/>
      <c r="V329" s="140"/>
      <c r="W329" s="140"/>
      <c r="X329" s="140"/>
      <c r="Y329" s="163"/>
      <c r="Z329" s="163"/>
      <c r="AA329" s="163">
        <v>3900</v>
      </c>
      <c r="AB329" s="163">
        <v>3900</v>
      </c>
      <c r="AC329" s="163">
        <v>3900</v>
      </c>
      <c r="AD329" s="163"/>
      <c r="AE329" s="163"/>
      <c r="AF329" s="163"/>
      <c r="AG329" s="372"/>
      <c r="AH329" s="372"/>
    </row>
    <row r="330" spans="1:301" ht="21.75" customHeight="1" x14ac:dyDescent="0.3">
      <c r="A330" s="9">
        <v>330</v>
      </c>
      <c r="B330" s="368">
        <v>41918</v>
      </c>
      <c r="C330" s="133">
        <v>13943667</v>
      </c>
      <c r="D330" s="17" t="s">
        <v>829</v>
      </c>
      <c r="E330" s="126" t="s">
        <v>79</v>
      </c>
      <c r="F330" s="152" t="s">
        <v>840</v>
      </c>
      <c r="G330" s="152" t="s">
        <v>841</v>
      </c>
      <c r="H330" s="189">
        <v>4144524037</v>
      </c>
      <c r="I330" s="65">
        <v>42900</v>
      </c>
      <c r="J330" s="65">
        <v>3900</v>
      </c>
      <c r="K330" s="118"/>
      <c r="L330" s="118"/>
      <c r="M330" s="118"/>
      <c r="N330" s="118"/>
      <c r="O330" s="118"/>
      <c r="P330" s="118"/>
      <c r="Q330" s="118"/>
      <c r="R330" s="118"/>
      <c r="S330" s="118"/>
      <c r="T330" s="120"/>
      <c r="U330" s="120"/>
      <c r="V330" s="120"/>
      <c r="W330" s="120"/>
      <c r="X330" s="120"/>
      <c r="Y330" s="65"/>
      <c r="Z330" s="65"/>
      <c r="AA330" s="65">
        <v>3900</v>
      </c>
      <c r="AB330" s="65">
        <v>3900</v>
      </c>
      <c r="AC330" s="65"/>
      <c r="AD330" s="65"/>
      <c r="AE330" s="65"/>
      <c r="AF330" s="65"/>
      <c r="AG330" s="26"/>
      <c r="AH330" s="26"/>
    </row>
    <row r="331" spans="1:301" ht="21.75" customHeight="1" x14ac:dyDescent="0.3">
      <c r="A331" s="9">
        <v>331</v>
      </c>
      <c r="B331" s="368">
        <v>41916</v>
      </c>
      <c r="C331" s="133">
        <v>10899978</v>
      </c>
      <c r="D331" s="17" t="s">
        <v>830</v>
      </c>
      <c r="E331" s="126" t="s">
        <v>79</v>
      </c>
      <c r="F331" s="152" t="s">
        <v>842</v>
      </c>
      <c r="G331" s="152" t="s">
        <v>843</v>
      </c>
      <c r="H331" s="189">
        <v>4143227070</v>
      </c>
      <c r="I331" s="65">
        <v>42900</v>
      </c>
      <c r="J331" s="65">
        <v>3900</v>
      </c>
      <c r="K331" s="118"/>
      <c r="L331" s="118"/>
      <c r="M331" s="118"/>
      <c r="N331" s="118"/>
      <c r="O331" s="118"/>
      <c r="P331" s="118"/>
      <c r="Q331" s="118"/>
      <c r="R331" s="118"/>
      <c r="S331" s="118"/>
      <c r="T331" s="120"/>
      <c r="U331" s="120"/>
      <c r="V331" s="120"/>
      <c r="W331" s="120"/>
      <c r="X331" s="120"/>
      <c r="Y331" s="65"/>
      <c r="Z331" s="65"/>
      <c r="AA331" s="65"/>
      <c r="AB331" s="65"/>
      <c r="AC331" s="65"/>
      <c r="AD331" s="65"/>
      <c r="AE331" s="65"/>
      <c r="AF331" s="65"/>
      <c r="AG331" s="26"/>
      <c r="AH331" s="26"/>
    </row>
    <row r="332" spans="1:301" s="34" customFormat="1" ht="21.75" customHeight="1" x14ac:dyDescent="0.3">
      <c r="A332" s="37">
        <v>332</v>
      </c>
      <c r="B332" s="73">
        <v>41920</v>
      </c>
      <c r="C332" s="132">
        <v>13476974</v>
      </c>
      <c r="D332" s="38" t="s">
        <v>831</v>
      </c>
      <c r="E332" s="13" t="s">
        <v>79</v>
      </c>
      <c r="F332" s="142" t="s">
        <v>844</v>
      </c>
      <c r="G332" s="142" t="s">
        <v>844</v>
      </c>
      <c r="H332" s="4">
        <v>4241986841</v>
      </c>
      <c r="I332" s="74">
        <v>39600</v>
      </c>
      <c r="J332" s="74">
        <v>3600</v>
      </c>
      <c r="K332" s="78"/>
      <c r="L332" s="78"/>
      <c r="M332" s="78"/>
      <c r="N332" s="78"/>
      <c r="O332" s="78"/>
      <c r="P332" s="78"/>
      <c r="Q332" s="78"/>
      <c r="R332" s="78"/>
      <c r="S332" s="78"/>
      <c r="T332" s="105"/>
      <c r="U332" s="105"/>
      <c r="V332" s="105"/>
      <c r="W332" s="105"/>
      <c r="X332" s="105"/>
      <c r="Y332" s="74"/>
      <c r="Z332" s="74"/>
      <c r="AA332" s="74">
        <v>3600</v>
      </c>
      <c r="AB332" s="74"/>
      <c r="AC332" s="74"/>
      <c r="AD332" s="74"/>
      <c r="AE332" s="74"/>
      <c r="AF332" s="74"/>
      <c r="AG332" s="28"/>
      <c r="AH332" s="28"/>
    </row>
    <row r="333" spans="1:301" s="313" customFormat="1" ht="21.75" customHeight="1" x14ac:dyDescent="0.3">
      <c r="A333" s="173">
        <v>333</v>
      </c>
      <c r="B333" s="324">
        <v>41921</v>
      </c>
      <c r="C333" s="307">
        <v>18771013</v>
      </c>
      <c r="D333" s="329" t="s">
        <v>832</v>
      </c>
      <c r="E333" s="325" t="s">
        <v>79</v>
      </c>
      <c r="F333" s="326" t="s">
        <v>845</v>
      </c>
      <c r="G333" s="326" t="s">
        <v>845</v>
      </c>
      <c r="H333" s="305">
        <v>4142028773</v>
      </c>
      <c r="I333" s="163">
        <v>42900</v>
      </c>
      <c r="J333" s="163">
        <v>3900</v>
      </c>
      <c r="K333" s="97"/>
      <c r="L333" s="97"/>
      <c r="M333" s="97"/>
      <c r="N333" s="97"/>
      <c r="O333" s="97"/>
      <c r="P333" s="97"/>
      <c r="Q333" s="97"/>
      <c r="R333" s="97"/>
      <c r="S333" s="97"/>
      <c r="T333" s="140"/>
      <c r="U333" s="140"/>
      <c r="V333" s="140"/>
      <c r="W333" s="140"/>
      <c r="X333" s="140"/>
      <c r="Y333" s="163"/>
      <c r="Z333" s="163"/>
      <c r="AA333" s="163">
        <v>3900</v>
      </c>
      <c r="AB333" s="163"/>
      <c r="AC333" s="163"/>
      <c r="AD333" s="163"/>
      <c r="AE333" s="163"/>
      <c r="AF333" s="163"/>
      <c r="AG333" s="372"/>
      <c r="AH333" s="372"/>
    </row>
    <row r="334" spans="1:301" s="346" customFormat="1" ht="21.75" customHeight="1" x14ac:dyDescent="0.3">
      <c r="A334" s="340">
        <v>334</v>
      </c>
      <c r="B334" s="341">
        <v>41921</v>
      </c>
      <c r="C334" s="342">
        <v>13128282</v>
      </c>
      <c r="D334" s="347" t="s">
        <v>833</v>
      </c>
      <c r="E334" s="347" t="s">
        <v>79</v>
      </c>
      <c r="F334" s="348" t="s">
        <v>846</v>
      </c>
      <c r="G334" s="348" t="s">
        <v>846</v>
      </c>
      <c r="H334" s="340">
        <v>4144657398</v>
      </c>
      <c r="I334" s="344">
        <v>39600</v>
      </c>
      <c r="J334" s="344">
        <v>3600</v>
      </c>
      <c r="K334" s="340"/>
      <c r="L334" s="340"/>
      <c r="M334" s="340"/>
      <c r="N334" s="340"/>
      <c r="O334" s="340"/>
      <c r="P334" s="340"/>
      <c r="Q334" s="340"/>
      <c r="R334" s="340"/>
      <c r="S334" s="340"/>
      <c r="T334" s="344"/>
      <c r="U334" s="344"/>
      <c r="V334" s="344"/>
      <c r="W334" s="344"/>
      <c r="X334" s="344"/>
      <c r="Y334" s="344"/>
      <c r="Z334" s="344"/>
      <c r="AA334" s="344"/>
      <c r="AB334" s="344"/>
      <c r="AC334" s="344"/>
      <c r="AD334" s="344"/>
      <c r="AE334" s="344"/>
      <c r="AF334" s="344"/>
      <c r="AG334" s="373"/>
      <c r="AH334" s="373"/>
    </row>
    <row r="335" spans="1:301" ht="21.75" customHeight="1" x14ac:dyDescent="0.3">
      <c r="A335" s="9">
        <v>335</v>
      </c>
      <c r="B335" s="368">
        <v>41923</v>
      </c>
      <c r="C335" s="133">
        <v>6089980</v>
      </c>
      <c r="D335" s="17" t="s">
        <v>834</v>
      </c>
      <c r="E335" s="126" t="s">
        <v>79</v>
      </c>
      <c r="F335" s="152" t="s">
        <v>847</v>
      </c>
      <c r="G335" s="152" t="s">
        <v>847</v>
      </c>
      <c r="H335" s="189">
        <v>4265141626</v>
      </c>
      <c r="I335" s="65">
        <v>42900</v>
      </c>
      <c r="J335" s="65">
        <v>3900</v>
      </c>
      <c r="K335" s="118"/>
      <c r="L335" s="118"/>
      <c r="M335" s="118"/>
      <c r="N335" s="118"/>
      <c r="O335" s="118"/>
      <c r="P335" s="118"/>
      <c r="Q335" s="118"/>
      <c r="R335" s="118"/>
      <c r="S335" s="118"/>
      <c r="T335" s="120"/>
      <c r="U335" s="120"/>
      <c r="V335" s="120"/>
      <c r="W335" s="120"/>
      <c r="X335" s="120"/>
      <c r="Y335" s="65"/>
      <c r="Z335" s="65"/>
      <c r="AA335" s="65">
        <v>3900</v>
      </c>
      <c r="AB335" s="65">
        <v>3900</v>
      </c>
      <c r="AC335" s="65">
        <v>3900</v>
      </c>
      <c r="AD335" s="65"/>
      <c r="AE335" s="65"/>
      <c r="AF335" s="65"/>
      <c r="AG335" s="26"/>
      <c r="AH335" s="26"/>
    </row>
    <row r="336" spans="1:301" ht="21.75" customHeight="1" x14ac:dyDescent="0.3">
      <c r="A336" s="5">
        <v>336</v>
      </c>
      <c r="B336" s="123">
        <v>41968</v>
      </c>
      <c r="C336" s="131">
        <v>6660368</v>
      </c>
      <c r="D336" s="12" t="s">
        <v>835</v>
      </c>
      <c r="E336" s="22" t="s">
        <v>301</v>
      </c>
      <c r="F336" s="151" t="s">
        <v>854</v>
      </c>
      <c r="G336" s="151" t="s">
        <v>851</v>
      </c>
      <c r="H336" s="114">
        <v>4142832723</v>
      </c>
      <c r="I336" s="119">
        <v>31450</v>
      </c>
      <c r="J336" s="119">
        <v>31450</v>
      </c>
      <c r="K336" s="114"/>
      <c r="L336" s="114"/>
      <c r="M336" s="114"/>
      <c r="N336" s="114"/>
      <c r="O336" s="114"/>
      <c r="P336" s="114"/>
      <c r="Q336" s="114"/>
      <c r="R336" s="114"/>
      <c r="S336" s="114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30"/>
      <c r="AH336" s="30"/>
    </row>
    <row r="337" spans="1:136" ht="21.75" customHeight="1" x14ac:dyDescent="0.3">
      <c r="A337" s="5">
        <v>337</v>
      </c>
      <c r="B337" s="114"/>
      <c r="C337" s="131">
        <v>10805273</v>
      </c>
      <c r="D337" s="12" t="s">
        <v>836</v>
      </c>
      <c r="E337" s="22" t="s">
        <v>301</v>
      </c>
      <c r="F337" s="151" t="s">
        <v>351</v>
      </c>
      <c r="G337" s="151" t="s">
        <v>282</v>
      </c>
      <c r="H337" s="114">
        <v>4143393298</v>
      </c>
      <c r="I337" s="119">
        <v>30000</v>
      </c>
      <c r="J337" s="119">
        <v>30000</v>
      </c>
      <c r="K337" s="114"/>
      <c r="L337" s="114"/>
      <c r="M337" s="114"/>
      <c r="N337" s="114"/>
      <c r="O337" s="114"/>
      <c r="P337" s="114"/>
      <c r="Q337" s="114"/>
      <c r="R337" s="114"/>
      <c r="S337" s="114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30"/>
      <c r="AH337" s="30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</row>
    <row r="338" spans="1:136" s="313" customFormat="1" ht="21.75" customHeight="1" x14ac:dyDescent="0.3">
      <c r="A338" s="173">
        <v>338</v>
      </c>
      <c r="B338" s="324">
        <v>41932</v>
      </c>
      <c r="C338" s="307">
        <v>11201077</v>
      </c>
      <c r="D338" s="329" t="s">
        <v>837</v>
      </c>
      <c r="E338" s="325" t="s">
        <v>79</v>
      </c>
      <c r="F338" s="326" t="s">
        <v>848</v>
      </c>
      <c r="G338" s="326" t="s">
        <v>827</v>
      </c>
      <c r="H338" s="305">
        <v>4142937878</v>
      </c>
      <c r="I338" s="163">
        <f>27300+2730</f>
        <v>30030</v>
      </c>
      <c r="J338" s="163">
        <v>2730</v>
      </c>
      <c r="K338" s="97"/>
      <c r="L338" s="97"/>
      <c r="M338" s="97"/>
      <c r="N338" s="97"/>
      <c r="O338" s="97"/>
      <c r="P338" s="97"/>
      <c r="Q338" s="97"/>
      <c r="R338" s="97"/>
      <c r="S338" s="97"/>
      <c r="T338" s="140"/>
      <c r="U338" s="140"/>
      <c r="V338" s="140"/>
      <c r="W338" s="140"/>
      <c r="X338" s="140"/>
      <c r="Y338" s="163"/>
      <c r="Z338" s="163"/>
      <c r="AA338" s="163">
        <v>2730</v>
      </c>
      <c r="AB338" s="163">
        <v>2730</v>
      </c>
      <c r="AC338" s="163">
        <v>2730</v>
      </c>
      <c r="AD338" s="163"/>
      <c r="AE338" s="163"/>
      <c r="AF338" s="163"/>
      <c r="AG338" s="372"/>
      <c r="AH338" s="372"/>
    </row>
    <row r="339" spans="1:136" ht="21.75" customHeight="1" x14ac:dyDescent="0.3">
      <c r="A339" s="9">
        <v>339</v>
      </c>
      <c r="B339" s="157">
        <v>41934</v>
      </c>
      <c r="C339" s="158">
        <v>6224225</v>
      </c>
      <c r="D339" s="16" t="s">
        <v>838</v>
      </c>
      <c r="E339" s="159" t="s">
        <v>849</v>
      </c>
      <c r="F339" s="161" t="s">
        <v>606</v>
      </c>
      <c r="G339" s="161" t="s">
        <v>607</v>
      </c>
      <c r="H339" s="160">
        <v>4142249731</v>
      </c>
      <c r="I339" s="65">
        <v>42900</v>
      </c>
      <c r="J339" s="65">
        <v>3900</v>
      </c>
      <c r="K339" s="118"/>
      <c r="L339" s="118"/>
      <c r="M339" s="118"/>
      <c r="N339" s="118"/>
      <c r="O339" s="118"/>
      <c r="P339" s="118"/>
      <c r="Q339" s="118"/>
      <c r="R339" s="118"/>
      <c r="S339" s="118"/>
      <c r="T339" s="120"/>
      <c r="U339" s="120"/>
      <c r="V339" s="120"/>
      <c r="W339" s="120"/>
      <c r="X339" s="120"/>
      <c r="Y339" s="65"/>
      <c r="Z339" s="65"/>
      <c r="AA339" s="65">
        <v>3900</v>
      </c>
      <c r="AB339" s="65">
        <v>3900</v>
      </c>
      <c r="AC339" s="65">
        <v>3900</v>
      </c>
      <c r="AD339" s="65"/>
      <c r="AE339" s="65"/>
      <c r="AF339" s="65"/>
      <c r="AG339" s="26"/>
      <c r="AH339" s="26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  <c r="CP339" s="47"/>
      <c r="CQ339" s="47"/>
      <c r="CR339" s="47"/>
      <c r="CS339" s="47"/>
      <c r="CT339" s="47"/>
      <c r="CU339" s="47"/>
      <c r="CV339" s="47"/>
      <c r="CW339" s="47"/>
      <c r="CX339" s="47"/>
      <c r="CY339" s="47"/>
      <c r="CZ339" s="47"/>
      <c r="DA339" s="47"/>
      <c r="DB339" s="47"/>
      <c r="DC339" s="47"/>
      <c r="DD339" s="47"/>
      <c r="DE339" s="47"/>
      <c r="DF339" s="47"/>
      <c r="DG339" s="47"/>
      <c r="DH339" s="47"/>
      <c r="DI339" s="47"/>
      <c r="DJ339" s="47"/>
      <c r="DK339" s="47"/>
      <c r="DL339" s="47"/>
      <c r="DM339" s="47"/>
      <c r="DN339" s="47"/>
      <c r="DO339" s="47"/>
      <c r="DP339" s="47"/>
      <c r="DQ339" s="47"/>
      <c r="DR339" s="47"/>
      <c r="DS339" s="47"/>
      <c r="DT339" s="47"/>
      <c r="DU339" s="47"/>
      <c r="DV339" s="47"/>
      <c r="DW339" s="47"/>
      <c r="DX339" s="47"/>
      <c r="DY339" s="47"/>
      <c r="DZ339" s="47"/>
      <c r="EA339" s="47"/>
      <c r="EB339" s="47"/>
      <c r="EC339" s="47"/>
      <c r="ED339" s="47"/>
      <c r="EE339" s="47"/>
      <c r="EF339" s="47"/>
    </row>
    <row r="340" spans="1:136" ht="21.75" customHeight="1" x14ac:dyDescent="0.3">
      <c r="A340" s="5">
        <v>340</v>
      </c>
      <c r="B340" s="123">
        <v>41937</v>
      </c>
      <c r="C340" s="131">
        <v>6660368</v>
      </c>
      <c r="D340" s="12" t="s">
        <v>839</v>
      </c>
      <c r="E340" s="22" t="s">
        <v>301</v>
      </c>
      <c r="F340" s="151" t="s">
        <v>851</v>
      </c>
      <c r="G340" s="151" t="s">
        <v>851</v>
      </c>
      <c r="H340" s="114">
        <v>4142832723</v>
      </c>
      <c r="I340" s="119">
        <v>33000</v>
      </c>
      <c r="J340" s="119">
        <v>33000</v>
      </c>
      <c r="K340" s="114"/>
      <c r="L340" s="114"/>
      <c r="M340" s="114"/>
      <c r="N340" s="114"/>
      <c r="O340" s="114"/>
      <c r="P340" s="114"/>
      <c r="Q340" s="114"/>
      <c r="R340" s="114"/>
      <c r="S340" s="114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30"/>
      <c r="AH340" s="30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R340" s="47"/>
      <c r="CS340" s="47"/>
      <c r="CT340" s="47"/>
      <c r="CU340" s="47"/>
      <c r="CV340" s="47"/>
      <c r="CW340" s="47"/>
      <c r="CX340" s="47"/>
      <c r="CY340" s="47"/>
      <c r="CZ340" s="47"/>
      <c r="DA340" s="47"/>
      <c r="DB340" s="47"/>
      <c r="DC340" s="47"/>
      <c r="DD340" s="47"/>
      <c r="DE340" s="47"/>
      <c r="DF340" s="47"/>
      <c r="DG340" s="47"/>
      <c r="DH340" s="47"/>
      <c r="DI340" s="47"/>
      <c r="DJ340" s="47"/>
      <c r="DK340" s="47"/>
      <c r="DL340" s="47"/>
      <c r="DM340" s="47"/>
      <c r="DN340" s="47"/>
      <c r="DO340" s="47"/>
      <c r="DP340" s="47"/>
      <c r="DQ340" s="47"/>
      <c r="DR340" s="47"/>
      <c r="DS340" s="47"/>
      <c r="DT340" s="47"/>
      <c r="DU340" s="47"/>
      <c r="DV340" s="47"/>
      <c r="DW340" s="47"/>
      <c r="DX340" s="47"/>
      <c r="DY340" s="47"/>
      <c r="DZ340" s="47"/>
      <c r="EA340" s="47"/>
      <c r="EB340" s="47"/>
      <c r="EC340" s="47"/>
      <c r="ED340" s="47"/>
      <c r="EE340" s="47"/>
      <c r="EF340" s="47"/>
    </row>
    <row r="341" spans="1:136" ht="21.75" customHeight="1" x14ac:dyDescent="0.3">
      <c r="A341" s="5">
        <v>341</v>
      </c>
      <c r="B341" s="123">
        <v>41941</v>
      </c>
      <c r="C341" s="131">
        <v>13311713</v>
      </c>
      <c r="D341" s="114">
        <v>343</v>
      </c>
      <c r="E341" s="22" t="s">
        <v>301</v>
      </c>
      <c r="F341" s="151" t="s">
        <v>852</v>
      </c>
      <c r="G341" s="151" t="s">
        <v>853</v>
      </c>
      <c r="H341" s="114">
        <v>4123895539</v>
      </c>
      <c r="I341" s="119">
        <v>31500</v>
      </c>
      <c r="J341" s="119">
        <v>31500</v>
      </c>
      <c r="K341" s="114"/>
      <c r="L341" s="114"/>
      <c r="M341" s="114"/>
      <c r="N341" s="114"/>
      <c r="O341" s="114"/>
      <c r="P341" s="114"/>
      <c r="Q341" s="114"/>
      <c r="R341" s="114"/>
      <c r="S341" s="114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30"/>
      <c r="AH341" s="30"/>
    </row>
    <row r="342" spans="1:136" ht="21.75" customHeight="1" x14ac:dyDescent="0.3">
      <c r="A342" s="5">
        <v>342</v>
      </c>
      <c r="B342" s="123">
        <v>41941</v>
      </c>
      <c r="C342" s="131">
        <v>13311713</v>
      </c>
      <c r="D342" s="114">
        <v>344</v>
      </c>
      <c r="E342" s="22" t="s">
        <v>301</v>
      </c>
      <c r="F342" s="151" t="s">
        <v>855</v>
      </c>
      <c r="G342" s="151" t="s">
        <v>853</v>
      </c>
      <c r="H342" s="114">
        <v>4123895539</v>
      </c>
      <c r="I342" s="119">
        <v>31500</v>
      </c>
      <c r="J342" s="119">
        <v>31500</v>
      </c>
      <c r="K342" s="114"/>
      <c r="L342" s="114"/>
      <c r="M342" s="114"/>
      <c r="N342" s="114"/>
      <c r="O342" s="114"/>
      <c r="P342" s="114"/>
      <c r="Q342" s="114"/>
      <c r="R342" s="114"/>
      <c r="S342" s="114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30"/>
      <c r="AH342" s="30"/>
    </row>
    <row r="343" spans="1:136" ht="21.75" customHeight="1" x14ac:dyDescent="0.3">
      <c r="A343" s="5">
        <v>343</v>
      </c>
      <c r="B343" s="123">
        <v>41943</v>
      </c>
      <c r="C343" s="131">
        <v>17477625</v>
      </c>
      <c r="D343" s="114">
        <v>345</v>
      </c>
      <c r="E343" s="22" t="s">
        <v>301</v>
      </c>
      <c r="F343" s="151" t="s">
        <v>856</v>
      </c>
      <c r="G343" s="151" t="s">
        <v>856</v>
      </c>
      <c r="H343" s="114">
        <v>4123852910</v>
      </c>
      <c r="I343" s="119">
        <v>33000</v>
      </c>
      <c r="J343" s="119">
        <v>33000</v>
      </c>
      <c r="K343" s="114"/>
      <c r="L343" s="114"/>
      <c r="M343" s="114"/>
      <c r="N343" s="114"/>
      <c r="O343" s="114"/>
      <c r="P343" s="114"/>
      <c r="Q343" s="114"/>
      <c r="R343" s="114"/>
      <c r="S343" s="114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30"/>
      <c r="AH343" s="30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</row>
    <row r="344" spans="1:136" s="216" customFormat="1" ht="21.75" customHeight="1" x14ac:dyDescent="0.3">
      <c r="A344" s="37">
        <v>344</v>
      </c>
      <c r="B344" s="73">
        <v>41942</v>
      </c>
      <c r="C344" s="132">
        <v>13608559</v>
      </c>
      <c r="D344" s="4">
        <v>346</v>
      </c>
      <c r="E344" s="13" t="s">
        <v>79</v>
      </c>
      <c r="F344" s="142" t="s">
        <v>796</v>
      </c>
      <c r="G344" s="142" t="s">
        <v>797</v>
      </c>
      <c r="H344" s="4">
        <v>4142874200</v>
      </c>
      <c r="I344" s="74">
        <v>42900</v>
      </c>
      <c r="J344" s="74">
        <v>3900</v>
      </c>
      <c r="K344" s="78"/>
      <c r="L344" s="78"/>
      <c r="M344" s="78"/>
      <c r="N344" s="78"/>
      <c r="O344" s="78"/>
      <c r="P344" s="78"/>
      <c r="Q344" s="78"/>
      <c r="R344" s="78"/>
      <c r="S344" s="78"/>
      <c r="T344" s="105"/>
      <c r="U344" s="105"/>
      <c r="V344" s="105"/>
      <c r="W344" s="105"/>
      <c r="X344" s="105"/>
      <c r="Y344" s="163"/>
      <c r="Z344" s="163"/>
      <c r="AA344" s="261">
        <v>3900</v>
      </c>
      <c r="AB344" s="105"/>
      <c r="AC344" s="105"/>
      <c r="AD344" s="105"/>
      <c r="AE344" s="105"/>
      <c r="AF344" s="105"/>
      <c r="AG344" s="264"/>
      <c r="AH344" s="264"/>
      <c r="AI344" s="260"/>
      <c r="AJ344" s="260"/>
      <c r="AK344" s="260"/>
      <c r="AL344" s="260"/>
      <c r="AM344" s="260"/>
      <c r="AN344" s="260"/>
      <c r="AO344" s="260"/>
      <c r="AP344" s="260"/>
      <c r="AQ344" s="263"/>
      <c r="AR344" s="263"/>
      <c r="AS344" s="263"/>
      <c r="AT344" s="263"/>
      <c r="AU344" s="263"/>
      <c r="AV344" s="263"/>
      <c r="AW344" s="263"/>
      <c r="AX344" s="263"/>
      <c r="AY344" s="263"/>
      <c r="AZ344" s="263"/>
      <c r="BA344" s="263"/>
      <c r="BB344" s="263"/>
      <c r="BC344" s="263"/>
      <c r="BD344" s="263"/>
      <c r="BE344" s="263"/>
      <c r="BF344" s="263"/>
      <c r="BG344" s="263"/>
      <c r="BH344" s="263"/>
      <c r="BI344" s="263"/>
      <c r="BJ344" s="263"/>
      <c r="BK344" s="263"/>
      <c r="BL344" s="263"/>
    </row>
    <row r="345" spans="1:136" ht="21.75" customHeight="1" x14ac:dyDescent="0.3">
      <c r="A345" s="178">
        <v>345</v>
      </c>
      <c r="B345" s="179">
        <v>41946</v>
      </c>
      <c r="C345" s="180">
        <v>24286319</v>
      </c>
      <c r="D345" s="181">
        <v>347</v>
      </c>
      <c r="E345" s="182"/>
      <c r="F345" s="183" t="s">
        <v>857</v>
      </c>
      <c r="G345" s="183" t="s">
        <v>858</v>
      </c>
      <c r="H345" s="181">
        <v>3231890</v>
      </c>
      <c r="I345" s="184">
        <v>42900</v>
      </c>
      <c r="J345" s="184">
        <v>3900</v>
      </c>
      <c r="K345" s="181"/>
      <c r="L345" s="181"/>
      <c r="M345" s="181"/>
      <c r="N345" s="181"/>
      <c r="O345" s="181"/>
      <c r="P345" s="181"/>
      <c r="Q345" s="181"/>
      <c r="R345" s="181"/>
      <c r="S345" s="181"/>
      <c r="T345" s="184"/>
      <c r="U345" s="184"/>
      <c r="V345" s="184"/>
      <c r="W345" s="184"/>
      <c r="X345" s="184"/>
      <c r="Y345" s="184"/>
      <c r="Z345" s="184"/>
      <c r="AA345" s="184"/>
      <c r="AB345" s="184">
        <v>3900</v>
      </c>
      <c r="AC345" s="184"/>
      <c r="AD345" s="184"/>
      <c r="AE345" s="184"/>
      <c r="AF345" s="184"/>
      <c r="AG345" s="185"/>
      <c r="AH345" s="185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</row>
    <row r="346" spans="1:136" s="204" customFormat="1" ht="21.75" customHeight="1" x14ac:dyDescent="0.3">
      <c r="A346" s="200">
        <v>346</v>
      </c>
      <c r="B346" s="233">
        <v>40854</v>
      </c>
      <c r="C346" s="201">
        <v>3145415</v>
      </c>
      <c r="D346" s="235">
        <v>348</v>
      </c>
      <c r="E346" s="234"/>
      <c r="F346" s="236" t="s">
        <v>859</v>
      </c>
      <c r="G346" s="236" t="s">
        <v>860</v>
      </c>
      <c r="H346" s="235">
        <v>4141133328</v>
      </c>
      <c r="I346" s="237">
        <v>24200</v>
      </c>
      <c r="J346" s="237">
        <v>24200</v>
      </c>
      <c r="K346" s="235"/>
      <c r="L346" s="235"/>
      <c r="M346" s="235"/>
      <c r="N346" s="235"/>
      <c r="O346" s="235"/>
      <c r="P346" s="235"/>
      <c r="Q346" s="235"/>
      <c r="R346" s="235"/>
      <c r="S346" s="235"/>
      <c r="T346" s="237"/>
      <c r="U346" s="237"/>
      <c r="V346" s="237"/>
      <c r="W346" s="237"/>
      <c r="X346" s="237"/>
      <c r="Y346" s="237"/>
      <c r="Z346" s="237"/>
      <c r="AA346" s="237"/>
      <c r="AB346" s="237"/>
      <c r="AC346" s="237"/>
      <c r="AD346" s="237"/>
      <c r="AE346" s="237"/>
      <c r="AF346" s="237"/>
      <c r="AG346" s="238"/>
      <c r="AH346" s="238"/>
    </row>
    <row r="347" spans="1:136" ht="21.75" customHeight="1" x14ac:dyDescent="0.3">
      <c r="A347" s="9">
        <v>347</v>
      </c>
      <c r="B347" s="368">
        <v>41947</v>
      </c>
      <c r="C347" s="133">
        <v>6353653</v>
      </c>
      <c r="D347" s="367">
        <v>349</v>
      </c>
      <c r="E347" s="126" t="s">
        <v>79</v>
      </c>
      <c r="F347" s="152" t="s">
        <v>861</v>
      </c>
      <c r="G347" s="152" t="s">
        <v>862</v>
      </c>
      <c r="H347" s="189">
        <v>4241663835</v>
      </c>
      <c r="I347" s="65">
        <v>47300</v>
      </c>
      <c r="J347" s="65">
        <v>4300</v>
      </c>
      <c r="K347" s="118"/>
      <c r="L347" s="118"/>
      <c r="M347" s="118"/>
      <c r="N347" s="118"/>
      <c r="O347" s="118"/>
      <c r="P347" s="118"/>
      <c r="Q347" s="118"/>
      <c r="R347" s="118"/>
      <c r="S347" s="118"/>
      <c r="T347" s="120"/>
      <c r="U347" s="120"/>
      <c r="V347" s="120"/>
      <c r="W347" s="120"/>
      <c r="X347" s="120"/>
      <c r="Y347" s="120"/>
      <c r="Z347" s="120"/>
      <c r="AA347" s="120"/>
      <c r="AB347" s="65"/>
      <c r="AC347" s="65"/>
      <c r="AD347" s="65"/>
      <c r="AE347" s="65"/>
      <c r="AF347" s="65"/>
      <c r="AG347" s="26"/>
      <c r="AH347" s="26"/>
    </row>
    <row r="348" spans="1:136" ht="21.75" customHeight="1" x14ac:dyDescent="0.3">
      <c r="A348" s="5">
        <v>348</v>
      </c>
      <c r="B348" s="123">
        <v>41953</v>
      </c>
      <c r="C348" s="131">
        <v>26138365</v>
      </c>
      <c r="D348" s="114">
        <v>350</v>
      </c>
      <c r="E348" s="22"/>
      <c r="F348" s="177" t="s">
        <v>863</v>
      </c>
      <c r="G348" s="177" t="s">
        <v>863</v>
      </c>
      <c r="H348" s="114">
        <v>4242621758</v>
      </c>
      <c r="I348" s="119">
        <v>34000</v>
      </c>
      <c r="J348" s="119">
        <v>34000</v>
      </c>
      <c r="K348" s="114"/>
      <c r="L348" s="114"/>
      <c r="M348" s="114"/>
      <c r="N348" s="114"/>
      <c r="O348" s="114"/>
      <c r="P348" s="114"/>
      <c r="Q348" s="114"/>
      <c r="R348" s="114"/>
      <c r="S348" s="114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30"/>
      <c r="AH348" s="30"/>
      <c r="AI348" s="186"/>
    </row>
    <row r="349" spans="1:136" ht="21.75" customHeight="1" x14ac:dyDescent="0.3">
      <c r="A349" s="9">
        <v>349</v>
      </c>
      <c r="B349" s="368">
        <v>41954</v>
      </c>
      <c r="C349" s="133">
        <v>8080311</v>
      </c>
      <c r="D349" s="367">
        <v>351</v>
      </c>
      <c r="E349" s="126" t="s">
        <v>79</v>
      </c>
      <c r="F349" s="152" t="s">
        <v>864</v>
      </c>
      <c r="G349" s="152" t="s">
        <v>865</v>
      </c>
      <c r="H349" s="189">
        <v>4242961959</v>
      </c>
      <c r="I349" s="65">
        <v>43900</v>
      </c>
      <c r="J349" s="65">
        <v>4300</v>
      </c>
      <c r="K349" s="118"/>
      <c r="L349" s="118"/>
      <c r="M349" s="118"/>
      <c r="N349" s="118"/>
      <c r="O349" s="118"/>
      <c r="P349" s="118"/>
      <c r="Q349" s="118"/>
      <c r="R349" s="118"/>
      <c r="S349" s="118"/>
      <c r="T349" s="120"/>
      <c r="U349" s="120"/>
      <c r="V349" s="120"/>
      <c r="W349" s="120"/>
      <c r="X349" s="120"/>
      <c r="Y349" s="120"/>
      <c r="Z349" s="120"/>
      <c r="AA349" s="120"/>
      <c r="AB349" s="65"/>
      <c r="AC349" s="65"/>
      <c r="AD349" s="65"/>
      <c r="AE349" s="65"/>
      <c r="AF349" s="65"/>
      <c r="AG349" s="26"/>
      <c r="AH349" s="26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7"/>
      <c r="CQ349" s="47"/>
      <c r="CR349" s="47"/>
      <c r="CS349" s="47"/>
      <c r="CT349" s="47"/>
    </row>
    <row r="350" spans="1:136" s="313" customFormat="1" ht="21.75" customHeight="1" x14ac:dyDescent="0.3">
      <c r="A350" s="340">
        <v>350</v>
      </c>
      <c r="B350" s="340"/>
      <c r="C350" s="342">
        <v>13715978</v>
      </c>
      <c r="D350" s="340">
        <v>352</v>
      </c>
      <c r="E350" s="347"/>
      <c r="F350" s="348" t="s">
        <v>866</v>
      </c>
      <c r="G350" s="348" t="s">
        <v>866</v>
      </c>
      <c r="H350" s="340">
        <v>4241541105</v>
      </c>
      <c r="I350" s="344">
        <v>33000</v>
      </c>
      <c r="J350" s="344">
        <v>33000</v>
      </c>
      <c r="K350" s="340"/>
      <c r="L350" s="340"/>
      <c r="M350" s="340"/>
      <c r="N350" s="340"/>
      <c r="O350" s="340"/>
      <c r="P350" s="340"/>
      <c r="Q350" s="340"/>
      <c r="R350" s="340"/>
      <c r="S350" s="340"/>
      <c r="T350" s="344"/>
      <c r="U350" s="344"/>
      <c r="V350" s="344"/>
      <c r="W350" s="344"/>
      <c r="X350" s="344"/>
      <c r="Y350" s="344"/>
      <c r="Z350" s="344"/>
      <c r="AA350" s="344"/>
      <c r="AB350" s="344"/>
      <c r="AC350" s="344"/>
      <c r="AD350" s="344"/>
      <c r="AE350" s="344"/>
      <c r="AF350" s="344"/>
      <c r="AG350" s="373"/>
      <c r="AH350" s="373"/>
    </row>
    <row r="351" spans="1:136" ht="21.75" customHeight="1" x14ac:dyDescent="0.3">
      <c r="A351" s="9">
        <v>351</v>
      </c>
      <c r="B351" s="367"/>
      <c r="C351" s="133">
        <v>10501229</v>
      </c>
      <c r="D351" s="367">
        <v>353</v>
      </c>
      <c r="F351" s="152" t="s">
        <v>319</v>
      </c>
      <c r="G351" s="152" t="s">
        <v>320</v>
      </c>
      <c r="H351" s="189">
        <v>4166090500</v>
      </c>
      <c r="I351" s="65">
        <v>42900</v>
      </c>
      <c r="J351" s="65">
        <v>3900</v>
      </c>
      <c r="K351" s="118"/>
      <c r="L351" s="118"/>
      <c r="M351" s="118"/>
      <c r="N351" s="118"/>
      <c r="O351" s="118"/>
      <c r="P351" s="118"/>
      <c r="Q351" s="118"/>
      <c r="R351" s="118"/>
      <c r="S351" s="118"/>
      <c r="T351" s="120"/>
      <c r="U351" s="120"/>
      <c r="V351" s="120"/>
      <c r="W351" s="120"/>
      <c r="X351" s="120"/>
      <c r="Y351" s="120"/>
      <c r="Z351" s="120"/>
      <c r="AA351" s="120"/>
      <c r="AB351" s="65">
        <v>3900</v>
      </c>
      <c r="AC351" s="65">
        <v>3900</v>
      </c>
      <c r="AD351" s="65"/>
      <c r="AE351" s="65"/>
      <c r="AF351" s="65"/>
      <c r="AG351" s="26"/>
      <c r="AH351" s="26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R351" s="47"/>
      <c r="CS351" s="47"/>
      <c r="CT351" s="47"/>
      <c r="CU351" s="47"/>
      <c r="CV351" s="47"/>
      <c r="CW351" s="47"/>
      <c r="CX351" s="47"/>
      <c r="CY351" s="47"/>
      <c r="CZ351" s="47"/>
      <c r="DA351" s="47"/>
      <c r="DB351" s="47"/>
      <c r="DC351" s="47"/>
      <c r="DD351" s="47"/>
      <c r="DE351" s="47"/>
      <c r="DF351" s="47"/>
      <c r="DG351" s="47"/>
      <c r="DH351" s="47"/>
      <c r="DI351" s="47"/>
      <c r="DJ351" s="47"/>
      <c r="DK351" s="47"/>
      <c r="DL351" s="47"/>
      <c r="DM351" s="47"/>
      <c r="DN351" s="47"/>
      <c r="DO351" s="47"/>
      <c r="DP351" s="47"/>
    </row>
    <row r="352" spans="1:136" s="313" customFormat="1" ht="21.75" customHeight="1" x14ac:dyDescent="0.3">
      <c r="A352" s="309">
        <v>352</v>
      </c>
      <c r="B352" s="306">
        <v>41963</v>
      </c>
      <c r="C352" s="374">
        <v>11817958</v>
      </c>
      <c r="D352" s="309">
        <v>354</v>
      </c>
      <c r="E352" s="308"/>
      <c r="F352" s="310" t="s">
        <v>867</v>
      </c>
      <c r="G352" s="310" t="s">
        <v>868</v>
      </c>
      <c r="H352" s="309">
        <v>4241901756</v>
      </c>
      <c r="I352" s="311">
        <v>47300</v>
      </c>
      <c r="J352" s="311">
        <v>4300</v>
      </c>
      <c r="K352" s="97"/>
      <c r="L352" s="97"/>
      <c r="M352" s="97"/>
      <c r="N352" s="97"/>
      <c r="O352" s="97"/>
      <c r="P352" s="97"/>
      <c r="Q352" s="97"/>
      <c r="R352" s="97"/>
      <c r="S352" s="97"/>
      <c r="T352" s="140"/>
      <c r="U352" s="140"/>
      <c r="V352" s="140"/>
      <c r="W352" s="140"/>
      <c r="X352" s="140"/>
      <c r="Y352" s="140"/>
      <c r="Z352" s="140"/>
      <c r="AA352" s="140"/>
      <c r="AB352" s="311"/>
      <c r="AC352" s="311"/>
      <c r="AD352" s="311"/>
      <c r="AE352" s="311"/>
      <c r="AF352" s="311"/>
      <c r="AG352" s="375"/>
      <c r="AH352" s="375"/>
    </row>
    <row r="353" spans="1:146" ht="21.75" customHeight="1" x14ac:dyDescent="0.3">
      <c r="A353" s="5">
        <v>353</v>
      </c>
      <c r="B353" s="123">
        <v>41963</v>
      </c>
      <c r="C353" s="131" t="s">
        <v>869</v>
      </c>
      <c r="D353" s="114">
        <v>355</v>
      </c>
      <c r="E353" s="22"/>
      <c r="F353" s="151" t="s">
        <v>902</v>
      </c>
      <c r="G353" s="151" t="s">
        <v>870</v>
      </c>
      <c r="H353" s="114">
        <v>4123294491</v>
      </c>
      <c r="I353" s="119">
        <v>28050</v>
      </c>
      <c r="J353" s="119">
        <v>28050</v>
      </c>
      <c r="K353" s="114"/>
      <c r="L353" s="114"/>
      <c r="M353" s="114"/>
      <c r="N353" s="114"/>
      <c r="O353" s="114"/>
      <c r="P353" s="114"/>
      <c r="Q353" s="114"/>
      <c r="R353" s="114"/>
      <c r="S353" s="114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30"/>
      <c r="AH353" s="30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7"/>
      <c r="CQ353" s="47"/>
      <c r="CR353" s="47"/>
      <c r="CS353" s="47"/>
      <c r="CT353" s="47"/>
      <c r="CU353" s="47"/>
      <c r="CV353" s="47"/>
      <c r="CW353" s="47"/>
      <c r="CX353" s="47"/>
      <c r="CY353" s="47"/>
      <c r="CZ353" s="47"/>
      <c r="DA353" s="47"/>
      <c r="DB353" s="47"/>
      <c r="DC353" s="47"/>
    </row>
    <row r="354" spans="1:146" ht="21.75" customHeight="1" x14ac:dyDescent="0.3">
      <c r="A354" s="5">
        <v>354</v>
      </c>
      <c r="B354" s="123">
        <v>41963</v>
      </c>
      <c r="C354" s="131" t="s">
        <v>869</v>
      </c>
      <c r="D354" s="114">
        <v>356</v>
      </c>
      <c r="E354" s="22"/>
      <c r="F354" s="151" t="s">
        <v>903</v>
      </c>
      <c r="G354" s="151" t="s">
        <v>870</v>
      </c>
      <c r="H354" s="114">
        <v>4123294491</v>
      </c>
      <c r="I354" s="119">
        <v>31500</v>
      </c>
      <c r="J354" s="119">
        <v>31500</v>
      </c>
      <c r="K354" s="114"/>
      <c r="L354" s="114"/>
      <c r="M354" s="114"/>
      <c r="N354" s="114"/>
      <c r="O354" s="114"/>
      <c r="P354" s="114"/>
      <c r="Q354" s="114"/>
      <c r="R354" s="114"/>
      <c r="S354" s="114"/>
      <c r="T354" s="119"/>
      <c r="U354" s="119"/>
      <c r="V354" s="119"/>
      <c r="W354" s="119"/>
      <c r="X354" s="119"/>
      <c r="Y354" s="65"/>
      <c r="Z354" s="65"/>
      <c r="AA354" s="119"/>
      <c r="AB354" s="119"/>
      <c r="AC354" s="119"/>
      <c r="AD354" s="119"/>
      <c r="AE354" s="119"/>
      <c r="AF354" s="119"/>
      <c r="AG354" s="30"/>
      <c r="AH354" s="30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</row>
    <row r="355" spans="1:146" s="212" customFormat="1" ht="21.75" customHeight="1" x14ac:dyDescent="0.3">
      <c r="A355" s="244">
        <v>355</v>
      </c>
      <c r="B355" s="245">
        <v>41964</v>
      </c>
      <c r="C355" s="246">
        <v>17742268</v>
      </c>
      <c r="D355" s="244">
        <v>357</v>
      </c>
      <c r="E355" s="247"/>
      <c r="F355" s="248" t="s">
        <v>872</v>
      </c>
      <c r="G355" s="249" t="s">
        <v>871</v>
      </c>
      <c r="H355" s="244">
        <v>4143234868</v>
      </c>
      <c r="I355" s="250">
        <v>23000</v>
      </c>
      <c r="J355" s="250">
        <v>23000</v>
      </c>
      <c r="K355" s="244"/>
      <c r="L355" s="244"/>
      <c r="M355" s="244"/>
      <c r="N355" s="244"/>
      <c r="O355" s="244"/>
      <c r="P355" s="244"/>
      <c r="Q355" s="244"/>
      <c r="R355" s="244"/>
      <c r="S355" s="244"/>
      <c r="T355" s="250"/>
      <c r="U355" s="250"/>
      <c r="V355" s="250"/>
      <c r="W355" s="250"/>
      <c r="X355" s="250"/>
      <c r="Y355" s="250"/>
      <c r="Z355" s="250"/>
      <c r="AA355" s="250"/>
      <c r="AB355" s="250"/>
      <c r="AC355" s="250"/>
      <c r="AD355" s="250"/>
      <c r="AE355" s="250"/>
      <c r="AF355" s="250"/>
      <c r="AG355" s="251"/>
      <c r="AH355" s="251"/>
    </row>
    <row r="356" spans="1:146" s="313" customFormat="1" ht="21.75" customHeight="1" x14ac:dyDescent="0.3">
      <c r="A356" s="340">
        <v>356</v>
      </c>
      <c r="B356" s="341">
        <v>41967</v>
      </c>
      <c r="C356" s="342">
        <v>18538948</v>
      </c>
      <c r="D356" s="340">
        <v>358</v>
      </c>
      <c r="E356" s="347"/>
      <c r="F356" s="348" t="s">
        <v>873</v>
      </c>
      <c r="G356" s="348" t="s">
        <v>873</v>
      </c>
      <c r="H356" s="340">
        <v>4129361047</v>
      </c>
      <c r="I356" s="344">
        <v>33000</v>
      </c>
      <c r="J356" s="344">
        <v>33000</v>
      </c>
      <c r="K356" s="340"/>
      <c r="L356" s="340"/>
      <c r="M356" s="340"/>
      <c r="N356" s="340"/>
      <c r="O356" s="340"/>
      <c r="P356" s="340"/>
      <c r="Q356" s="340"/>
      <c r="R356" s="340"/>
      <c r="S356" s="340"/>
      <c r="T356" s="344"/>
      <c r="U356" s="344"/>
      <c r="V356" s="344"/>
      <c r="W356" s="344"/>
      <c r="X356" s="344"/>
      <c r="Y356" s="344"/>
      <c r="Z356" s="344"/>
      <c r="AA356" s="344"/>
      <c r="AB356" s="344"/>
      <c r="AC356" s="344"/>
      <c r="AD356" s="344"/>
      <c r="AE356" s="344"/>
      <c r="AF356" s="344"/>
      <c r="AG356" s="373"/>
      <c r="AH356" s="373"/>
      <c r="AI356" s="346"/>
      <c r="AJ356" s="346"/>
      <c r="AK356" s="346"/>
      <c r="AL356" s="346"/>
      <c r="AM356" s="346"/>
      <c r="AN356" s="346"/>
      <c r="AO356" s="346"/>
      <c r="AP356" s="346"/>
      <c r="AQ356" s="346"/>
      <c r="AR356" s="346"/>
      <c r="AS356" s="346"/>
      <c r="AT356" s="346"/>
      <c r="AU356" s="346"/>
      <c r="AV356" s="346"/>
      <c r="AW356" s="346"/>
      <c r="AX356" s="346"/>
      <c r="AY356" s="346"/>
      <c r="AZ356" s="346"/>
      <c r="BA356" s="346"/>
      <c r="BB356" s="346"/>
      <c r="BC356" s="346"/>
      <c r="BD356" s="346"/>
      <c r="BE356" s="346"/>
      <c r="BF356" s="346"/>
      <c r="BG356" s="346"/>
      <c r="BH356" s="346"/>
      <c r="BI356" s="346"/>
      <c r="BJ356" s="346"/>
      <c r="BK356" s="346"/>
      <c r="BL356" s="346"/>
      <c r="BM356" s="346"/>
      <c r="BN356" s="346"/>
      <c r="BO356" s="346"/>
      <c r="BP356" s="346"/>
      <c r="BQ356" s="346"/>
      <c r="BR356" s="346"/>
      <c r="BS356" s="346"/>
      <c r="BT356" s="346"/>
      <c r="BU356" s="346"/>
      <c r="BV356" s="346"/>
      <c r="BW356" s="346"/>
      <c r="BX356" s="346"/>
      <c r="BY356" s="346"/>
      <c r="BZ356" s="346"/>
      <c r="CA356" s="346"/>
      <c r="CB356" s="346"/>
      <c r="CC356" s="346"/>
      <c r="CD356" s="346"/>
      <c r="CE356" s="346"/>
      <c r="CF356" s="346"/>
      <c r="CG356" s="346"/>
      <c r="CH356" s="346"/>
      <c r="CI356" s="346"/>
      <c r="CJ356" s="346"/>
      <c r="CK356" s="346"/>
      <c r="CL356" s="346"/>
      <c r="CM356" s="346"/>
      <c r="CN356" s="346"/>
      <c r="CO356" s="346"/>
      <c r="CP356" s="346"/>
      <c r="CQ356" s="346"/>
      <c r="CR356" s="346"/>
      <c r="CS356" s="346"/>
      <c r="CT356" s="346"/>
      <c r="CU356" s="346"/>
      <c r="CV356" s="346"/>
      <c r="CW356" s="346"/>
      <c r="CX356" s="346"/>
      <c r="CY356" s="346"/>
      <c r="CZ356" s="346"/>
      <c r="DA356" s="346"/>
      <c r="DB356" s="346"/>
      <c r="DC356" s="346"/>
      <c r="DD356" s="346"/>
      <c r="DE356" s="346"/>
      <c r="DF356" s="346"/>
      <c r="DG356" s="346"/>
      <c r="DH356" s="346"/>
      <c r="DI356" s="346"/>
      <c r="DJ356" s="346"/>
      <c r="DK356" s="346"/>
      <c r="DL356" s="346"/>
    </row>
    <row r="357" spans="1:146" s="313" customFormat="1" ht="21.75" customHeight="1" x14ac:dyDescent="0.3">
      <c r="A357" s="173">
        <v>357</v>
      </c>
      <c r="B357" s="324">
        <v>41970</v>
      </c>
      <c r="C357" s="307">
        <v>17853804</v>
      </c>
      <c r="D357" s="305">
        <v>359</v>
      </c>
      <c r="E357" s="325" t="s">
        <v>79</v>
      </c>
      <c r="F357" s="326" t="s">
        <v>874</v>
      </c>
      <c r="G357" s="326" t="s">
        <v>874</v>
      </c>
      <c r="H357" s="305">
        <v>4125400995</v>
      </c>
      <c r="I357" s="163">
        <v>47300</v>
      </c>
      <c r="J357" s="163">
        <v>4300</v>
      </c>
      <c r="K357" s="97"/>
      <c r="L357" s="97"/>
      <c r="M357" s="97"/>
      <c r="N357" s="97"/>
      <c r="O357" s="97"/>
      <c r="P357" s="97"/>
      <c r="Q357" s="97"/>
      <c r="R357" s="97"/>
      <c r="S357" s="97"/>
      <c r="T357" s="140"/>
      <c r="U357" s="140"/>
      <c r="V357" s="140"/>
      <c r="W357" s="140"/>
      <c r="X357" s="140"/>
      <c r="Y357" s="140"/>
      <c r="Z357" s="140"/>
      <c r="AA357" s="140"/>
      <c r="AB357" s="163"/>
      <c r="AC357" s="163"/>
      <c r="AD357" s="163"/>
      <c r="AE357" s="163"/>
      <c r="AF357" s="163"/>
      <c r="AG357" s="372"/>
      <c r="AH357" s="372"/>
    </row>
    <row r="358" spans="1:146" ht="21.75" customHeight="1" x14ac:dyDescent="0.3">
      <c r="A358" s="5">
        <v>358</v>
      </c>
      <c r="B358" s="123">
        <v>41972</v>
      </c>
      <c r="C358" s="131">
        <v>10276806</v>
      </c>
      <c r="D358" s="114">
        <v>360</v>
      </c>
      <c r="E358" s="22" t="s">
        <v>503</v>
      </c>
      <c r="F358" s="151" t="s">
        <v>875</v>
      </c>
      <c r="G358" s="151" t="s">
        <v>877</v>
      </c>
      <c r="H358" s="114">
        <v>4142841333</v>
      </c>
      <c r="I358" s="119">
        <v>30525</v>
      </c>
      <c r="J358" s="119"/>
      <c r="K358" s="114"/>
      <c r="L358" s="114"/>
      <c r="M358" s="114"/>
      <c r="N358" s="114"/>
      <c r="O358" s="114"/>
      <c r="P358" s="114"/>
      <c r="Q358" s="114"/>
      <c r="R358" s="114"/>
      <c r="S358" s="114"/>
      <c r="T358" s="119"/>
      <c r="U358" s="119"/>
      <c r="V358" s="119"/>
      <c r="W358" s="119"/>
      <c r="X358" s="119"/>
      <c r="Y358" s="65"/>
      <c r="Z358" s="65"/>
      <c r="AA358" s="119"/>
      <c r="AB358" s="119"/>
      <c r="AC358" s="119"/>
      <c r="AD358" s="119"/>
      <c r="AE358" s="119"/>
      <c r="AF358" s="119"/>
      <c r="AG358" s="30"/>
      <c r="AH358" s="30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7"/>
      <c r="CQ358" s="47"/>
      <c r="CR358" s="47"/>
      <c r="CS358" s="47"/>
      <c r="CT358" s="47"/>
      <c r="CU358" s="47"/>
      <c r="CV358" s="47"/>
      <c r="CW358" s="47"/>
      <c r="CX358" s="47"/>
      <c r="CY358" s="47"/>
      <c r="CZ358" s="47"/>
      <c r="DA358" s="47"/>
      <c r="DB358" s="47"/>
      <c r="DC358" s="47"/>
      <c r="DD358" s="47"/>
      <c r="DE358" s="47"/>
      <c r="DF358" s="47"/>
      <c r="DG358" s="47"/>
      <c r="DH358" s="47"/>
      <c r="DI358" s="47"/>
      <c r="DJ358" s="47"/>
      <c r="DK358" s="47"/>
      <c r="DL358" s="47"/>
      <c r="DM358" s="47"/>
      <c r="DN358" s="47"/>
      <c r="DO358" s="47"/>
      <c r="DP358" s="47"/>
      <c r="DQ358" s="47"/>
      <c r="DR358" s="47"/>
      <c r="DS358" s="47"/>
      <c r="DT358" s="47"/>
      <c r="DU358" s="47"/>
      <c r="DV358" s="47"/>
      <c r="DW358" s="47"/>
      <c r="DX358" s="47"/>
      <c r="DY358" s="47"/>
      <c r="DZ358" s="47"/>
    </row>
    <row r="359" spans="1:146" s="313" customFormat="1" ht="21.75" customHeight="1" x14ac:dyDescent="0.3">
      <c r="A359" s="340">
        <v>359</v>
      </c>
      <c r="B359" s="341">
        <v>41972</v>
      </c>
      <c r="C359" s="342">
        <v>10276806</v>
      </c>
      <c r="D359" s="340">
        <v>361</v>
      </c>
      <c r="E359" s="347"/>
      <c r="F359" s="348" t="s">
        <v>878</v>
      </c>
      <c r="G359" s="348" t="s">
        <v>878</v>
      </c>
      <c r="H359" s="340">
        <v>4142844133</v>
      </c>
      <c r="I359" s="344">
        <v>33000</v>
      </c>
      <c r="J359" s="344"/>
      <c r="K359" s="340"/>
      <c r="L359" s="340"/>
      <c r="M359" s="340"/>
      <c r="N359" s="340"/>
      <c r="O359" s="340"/>
      <c r="P359" s="340"/>
      <c r="Q359" s="340"/>
      <c r="R359" s="340"/>
      <c r="S359" s="340"/>
      <c r="T359" s="344"/>
      <c r="U359" s="344"/>
      <c r="V359" s="344"/>
      <c r="W359" s="344"/>
      <c r="X359" s="344"/>
      <c r="Y359" s="65"/>
      <c r="Z359" s="65"/>
      <c r="AA359" s="344"/>
      <c r="AB359" s="344"/>
      <c r="AC359" s="344"/>
      <c r="AD359" s="344"/>
      <c r="AE359" s="344"/>
      <c r="AF359" s="344"/>
      <c r="AG359" s="373"/>
      <c r="AH359" s="373"/>
      <c r="AI359" s="346"/>
      <c r="AJ359" s="346"/>
      <c r="AK359" s="346"/>
      <c r="AL359" s="346"/>
      <c r="AM359" s="346"/>
      <c r="AN359" s="346"/>
      <c r="AO359" s="346"/>
      <c r="AP359" s="346"/>
      <c r="AQ359" s="346"/>
      <c r="AR359" s="346"/>
      <c r="AS359" s="346"/>
      <c r="AT359" s="346"/>
      <c r="AU359" s="346"/>
      <c r="AV359" s="346"/>
      <c r="AW359" s="346"/>
      <c r="AX359" s="346"/>
      <c r="AY359" s="346"/>
      <c r="AZ359" s="346"/>
      <c r="BA359" s="346"/>
      <c r="BB359" s="346"/>
      <c r="BC359" s="346"/>
      <c r="BD359" s="346"/>
      <c r="BE359" s="346"/>
      <c r="BF359" s="346"/>
      <c r="BG359" s="346"/>
      <c r="BH359" s="346"/>
      <c r="BI359" s="346"/>
      <c r="BJ359" s="346"/>
      <c r="BK359" s="346"/>
      <c r="BL359" s="346"/>
      <c r="BM359" s="346"/>
      <c r="BN359" s="346"/>
      <c r="BO359" s="346"/>
      <c r="BP359" s="346"/>
      <c r="BQ359" s="346"/>
      <c r="BR359" s="346"/>
      <c r="BS359" s="346"/>
      <c r="BT359" s="346"/>
      <c r="BU359" s="346"/>
      <c r="BV359" s="346"/>
      <c r="BW359" s="346"/>
      <c r="BX359" s="346"/>
      <c r="BY359" s="346"/>
      <c r="BZ359" s="346"/>
      <c r="CA359" s="346"/>
      <c r="CB359" s="346"/>
      <c r="CC359" s="346"/>
      <c r="CD359" s="346"/>
      <c r="CE359" s="346"/>
      <c r="CF359" s="346"/>
      <c r="CG359" s="346"/>
      <c r="CH359" s="346"/>
      <c r="CI359" s="346"/>
      <c r="CJ359" s="346"/>
      <c r="CK359" s="346"/>
      <c r="CL359" s="346"/>
      <c r="CM359" s="346"/>
      <c r="CN359" s="346"/>
      <c r="CO359" s="346"/>
      <c r="CP359" s="346"/>
      <c r="CQ359" s="346"/>
      <c r="CR359" s="346"/>
      <c r="CS359" s="346"/>
      <c r="CT359" s="346"/>
      <c r="CU359" s="346"/>
      <c r="CV359" s="346"/>
      <c r="CW359" s="346"/>
      <c r="CX359" s="346"/>
      <c r="CY359" s="346"/>
      <c r="CZ359" s="346"/>
      <c r="DA359" s="346"/>
      <c r="DB359" s="346"/>
      <c r="DC359" s="346"/>
      <c r="DD359" s="346"/>
      <c r="DE359" s="346"/>
      <c r="DF359" s="346"/>
      <c r="DG359" s="346"/>
      <c r="DH359" s="346"/>
      <c r="DI359" s="346"/>
      <c r="DJ359" s="346"/>
      <c r="DK359" s="346"/>
      <c r="DL359" s="346"/>
      <c r="DM359" s="346"/>
      <c r="DN359" s="346"/>
      <c r="DO359" s="346"/>
      <c r="DP359" s="346"/>
      <c r="DQ359" s="346"/>
      <c r="DR359" s="346"/>
      <c r="DS359" s="346"/>
      <c r="DT359" s="346"/>
      <c r="DU359" s="346"/>
      <c r="DV359" s="346"/>
      <c r="DW359" s="346"/>
      <c r="DX359" s="346"/>
      <c r="DY359" s="346"/>
      <c r="DZ359" s="346"/>
    </row>
    <row r="360" spans="1:146" s="313" customFormat="1" ht="21.75" customHeight="1" x14ac:dyDescent="0.3">
      <c r="A360" s="173">
        <v>360</v>
      </c>
      <c r="B360" s="324">
        <v>41972</v>
      </c>
      <c r="C360" s="307">
        <v>25840896</v>
      </c>
      <c r="D360" s="305">
        <v>362</v>
      </c>
      <c r="E360" s="325" t="s">
        <v>79</v>
      </c>
      <c r="F360" s="326" t="s">
        <v>879</v>
      </c>
      <c r="G360" s="326" t="s">
        <v>879</v>
      </c>
      <c r="H360" s="305">
        <v>4127797007</v>
      </c>
      <c r="I360" s="163">
        <v>43000</v>
      </c>
      <c r="J360" s="163">
        <v>4300</v>
      </c>
      <c r="K360" s="97"/>
      <c r="L360" s="97"/>
      <c r="M360" s="97"/>
      <c r="N360" s="97"/>
      <c r="O360" s="97"/>
      <c r="P360" s="97"/>
      <c r="Q360" s="97"/>
      <c r="R360" s="97"/>
      <c r="S360" s="97"/>
      <c r="T360" s="140"/>
      <c r="U360" s="140"/>
      <c r="V360" s="140"/>
      <c r="W360" s="140"/>
      <c r="X360" s="140"/>
      <c r="Y360" s="163"/>
      <c r="Z360" s="163"/>
      <c r="AA360" s="140"/>
      <c r="AB360" s="311"/>
      <c r="AC360" s="163"/>
      <c r="AD360" s="163"/>
      <c r="AE360" s="163"/>
      <c r="AF360" s="163"/>
      <c r="AG360" s="372"/>
      <c r="AH360" s="372"/>
    </row>
    <row r="361" spans="1:146" s="313" customFormat="1" ht="21.75" customHeight="1" x14ac:dyDescent="0.3">
      <c r="A361" s="173">
        <v>361</v>
      </c>
      <c r="B361" s="324">
        <v>41974</v>
      </c>
      <c r="C361" s="307">
        <v>19335007</v>
      </c>
      <c r="D361" s="305">
        <v>363</v>
      </c>
      <c r="E361" s="325" t="s">
        <v>79</v>
      </c>
      <c r="F361" s="326" t="s">
        <v>701</v>
      </c>
      <c r="G361" s="326" t="s">
        <v>880</v>
      </c>
      <c r="H361" s="305">
        <v>4241406861</v>
      </c>
      <c r="I361" s="163">
        <v>40205</v>
      </c>
      <c r="J361" s="163">
        <v>3655</v>
      </c>
      <c r="K361" s="97"/>
      <c r="L361" s="97"/>
      <c r="M361" s="97"/>
      <c r="N361" s="97"/>
      <c r="O361" s="97"/>
      <c r="P361" s="97"/>
      <c r="Q361" s="97"/>
      <c r="R361" s="97"/>
      <c r="S361" s="97"/>
      <c r="T361" s="140"/>
      <c r="U361" s="140"/>
      <c r="V361" s="140"/>
      <c r="W361" s="140"/>
      <c r="X361" s="140"/>
      <c r="Y361" s="163"/>
      <c r="Z361" s="163"/>
      <c r="AA361" s="140"/>
      <c r="AB361" s="140"/>
      <c r="AC361" s="163"/>
      <c r="AD361" s="163"/>
      <c r="AE361" s="163"/>
      <c r="AF361" s="163"/>
      <c r="AG361" s="372"/>
      <c r="AH361" s="372"/>
    </row>
    <row r="362" spans="1:146" s="313" customFormat="1" ht="21.75" customHeight="1" x14ac:dyDescent="0.3">
      <c r="A362" s="173">
        <v>362</v>
      </c>
      <c r="B362" s="324">
        <v>41974</v>
      </c>
      <c r="C362" s="307">
        <v>19335007</v>
      </c>
      <c r="D362" s="305">
        <v>364</v>
      </c>
      <c r="E362" s="325" t="s">
        <v>79</v>
      </c>
      <c r="F362" s="326" t="s">
        <v>880</v>
      </c>
      <c r="G362" s="326" t="s">
        <v>880</v>
      </c>
      <c r="H362" s="305">
        <v>4241406861</v>
      </c>
      <c r="I362" s="163">
        <v>47300</v>
      </c>
      <c r="J362" s="163">
        <v>4300</v>
      </c>
      <c r="K362" s="97"/>
      <c r="L362" s="97"/>
      <c r="M362" s="97"/>
      <c r="N362" s="97"/>
      <c r="O362" s="97"/>
      <c r="P362" s="97"/>
      <c r="Q362" s="97"/>
      <c r="R362" s="97"/>
      <c r="S362" s="97"/>
      <c r="T362" s="140"/>
      <c r="U362" s="140"/>
      <c r="V362" s="140"/>
      <c r="W362" s="140"/>
      <c r="X362" s="140"/>
      <c r="Y362" s="163"/>
      <c r="Z362" s="163"/>
      <c r="AA362" s="140"/>
      <c r="AB362" s="140"/>
      <c r="AC362" s="163"/>
      <c r="AD362" s="163"/>
      <c r="AE362" s="163"/>
      <c r="AF362" s="163"/>
      <c r="AG362" s="372"/>
      <c r="AH362" s="372"/>
    </row>
    <row r="363" spans="1:146" ht="21.75" customHeight="1" x14ac:dyDescent="0.3">
      <c r="A363" s="5">
        <v>363</v>
      </c>
      <c r="B363" s="123">
        <v>41985</v>
      </c>
      <c r="C363" s="131">
        <v>6427916</v>
      </c>
      <c r="D363" s="114">
        <v>365</v>
      </c>
      <c r="E363" s="22"/>
      <c r="F363" s="151" t="s">
        <v>881</v>
      </c>
      <c r="G363" s="151" t="s">
        <v>882</v>
      </c>
      <c r="H363" s="114">
        <v>4265150307</v>
      </c>
      <c r="I363" s="119">
        <v>33000</v>
      </c>
      <c r="J363" s="119">
        <v>33000</v>
      </c>
      <c r="K363" s="114"/>
      <c r="L363" s="114"/>
      <c r="M363" s="114"/>
      <c r="N363" s="114"/>
      <c r="O363" s="114"/>
      <c r="P363" s="114"/>
      <c r="Q363" s="114"/>
      <c r="R363" s="114"/>
      <c r="S363" s="114"/>
      <c r="T363" s="119"/>
      <c r="U363" s="119"/>
      <c r="V363" s="119"/>
      <c r="W363" s="119"/>
      <c r="X363" s="119"/>
      <c r="Y363" s="65"/>
      <c r="Z363" s="65"/>
      <c r="AA363" s="119"/>
      <c r="AB363" s="119"/>
      <c r="AC363" s="119"/>
      <c r="AD363" s="119"/>
      <c r="AE363" s="119"/>
      <c r="AF363" s="119"/>
      <c r="AG363" s="30"/>
      <c r="AH363" s="30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  <c r="CP363" s="47"/>
      <c r="CQ363" s="47"/>
      <c r="CR363" s="47"/>
      <c r="CS363" s="47"/>
      <c r="CT363" s="47"/>
      <c r="CU363" s="47"/>
      <c r="CV363" s="47"/>
      <c r="CW363" s="47"/>
      <c r="CX363" s="47"/>
      <c r="CY363" s="47"/>
      <c r="CZ363" s="47"/>
      <c r="DA363" s="47"/>
      <c r="DB363" s="47"/>
      <c r="DC363" s="47"/>
      <c r="DD363" s="47"/>
      <c r="DE363" s="47"/>
      <c r="DF363" s="47"/>
      <c r="DG363" s="47"/>
      <c r="DH363" s="47"/>
      <c r="DI363" s="47"/>
      <c r="DJ363" s="47"/>
      <c r="DK363" s="47"/>
      <c r="DL363" s="47"/>
      <c r="DM363" s="47"/>
      <c r="DN363" s="47"/>
      <c r="DO363" s="47"/>
      <c r="DP363" s="47"/>
      <c r="DQ363" s="47"/>
      <c r="DR363" s="47"/>
      <c r="DS363" s="47"/>
      <c r="DT363" s="47"/>
      <c r="DU363" s="47"/>
      <c r="DV363" s="47"/>
      <c r="DW363" s="47"/>
      <c r="DX363" s="47"/>
      <c r="DY363" s="47"/>
      <c r="DZ363" s="47"/>
    </row>
    <row r="364" spans="1:146" ht="21.75" customHeight="1" x14ac:dyDescent="0.3">
      <c r="A364" s="5">
        <v>364</v>
      </c>
      <c r="B364" s="123">
        <v>41972</v>
      </c>
      <c r="C364" s="131">
        <v>10276806</v>
      </c>
      <c r="D364" s="114">
        <v>366</v>
      </c>
      <c r="E364" s="22"/>
      <c r="F364" s="151" t="s">
        <v>876</v>
      </c>
      <c r="G364" s="151" t="s">
        <v>877</v>
      </c>
      <c r="H364" s="114">
        <v>41428441333</v>
      </c>
      <c r="I364" s="119">
        <v>30525</v>
      </c>
      <c r="J364" s="119">
        <v>39000</v>
      </c>
      <c r="K364" s="114"/>
      <c r="L364" s="114"/>
      <c r="M364" s="114"/>
      <c r="N364" s="114"/>
      <c r="O364" s="114"/>
      <c r="P364" s="114"/>
      <c r="Q364" s="114"/>
      <c r="R364" s="114"/>
      <c r="S364" s="114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30"/>
      <c r="AH364" s="30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47"/>
      <c r="CA364" s="47"/>
      <c r="CB364" s="47"/>
      <c r="CC364" s="47"/>
      <c r="CD364" s="47"/>
      <c r="CE364" s="47"/>
      <c r="CF364" s="47"/>
      <c r="CG364" s="47"/>
      <c r="CH364" s="47"/>
      <c r="CI364" s="47"/>
      <c r="CJ364" s="47"/>
      <c r="CK364" s="47"/>
      <c r="CL364" s="47"/>
      <c r="CM364" s="47"/>
      <c r="CN364" s="47"/>
      <c r="CO364" s="47"/>
      <c r="CP364" s="47"/>
      <c r="CQ364" s="47"/>
      <c r="CR364" s="47"/>
      <c r="CS364" s="47"/>
      <c r="CT364" s="47"/>
      <c r="CU364" s="47"/>
      <c r="CV364" s="47"/>
      <c r="CW364" s="47"/>
      <c r="CX364" s="47"/>
      <c r="CY364" s="47"/>
      <c r="CZ364" s="47"/>
      <c r="DA364" s="47"/>
      <c r="DB364" s="47"/>
      <c r="DC364" s="47"/>
      <c r="DD364" s="47"/>
      <c r="DE364" s="47"/>
      <c r="DF364" s="47"/>
      <c r="DG364" s="47"/>
      <c r="DH364" s="47"/>
      <c r="DI364" s="47"/>
      <c r="DJ364" s="47"/>
      <c r="DK364" s="47"/>
      <c r="DL364" s="47"/>
      <c r="DM364" s="47"/>
      <c r="DN364" s="47"/>
      <c r="DO364" s="47"/>
      <c r="DP364" s="47"/>
      <c r="DQ364" s="47"/>
      <c r="DR364" s="47"/>
      <c r="DS364" s="47"/>
      <c r="DT364" s="47"/>
      <c r="DU364" s="47"/>
      <c r="DV364" s="47"/>
      <c r="DW364" s="47"/>
      <c r="DX364" s="47"/>
      <c r="DY364" s="47"/>
      <c r="DZ364" s="47"/>
      <c r="EA364" s="47"/>
      <c r="EB364" s="47"/>
      <c r="EC364" s="47"/>
      <c r="ED364" s="47"/>
      <c r="EE364" s="47"/>
      <c r="EF364" s="47"/>
      <c r="EG364" s="47"/>
      <c r="EH364" s="47"/>
      <c r="EI364" s="47"/>
      <c r="EJ364" s="47"/>
      <c r="EK364" s="47"/>
      <c r="EL364" s="47"/>
    </row>
    <row r="365" spans="1:146" s="313" customFormat="1" ht="21.75" customHeight="1" x14ac:dyDescent="0.3">
      <c r="A365" s="340">
        <v>365</v>
      </c>
      <c r="B365" s="341">
        <v>41988</v>
      </c>
      <c r="C365" s="342">
        <v>6865555</v>
      </c>
      <c r="D365" s="340">
        <v>367</v>
      </c>
      <c r="E365" s="347"/>
      <c r="F365" s="348" t="s">
        <v>883</v>
      </c>
      <c r="G365" s="348" t="s">
        <v>884</v>
      </c>
      <c r="H365" s="340">
        <v>4169310887</v>
      </c>
      <c r="I365" s="344">
        <v>33000</v>
      </c>
      <c r="J365" s="344">
        <v>33000</v>
      </c>
      <c r="K365" s="340"/>
      <c r="L365" s="340"/>
      <c r="M365" s="340"/>
      <c r="N365" s="340"/>
      <c r="O365" s="340"/>
      <c r="P365" s="340"/>
      <c r="Q365" s="340"/>
      <c r="R365" s="340"/>
      <c r="S365" s="340"/>
      <c r="T365" s="344"/>
      <c r="U365" s="344"/>
      <c r="V365" s="344"/>
      <c r="W365" s="344"/>
      <c r="X365" s="344"/>
      <c r="Y365" s="344"/>
      <c r="Z365" s="344"/>
      <c r="AA365" s="344"/>
      <c r="AB365" s="344"/>
      <c r="AC365" s="344"/>
      <c r="AD365" s="344"/>
      <c r="AE365" s="344"/>
      <c r="AF365" s="344"/>
      <c r="AG365" s="373"/>
      <c r="AH365" s="373"/>
      <c r="AI365" s="346"/>
      <c r="AJ365" s="346"/>
      <c r="AK365" s="346"/>
      <c r="AL365" s="346"/>
      <c r="AM365" s="346"/>
      <c r="AN365" s="346"/>
      <c r="AO365" s="346"/>
      <c r="AP365" s="346"/>
      <c r="AQ365" s="346"/>
      <c r="AR365" s="346"/>
      <c r="AS365" s="346"/>
      <c r="AT365" s="346"/>
      <c r="AU365" s="346"/>
      <c r="AV365" s="346"/>
      <c r="AW365" s="346"/>
      <c r="AX365" s="346"/>
      <c r="AY365" s="346"/>
      <c r="AZ365" s="346"/>
      <c r="BA365" s="346"/>
      <c r="BB365" s="346"/>
      <c r="BC365" s="346"/>
      <c r="BD365" s="346"/>
      <c r="BE365" s="346"/>
      <c r="BF365" s="346"/>
      <c r="BG365" s="346"/>
      <c r="BH365" s="346"/>
      <c r="BI365" s="346"/>
      <c r="BJ365" s="346"/>
      <c r="BK365" s="346"/>
      <c r="BL365" s="346"/>
      <c r="BM365" s="346"/>
      <c r="BN365" s="346"/>
      <c r="BO365" s="346"/>
      <c r="BP365" s="346"/>
      <c r="BQ365" s="346"/>
      <c r="BR365" s="346"/>
      <c r="BS365" s="346"/>
      <c r="BT365" s="346"/>
      <c r="BU365" s="346"/>
      <c r="BV365" s="346"/>
      <c r="BW365" s="346"/>
      <c r="BX365" s="346"/>
      <c r="BY365" s="346"/>
      <c r="BZ365" s="346"/>
      <c r="CA365" s="346"/>
      <c r="CB365" s="346"/>
      <c r="CC365" s="346"/>
      <c r="CD365" s="346"/>
      <c r="CE365" s="346"/>
      <c r="CF365" s="346"/>
      <c r="CG365" s="346"/>
      <c r="CH365" s="346"/>
      <c r="CI365" s="346"/>
      <c r="CJ365" s="346"/>
      <c r="CK365" s="346"/>
      <c r="CL365" s="346"/>
      <c r="CM365" s="346"/>
      <c r="CN365" s="346"/>
      <c r="CO365" s="346"/>
      <c r="CP365" s="346"/>
      <c r="CQ365" s="346"/>
      <c r="CR365" s="346"/>
      <c r="CS365" s="346"/>
      <c r="CT365" s="346"/>
      <c r="CU365" s="346"/>
      <c r="CV365" s="346"/>
      <c r="CW365" s="346"/>
      <c r="CX365" s="346"/>
      <c r="CY365" s="346"/>
      <c r="CZ365" s="346"/>
      <c r="DA365" s="346"/>
      <c r="DB365" s="346"/>
      <c r="DC365" s="346"/>
      <c r="DD365" s="346"/>
      <c r="DE365" s="346"/>
      <c r="DF365" s="346"/>
      <c r="DG365" s="346"/>
      <c r="DH365" s="346"/>
      <c r="DI365" s="346"/>
      <c r="DJ365" s="346"/>
      <c r="DK365" s="346"/>
      <c r="DL365" s="346"/>
      <c r="DM365" s="346"/>
      <c r="DN365" s="346"/>
      <c r="DO365" s="346"/>
      <c r="DP365" s="346"/>
      <c r="DQ365" s="346"/>
      <c r="DR365" s="346"/>
      <c r="DS365" s="346"/>
      <c r="DT365" s="346"/>
      <c r="DU365" s="346"/>
      <c r="DV365" s="346"/>
      <c r="DW365" s="346"/>
      <c r="DX365" s="346"/>
      <c r="DY365" s="346"/>
      <c r="DZ365" s="346"/>
      <c r="EA365" s="346"/>
      <c r="EB365" s="346"/>
      <c r="EC365" s="346"/>
      <c r="ED365" s="346"/>
      <c r="EE365" s="346"/>
      <c r="EF365" s="346"/>
      <c r="EG365" s="346"/>
      <c r="EH365" s="346"/>
      <c r="EI365" s="346"/>
      <c r="EJ365" s="346"/>
      <c r="EK365" s="346"/>
      <c r="EL365" s="346"/>
      <c r="EM365" s="346"/>
      <c r="EN365" s="346"/>
      <c r="EO365" s="346"/>
      <c r="EP365" s="346"/>
    </row>
    <row r="366" spans="1:146" s="313" customFormat="1" ht="21.75" customHeight="1" x14ac:dyDescent="0.3">
      <c r="A366" s="173">
        <v>366</v>
      </c>
      <c r="B366" s="324">
        <v>42017</v>
      </c>
      <c r="C366" s="307">
        <v>18234529</v>
      </c>
      <c r="D366" s="309">
        <v>368</v>
      </c>
      <c r="E366" s="325"/>
      <c r="F366" s="326" t="s">
        <v>885</v>
      </c>
      <c r="G366" s="326" t="s">
        <v>885</v>
      </c>
      <c r="H366" s="305">
        <v>4141526445</v>
      </c>
      <c r="I366" s="163">
        <v>53900</v>
      </c>
      <c r="J366" s="163">
        <v>4900</v>
      </c>
      <c r="K366" s="97"/>
      <c r="L366" s="97"/>
      <c r="M366" s="97"/>
      <c r="N366" s="97"/>
      <c r="O366" s="97"/>
      <c r="P366" s="97"/>
      <c r="Q366" s="97"/>
      <c r="R366" s="97"/>
      <c r="S366" s="97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63"/>
      <c r="AE366" s="163"/>
      <c r="AF366" s="163"/>
      <c r="AG366" s="372"/>
      <c r="AH366" s="372"/>
    </row>
    <row r="367" spans="1:146" s="313" customFormat="1" ht="21.75" customHeight="1" x14ac:dyDescent="0.3">
      <c r="A367" s="173">
        <v>367</v>
      </c>
      <c r="B367" s="324">
        <v>41986</v>
      </c>
      <c r="C367" s="307">
        <v>6240184</v>
      </c>
      <c r="D367" s="309">
        <v>369</v>
      </c>
      <c r="E367" s="325"/>
      <c r="F367" s="326" t="s">
        <v>886</v>
      </c>
      <c r="G367" s="326" t="s">
        <v>887</v>
      </c>
      <c r="H367" s="305">
        <v>4126177193</v>
      </c>
      <c r="I367" s="163">
        <v>47300</v>
      </c>
      <c r="J367" s="163">
        <v>4300</v>
      </c>
      <c r="K367" s="97"/>
      <c r="L367" s="97"/>
      <c r="M367" s="97"/>
      <c r="N367" s="97"/>
      <c r="O367" s="97"/>
      <c r="P367" s="97"/>
      <c r="Q367" s="97"/>
      <c r="R367" s="97"/>
      <c r="S367" s="97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63"/>
      <c r="AD367" s="163"/>
      <c r="AE367" s="163"/>
      <c r="AF367" s="163"/>
      <c r="AG367" s="372"/>
      <c r="AH367" s="372"/>
    </row>
    <row r="368" spans="1:146" s="346" customFormat="1" ht="21.75" customHeight="1" x14ac:dyDescent="0.3">
      <c r="A368" s="340">
        <v>368</v>
      </c>
      <c r="B368" s="341">
        <v>42025</v>
      </c>
      <c r="C368" s="342">
        <v>11040314</v>
      </c>
      <c r="D368" s="340">
        <v>378</v>
      </c>
      <c r="E368" s="347" t="s">
        <v>503</v>
      </c>
      <c r="F368" s="348" t="s">
        <v>897</v>
      </c>
      <c r="G368" s="348" t="s">
        <v>897</v>
      </c>
      <c r="H368" s="340">
        <v>4142511621</v>
      </c>
      <c r="I368" s="344">
        <v>19600</v>
      </c>
      <c r="J368" s="344">
        <v>4900</v>
      </c>
      <c r="K368" s="340"/>
      <c r="L368" s="340"/>
      <c r="M368" s="340"/>
      <c r="N368" s="340"/>
      <c r="O368" s="340"/>
      <c r="P368" s="340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  <c r="AA368" s="340"/>
      <c r="AB368" s="340"/>
      <c r="AC368" s="340"/>
      <c r="AD368" s="340"/>
      <c r="AE368" s="340"/>
      <c r="AF368" s="340"/>
      <c r="AG368" s="345"/>
      <c r="AH368" s="345"/>
    </row>
    <row r="369" spans="1:76" ht="21.75" customHeight="1" x14ac:dyDescent="0.3">
      <c r="A369" s="114">
        <v>369</v>
      </c>
      <c r="B369" s="123">
        <v>42019</v>
      </c>
      <c r="C369" s="131">
        <v>18010735</v>
      </c>
      <c r="D369" s="114">
        <v>371</v>
      </c>
      <c r="E369" s="22"/>
      <c r="F369" s="151" t="s">
        <v>889</v>
      </c>
      <c r="G369" s="151" t="s">
        <v>889</v>
      </c>
      <c r="H369" s="114">
        <v>4242849943</v>
      </c>
      <c r="I369" s="119">
        <v>39000</v>
      </c>
      <c r="J369" s="119">
        <v>39000</v>
      </c>
      <c r="K369" s="114" t="s">
        <v>1386</v>
      </c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21"/>
      <c r="AH369" s="21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  <c r="BT369" s="47"/>
      <c r="BU369" s="47"/>
      <c r="BV369" s="47"/>
      <c r="BW369" s="47"/>
      <c r="BX369" s="47"/>
    </row>
    <row r="370" spans="1:76" s="313" customFormat="1" ht="21.75" customHeight="1" x14ac:dyDescent="0.3">
      <c r="A370" s="305">
        <v>370</v>
      </c>
      <c r="B370" s="324">
        <v>42024</v>
      </c>
      <c r="C370" s="307">
        <v>17550474</v>
      </c>
      <c r="D370" s="305">
        <v>377</v>
      </c>
      <c r="E370" s="325" t="s">
        <v>79</v>
      </c>
      <c r="F370" s="326" t="s">
        <v>896</v>
      </c>
      <c r="G370" s="326" t="s">
        <v>896</v>
      </c>
      <c r="H370" s="305">
        <v>4141598174</v>
      </c>
      <c r="I370" s="163">
        <v>53900</v>
      </c>
      <c r="J370" s="163">
        <v>4900</v>
      </c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305"/>
      <c r="AE370" s="305"/>
      <c r="AF370" s="305"/>
      <c r="AG370" s="312"/>
      <c r="AH370" s="312"/>
    </row>
    <row r="371" spans="1:76" ht="21.75" customHeight="1" x14ac:dyDescent="0.3">
      <c r="A371" s="367">
        <v>371</v>
      </c>
      <c r="B371" s="368">
        <v>42024</v>
      </c>
      <c r="C371" s="133">
        <v>17532735</v>
      </c>
      <c r="D371" s="367">
        <v>376</v>
      </c>
      <c r="E371" s="126" t="s">
        <v>79</v>
      </c>
      <c r="F371" s="152" t="s">
        <v>894</v>
      </c>
      <c r="G371" s="152" t="s">
        <v>895</v>
      </c>
      <c r="H371" s="189" t="s">
        <v>957</v>
      </c>
      <c r="I371" s="65">
        <v>53900</v>
      </c>
      <c r="J371" s="65">
        <v>4900</v>
      </c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89"/>
      <c r="AE371" s="189"/>
      <c r="AF371" s="189"/>
      <c r="AG371" s="199"/>
      <c r="AH371" s="199"/>
    </row>
    <row r="372" spans="1:76" s="346" customFormat="1" ht="21.75" customHeight="1" x14ac:dyDescent="0.3">
      <c r="A372" s="340">
        <v>372</v>
      </c>
      <c r="B372" s="341">
        <v>42020</v>
      </c>
      <c r="C372" s="342">
        <v>8208625</v>
      </c>
      <c r="D372" s="340">
        <v>374</v>
      </c>
      <c r="E372" s="342"/>
      <c r="F372" s="343" t="s">
        <v>893</v>
      </c>
      <c r="G372" s="343" t="s">
        <v>893</v>
      </c>
      <c r="H372" s="340">
        <v>4129351855</v>
      </c>
      <c r="I372" s="344">
        <v>19600</v>
      </c>
      <c r="J372" s="344">
        <v>4900</v>
      </c>
      <c r="K372" s="344"/>
      <c r="L372" s="340"/>
      <c r="M372" s="340"/>
      <c r="N372" s="340"/>
      <c r="O372" s="340"/>
      <c r="P372" s="340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  <c r="AA372" s="340"/>
      <c r="AB372" s="340"/>
      <c r="AC372" s="340"/>
      <c r="AD372" s="340">
        <v>4900</v>
      </c>
      <c r="AE372" s="340"/>
      <c r="AF372" s="340"/>
      <c r="AG372" s="345"/>
      <c r="AH372" s="345"/>
    </row>
    <row r="373" spans="1:76" s="313" customFormat="1" ht="21.75" customHeight="1" x14ac:dyDescent="0.3">
      <c r="A373" s="305">
        <v>373</v>
      </c>
      <c r="B373" s="324">
        <v>42019</v>
      </c>
      <c r="C373" s="307">
        <v>10186820</v>
      </c>
      <c r="D373" s="309">
        <v>372</v>
      </c>
      <c r="E373" s="325"/>
      <c r="F373" s="326" t="s">
        <v>890</v>
      </c>
      <c r="G373" s="326" t="s">
        <v>891</v>
      </c>
      <c r="H373" s="305">
        <v>4149247071</v>
      </c>
      <c r="I373" s="163">
        <v>53900</v>
      </c>
      <c r="J373" s="163">
        <v>4900</v>
      </c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305"/>
      <c r="AE373" s="305"/>
      <c r="AF373" s="305"/>
      <c r="AG373" s="312"/>
      <c r="AH373" s="312"/>
      <c r="AI373" s="346"/>
      <c r="AJ373" s="346"/>
      <c r="AK373" s="346"/>
      <c r="AL373" s="346"/>
      <c r="AM373" s="346"/>
      <c r="AN373" s="346"/>
      <c r="AO373" s="346"/>
      <c r="AP373" s="346"/>
      <c r="AQ373" s="346"/>
      <c r="AR373" s="346"/>
      <c r="AS373" s="346"/>
      <c r="AT373" s="346"/>
      <c r="AU373" s="346"/>
      <c r="AV373" s="346"/>
      <c r="AW373" s="346"/>
      <c r="AX373" s="346"/>
      <c r="AY373" s="346"/>
      <c r="AZ373" s="346"/>
      <c r="BA373" s="346"/>
      <c r="BB373" s="346"/>
      <c r="BC373" s="346"/>
      <c r="BD373" s="346"/>
      <c r="BE373" s="346"/>
      <c r="BF373" s="346"/>
      <c r="BG373" s="346"/>
      <c r="BH373" s="346"/>
      <c r="BI373" s="346"/>
      <c r="BJ373" s="346"/>
      <c r="BK373" s="346"/>
      <c r="BL373" s="346"/>
      <c r="BM373" s="346"/>
      <c r="BN373" s="346"/>
    </row>
    <row r="374" spans="1:76" s="313" customFormat="1" ht="21.75" customHeight="1" x14ac:dyDescent="0.3">
      <c r="A374" s="346">
        <v>374</v>
      </c>
      <c r="B374" s="341">
        <v>42023</v>
      </c>
      <c r="C374" s="342">
        <v>9145415</v>
      </c>
      <c r="D374" s="340">
        <v>375</v>
      </c>
      <c r="E374" s="347"/>
      <c r="F374" s="348" t="s">
        <v>860</v>
      </c>
      <c r="G374" s="348" t="s">
        <v>859</v>
      </c>
      <c r="H374" s="340">
        <v>4141273605</v>
      </c>
      <c r="I374" s="344">
        <v>26900</v>
      </c>
      <c r="J374" s="344">
        <v>26900</v>
      </c>
      <c r="K374" s="340"/>
      <c r="L374" s="340"/>
      <c r="M374" s="340"/>
      <c r="N374" s="340"/>
      <c r="O374" s="340"/>
      <c r="P374" s="340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  <c r="AA374" s="340"/>
      <c r="AB374" s="340"/>
      <c r="AC374" s="340"/>
      <c r="AD374" s="340"/>
      <c r="AE374" s="340"/>
      <c r="AF374" s="340"/>
      <c r="AG374" s="345"/>
      <c r="AH374" s="345"/>
    </row>
    <row r="375" spans="1:76" s="346" customFormat="1" ht="21.75" customHeight="1" x14ac:dyDescent="0.3">
      <c r="A375" s="340">
        <v>375</v>
      </c>
      <c r="B375" s="341">
        <v>42020</v>
      </c>
      <c r="C375" s="342">
        <v>26078968</v>
      </c>
      <c r="D375" s="340">
        <v>373</v>
      </c>
      <c r="E375" s="347"/>
      <c r="F375" s="348" t="s">
        <v>892</v>
      </c>
      <c r="G375" s="348" t="s">
        <v>892</v>
      </c>
      <c r="H375" s="340" t="s">
        <v>997</v>
      </c>
      <c r="I375" s="344">
        <v>19600</v>
      </c>
      <c r="J375" s="344">
        <v>4900</v>
      </c>
      <c r="K375" s="340"/>
      <c r="L375" s="340"/>
      <c r="M375" s="340"/>
      <c r="N375" s="340"/>
      <c r="O375" s="340"/>
      <c r="P375" s="340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  <c r="AA375" s="340"/>
      <c r="AB375" s="340"/>
      <c r="AC375" s="340"/>
      <c r="AD375" s="340">
        <v>4900</v>
      </c>
      <c r="AE375" s="340"/>
      <c r="AF375" s="340"/>
      <c r="AG375" s="345"/>
      <c r="AH375" s="345"/>
    </row>
    <row r="376" spans="1:76" s="313" customFormat="1" ht="21.75" customHeight="1" x14ac:dyDescent="0.3">
      <c r="A376" s="340">
        <v>376</v>
      </c>
      <c r="B376" s="341">
        <v>42199</v>
      </c>
      <c r="C376" s="342">
        <v>14674546</v>
      </c>
      <c r="D376" s="340">
        <v>370</v>
      </c>
      <c r="E376" s="347"/>
      <c r="F376" s="348" t="s">
        <v>888</v>
      </c>
      <c r="G376" s="348" t="s">
        <v>888</v>
      </c>
      <c r="H376" s="340">
        <v>4166835736</v>
      </c>
      <c r="I376" s="344">
        <v>26900</v>
      </c>
      <c r="J376" s="344">
        <v>26900</v>
      </c>
      <c r="K376" s="340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  <c r="AC376" s="340"/>
      <c r="AD376" s="340"/>
      <c r="AE376" s="340"/>
      <c r="AF376" s="340"/>
      <c r="AG376" s="345"/>
      <c r="AH376" s="345"/>
    </row>
    <row r="377" spans="1:76" s="47" customFormat="1" ht="21.75" customHeight="1" x14ac:dyDescent="0.3">
      <c r="A377" s="114">
        <v>377</v>
      </c>
      <c r="B377" s="123">
        <v>42033</v>
      </c>
      <c r="C377" s="131">
        <v>8773867</v>
      </c>
      <c r="D377" s="114">
        <v>379</v>
      </c>
      <c r="E377" s="22" t="s">
        <v>79</v>
      </c>
      <c r="F377" s="151" t="s">
        <v>898</v>
      </c>
      <c r="G377" s="151" t="s">
        <v>899</v>
      </c>
      <c r="H377" s="114">
        <v>4122056610</v>
      </c>
      <c r="I377" s="119">
        <v>53900</v>
      </c>
      <c r="J377" s="119">
        <v>4900</v>
      </c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21"/>
      <c r="AH377" s="21"/>
    </row>
    <row r="378" spans="1:76" s="55" customFormat="1" ht="21.75" customHeight="1" x14ac:dyDescent="0.3">
      <c r="A378" s="252">
        <v>378</v>
      </c>
      <c r="B378" s="252"/>
      <c r="C378" s="137"/>
      <c r="D378" s="252">
        <v>380</v>
      </c>
      <c r="E378" s="253"/>
      <c r="F378" s="254" t="s">
        <v>586</v>
      </c>
      <c r="G378" s="254" t="s">
        <v>905</v>
      </c>
      <c r="H378" s="252"/>
      <c r="I378" s="255"/>
      <c r="J378" s="255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  <c r="AA378" s="252"/>
      <c r="AB378" s="252"/>
      <c r="AC378" s="252"/>
      <c r="AD378" s="252"/>
      <c r="AE378" s="252"/>
      <c r="AF378" s="252"/>
      <c r="AG378" s="54"/>
      <c r="AH378" s="54"/>
    </row>
    <row r="379" spans="1:76" s="313" customFormat="1" ht="21.75" customHeight="1" x14ac:dyDescent="0.3">
      <c r="A379" s="305">
        <v>379</v>
      </c>
      <c r="B379" s="324">
        <v>42032</v>
      </c>
      <c r="C379" s="307">
        <v>12784877</v>
      </c>
      <c r="D379" s="305">
        <v>381</v>
      </c>
      <c r="E379" s="325"/>
      <c r="F379" s="326" t="s">
        <v>904</v>
      </c>
      <c r="G379" s="326" t="s">
        <v>904</v>
      </c>
      <c r="H379" s="305">
        <v>4269112849</v>
      </c>
      <c r="I379" s="163">
        <v>53900</v>
      </c>
      <c r="J379" s="163">
        <v>4900</v>
      </c>
      <c r="K379" s="305"/>
      <c r="L379" s="305"/>
      <c r="M379" s="305"/>
      <c r="N379" s="305"/>
      <c r="O379" s="305"/>
      <c r="P379" s="305"/>
      <c r="Q379" s="305"/>
      <c r="R379" s="305"/>
      <c r="S379" s="305"/>
      <c r="T379" s="305"/>
      <c r="U379" s="305"/>
      <c r="V379" s="305"/>
      <c r="W379" s="305"/>
      <c r="X379" s="305"/>
      <c r="Y379" s="305"/>
      <c r="Z379" s="305"/>
      <c r="AA379" s="305"/>
      <c r="AB379" s="305"/>
      <c r="AC379" s="305"/>
      <c r="AD379" s="305"/>
      <c r="AE379" s="305"/>
      <c r="AF379" s="305"/>
      <c r="AG379" s="312"/>
      <c r="AH379" s="312"/>
    </row>
    <row r="380" spans="1:76" s="47" customFormat="1" ht="21.75" customHeight="1" x14ac:dyDescent="0.3">
      <c r="A380" s="114">
        <v>380</v>
      </c>
      <c r="B380" s="123">
        <v>42032</v>
      </c>
      <c r="C380" s="131">
        <v>6855638</v>
      </c>
      <c r="D380" s="114">
        <v>382</v>
      </c>
      <c r="E380" s="22"/>
      <c r="F380" s="151" t="s">
        <v>907</v>
      </c>
      <c r="G380" s="151" t="s">
        <v>908</v>
      </c>
      <c r="H380" s="114">
        <v>4265185723</v>
      </c>
      <c r="I380" s="119">
        <v>39000</v>
      </c>
      <c r="J380" s="119">
        <v>20000</v>
      </c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21"/>
      <c r="AH380" s="21"/>
    </row>
    <row r="381" spans="1:76" s="47" customFormat="1" ht="21.75" customHeight="1" x14ac:dyDescent="0.3">
      <c r="A381" s="114">
        <v>381</v>
      </c>
      <c r="B381" s="123">
        <v>42035</v>
      </c>
      <c r="C381" s="131">
        <v>82122565</v>
      </c>
      <c r="D381" s="114">
        <v>383</v>
      </c>
      <c r="E381" s="22"/>
      <c r="F381" s="151" t="s">
        <v>909</v>
      </c>
      <c r="G381" s="151" t="s">
        <v>906</v>
      </c>
      <c r="H381" s="114" t="s">
        <v>1190</v>
      </c>
      <c r="I381" s="119">
        <v>33000</v>
      </c>
      <c r="J381" s="119">
        <v>33000</v>
      </c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21"/>
      <c r="AH381" s="21"/>
    </row>
    <row r="382" spans="1:76" s="47" customFormat="1" ht="21.75" customHeight="1" x14ac:dyDescent="0.3">
      <c r="A382" s="114">
        <v>382</v>
      </c>
      <c r="B382" s="123">
        <v>42035</v>
      </c>
      <c r="C382" s="131">
        <v>82122565</v>
      </c>
      <c r="D382" s="114">
        <v>384</v>
      </c>
      <c r="E382" s="22"/>
      <c r="F382" s="151" t="s">
        <v>910</v>
      </c>
      <c r="G382" s="151" t="s">
        <v>906</v>
      </c>
      <c r="H382" s="114">
        <v>4241639497</v>
      </c>
      <c r="I382" s="119">
        <v>33000</v>
      </c>
      <c r="J382" s="119">
        <v>33000</v>
      </c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21"/>
      <c r="AH382" s="21"/>
    </row>
    <row r="383" spans="1:76" s="313" customFormat="1" ht="21.75" customHeight="1" x14ac:dyDescent="0.3">
      <c r="A383" s="305">
        <v>383</v>
      </c>
      <c r="B383" s="324">
        <v>42042</v>
      </c>
      <c r="C383" s="307">
        <v>82122566</v>
      </c>
      <c r="D383" s="305">
        <v>385</v>
      </c>
      <c r="E383" s="325"/>
      <c r="F383" s="326" t="s">
        <v>911</v>
      </c>
      <c r="G383" s="326" t="s">
        <v>912</v>
      </c>
      <c r="H383" s="305">
        <v>4141500327</v>
      </c>
      <c r="I383" s="163">
        <v>40000</v>
      </c>
      <c r="J383" s="163">
        <v>4000</v>
      </c>
      <c r="K383" s="305"/>
      <c r="L383" s="305"/>
      <c r="M383" s="305"/>
      <c r="N383" s="305"/>
      <c r="O383" s="305"/>
      <c r="P383" s="305"/>
      <c r="Q383" s="305"/>
      <c r="R383" s="305"/>
      <c r="S383" s="305"/>
      <c r="T383" s="305"/>
      <c r="U383" s="305"/>
      <c r="V383" s="305"/>
      <c r="W383" s="305"/>
      <c r="X383" s="305"/>
      <c r="Y383" s="305"/>
      <c r="Z383" s="305"/>
      <c r="AA383" s="305"/>
      <c r="AB383" s="305"/>
      <c r="AC383" s="305"/>
      <c r="AD383" s="305"/>
      <c r="AE383" s="305"/>
      <c r="AF383" s="305"/>
      <c r="AG383" s="312"/>
      <c r="AH383" s="312"/>
    </row>
    <row r="384" spans="1:76" s="47" customFormat="1" ht="21.75" customHeight="1" x14ac:dyDescent="0.3">
      <c r="A384" s="114">
        <v>384</v>
      </c>
      <c r="B384" s="123">
        <v>42037</v>
      </c>
      <c r="C384" s="131">
        <v>6233541</v>
      </c>
      <c r="D384" s="114">
        <v>386</v>
      </c>
      <c r="E384" s="22"/>
      <c r="F384" s="151" t="s">
        <v>915</v>
      </c>
      <c r="G384" s="151" t="s">
        <v>916</v>
      </c>
      <c r="H384" s="114">
        <v>4143385126</v>
      </c>
      <c r="I384" s="119">
        <v>39000</v>
      </c>
      <c r="J384" s="119">
        <v>16000</v>
      </c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21"/>
      <c r="AH384" s="21"/>
    </row>
    <row r="385" spans="1:34" s="47" customFormat="1" ht="21.75" customHeight="1" x14ac:dyDescent="0.3">
      <c r="A385" s="114">
        <v>385</v>
      </c>
      <c r="B385" s="123">
        <v>42037</v>
      </c>
      <c r="C385" s="131">
        <v>6233541</v>
      </c>
      <c r="D385" s="114">
        <v>387</v>
      </c>
      <c r="E385" s="22"/>
      <c r="F385" s="151" t="s">
        <v>917</v>
      </c>
      <c r="G385" s="151" t="s">
        <v>916</v>
      </c>
      <c r="H385" s="114"/>
      <c r="I385" s="119">
        <v>39000</v>
      </c>
      <c r="J385" s="119">
        <v>16000</v>
      </c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21"/>
      <c r="AH385" s="21"/>
    </row>
    <row r="386" spans="1:34" s="313" customFormat="1" ht="21.75" customHeight="1" x14ac:dyDescent="0.3">
      <c r="A386" s="305">
        <v>386</v>
      </c>
      <c r="B386" s="324">
        <v>42042</v>
      </c>
      <c r="C386" s="307">
        <v>82121509</v>
      </c>
      <c r="D386" s="305">
        <v>388</v>
      </c>
      <c r="E386" s="325"/>
      <c r="F386" s="326" t="s">
        <v>918</v>
      </c>
      <c r="G386" s="326" t="s">
        <v>918</v>
      </c>
      <c r="H386" s="305">
        <v>4142495456</v>
      </c>
      <c r="I386" s="163">
        <v>40000</v>
      </c>
      <c r="J386" s="163">
        <v>4000</v>
      </c>
      <c r="K386" s="305"/>
      <c r="L386" s="305"/>
      <c r="M386" s="305"/>
      <c r="N386" s="305"/>
      <c r="O386" s="305"/>
      <c r="P386" s="305"/>
      <c r="Q386" s="305"/>
      <c r="R386" s="305"/>
      <c r="S386" s="305"/>
      <c r="T386" s="305"/>
      <c r="U386" s="305"/>
      <c r="V386" s="305"/>
      <c r="W386" s="305"/>
      <c r="X386" s="305"/>
      <c r="Y386" s="305"/>
      <c r="Z386" s="305"/>
      <c r="AA386" s="305"/>
      <c r="AB386" s="305"/>
      <c r="AC386" s="305"/>
      <c r="AD386" s="305"/>
      <c r="AE386" s="305"/>
      <c r="AF386" s="305"/>
      <c r="AG386" s="312"/>
      <c r="AH386" s="312"/>
    </row>
    <row r="387" spans="1:34" s="313" customFormat="1" ht="21.75" customHeight="1" x14ac:dyDescent="0.3">
      <c r="A387" s="305">
        <v>387</v>
      </c>
      <c r="B387" s="324">
        <v>42042</v>
      </c>
      <c r="C387" s="307">
        <v>82121249</v>
      </c>
      <c r="D387" s="305">
        <v>389</v>
      </c>
      <c r="E387" s="325"/>
      <c r="F387" s="326" t="s">
        <v>919</v>
      </c>
      <c r="G387" s="326" t="s">
        <v>919</v>
      </c>
      <c r="H387" s="305">
        <v>4241482537</v>
      </c>
      <c r="I387" s="163">
        <v>40000</v>
      </c>
      <c r="J387" s="163">
        <v>4000</v>
      </c>
      <c r="K387" s="305"/>
      <c r="L387" s="305"/>
      <c r="M387" s="305"/>
      <c r="N387" s="305"/>
      <c r="O387" s="305"/>
      <c r="P387" s="305"/>
      <c r="Q387" s="305"/>
      <c r="R387" s="305"/>
      <c r="S387" s="305"/>
      <c r="T387" s="305"/>
      <c r="U387" s="305"/>
      <c r="V387" s="305"/>
      <c r="W387" s="305"/>
      <c r="X387" s="305"/>
      <c r="Y387" s="305"/>
      <c r="Z387" s="305"/>
      <c r="AA387" s="305"/>
      <c r="AB387" s="305"/>
      <c r="AC387" s="305"/>
      <c r="AD387" s="305"/>
      <c r="AE387" s="305"/>
      <c r="AF387" s="305"/>
      <c r="AG387" s="312"/>
      <c r="AH387" s="312"/>
    </row>
    <row r="388" spans="1:34" s="313" customFormat="1" ht="21.75" customHeight="1" x14ac:dyDescent="0.3">
      <c r="A388" s="305">
        <v>388</v>
      </c>
      <c r="B388" s="324">
        <v>42042</v>
      </c>
      <c r="C388" s="307">
        <v>82121249</v>
      </c>
      <c r="D388" s="305">
        <v>390</v>
      </c>
      <c r="E388" s="325"/>
      <c r="F388" s="326" t="s">
        <v>920</v>
      </c>
      <c r="G388" s="326" t="s">
        <v>919</v>
      </c>
      <c r="H388" s="305">
        <v>2126141474</v>
      </c>
      <c r="I388" s="163">
        <v>40000</v>
      </c>
      <c r="J388" s="163">
        <v>4000</v>
      </c>
      <c r="K388" s="305"/>
      <c r="L388" s="305"/>
      <c r="M388" s="305"/>
      <c r="N388" s="305"/>
      <c r="O388" s="305"/>
      <c r="P388" s="305"/>
      <c r="Q388" s="305"/>
      <c r="R388" s="305"/>
      <c r="S388" s="305"/>
      <c r="T388" s="305"/>
      <c r="U388" s="305"/>
      <c r="V388" s="305"/>
      <c r="W388" s="305"/>
      <c r="X388" s="305"/>
      <c r="Y388" s="305"/>
      <c r="Z388" s="305"/>
      <c r="AA388" s="305"/>
      <c r="AB388" s="305"/>
      <c r="AC388" s="305"/>
      <c r="AD388" s="305"/>
      <c r="AE388" s="305"/>
      <c r="AF388" s="305"/>
      <c r="AG388" s="312"/>
      <c r="AH388" s="312"/>
    </row>
    <row r="389" spans="1:34" s="313" customFormat="1" ht="21.75" customHeight="1" x14ac:dyDescent="0.3">
      <c r="A389" s="305">
        <v>389</v>
      </c>
      <c r="B389" s="324">
        <v>42042</v>
      </c>
      <c r="C389" s="307">
        <v>82122505</v>
      </c>
      <c r="D389" s="305">
        <v>391</v>
      </c>
      <c r="E389" s="325"/>
      <c r="F389" s="326" t="s">
        <v>906</v>
      </c>
      <c r="G389" s="326" t="s">
        <v>906</v>
      </c>
      <c r="H389" s="305">
        <v>4241639497</v>
      </c>
      <c r="I389" s="163">
        <v>40000</v>
      </c>
      <c r="J389" s="163">
        <v>4000</v>
      </c>
      <c r="K389" s="305"/>
      <c r="L389" s="305"/>
      <c r="M389" s="305"/>
      <c r="N389" s="305"/>
      <c r="O389" s="305"/>
      <c r="P389" s="305"/>
      <c r="Q389" s="305"/>
      <c r="R389" s="305"/>
      <c r="S389" s="305"/>
      <c r="T389" s="305"/>
      <c r="U389" s="305"/>
      <c r="V389" s="305"/>
      <c r="W389" s="305"/>
      <c r="X389" s="305"/>
      <c r="Y389" s="305"/>
      <c r="Z389" s="305"/>
      <c r="AA389" s="305"/>
      <c r="AB389" s="305"/>
      <c r="AC389" s="305"/>
      <c r="AD389" s="305"/>
      <c r="AE389" s="305"/>
      <c r="AF389" s="305"/>
      <c r="AG389" s="312"/>
      <c r="AH389" s="312"/>
    </row>
    <row r="390" spans="1:34" s="313" customFormat="1" ht="21.75" customHeight="1" x14ac:dyDescent="0.3">
      <c r="A390" s="305">
        <v>390</v>
      </c>
      <c r="B390" s="324">
        <v>42042</v>
      </c>
      <c r="C390" s="307">
        <v>82122567</v>
      </c>
      <c r="D390" s="305">
        <v>392</v>
      </c>
      <c r="E390" s="325"/>
      <c r="F390" s="326" t="s">
        <v>921</v>
      </c>
      <c r="G390" s="326" t="s">
        <v>921</v>
      </c>
      <c r="H390" s="305">
        <v>4141203684</v>
      </c>
      <c r="I390" s="163">
        <v>40000</v>
      </c>
      <c r="J390" s="163">
        <v>4000</v>
      </c>
      <c r="K390" s="305"/>
      <c r="L390" s="305"/>
      <c r="M390" s="305"/>
      <c r="N390" s="305"/>
      <c r="O390" s="305"/>
      <c r="P390" s="305"/>
      <c r="Q390" s="305"/>
      <c r="R390" s="305"/>
      <c r="S390" s="305"/>
      <c r="T390" s="305"/>
      <c r="U390" s="305"/>
      <c r="V390" s="305"/>
      <c r="W390" s="305"/>
      <c r="X390" s="305"/>
      <c r="Y390" s="305"/>
      <c r="Z390" s="305"/>
      <c r="AA390" s="305"/>
      <c r="AB390" s="305"/>
      <c r="AC390" s="305"/>
      <c r="AD390" s="305"/>
      <c r="AE390" s="305"/>
      <c r="AF390" s="305"/>
      <c r="AG390" s="312"/>
      <c r="AH390" s="312"/>
    </row>
    <row r="391" spans="1:34" s="313" customFormat="1" ht="21.75" customHeight="1" x14ac:dyDescent="0.3">
      <c r="A391" s="305">
        <v>391</v>
      </c>
      <c r="B391" s="324">
        <v>42042</v>
      </c>
      <c r="C391" s="307">
        <v>82122560</v>
      </c>
      <c r="D391" s="305">
        <v>393</v>
      </c>
      <c r="E391" s="325"/>
      <c r="F391" s="326" t="s">
        <v>912</v>
      </c>
      <c r="G391" s="326" t="s">
        <v>912</v>
      </c>
      <c r="H391" s="305">
        <v>4141500327</v>
      </c>
      <c r="I391" s="163">
        <v>40000</v>
      </c>
      <c r="J391" s="163">
        <v>4000</v>
      </c>
      <c r="K391" s="305"/>
      <c r="L391" s="305"/>
      <c r="M391" s="305"/>
      <c r="N391" s="305"/>
      <c r="O391" s="305"/>
      <c r="P391" s="305"/>
      <c r="Q391" s="305"/>
      <c r="R391" s="305"/>
      <c r="S391" s="305"/>
      <c r="T391" s="305"/>
      <c r="U391" s="305"/>
      <c r="V391" s="305"/>
      <c r="W391" s="305"/>
      <c r="X391" s="305"/>
      <c r="Y391" s="305"/>
      <c r="Z391" s="305"/>
      <c r="AA391" s="305"/>
      <c r="AB391" s="305"/>
      <c r="AC391" s="305"/>
      <c r="AD391" s="305"/>
      <c r="AE391" s="305"/>
      <c r="AF391" s="305"/>
      <c r="AG391" s="312"/>
      <c r="AH391" s="312"/>
    </row>
    <row r="392" spans="1:34" s="313" customFormat="1" ht="21.75" customHeight="1" x14ac:dyDescent="0.3">
      <c r="A392" s="305">
        <v>392</v>
      </c>
      <c r="B392" s="324">
        <v>42045</v>
      </c>
      <c r="C392" s="307">
        <v>14452093</v>
      </c>
      <c r="D392" s="305">
        <v>394</v>
      </c>
      <c r="E392" s="325"/>
      <c r="F392" s="326" t="s">
        <v>922</v>
      </c>
      <c r="G392" s="326" t="s">
        <v>922</v>
      </c>
      <c r="H392" s="305">
        <v>4143969240</v>
      </c>
      <c r="I392" s="163">
        <v>53900</v>
      </c>
      <c r="J392" s="163">
        <v>4900</v>
      </c>
      <c r="K392" s="305"/>
      <c r="L392" s="305"/>
      <c r="M392" s="305"/>
      <c r="N392" s="305"/>
      <c r="O392" s="305"/>
      <c r="P392" s="305"/>
      <c r="Q392" s="305"/>
      <c r="R392" s="305"/>
      <c r="S392" s="305"/>
      <c r="T392" s="305"/>
      <c r="U392" s="305"/>
      <c r="V392" s="305"/>
      <c r="W392" s="305"/>
      <c r="X392" s="305"/>
      <c r="Y392" s="305"/>
      <c r="Z392" s="305"/>
      <c r="AA392" s="305"/>
      <c r="AB392" s="305"/>
      <c r="AC392" s="305"/>
      <c r="AD392" s="305"/>
      <c r="AE392" s="305"/>
      <c r="AF392" s="305"/>
      <c r="AG392" s="312"/>
      <c r="AH392" s="312"/>
    </row>
    <row r="393" spans="1:34" ht="21.75" customHeight="1" x14ac:dyDescent="0.3">
      <c r="A393" s="367">
        <v>393</v>
      </c>
      <c r="B393" s="368">
        <v>42062</v>
      </c>
      <c r="C393" s="133">
        <v>12880499</v>
      </c>
      <c r="D393" s="367">
        <v>395</v>
      </c>
      <c r="F393" s="152" t="s">
        <v>927</v>
      </c>
      <c r="G393" s="152" t="s">
        <v>923</v>
      </c>
      <c r="H393" s="214">
        <v>4149041087</v>
      </c>
      <c r="I393" s="65">
        <v>53900</v>
      </c>
      <c r="J393" s="65">
        <v>7900</v>
      </c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  <c r="AA393" s="189"/>
      <c r="AB393" s="189"/>
      <c r="AC393" s="189"/>
      <c r="AD393" s="189"/>
      <c r="AE393" s="189"/>
      <c r="AF393" s="189"/>
      <c r="AG393" s="265"/>
      <c r="AH393" s="265"/>
    </row>
    <row r="394" spans="1:34" ht="21.75" customHeight="1" x14ac:dyDescent="0.3">
      <c r="A394" s="367">
        <v>394</v>
      </c>
      <c r="B394" s="368">
        <v>42062</v>
      </c>
      <c r="C394" s="133">
        <v>11157989</v>
      </c>
      <c r="D394" s="367">
        <v>396</v>
      </c>
      <c r="F394" s="152" t="s">
        <v>924</v>
      </c>
      <c r="G394" s="152" t="s">
        <v>925</v>
      </c>
      <c r="H394" s="189">
        <v>4241249081</v>
      </c>
      <c r="I394" s="65">
        <v>53900</v>
      </c>
      <c r="J394" s="65">
        <v>4900</v>
      </c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  <c r="AB394" s="189"/>
      <c r="AC394" s="189"/>
      <c r="AD394" s="189"/>
      <c r="AE394" s="189"/>
      <c r="AF394" s="189"/>
      <c r="AG394" s="265"/>
      <c r="AH394" s="265"/>
    </row>
    <row r="395" spans="1:34" s="346" customFormat="1" ht="21.75" customHeight="1" x14ac:dyDescent="0.3">
      <c r="A395" s="340">
        <v>395</v>
      </c>
      <c r="B395" s="341">
        <v>42047</v>
      </c>
      <c r="C395" s="342">
        <v>19453668</v>
      </c>
      <c r="D395" s="340">
        <v>397</v>
      </c>
      <c r="E395" s="347"/>
      <c r="F395" s="348" t="s">
        <v>926</v>
      </c>
      <c r="G395" s="348" t="s">
        <v>926</v>
      </c>
      <c r="H395" s="340">
        <v>4147888024</v>
      </c>
      <c r="I395" s="344">
        <v>21668</v>
      </c>
      <c r="J395" s="344">
        <v>21668</v>
      </c>
      <c r="K395" s="340"/>
      <c r="L395" s="340"/>
      <c r="M395" s="340"/>
      <c r="N395" s="340"/>
      <c r="O395" s="340"/>
      <c r="P395" s="340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  <c r="AA395" s="340"/>
      <c r="AB395" s="340"/>
      <c r="AC395" s="340"/>
      <c r="AD395" s="340"/>
      <c r="AE395" s="340"/>
      <c r="AF395" s="340"/>
      <c r="AG395" s="345"/>
      <c r="AH395" s="345"/>
    </row>
    <row r="396" spans="1:34" s="47" customFormat="1" ht="21.75" customHeight="1" x14ac:dyDescent="0.3">
      <c r="A396" s="114">
        <v>396</v>
      </c>
      <c r="B396" s="123">
        <v>41683</v>
      </c>
      <c r="C396" s="131">
        <v>10282153</v>
      </c>
      <c r="D396" s="114">
        <v>398</v>
      </c>
      <c r="E396" s="22"/>
      <c r="F396" s="151" t="s">
        <v>730</v>
      </c>
      <c r="G396" s="151" t="s">
        <v>731</v>
      </c>
      <c r="H396" s="114">
        <v>4141294235</v>
      </c>
      <c r="I396" s="119">
        <v>39000</v>
      </c>
      <c r="J396" s="119">
        <v>39000</v>
      </c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21"/>
      <c r="AH396" s="21"/>
    </row>
    <row r="397" spans="1:34" ht="21.75" customHeight="1" x14ac:dyDescent="0.3">
      <c r="A397" s="367">
        <v>397</v>
      </c>
      <c r="B397" s="368">
        <v>42053</v>
      </c>
      <c r="C397" s="133">
        <v>6518373</v>
      </c>
      <c r="D397" s="367">
        <v>399</v>
      </c>
      <c r="F397" s="152" t="s">
        <v>928</v>
      </c>
      <c r="G397" s="152" t="s">
        <v>928</v>
      </c>
      <c r="H397" s="189">
        <v>4142937886</v>
      </c>
      <c r="I397" s="65">
        <v>53900</v>
      </c>
      <c r="J397" s="65">
        <v>4900</v>
      </c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  <c r="AB397" s="189"/>
      <c r="AC397" s="189"/>
      <c r="AD397" s="189"/>
      <c r="AE397" s="189"/>
      <c r="AF397" s="189"/>
      <c r="AG397" s="265"/>
      <c r="AH397" s="265"/>
    </row>
    <row r="398" spans="1:34" ht="21.75" customHeight="1" x14ac:dyDescent="0.3">
      <c r="A398" s="367">
        <v>398</v>
      </c>
      <c r="B398" s="368">
        <v>42053</v>
      </c>
      <c r="C398" s="133">
        <v>13726781</v>
      </c>
      <c r="D398" s="367">
        <v>400</v>
      </c>
      <c r="F398" s="152" t="s">
        <v>929</v>
      </c>
      <c r="G398" s="152" t="s">
        <v>929</v>
      </c>
      <c r="H398" s="189">
        <v>4149321410</v>
      </c>
      <c r="I398" s="65">
        <v>53900</v>
      </c>
      <c r="J398" s="65">
        <v>4900</v>
      </c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  <c r="AB398" s="189"/>
      <c r="AC398" s="189"/>
      <c r="AD398" s="189"/>
      <c r="AE398" s="189"/>
      <c r="AF398" s="189"/>
      <c r="AG398" s="265"/>
      <c r="AH398" s="265"/>
    </row>
    <row r="399" spans="1:34" s="47" customFormat="1" ht="21.75" customHeight="1" x14ac:dyDescent="0.3">
      <c r="A399" s="114">
        <v>399</v>
      </c>
      <c r="B399" s="123">
        <v>42054</v>
      </c>
      <c r="C399" s="131">
        <v>17857448</v>
      </c>
      <c r="D399" s="114">
        <v>401</v>
      </c>
      <c r="E399" s="22"/>
      <c r="F399" s="151" t="s">
        <v>930</v>
      </c>
      <c r="G399" s="151" t="s">
        <v>930</v>
      </c>
      <c r="H399" s="114">
        <v>4241015511</v>
      </c>
      <c r="I399" s="119">
        <v>33000</v>
      </c>
      <c r="J399" s="119">
        <v>33000</v>
      </c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21"/>
      <c r="AH399" s="21"/>
    </row>
    <row r="400" spans="1:34" s="47" customFormat="1" ht="21.75" customHeight="1" x14ac:dyDescent="0.3">
      <c r="A400" s="114">
        <v>400</v>
      </c>
      <c r="B400" s="123">
        <v>42054</v>
      </c>
      <c r="C400" s="131">
        <v>17529198</v>
      </c>
      <c r="D400" s="114">
        <v>402</v>
      </c>
      <c r="E400" s="22"/>
      <c r="F400" s="151" t="s">
        <v>931</v>
      </c>
      <c r="G400" s="151" t="s">
        <v>931</v>
      </c>
      <c r="H400" s="114">
        <v>4142799447</v>
      </c>
      <c r="I400" s="119">
        <v>39000</v>
      </c>
      <c r="J400" s="119">
        <v>39000</v>
      </c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21"/>
      <c r="AH400" s="21"/>
    </row>
    <row r="401" spans="1:34" s="47" customFormat="1" ht="21.75" customHeight="1" x14ac:dyDescent="0.3">
      <c r="A401" s="114">
        <v>401</v>
      </c>
      <c r="B401" s="123">
        <v>42055</v>
      </c>
      <c r="C401" s="131">
        <v>6514809</v>
      </c>
      <c r="D401" s="114">
        <v>403</v>
      </c>
      <c r="E401" s="22"/>
      <c r="F401" s="151" t="s">
        <v>932</v>
      </c>
      <c r="G401" s="151" t="s">
        <v>932</v>
      </c>
      <c r="H401" s="114">
        <v>4265182246</v>
      </c>
      <c r="I401" s="119">
        <v>39000</v>
      </c>
      <c r="J401" s="119">
        <v>39000</v>
      </c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21"/>
      <c r="AH401" s="21"/>
    </row>
    <row r="402" spans="1:34" s="47" customFormat="1" ht="21.75" customHeight="1" x14ac:dyDescent="0.3">
      <c r="A402" s="114">
        <v>402</v>
      </c>
      <c r="B402" s="123">
        <v>42055</v>
      </c>
      <c r="C402" s="131">
        <v>20211639</v>
      </c>
      <c r="D402" s="114">
        <v>404</v>
      </c>
      <c r="E402" s="22"/>
      <c r="F402" s="151" t="s">
        <v>1117</v>
      </c>
      <c r="G402" s="151" t="s">
        <v>1117</v>
      </c>
      <c r="H402" s="114">
        <v>4122734715</v>
      </c>
      <c r="I402" s="119">
        <v>33000</v>
      </c>
      <c r="J402" s="119">
        <v>33000</v>
      </c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21"/>
      <c r="AH402" s="21"/>
    </row>
    <row r="403" spans="1:34" ht="21.75" customHeight="1" x14ac:dyDescent="0.3">
      <c r="A403" s="367">
        <v>403</v>
      </c>
      <c r="B403" s="368">
        <v>42058</v>
      </c>
      <c r="C403" s="133">
        <v>14049059</v>
      </c>
      <c r="D403" s="367">
        <v>405</v>
      </c>
      <c r="F403" s="152" t="s">
        <v>933</v>
      </c>
      <c r="G403" s="3" t="s">
        <v>934</v>
      </c>
      <c r="H403" s="367">
        <v>4141588127</v>
      </c>
      <c r="I403" s="65">
        <v>47300</v>
      </c>
      <c r="J403" s="65">
        <v>4300</v>
      </c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  <c r="AB403" s="189"/>
      <c r="AC403" s="189"/>
      <c r="AD403" s="189"/>
      <c r="AE403" s="189"/>
      <c r="AF403" s="189"/>
      <c r="AG403" s="265"/>
      <c r="AH403" s="265"/>
    </row>
    <row r="404" spans="1:34" ht="21.75" customHeight="1" x14ac:dyDescent="0.3">
      <c r="A404" s="367">
        <v>404</v>
      </c>
      <c r="B404" s="368">
        <v>42058</v>
      </c>
      <c r="C404" s="133">
        <v>14049059</v>
      </c>
      <c r="D404" s="367">
        <v>406</v>
      </c>
      <c r="F404" s="152" t="s">
        <v>935</v>
      </c>
      <c r="G404" s="152" t="s">
        <v>934</v>
      </c>
      <c r="H404" s="367">
        <v>4141588127</v>
      </c>
      <c r="I404" s="65">
        <v>53900</v>
      </c>
      <c r="J404" s="65">
        <v>4900</v>
      </c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  <c r="AA404" s="189"/>
      <c r="AB404" s="189"/>
      <c r="AC404" s="189"/>
      <c r="AD404" s="189"/>
      <c r="AE404" s="189"/>
      <c r="AF404" s="189"/>
      <c r="AG404" s="265"/>
      <c r="AH404" s="265"/>
    </row>
    <row r="405" spans="1:34" s="51" customFormat="1" ht="21.75" customHeight="1" x14ac:dyDescent="0.3">
      <c r="A405" s="48">
        <v>405</v>
      </c>
      <c r="B405" s="109">
        <v>42058</v>
      </c>
      <c r="C405" s="136">
        <v>10331462</v>
      </c>
      <c r="D405" s="48">
        <v>407</v>
      </c>
      <c r="E405" s="49" t="s">
        <v>1010</v>
      </c>
      <c r="F405" s="147" t="s">
        <v>936</v>
      </c>
      <c r="G405" s="147" t="s">
        <v>937</v>
      </c>
      <c r="H405" s="48">
        <v>4241717783</v>
      </c>
      <c r="I405" s="69">
        <v>53900</v>
      </c>
      <c r="J405" s="69">
        <v>4900</v>
      </c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252"/>
      <c r="Z405" s="252"/>
      <c r="AA405" s="48"/>
      <c r="AB405" s="48"/>
      <c r="AC405" s="48"/>
      <c r="AD405" s="48"/>
      <c r="AE405" s="48"/>
      <c r="AF405" s="48"/>
      <c r="AG405" s="50"/>
      <c r="AH405" s="50"/>
    </row>
    <row r="406" spans="1:34" s="313" customFormat="1" ht="21.75" customHeight="1" x14ac:dyDescent="0.3">
      <c r="A406" s="305">
        <v>406</v>
      </c>
      <c r="B406" s="324">
        <v>42059</v>
      </c>
      <c r="C406" s="307">
        <v>14214959</v>
      </c>
      <c r="D406" s="305">
        <v>408</v>
      </c>
      <c r="E406" s="325"/>
      <c r="F406" s="326" t="s">
        <v>938</v>
      </c>
      <c r="G406" s="326" t="s">
        <v>938</v>
      </c>
      <c r="H406" s="305">
        <v>4127231318</v>
      </c>
      <c r="I406" s="163">
        <v>53900</v>
      </c>
      <c r="J406" s="163">
        <v>4900</v>
      </c>
      <c r="K406" s="305"/>
      <c r="L406" s="305"/>
      <c r="M406" s="305"/>
      <c r="N406" s="305"/>
      <c r="O406" s="305"/>
      <c r="P406" s="305"/>
      <c r="Q406" s="305"/>
      <c r="R406" s="305"/>
      <c r="S406" s="305"/>
      <c r="T406" s="305"/>
      <c r="U406" s="305"/>
      <c r="V406" s="305"/>
      <c r="W406" s="305"/>
      <c r="X406" s="305"/>
      <c r="Y406" s="189"/>
      <c r="Z406" s="189"/>
      <c r="AA406" s="305"/>
      <c r="AB406" s="305"/>
      <c r="AC406" s="305"/>
      <c r="AD406" s="305"/>
      <c r="AE406" s="305"/>
      <c r="AF406" s="305"/>
      <c r="AG406" s="312"/>
      <c r="AH406" s="312"/>
    </row>
    <row r="407" spans="1:34" s="47" customFormat="1" ht="21.75" customHeight="1" x14ac:dyDescent="0.3">
      <c r="A407" s="114">
        <v>407</v>
      </c>
      <c r="B407" s="123">
        <v>42059</v>
      </c>
      <c r="C407" s="131">
        <v>10348094</v>
      </c>
      <c r="D407" s="114">
        <v>409</v>
      </c>
      <c r="E407" s="22"/>
      <c r="F407" s="151" t="s">
        <v>939</v>
      </c>
      <c r="G407" s="151" t="s">
        <v>940</v>
      </c>
      <c r="H407" s="114">
        <v>4141330547</v>
      </c>
      <c r="I407" s="119">
        <v>33000</v>
      </c>
      <c r="J407" s="119">
        <v>33000</v>
      </c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21"/>
      <c r="AH407" s="21"/>
    </row>
    <row r="408" spans="1:34" s="47" customFormat="1" ht="21.75" customHeight="1" x14ac:dyDescent="0.3">
      <c r="A408" s="114">
        <v>408</v>
      </c>
      <c r="B408" s="123">
        <v>42059</v>
      </c>
      <c r="C408" s="131">
        <v>10348094</v>
      </c>
      <c r="D408" s="114">
        <v>410</v>
      </c>
      <c r="E408" s="22"/>
      <c r="F408" s="151" t="s">
        <v>941</v>
      </c>
      <c r="G408" s="151" t="s">
        <v>940</v>
      </c>
      <c r="H408" s="114">
        <v>4141330547</v>
      </c>
      <c r="I408" s="119">
        <v>37000</v>
      </c>
      <c r="J408" s="119">
        <v>37000</v>
      </c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21"/>
      <c r="AH408" s="21"/>
    </row>
    <row r="409" spans="1:34" s="47" customFormat="1" ht="21.75" customHeight="1" x14ac:dyDescent="0.3">
      <c r="A409" s="114">
        <v>409</v>
      </c>
      <c r="B409" s="123">
        <v>42062</v>
      </c>
      <c r="C409" s="131">
        <v>19513305</v>
      </c>
      <c r="D409" s="114">
        <v>411</v>
      </c>
      <c r="E409" s="22"/>
      <c r="F409" s="151" t="s">
        <v>1014</v>
      </c>
      <c r="G409" s="151" t="s">
        <v>1014</v>
      </c>
      <c r="H409" s="114">
        <v>4144312477</v>
      </c>
      <c r="I409" s="119">
        <v>39000</v>
      </c>
      <c r="J409" s="119">
        <v>39000</v>
      </c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21"/>
      <c r="AH409" s="21"/>
    </row>
    <row r="410" spans="1:34" ht="21.75" customHeight="1" x14ac:dyDescent="0.3">
      <c r="A410" s="1">
        <v>410</v>
      </c>
      <c r="B410" s="128">
        <v>42065</v>
      </c>
      <c r="C410" s="130">
        <v>13944383</v>
      </c>
      <c r="D410" s="367">
        <v>412</v>
      </c>
      <c r="E410" s="126" t="s">
        <v>942</v>
      </c>
      <c r="F410" s="127" t="s">
        <v>336</v>
      </c>
      <c r="G410" s="127" t="s">
        <v>337</v>
      </c>
      <c r="H410" s="18">
        <v>4166091231</v>
      </c>
      <c r="I410" s="26">
        <v>28000</v>
      </c>
      <c r="J410" s="26">
        <v>4000</v>
      </c>
    </row>
    <row r="411" spans="1:34" ht="21.75" customHeight="1" x14ac:dyDescent="0.3">
      <c r="A411" s="367">
        <v>411</v>
      </c>
      <c r="B411" s="368">
        <v>42066</v>
      </c>
      <c r="C411" s="133">
        <v>18010106</v>
      </c>
      <c r="D411" s="367">
        <v>413</v>
      </c>
      <c r="F411" s="152" t="s">
        <v>982</v>
      </c>
      <c r="G411" s="152" t="s">
        <v>982</v>
      </c>
      <c r="H411" s="189">
        <v>4241405662</v>
      </c>
      <c r="I411" s="65">
        <v>53900</v>
      </c>
      <c r="J411" s="26">
        <v>4900</v>
      </c>
      <c r="K411" s="189" t="s">
        <v>945</v>
      </c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  <c r="AB411" s="189"/>
      <c r="AC411" s="189"/>
      <c r="AD411" s="189"/>
      <c r="AE411" s="189"/>
      <c r="AF411" s="189"/>
      <c r="AG411" s="304"/>
      <c r="AH411" s="304"/>
    </row>
    <row r="412" spans="1:34" s="47" customFormat="1" ht="21.75" customHeight="1" x14ac:dyDescent="0.3">
      <c r="A412" s="114">
        <v>412</v>
      </c>
      <c r="B412" s="123">
        <v>42069</v>
      </c>
      <c r="C412" s="131">
        <v>11917398</v>
      </c>
      <c r="D412" s="114">
        <v>414</v>
      </c>
      <c r="E412" s="22"/>
      <c r="F412" s="151" t="s">
        <v>943</v>
      </c>
      <c r="G412" s="151" t="s">
        <v>944</v>
      </c>
      <c r="H412" s="114">
        <v>4169139515</v>
      </c>
      <c r="I412" s="119">
        <v>33000</v>
      </c>
      <c r="J412" s="119">
        <v>20000</v>
      </c>
      <c r="K412" s="119">
        <v>13000</v>
      </c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21"/>
      <c r="AH412" s="21"/>
    </row>
    <row r="413" spans="1:34" s="47" customFormat="1" ht="21.75" customHeight="1" x14ac:dyDescent="0.3">
      <c r="A413" s="114">
        <v>413</v>
      </c>
      <c r="B413" s="123">
        <v>42069</v>
      </c>
      <c r="C413" s="131">
        <v>11917398</v>
      </c>
      <c r="D413" s="114">
        <v>415</v>
      </c>
      <c r="E413" s="22"/>
      <c r="F413" s="151" t="s">
        <v>944</v>
      </c>
      <c r="G413" s="151" t="s">
        <v>944</v>
      </c>
      <c r="H413" s="114">
        <v>4169139515</v>
      </c>
      <c r="I413" s="119">
        <v>39000</v>
      </c>
      <c r="J413" s="119">
        <v>20000</v>
      </c>
      <c r="K413" s="119">
        <v>19000</v>
      </c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21"/>
      <c r="AH413" s="21"/>
    </row>
    <row r="414" spans="1:34" s="47" customFormat="1" ht="21.75" customHeight="1" x14ac:dyDescent="0.3">
      <c r="A414" s="114">
        <v>414</v>
      </c>
      <c r="B414" s="123">
        <v>42069</v>
      </c>
      <c r="C414" s="131">
        <v>17534915</v>
      </c>
      <c r="D414" s="114">
        <v>416</v>
      </c>
      <c r="E414" s="22"/>
      <c r="F414" s="151" t="s">
        <v>946</v>
      </c>
      <c r="G414" s="151" t="s">
        <v>946</v>
      </c>
      <c r="H414" s="114">
        <v>4143022373</v>
      </c>
      <c r="I414" s="119">
        <v>39000</v>
      </c>
      <c r="J414" s="119">
        <v>3900</v>
      </c>
      <c r="K414" s="119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21"/>
      <c r="AH414" s="21"/>
    </row>
    <row r="415" spans="1:34" s="47" customFormat="1" ht="21.75" customHeight="1" x14ac:dyDescent="0.3">
      <c r="A415" s="114">
        <v>415</v>
      </c>
      <c r="B415" s="123">
        <v>42073</v>
      </c>
      <c r="C415" s="131">
        <v>13205674</v>
      </c>
      <c r="D415" s="114">
        <v>417</v>
      </c>
      <c r="E415" s="22"/>
      <c r="F415" s="151" t="s">
        <v>1144</v>
      </c>
      <c r="G415" s="151" t="s">
        <v>1144</v>
      </c>
      <c r="H415" s="114">
        <v>4242096059</v>
      </c>
      <c r="I415" s="119">
        <v>39000</v>
      </c>
      <c r="J415" s="119">
        <v>39000</v>
      </c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21"/>
      <c r="AH415" s="21"/>
    </row>
    <row r="416" spans="1:34" s="2" customFormat="1" ht="21.75" customHeight="1" x14ac:dyDescent="0.3">
      <c r="A416" s="370">
        <v>416</v>
      </c>
      <c r="B416" s="334">
        <v>42088</v>
      </c>
      <c r="C416" s="133">
        <v>16724500</v>
      </c>
      <c r="D416" s="370">
        <v>418</v>
      </c>
      <c r="E416" s="333"/>
      <c r="F416" s="371" t="s">
        <v>966</v>
      </c>
      <c r="G416" s="323" t="s">
        <v>967</v>
      </c>
      <c r="H416" s="267">
        <v>4142906307</v>
      </c>
      <c r="I416" s="124">
        <v>53900</v>
      </c>
      <c r="J416" s="369">
        <v>4900</v>
      </c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  <c r="AC416" s="267"/>
      <c r="AD416" s="267"/>
      <c r="AE416" s="267"/>
      <c r="AF416" s="267"/>
      <c r="AG416" s="335"/>
      <c r="AH416" s="335"/>
    </row>
    <row r="417" spans="1:34" s="2" customFormat="1" ht="21.75" customHeight="1" x14ac:dyDescent="0.3">
      <c r="A417" s="370">
        <v>417</v>
      </c>
      <c r="B417" s="334">
        <v>42101</v>
      </c>
      <c r="C417" s="133">
        <v>6463135</v>
      </c>
      <c r="D417" s="370">
        <v>419</v>
      </c>
      <c r="E417" s="333"/>
      <c r="F417" s="371" t="s">
        <v>1145</v>
      </c>
      <c r="G417" s="323" t="s">
        <v>970</v>
      </c>
      <c r="H417" s="267">
        <v>4241283426</v>
      </c>
      <c r="I417" s="124">
        <v>53900</v>
      </c>
      <c r="J417" s="369">
        <v>7900</v>
      </c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  <c r="AC417" s="267"/>
      <c r="AD417" s="267"/>
      <c r="AE417" s="267"/>
      <c r="AF417" s="267"/>
      <c r="AG417" s="335"/>
      <c r="AH417" s="335"/>
    </row>
    <row r="418" spans="1:34" s="47" customFormat="1" ht="21.75" customHeight="1" x14ac:dyDescent="0.3">
      <c r="A418" s="114">
        <v>418</v>
      </c>
      <c r="B418" s="123">
        <v>42076</v>
      </c>
      <c r="C418" s="131">
        <v>8827453</v>
      </c>
      <c r="D418" s="114">
        <v>420</v>
      </c>
      <c r="E418" s="22"/>
      <c r="F418" s="151" t="s">
        <v>953</v>
      </c>
      <c r="G418" s="151" t="s">
        <v>952</v>
      </c>
      <c r="H418" s="114">
        <v>4141718440</v>
      </c>
      <c r="I418" s="119">
        <v>29000</v>
      </c>
      <c r="J418" s="119">
        <v>14500</v>
      </c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21"/>
      <c r="AH418" s="21"/>
    </row>
    <row r="419" spans="1:34" s="47" customFormat="1" ht="21.75" customHeight="1" x14ac:dyDescent="0.3">
      <c r="A419" s="114">
        <v>419</v>
      </c>
      <c r="B419" s="123">
        <v>42076</v>
      </c>
      <c r="C419" s="131">
        <v>8827453</v>
      </c>
      <c r="D419" s="114">
        <v>421</v>
      </c>
      <c r="E419" s="22"/>
      <c r="F419" s="151" t="s">
        <v>952</v>
      </c>
      <c r="G419" s="151" t="s">
        <v>952</v>
      </c>
      <c r="H419" s="114">
        <v>4141718440</v>
      </c>
      <c r="I419" s="119">
        <v>29000</v>
      </c>
      <c r="J419" s="119">
        <v>14500</v>
      </c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21"/>
      <c r="AH419" s="21"/>
    </row>
    <row r="420" spans="1:34" s="331" customFormat="1" ht="21.75" customHeight="1" x14ac:dyDescent="0.3">
      <c r="A420" s="173">
        <v>420</v>
      </c>
      <c r="B420" s="328">
        <v>42076</v>
      </c>
      <c r="C420" s="307">
        <v>15913030</v>
      </c>
      <c r="D420" s="173">
        <v>422</v>
      </c>
      <c r="E420" s="329"/>
      <c r="F420" s="330" t="s">
        <v>963</v>
      </c>
      <c r="G420" s="330" t="s">
        <v>954</v>
      </c>
      <c r="H420" s="173">
        <v>4242479813</v>
      </c>
      <c r="I420" s="327">
        <v>53900</v>
      </c>
      <c r="J420" s="327">
        <v>4900</v>
      </c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332"/>
      <c r="AH420" s="332"/>
    </row>
    <row r="421" spans="1:34" s="47" customFormat="1" ht="21.75" customHeight="1" x14ac:dyDescent="0.3">
      <c r="A421" s="114">
        <v>421</v>
      </c>
      <c r="B421" s="123">
        <v>42081</v>
      </c>
      <c r="C421" s="131">
        <v>12878497</v>
      </c>
      <c r="D421" s="114">
        <v>423</v>
      </c>
      <c r="E421" s="22"/>
      <c r="F421" s="151" t="s">
        <v>955</v>
      </c>
      <c r="G421" s="151" t="s">
        <v>956</v>
      </c>
      <c r="H421" s="114">
        <v>4122151675</v>
      </c>
      <c r="I421" s="119">
        <v>39000</v>
      </c>
      <c r="J421" s="119">
        <v>39000</v>
      </c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21"/>
      <c r="AH421" s="21"/>
    </row>
    <row r="422" spans="1:34" ht="21.75" customHeight="1" x14ac:dyDescent="0.3">
      <c r="A422" s="367">
        <v>422</v>
      </c>
      <c r="B422" s="368">
        <v>42083</v>
      </c>
      <c r="C422" s="133">
        <v>15832382</v>
      </c>
      <c r="D422" s="367">
        <v>424</v>
      </c>
      <c r="F422" s="152" t="s">
        <v>958</v>
      </c>
      <c r="G422" s="152" t="s">
        <v>959</v>
      </c>
      <c r="H422" s="189">
        <v>4143004885</v>
      </c>
      <c r="I422" s="65">
        <v>59300</v>
      </c>
      <c r="J422" s="65">
        <v>4900</v>
      </c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  <c r="AA422" s="189"/>
      <c r="AB422" s="189"/>
      <c r="AC422" s="189"/>
      <c r="AD422" s="189"/>
      <c r="AE422" s="189"/>
      <c r="AF422" s="189"/>
      <c r="AG422" s="304"/>
      <c r="AH422" s="304"/>
    </row>
    <row r="423" spans="1:34" ht="21.75" customHeight="1" x14ac:dyDescent="0.3">
      <c r="A423" s="367">
        <v>423</v>
      </c>
      <c r="B423" s="368">
        <v>42083</v>
      </c>
      <c r="C423" s="133">
        <v>11678787</v>
      </c>
      <c r="D423" s="367">
        <v>425</v>
      </c>
      <c r="F423" s="152" t="s">
        <v>581</v>
      </c>
      <c r="G423" s="152" t="s">
        <v>444</v>
      </c>
      <c r="H423" s="189">
        <v>4123147891</v>
      </c>
      <c r="I423" s="65">
        <v>53900</v>
      </c>
      <c r="J423" s="65">
        <v>4900</v>
      </c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  <c r="AA423" s="189"/>
      <c r="AB423" s="189"/>
      <c r="AC423" s="189"/>
      <c r="AD423" s="189"/>
      <c r="AE423" s="189"/>
      <c r="AF423" s="189"/>
      <c r="AG423" s="304"/>
      <c r="AH423" s="304"/>
    </row>
    <row r="424" spans="1:34" s="2" customFormat="1" ht="21.75" customHeight="1" x14ac:dyDescent="0.3">
      <c r="A424" s="370">
        <v>424</v>
      </c>
      <c r="B424" s="334">
        <v>42087</v>
      </c>
      <c r="C424" s="133">
        <v>12977634</v>
      </c>
      <c r="D424" s="370">
        <v>426</v>
      </c>
      <c r="E424" s="333"/>
      <c r="F424" s="371" t="s">
        <v>1097</v>
      </c>
      <c r="G424" s="371" t="s">
        <v>1097</v>
      </c>
      <c r="H424" s="267">
        <v>4241502081</v>
      </c>
      <c r="I424" s="124">
        <v>53900</v>
      </c>
      <c r="J424" s="369">
        <v>4900</v>
      </c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  <c r="AC424" s="267"/>
      <c r="AD424" s="267"/>
      <c r="AE424" s="267"/>
      <c r="AF424" s="267"/>
      <c r="AG424" s="335"/>
      <c r="AH424" s="335"/>
    </row>
    <row r="425" spans="1:34" s="47" customFormat="1" ht="21.75" customHeight="1" x14ac:dyDescent="0.3">
      <c r="A425" s="114">
        <v>425</v>
      </c>
      <c r="B425" s="123">
        <v>42088</v>
      </c>
      <c r="C425" s="131">
        <v>11011455</v>
      </c>
      <c r="D425" s="114">
        <v>427</v>
      </c>
      <c r="E425" s="22"/>
      <c r="F425" s="151" t="s">
        <v>961</v>
      </c>
      <c r="G425" s="151" t="s">
        <v>960</v>
      </c>
      <c r="H425" s="114" t="s">
        <v>962</v>
      </c>
      <c r="I425" s="119">
        <v>39000</v>
      </c>
      <c r="J425" s="119">
        <v>39000</v>
      </c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21"/>
      <c r="AH425" s="21"/>
    </row>
    <row r="426" spans="1:34" s="47" customFormat="1" ht="21.75" customHeight="1" x14ac:dyDescent="0.3">
      <c r="A426" s="114">
        <v>426</v>
      </c>
      <c r="B426" s="123">
        <v>42103</v>
      </c>
      <c r="C426" s="131">
        <v>14049059</v>
      </c>
      <c r="D426" s="114">
        <v>428</v>
      </c>
      <c r="E426" s="22"/>
      <c r="F426" s="151" t="s">
        <v>971</v>
      </c>
      <c r="G426" s="151" t="s">
        <v>934</v>
      </c>
      <c r="H426" s="114" t="s">
        <v>972</v>
      </c>
      <c r="I426" s="119">
        <v>39000</v>
      </c>
      <c r="J426" s="119">
        <v>9000</v>
      </c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21"/>
      <c r="AH426" s="21"/>
    </row>
    <row r="427" spans="1:34" s="47" customFormat="1" ht="21.75" customHeight="1" x14ac:dyDescent="0.3">
      <c r="A427" s="114">
        <v>427</v>
      </c>
      <c r="B427" s="123">
        <v>42103</v>
      </c>
      <c r="C427" s="131">
        <v>10173696</v>
      </c>
      <c r="D427" s="114">
        <v>429</v>
      </c>
      <c r="E427" s="22"/>
      <c r="F427" s="151" t="s">
        <v>973</v>
      </c>
      <c r="G427" s="151" t="s">
        <v>973</v>
      </c>
      <c r="H427" s="114">
        <v>4147107001</v>
      </c>
      <c r="I427" s="119">
        <v>39000</v>
      </c>
      <c r="J427" s="119">
        <v>39000</v>
      </c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21"/>
      <c r="AH427" s="21"/>
    </row>
    <row r="428" spans="1:34" s="47" customFormat="1" ht="21.75" customHeight="1" x14ac:dyDescent="0.3">
      <c r="A428" s="114">
        <v>428</v>
      </c>
      <c r="B428" s="123">
        <v>42103</v>
      </c>
      <c r="C428" s="131">
        <v>12258128</v>
      </c>
      <c r="D428" s="114">
        <v>430</v>
      </c>
      <c r="E428" s="22"/>
      <c r="F428" s="151" t="s">
        <v>974</v>
      </c>
      <c r="G428" s="151" t="s">
        <v>974</v>
      </c>
      <c r="H428" s="114">
        <v>4142239657</v>
      </c>
      <c r="I428" s="119">
        <v>39000</v>
      </c>
      <c r="J428" s="119">
        <v>39000</v>
      </c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21"/>
      <c r="AH428" s="21"/>
    </row>
    <row r="429" spans="1:34" s="47" customFormat="1" ht="21.75" customHeight="1" x14ac:dyDescent="0.3">
      <c r="A429" s="114">
        <v>429</v>
      </c>
      <c r="B429" s="123">
        <v>42104</v>
      </c>
      <c r="C429" s="131">
        <v>11042405</v>
      </c>
      <c r="D429" s="114">
        <v>431</v>
      </c>
      <c r="E429" s="22"/>
      <c r="F429" s="151" t="s">
        <v>975</v>
      </c>
      <c r="G429" s="151" t="s">
        <v>1053</v>
      </c>
      <c r="H429" s="114">
        <v>4142776133</v>
      </c>
      <c r="I429" s="119">
        <v>39000</v>
      </c>
      <c r="J429" s="119">
        <v>39000</v>
      </c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21"/>
      <c r="AH429" s="21"/>
    </row>
    <row r="430" spans="1:34" s="47" customFormat="1" ht="21.75" customHeight="1" x14ac:dyDescent="0.3">
      <c r="A430" s="114">
        <v>430</v>
      </c>
      <c r="B430" s="123">
        <v>42111</v>
      </c>
      <c r="C430" s="131">
        <v>11350635</v>
      </c>
      <c r="D430" s="114">
        <v>432</v>
      </c>
      <c r="E430" s="22"/>
      <c r="F430" s="151" t="s">
        <v>980</v>
      </c>
      <c r="G430" s="151" t="s">
        <v>980</v>
      </c>
      <c r="H430" s="114" t="s">
        <v>981</v>
      </c>
      <c r="I430" s="119">
        <v>29000</v>
      </c>
      <c r="J430" s="119">
        <v>29000</v>
      </c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21"/>
      <c r="AH430" s="21"/>
    </row>
    <row r="431" spans="1:34" ht="21.75" customHeight="1" x14ac:dyDescent="0.3">
      <c r="A431" s="160">
        <v>430</v>
      </c>
      <c r="B431" s="157">
        <v>42115</v>
      </c>
      <c r="C431" s="158">
        <v>11042405</v>
      </c>
      <c r="D431" s="160">
        <v>433</v>
      </c>
      <c r="F431" s="152" t="s">
        <v>984</v>
      </c>
      <c r="G431" s="152" t="s">
        <v>983</v>
      </c>
      <c r="H431" s="189" t="s">
        <v>985</v>
      </c>
      <c r="I431" s="65">
        <v>53900</v>
      </c>
      <c r="J431" s="65">
        <v>4900</v>
      </c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  <c r="AB431" s="189"/>
      <c r="AC431" s="189"/>
      <c r="AD431" s="189"/>
      <c r="AE431" s="189"/>
      <c r="AF431" s="189"/>
      <c r="AG431" s="304"/>
      <c r="AH431" s="304"/>
    </row>
    <row r="432" spans="1:34" ht="21.75" customHeight="1" x14ac:dyDescent="0.3">
      <c r="A432" s="160">
        <v>431</v>
      </c>
      <c r="B432" s="157">
        <v>42115</v>
      </c>
      <c r="C432" s="158">
        <v>17978462</v>
      </c>
      <c r="D432" s="160">
        <v>434</v>
      </c>
      <c r="F432" s="152" t="s">
        <v>986</v>
      </c>
      <c r="G432" s="152" t="s">
        <v>986</v>
      </c>
      <c r="H432" s="189" t="s">
        <v>987</v>
      </c>
      <c r="I432" s="65">
        <v>53900</v>
      </c>
      <c r="J432" s="65">
        <v>4900</v>
      </c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  <c r="AB432" s="189"/>
      <c r="AC432" s="189"/>
      <c r="AD432" s="189"/>
      <c r="AE432" s="189"/>
      <c r="AF432" s="189"/>
      <c r="AG432" s="304"/>
      <c r="AH432" s="304"/>
    </row>
    <row r="433" spans="1:34" s="47" customFormat="1" ht="21.75" customHeight="1" x14ac:dyDescent="0.3">
      <c r="A433" s="114">
        <v>432</v>
      </c>
      <c r="B433" s="123">
        <v>42116</v>
      </c>
      <c r="C433" s="131">
        <v>6224539</v>
      </c>
      <c r="D433" s="114">
        <v>435</v>
      </c>
      <c r="E433" s="22"/>
      <c r="F433" s="151" t="s">
        <v>988</v>
      </c>
      <c r="G433" s="151" t="s">
        <v>988</v>
      </c>
      <c r="H433" s="114" t="s">
        <v>989</v>
      </c>
      <c r="I433" s="119">
        <v>39000</v>
      </c>
      <c r="J433" s="119">
        <v>39000</v>
      </c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21"/>
      <c r="AH433" s="21"/>
    </row>
    <row r="434" spans="1:34" s="47" customFormat="1" ht="21.75" customHeight="1" x14ac:dyDescent="0.3">
      <c r="A434" s="114">
        <v>433</v>
      </c>
      <c r="B434" s="123">
        <v>42116</v>
      </c>
      <c r="C434" s="131">
        <v>6368542</v>
      </c>
      <c r="D434" s="114">
        <v>436</v>
      </c>
      <c r="E434" s="22"/>
      <c r="F434" s="151" t="s">
        <v>990</v>
      </c>
      <c r="G434" s="151" t="s">
        <v>990</v>
      </c>
      <c r="H434" s="114" t="s">
        <v>991</v>
      </c>
      <c r="I434" s="119">
        <v>33000</v>
      </c>
      <c r="J434" s="119">
        <v>33000</v>
      </c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21"/>
      <c r="AH434" s="21"/>
    </row>
    <row r="435" spans="1:34" s="47" customFormat="1" ht="21.75" customHeight="1" x14ac:dyDescent="0.3">
      <c r="A435" s="114">
        <v>434</v>
      </c>
      <c r="B435" s="123">
        <v>42119</v>
      </c>
      <c r="C435" s="131">
        <v>24226970</v>
      </c>
      <c r="D435" s="114">
        <v>437</v>
      </c>
      <c r="E435" s="22"/>
      <c r="F435" s="151" t="s">
        <v>993</v>
      </c>
      <c r="G435" s="151" t="s">
        <v>993</v>
      </c>
      <c r="H435" s="114">
        <v>4140197290</v>
      </c>
      <c r="I435" s="119">
        <v>30000</v>
      </c>
      <c r="J435" s="119">
        <v>30000</v>
      </c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21"/>
      <c r="AH435" s="21"/>
    </row>
    <row r="436" spans="1:34" s="47" customFormat="1" ht="21.75" customHeight="1" x14ac:dyDescent="0.3">
      <c r="A436" s="114">
        <v>435</v>
      </c>
      <c r="B436" s="123">
        <v>42122</v>
      </c>
      <c r="C436" s="131">
        <v>18002779</v>
      </c>
      <c r="D436" s="114">
        <v>438</v>
      </c>
      <c r="E436" s="22"/>
      <c r="F436" s="151" t="s">
        <v>994</v>
      </c>
      <c r="G436" s="151" t="s">
        <v>994</v>
      </c>
      <c r="H436" s="114">
        <v>4142050933</v>
      </c>
      <c r="I436" s="119">
        <v>30000</v>
      </c>
      <c r="J436" s="119">
        <v>30000</v>
      </c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21"/>
      <c r="AH436" s="21"/>
    </row>
    <row r="437" spans="1:34" s="47" customFormat="1" ht="21.75" customHeight="1" x14ac:dyDescent="0.3">
      <c r="A437" s="114">
        <v>436</v>
      </c>
      <c r="B437" s="123">
        <v>42130</v>
      </c>
      <c r="C437" s="131">
        <v>19490306</v>
      </c>
      <c r="D437" s="114">
        <v>439</v>
      </c>
      <c r="E437" s="22"/>
      <c r="F437" s="151" t="s">
        <v>977</v>
      </c>
      <c r="G437" s="151" t="s">
        <v>977</v>
      </c>
      <c r="H437" s="114" t="s">
        <v>999</v>
      </c>
      <c r="I437" s="119" t="s">
        <v>516</v>
      </c>
      <c r="J437" s="119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21"/>
      <c r="AH437" s="21"/>
    </row>
    <row r="438" spans="1:34" s="47" customFormat="1" ht="21.75" customHeight="1" x14ac:dyDescent="0.3">
      <c r="A438" s="114">
        <v>437</v>
      </c>
      <c r="B438" s="123">
        <v>42130</v>
      </c>
      <c r="C438" s="131">
        <v>13285708</v>
      </c>
      <c r="D438" s="114">
        <v>440</v>
      </c>
      <c r="E438" s="22"/>
      <c r="F438" s="151" t="s">
        <v>1000</v>
      </c>
      <c r="G438" s="151" t="s">
        <v>1000</v>
      </c>
      <c r="H438" s="114" t="s">
        <v>1001</v>
      </c>
      <c r="I438" s="119">
        <v>39000</v>
      </c>
      <c r="J438" s="119">
        <v>39000</v>
      </c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21"/>
      <c r="AH438" s="21"/>
    </row>
    <row r="439" spans="1:34" s="47" customFormat="1" ht="21.75" customHeight="1" x14ac:dyDescent="0.3">
      <c r="A439" s="114">
        <v>438</v>
      </c>
      <c r="B439" s="123">
        <v>42130</v>
      </c>
      <c r="C439" s="131">
        <v>19490306</v>
      </c>
      <c r="D439" s="114">
        <v>441</v>
      </c>
      <c r="E439" s="22"/>
      <c r="F439" s="151" t="s">
        <v>998</v>
      </c>
      <c r="G439" s="151" t="s">
        <v>998</v>
      </c>
      <c r="H439" s="114" t="s">
        <v>1002</v>
      </c>
      <c r="I439" s="119">
        <v>39000</v>
      </c>
      <c r="J439" s="119">
        <v>39000</v>
      </c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21"/>
      <c r="AH439" s="21"/>
    </row>
    <row r="440" spans="1:34" s="55" customFormat="1" ht="21.75" customHeight="1" x14ac:dyDescent="0.3">
      <c r="A440" s="252">
        <v>439</v>
      </c>
      <c r="B440" s="360">
        <v>42137</v>
      </c>
      <c r="C440" s="137">
        <v>10502765</v>
      </c>
      <c r="D440" s="252">
        <v>442</v>
      </c>
      <c r="E440" s="253"/>
      <c r="F440" s="254" t="s">
        <v>1003</v>
      </c>
      <c r="G440" s="254" t="s">
        <v>1004</v>
      </c>
      <c r="H440" s="252">
        <v>4169116184</v>
      </c>
      <c r="I440" s="255" t="s">
        <v>516</v>
      </c>
      <c r="J440" s="255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  <c r="AA440" s="252"/>
      <c r="AB440" s="252"/>
      <c r="AC440" s="252"/>
      <c r="AD440" s="252"/>
      <c r="AE440" s="252"/>
      <c r="AF440" s="252"/>
      <c r="AG440" s="54"/>
      <c r="AH440" s="54"/>
    </row>
    <row r="441" spans="1:34" s="55" customFormat="1" ht="21.75" customHeight="1" x14ac:dyDescent="0.3">
      <c r="A441" s="252">
        <v>440</v>
      </c>
      <c r="B441" s="360">
        <v>42137</v>
      </c>
      <c r="C441" s="137">
        <v>10279565</v>
      </c>
      <c r="D441" s="252">
        <v>443</v>
      </c>
      <c r="E441" s="253"/>
      <c r="F441" s="254" t="s">
        <v>1005</v>
      </c>
      <c r="G441" s="254" t="s">
        <v>1006</v>
      </c>
      <c r="H441" s="252">
        <v>4263191475</v>
      </c>
      <c r="I441" s="255" t="s">
        <v>516</v>
      </c>
      <c r="J441" s="255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  <c r="AA441" s="252"/>
      <c r="AB441" s="252"/>
      <c r="AC441" s="252"/>
      <c r="AD441" s="252"/>
      <c r="AE441" s="252"/>
      <c r="AF441" s="252"/>
      <c r="AG441" s="54"/>
      <c r="AH441" s="54"/>
    </row>
    <row r="442" spans="1:34" ht="21.75" customHeight="1" x14ac:dyDescent="0.3">
      <c r="A442" s="160">
        <v>441</v>
      </c>
      <c r="B442" s="128">
        <v>42135</v>
      </c>
      <c r="C442" s="130">
        <v>6826826</v>
      </c>
      <c r="D442" s="387">
        <v>444</v>
      </c>
      <c r="F442" s="161" t="s">
        <v>1008</v>
      </c>
      <c r="G442" s="161" t="s">
        <v>1009</v>
      </c>
      <c r="H442" s="18">
        <v>4160123434</v>
      </c>
      <c r="I442" s="26">
        <v>60940</v>
      </c>
      <c r="J442" s="26">
        <v>5540</v>
      </c>
    </row>
    <row r="443" spans="1:34" s="47" customFormat="1" ht="21.75" customHeight="1" x14ac:dyDescent="0.3">
      <c r="A443" s="114">
        <v>442</v>
      </c>
      <c r="B443" s="123">
        <v>42136</v>
      </c>
      <c r="C443" s="131">
        <v>16412028</v>
      </c>
      <c r="D443" s="114">
        <v>445</v>
      </c>
      <c r="E443" s="22"/>
      <c r="F443" s="151" t="s">
        <v>1007</v>
      </c>
      <c r="G443" s="151" t="s">
        <v>1007</v>
      </c>
      <c r="H443" s="114">
        <v>4127492695</v>
      </c>
      <c r="I443" s="119">
        <v>33000</v>
      </c>
      <c r="J443" s="119">
        <v>16500</v>
      </c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21"/>
      <c r="AH443" s="21"/>
    </row>
    <row r="444" spans="1:34" s="313" customFormat="1" ht="21.75" customHeight="1" x14ac:dyDescent="0.3">
      <c r="A444" s="309">
        <v>443</v>
      </c>
      <c r="B444" s="324">
        <v>42137</v>
      </c>
      <c r="C444" s="307">
        <v>10352490</v>
      </c>
      <c r="D444" s="305">
        <v>446</v>
      </c>
      <c r="E444" s="325"/>
      <c r="F444" s="326" t="s">
        <v>1011</v>
      </c>
      <c r="G444" s="326" t="s">
        <v>1011</v>
      </c>
      <c r="H444" s="305">
        <v>4122289956</v>
      </c>
      <c r="I444" s="163">
        <v>60940</v>
      </c>
      <c r="J444" s="163">
        <v>5540</v>
      </c>
      <c r="K444" s="305"/>
      <c r="L444" s="305"/>
      <c r="M444" s="305"/>
      <c r="N444" s="305"/>
      <c r="O444" s="305"/>
      <c r="P444" s="305"/>
      <c r="Q444" s="305"/>
      <c r="R444" s="305"/>
      <c r="S444" s="305"/>
      <c r="T444" s="305"/>
      <c r="U444" s="305"/>
      <c r="V444" s="305"/>
      <c r="W444" s="305"/>
      <c r="X444" s="305"/>
      <c r="Y444" s="305"/>
      <c r="Z444" s="305"/>
      <c r="AA444" s="305"/>
      <c r="AB444" s="305"/>
      <c r="AC444" s="305"/>
      <c r="AD444" s="305"/>
      <c r="AE444" s="305"/>
      <c r="AF444" s="305"/>
      <c r="AG444" s="312"/>
      <c r="AH444" s="312"/>
    </row>
    <row r="445" spans="1:34" ht="21.75" customHeight="1" x14ac:dyDescent="0.3">
      <c r="A445" s="160">
        <v>444</v>
      </c>
      <c r="B445" s="368">
        <v>42138</v>
      </c>
      <c r="C445" s="133">
        <v>15506657</v>
      </c>
      <c r="D445" s="367">
        <v>447</v>
      </c>
      <c r="F445" s="152" t="s">
        <v>1012</v>
      </c>
      <c r="G445" s="152" t="s">
        <v>1013</v>
      </c>
      <c r="H445" s="189">
        <v>4141508158</v>
      </c>
      <c r="I445" s="65">
        <v>60940</v>
      </c>
      <c r="J445" s="65">
        <v>5540</v>
      </c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  <c r="AB445" s="189"/>
      <c r="AC445" s="189"/>
      <c r="AD445" s="189"/>
      <c r="AE445" s="189"/>
      <c r="AF445" s="189"/>
      <c r="AG445" s="304"/>
      <c r="AH445" s="304"/>
    </row>
    <row r="446" spans="1:34" ht="21.75" customHeight="1" x14ac:dyDescent="0.3">
      <c r="A446" s="160">
        <v>445</v>
      </c>
      <c r="B446" s="368">
        <v>42142</v>
      </c>
      <c r="C446" s="361" t="s">
        <v>1016</v>
      </c>
      <c r="D446" s="367">
        <v>448</v>
      </c>
      <c r="F446" s="152" t="s">
        <v>1017</v>
      </c>
      <c r="G446" s="152" t="s">
        <v>1018</v>
      </c>
      <c r="H446" s="189">
        <v>4141203507</v>
      </c>
      <c r="I446" s="65">
        <v>60940</v>
      </c>
      <c r="J446" s="65">
        <v>5540</v>
      </c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  <c r="AB446" s="189"/>
      <c r="AC446" s="189"/>
      <c r="AD446" s="189"/>
      <c r="AE446" s="189"/>
      <c r="AF446" s="189"/>
      <c r="AG446" s="304"/>
      <c r="AH446" s="304"/>
    </row>
    <row r="447" spans="1:34" ht="21.75" customHeight="1" x14ac:dyDescent="0.3">
      <c r="A447" s="160">
        <v>446</v>
      </c>
      <c r="B447" s="368">
        <v>42144</v>
      </c>
      <c r="C447" s="133">
        <v>23625094</v>
      </c>
      <c r="D447" s="367">
        <v>449</v>
      </c>
      <c r="F447" s="152" t="s">
        <v>1047</v>
      </c>
      <c r="G447" s="152" t="s">
        <v>1047</v>
      </c>
      <c r="H447" s="189">
        <v>4140218688</v>
      </c>
      <c r="I447" s="65">
        <v>53900</v>
      </c>
      <c r="J447" s="65">
        <v>4900</v>
      </c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  <c r="AB447" s="189"/>
      <c r="AC447" s="189"/>
      <c r="AD447" s="189"/>
      <c r="AE447" s="189"/>
      <c r="AF447" s="189"/>
      <c r="AG447" s="304"/>
      <c r="AH447" s="304"/>
    </row>
    <row r="448" spans="1:34" ht="21.75" customHeight="1" x14ac:dyDescent="0.3">
      <c r="A448" s="160">
        <v>447</v>
      </c>
      <c r="B448" s="368">
        <v>42144</v>
      </c>
      <c r="C448" s="133">
        <v>11681943</v>
      </c>
      <c r="D448" s="367">
        <v>450</v>
      </c>
      <c r="F448" s="152" t="s">
        <v>1019</v>
      </c>
      <c r="G448" s="152" t="s">
        <v>1019</v>
      </c>
      <c r="H448" s="189">
        <v>4241082232</v>
      </c>
      <c r="I448" s="65">
        <v>53900</v>
      </c>
      <c r="J448" s="65">
        <v>4900</v>
      </c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  <c r="AB448" s="189"/>
      <c r="AC448" s="189"/>
      <c r="AD448" s="189"/>
      <c r="AE448" s="189"/>
      <c r="AF448" s="189"/>
      <c r="AG448" s="304"/>
      <c r="AH448" s="304"/>
    </row>
    <row r="449" spans="1:34" ht="21.75" customHeight="1" x14ac:dyDescent="0.3">
      <c r="A449" s="160">
        <v>448</v>
      </c>
      <c r="B449" s="368">
        <v>42144</v>
      </c>
      <c r="C449" s="133">
        <v>11681943</v>
      </c>
      <c r="D449" s="367">
        <v>451</v>
      </c>
      <c r="F449" s="152" t="s">
        <v>1020</v>
      </c>
      <c r="G449" s="152" t="s">
        <v>1019</v>
      </c>
      <c r="H449" s="189">
        <v>4142223390</v>
      </c>
      <c r="I449" s="65">
        <v>53900</v>
      </c>
      <c r="J449" s="65">
        <v>4900</v>
      </c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  <c r="AB449" s="189"/>
      <c r="AC449" s="189"/>
      <c r="AD449" s="189"/>
      <c r="AE449" s="189"/>
      <c r="AF449" s="189"/>
      <c r="AG449" s="304"/>
      <c r="AH449" s="304"/>
    </row>
    <row r="450" spans="1:34" ht="21.75" customHeight="1" x14ac:dyDescent="0.3">
      <c r="A450" s="160">
        <v>449</v>
      </c>
      <c r="B450" s="368">
        <v>42144</v>
      </c>
      <c r="C450" s="133">
        <v>11681943</v>
      </c>
      <c r="D450" s="367">
        <v>452</v>
      </c>
      <c r="F450" s="152" t="s">
        <v>1021</v>
      </c>
      <c r="G450" s="152" t="s">
        <v>1019</v>
      </c>
      <c r="H450" s="189">
        <v>4241082232</v>
      </c>
      <c r="I450" s="65">
        <v>53900</v>
      </c>
      <c r="J450" s="65">
        <v>4900</v>
      </c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  <c r="AA450" s="189"/>
      <c r="AB450" s="189"/>
      <c r="AC450" s="189"/>
      <c r="AD450" s="189"/>
      <c r="AE450" s="189"/>
      <c r="AF450" s="189"/>
      <c r="AG450" s="304"/>
      <c r="AH450" s="304"/>
    </row>
    <row r="451" spans="1:34" ht="21.75" customHeight="1" x14ac:dyDescent="0.3">
      <c r="A451" s="160">
        <v>450</v>
      </c>
      <c r="B451" s="368">
        <v>42144</v>
      </c>
      <c r="C451" s="133">
        <v>11681943</v>
      </c>
      <c r="D451" s="367">
        <v>453</v>
      </c>
      <c r="F451" s="152" t="s">
        <v>1022</v>
      </c>
      <c r="G451" s="152" t="s">
        <v>1019</v>
      </c>
      <c r="H451" s="189">
        <v>4241082232</v>
      </c>
      <c r="I451" s="65">
        <v>53900</v>
      </c>
      <c r="J451" s="65">
        <v>4900</v>
      </c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  <c r="AA451" s="189"/>
      <c r="AB451" s="189"/>
      <c r="AC451" s="189"/>
      <c r="AD451" s="189"/>
      <c r="AE451" s="189"/>
      <c r="AF451" s="189"/>
      <c r="AG451" s="304"/>
      <c r="AH451" s="304"/>
    </row>
    <row r="452" spans="1:34" s="55" customFormat="1" ht="21.75" customHeight="1" x14ac:dyDescent="0.3">
      <c r="A452" s="252">
        <v>451</v>
      </c>
      <c r="B452" s="360">
        <v>42144</v>
      </c>
      <c r="C452" s="137">
        <v>10110464</v>
      </c>
      <c r="D452" s="252">
        <v>454</v>
      </c>
      <c r="E452" s="253"/>
      <c r="F452" s="254" t="s">
        <v>1023</v>
      </c>
      <c r="G452" s="254" t="s">
        <v>1023</v>
      </c>
      <c r="H452" s="252">
        <v>4122836767</v>
      </c>
      <c r="I452" s="255" t="s">
        <v>516</v>
      </c>
      <c r="J452" s="255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  <c r="AA452" s="252"/>
      <c r="AB452" s="252"/>
      <c r="AC452" s="252"/>
      <c r="AD452" s="252"/>
      <c r="AE452" s="252"/>
      <c r="AF452" s="252"/>
      <c r="AG452" s="54"/>
      <c r="AH452" s="54"/>
    </row>
    <row r="453" spans="1:34" ht="21.75" customHeight="1" x14ac:dyDescent="0.3">
      <c r="A453" s="160">
        <v>452</v>
      </c>
      <c r="B453" s="368">
        <v>42149</v>
      </c>
      <c r="C453" s="133">
        <v>5969680</v>
      </c>
      <c r="D453" s="367">
        <v>455</v>
      </c>
      <c r="F453" s="152" t="s">
        <v>1024</v>
      </c>
      <c r="G453" s="152" t="s">
        <v>1025</v>
      </c>
      <c r="H453" s="189">
        <v>4160134756</v>
      </c>
      <c r="I453" s="65">
        <v>60940</v>
      </c>
      <c r="J453" s="65">
        <v>5540</v>
      </c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  <c r="AA453" s="189"/>
      <c r="AB453" s="189"/>
      <c r="AC453" s="189"/>
      <c r="AD453" s="189"/>
      <c r="AE453" s="189"/>
      <c r="AF453" s="189"/>
      <c r="AG453" s="304"/>
      <c r="AH453" s="304"/>
    </row>
    <row r="454" spans="1:34" s="47" customFormat="1" ht="21.75" customHeight="1" x14ac:dyDescent="0.3">
      <c r="A454" s="114">
        <v>453</v>
      </c>
      <c r="B454" s="123" t="s">
        <v>1026</v>
      </c>
      <c r="C454" s="131">
        <v>6257091</v>
      </c>
      <c r="D454" s="114">
        <v>456</v>
      </c>
      <c r="E454" s="22"/>
      <c r="F454" s="151" t="s">
        <v>1027</v>
      </c>
      <c r="G454" s="151" t="s">
        <v>1028</v>
      </c>
      <c r="H454" s="114">
        <v>4129975101</v>
      </c>
      <c r="I454" s="119">
        <v>43000</v>
      </c>
      <c r="J454" s="119">
        <v>43000</v>
      </c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21"/>
      <c r="AH454" s="21"/>
    </row>
    <row r="455" spans="1:34" ht="21.75" customHeight="1" x14ac:dyDescent="0.3">
      <c r="A455" s="160">
        <v>454</v>
      </c>
      <c r="B455" s="368">
        <v>42149</v>
      </c>
      <c r="C455" s="133">
        <v>14216551</v>
      </c>
      <c r="D455" s="367">
        <v>457</v>
      </c>
      <c r="F455" s="152" t="s">
        <v>1029</v>
      </c>
      <c r="G455" s="152" t="s">
        <v>1029</v>
      </c>
      <c r="H455" s="189">
        <v>4143110722</v>
      </c>
      <c r="I455" s="65">
        <v>60940</v>
      </c>
      <c r="J455" s="65">
        <v>5540</v>
      </c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  <c r="AA455" s="189"/>
      <c r="AB455" s="189"/>
      <c r="AC455" s="189"/>
      <c r="AD455" s="189"/>
      <c r="AE455" s="189"/>
      <c r="AF455" s="189"/>
      <c r="AG455" s="304"/>
      <c r="AH455" s="304"/>
    </row>
    <row r="456" spans="1:34" s="346" customFormat="1" ht="21.75" customHeight="1" x14ac:dyDescent="0.3">
      <c r="A456" s="340">
        <v>455</v>
      </c>
      <c r="B456" s="341">
        <v>42152</v>
      </c>
      <c r="C456" s="342">
        <v>12157451</v>
      </c>
      <c r="D456" s="340">
        <v>458</v>
      </c>
      <c r="E456" s="427"/>
      <c r="F456" s="348" t="s">
        <v>1033</v>
      </c>
      <c r="G456" s="348" t="s">
        <v>1033</v>
      </c>
      <c r="H456" s="340">
        <v>4142849176</v>
      </c>
      <c r="I456" s="344">
        <v>33000</v>
      </c>
      <c r="J456" s="344">
        <v>16500</v>
      </c>
      <c r="K456" s="340"/>
      <c r="L456" s="340"/>
      <c r="M456" s="340"/>
      <c r="N456" s="340"/>
      <c r="O456" s="340"/>
      <c r="P456" s="340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  <c r="AA456" s="340"/>
      <c r="AB456" s="340"/>
      <c r="AC456" s="340"/>
      <c r="AD456" s="340"/>
      <c r="AE456" s="340"/>
      <c r="AF456" s="340"/>
      <c r="AG456" s="345"/>
      <c r="AH456" s="345"/>
    </row>
    <row r="457" spans="1:34" ht="21.75" customHeight="1" x14ac:dyDescent="0.3">
      <c r="A457" s="160">
        <v>456</v>
      </c>
      <c r="B457" s="368">
        <v>42155</v>
      </c>
      <c r="C457" s="133">
        <v>20747237</v>
      </c>
      <c r="D457" s="367">
        <v>459</v>
      </c>
      <c r="F457" s="371" t="s">
        <v>1032</v>
      </c>
      <c r="G457" s="371" t="s">
        <v>1032</v>
      </c>
      <c r="H457" s="370">
        <v>4143787251</v>
      </c>
      <c r="I457" s="369">
        <v>60940</v>
      </c>
      <c r="J457" s="369">
        <v>5540</v>
      </c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  <c r="AA457" s="189"/>
      <c r="AB457" s="189"/>
      <c r="AC457" s="189"/>
      <c r="AD457" s="189"/>
      <c r="AE457" s="189"/>
      <c r="AF457" s="189"/>
      <c r="AG457" s="304"/>
      <c r="AH457" s="304"/>
    </row>
    <row r="458" spans="1:34" ht="21.75" customHeight="1" x14ac:dyDescent="0.3">
      <c r="A458" s="160">
        <v>457</v>
      </c>
      <c r="B458" s="368"/>
      <c r="C458" s="133">
        <v>18751707</v>
      </c>
      <c r="D458" s="367">
        <v>460</v>
      </c>
      <c r="F458" s="152" t="s">
        <v>1035</v>
      </c>
      <c r="G458" s="152" t="s">
        <v>1034</v>
      </c>
      <c r="H458" s="189">
        <v>4242041836</v>
      </c>
      <c r="I458" s="65">
        <v>60940</v>
      </c>
      <c r="J458" s="65" t="s">
        <v>1036</v>
      </c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  <c r="AA458" s="189"/>
      <c r="AB458" s="189"/>
      <c r="AC458" s="189"/>
      <c r="AD458" s="189"/>
      <c r="AE458" s="189"/>
      <c r="AF458" s="189"/>
      <c r="AG458" s="304"/>
      <c r="AH458" s="304"/>
    </row>
    <row r="459" spans="1:34" ht="21.75" customHeight="1" x14ac:dyDescent="0.3">
      <c r="A459" s="160">
        <v>458</v>
      </c>
      <c r="B459" s="368">
        <v>42156</v>
      </c>
      <c r="C459" s="133">
        <v>18751707</v>
      </c>
      <c r="D459" s="367">
        <v>461</v>
      </c>
      <c r="F459" s="152" t="s">
        <v>1034</v>
      </c>
      <c r="G459" s="152" t="s">
        <v>1034</v>
      </c>
      <c r="H459" s="367">
        <v>4242041836</v>
      </c>
      <c r="I459" s="65">
        <v>60940</v>
      </c>
      <c r="J459" s="65">
        <v>5540</v>
      </c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  <c r="AA459" s="189"/>
      <c r="AB459" s="189"/>
      <c r="AC459" s="189"/>
      <c r="AD459" s="189"/>
      <c r="AE459" s="189"/>
      <c r="AF459" s="189"/>
      <c r="AG459" s="304"/>
      <c r="AH459" s="304"/>
    </row>
    <row r="460" spans="1:34" s="47" customFormat="1" ht="21.75" customHeight="1" x14ac:dyDescent="0.3">
      <c r="A460" s="114">
        <v>459</v>
      </c>
      <c r="B460" s="123">
        <v>42156</v>
      </c>
      <c r="C460" s="131">
        <v>18910579</v>
      </c>
      <c r="D460" s="114">
        <v>462</v>
      </c>
      <c r="E460" s="22"/>
      <c r="F460" s="151" t="s">
        <v>1037</v>
      </c>
      <c r="G460" s="151" t="s">
        <v>1037</v>
      </c>
      <c r="H460" s="114">
        <v>4148536461</v>
      </c>
      <c r="I460" s="119">
        <v>43000</v>
      </c>
      <c r="J460" s="119">
        <v>43000</v>
      </c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21"/>
      <c r="AH460" s="21"/>
    </row>
    <row r="461" spans="1:34" ht="21.75" customHeight="1" x14ac:dyDescent="0.3">
      <c r="A461" s="160">
        <v>460</v>
      </c>
      <c r="B461" s="368">
        <v>42156</v>
      </c>
      <c r="C461" s="133">
        <v>21285610</v>
      </c>
      <c r="D461" s="367">
        <v>463</v>
      </c>
      <c r="F461" s="152" t="s">
        <v>1038</v>
      </c>
      <c r="G461" s="152" t="s">
        <v>1038</v>
      </c>
      <c r="H461" s="189">
        <v>2123735130</v>
      </c>
      <c r="I461" s="65">
        <v>60940</v>
      </c>
      <c r="J461" s="65">
        <v>5540</v>
      </c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  <c r="AA461" s="189"/>
      <c r="AB461" s="189"/>
      <c r="AC461" s="189"/>
      <c r="AD461" s="189"/>
      <c r="AE461" s="189"/>
      <c r="AF461" s="189"/>
      <c r="AG461" s="304"/>
      <c r="AH461" s="304"/>
    </row>
    <row r="462" spans="1:34" s="313" customFormat="1" ht="21.75" customHeight="1" x14ac:dyDescent="0.3">
      <c r="A462" s="309">
        <v>461</v>
      </c>
      <c r="B462" s="324">
        <v>42157</v>
      </c>
      <c r="C462" s="307">
        <v>8525066</v>
      </c>
      <c r="D462" s="305">
        <v>464</v>
      </c>
      <c r="E462" s="325"/>
      <c r="F462" s="326" t="s">
        <v>1086</v>
      </c>
      <c r="G462" s="326" t="s">
        <v>1039</v>
      </c>
      <c r="H462" s="305">
        <v>4242983788</v>
      </c>
      <c r="I462" s="163">
        <v>60940</v>
      </c>
      <c r="J462" s="163">
        <v>14980</v>
      </c>
      <c r="K462" s="305"/>
      <c r="L462" s="305"/>
      <c r="M462" s="305"/>
      <c r="N462" s="305"/>
      <c r="O462" s="305"/>
      <c r="P462" s="305"/>
      <c r="Q462" s="305"/>
      <c r="R462" s="305"/>
      <c r="S462" s="305"/>
      <c r="T462" s="305"/>
      <c r="U462" s="305"/>
      <c r="V462" s="305"/>
      <c r="W462" s="305"/>
      <c r="X462" s="305"/>
      <c r="Y462" s="305"/>
      <c r="Z462" s="305"/>
      <c r="AA462" s="305"/>
      <c r="AB462" s="305"/>
      <c r="AC462" s="305"/>
      <c r="AD462" s="305"/>
      <c r="AE462" s="305"/>
      <c r="AF462" s="305"/>
      <c r="AG462" s="312"/>
      <c r="AH462" s="312"/>
    </row>
    <row r="463" spans="1:34" s="47" customFormat="1" ht="21.75" customHeight="1" x14ac:dyDescent="0.3">
      <c r="A463" s="114">
        <v>462</v>
      </c>
      <c r="B463" s="123">
        <v>42158</v>
      </c>
      <c r="C463" s="131">
        <v>13969368</v>
      </c>
      <c r="D463" s="114">
        <v>465</v>
      </c>
      <c r="E463" s="22"/>
      <c r="F463" s="151" t="s">
        <v>1040</v>
      </c>
      <c r="G463" s="151" t="s">
        <v>1040</v>
      </c>
      <c r="H463" s="114">
        <v>4242988462</v>
      </c>
      <c r="I463" s="119">
        <v>43000</v>
      </c>
      <c r="J463" s="119">
        <v>43000</v>
      </c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21"/>
      <c r="AH463" s="21"/>
    </row>
    <row r="464" spans="1:34" s="47" customFormat="1" ht="21.75" customHeight="1" x14ac:dyDescent="0.3">
      <c r="A464" s="114">
        <v>463</v>
      </c>
      <c r="B464" s="123">
        <v>42159</v>
      </c>
      <c r="C464" s="131">
        <v>11043380</v>
      </c>
      <c r="D464" s="114">
        <v>466</v>
      </c>
      <c r="E464" s="22"/>
      <c r="F464" s="151" t="s">
        <v>1043</v>
      </c>
      <c r="G464" s="151" t="s">
        <v>1043</v>
      </c>
      <c r="H464" s="114">
        <v>4123812797</v>
      </c>
      <c r="I464" s="119">
        <v>43000</v>
      </c>
      <c r="J464" s="119">
        <v>43000</v>
      </c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21"/>
      <c r="AH464" s="21"/>
    </row>
    <row r="465" spans="1:34" s="2" customFormat="1" ht="21.75" customHeight="1" x14ac:dyDescent="0.3">
      <c r="A465" s="370">
        <v>464</v>
      </c>
      <c r="B465" s="334">
        <v>42170</v>
      </c>
      <c r="C465" s="133">
        <v>17533285</v>
      </c>
      <c r="D465" s="370">
        <v>467</v>
      </c>
      <c r="E465" s="333"/>
      <c r="F465" s="371" t="s">
        <v>1090</v>
      </c>
      <c r="G465" s="371" t="s">
        <v>1090</v>
      </c>
      <c r="H465" s="370">
        <v>4142321787</v>
      </c>
      <c r="I465" s="369">
        <v>60940</v>
      </c>
      <c r="J465" s="369">
        <v>5540</v>
      </c>
      <c r="K465" s="370"/>
      <c r="L465" s="370"/>
      <c r="M465" s="370"/>
      <c r="N465" s="370"/>
      <c r="O465" s="370"/>
      <c r="P465" s="370"/>
      <c r="Q465" s="370"/>
      <c r="R465" s="370"/>
      <c r="S465" s="370"/>
      <c r="T465" s="370"/>
      <c r="U465" s="370"/>
      <c r="V465" s="370"/>
      <c r="W465" s="370"/>
      <c r="X465" s="370"/>
      <c r="Y465" s="370"/>
      <c r="Z465" s="370"/>
      <c r="AA465" s="370"/>
      <c r="AB465" s="370"/>
      <c r="AC465" s="370"/>
      <c r="AD465" s="370"/>
      <c r="AE465" s="370"/>
      <c r="AF465" s="370"/>
      <c r="AG465" s="335"/>
      <c r="AH465" s="335"/>
    </row>
    <row r="466" spans="1:34" s="47" customFormat="1" ht="21.75" customHeight="1" x14ac:dyDescent="0.3">
      <c r="A466" s="114">
        <v>465</v>
      </c>
      <c r="B466" s="123">
        <v>42170</v>
      </c>
      <c r="C466" s="131">
        <v>13846311</v>
      </c>
      <c r="D466" s="114">
        <v>468</v>
      </c>
      <c r="E466" s="22"/>
      <c r="F466" s="151" t="s">
        <v>1091</v>
      </c>
      <c r="G466" s="151" t="s">
        <v>1091</v>
      </c>
      <c r="H466" s="114">
        <v>4127336191</v>
      </c>
      <c r="I466" s="119">
        <v>33000</v>
      </c>
      <c r="J466" s="119">
        <v>33000</v>
      </c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21"/>
      <c r="AH466" s="21"/>
    </row>
    <row r="467" spans="1:34" s="331" customFormat="1" ht="21.75" customHeight="1" x14ac:dyDescent="0.3">
      <c r="A467" s="173">
        <v>466</v>
      </c>
      <c r="B467" s="328">
        <v>42170</v>
      </c>
      <c r="C467" s="307">
        <v>25394312</v>
      </c>
      <c r="D467" s="173">
        <v>469</v>
      </c>
      <c r="E467" s="329"/>
      <c r="F467" s="330" t="s">
        <v>1092</v>
      </c>
      <c r="G467" s="330" t="s">
        <v>1092</v>
      </c>
      <c r="H467" s="173">
        <v>4249150255</v>
      </c>
      <c r="I467" s="327">
        <v>60940</v>
      </c>
      <c r="J467" s="327">
        <v>5540</v>
      </c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332"/>
      <c r="AH467" s="332"/>
    </row>
    <row r="468" spans="1:34" s="47" customFormat="1" ht="21.75" customHeight="1" x14ac:dyDescent="0.3">
      <c r="A468" s="114">
        <v>467</v>
      </c>
      <c r="B468" s="123">
        <v>42171</v>
      </c>
      <c r="C468" s="131">
        <v>13371662</v>
      </c>
      <c r="D468" s="114">
        <v>470</v>
      </c>
      <c r="E468" s="22"/>
      <c r="F468" s="151" t="s">
        <v>1046</v>
      </c>
      <c r="G468" s="151" t="s">
        <v>458</v>
      </c>
      <c r="H468" s="114">
        <v>4265101870</v>
      </c>
      <c r="I468" s="119">
        <v>15000</v>
      </c>
      <c r="J468" s="119">
        <v>15000</v>
      </c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21"/>
      <c r="AH468" s="21"/>
    </row>
    <row r="469" spans="1:34" s="47" customFormat="1" ht="21.75" customHeight="1" x14ac:dyDescent="0.3">
      <c r="A469" s="114">
        <v>468</v>
      </c>
      <c r="B469" s="123">
        <v>42172</v>
      </c>
      <c r="C469" s="131">
        <v>13864268</v>
      </c>
      <c r="D469" s="114">
        <v>471</v>
      </c>
      <c r="E469" s="22"/>
      <c r="F469" s="151" t="s">
        <v>1051</v>
      </c>
      <c r="G469" s="151" t="s">
        <v>1051</v>
      </c>
      <c r="H469" s="114">
        <v>4241702319</v>
      </c>
      <c r="I469" s="119">
        <v>33000</v>
      </c>
      <c r="J469" s="119">
        <v>16500</v>
      </c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21"/>
      <c r="AH469" s="21"/>
    </row>
    <row r="470" spans="1:34" s="47" customFormat="1" ht="21.75" customHeight="1" x14ac:dyDescent="0.3">
      <c r="A470" s="114">
        <v>469</v>
      </c>
      <c r="B470" s="123">
        <v>42180</v>
      </c>
      <c r="C470" s="131">
        <v>15183080</v>
      </c>
      <c r="D470" s="114">
        <v>472</v>
      </c>
      <c r="E470" s="22"/>
      <c r="F470" s="151" t="s">
        <v>1070</v>
      </c>
      <c r="G470" s="151" t="s">
        <v>1070</v>
      </c>
      <c r="H470" s="114">
        <v>4141632413</v>
      </c>
      <c r="I470" s="119">
        <v>33000</v>
      </c>
      <c r="J470" s="119">
        <v>33000</v>
      </c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21"/>
      <c r="AH470" s="21"/>
    </row>
    <row r="471" spans="1:34" s="47" customFormat="1" ht="21.75" customHeight="1" x14ac:dyDescent="0.3">
      <c r="A471" s="114">
        <v>470</v>
      </c>
      <c r="B471" s="123">
        <v>42180</v>
      </c>
      <c r="C471" s="131">
        <v>17286103</v>
      </c>
      <c r="D471" s="114">
        <v>473</v>
      </c>
      <c r="E471" s="22"/>
      <c r="F471" s="151" t="s">
        <v>1071</v>
      </c>
      <c r="G471" s="151" t="s">
        <v>1071</v>
      </c>
      <c r="H471" s="114">
        <v>4143141281</v>
      </c>
      <c r="I471" s="119">
        <v>16500</v>
      </c>
      <c r="J471" s="119">
        <v>16500</v>
      </c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21"/>
      <c r="AH471" s="21"/>
    </row>
    <row r="472" spans="1:34" s="313" customFormat="1" ht="21.75" customHeight="1" x14ac:dyDescent="0.3">
      <c r="A472" s="173">
        <v>471</v>
      </c>
      <c r="B472" s="423">
        <v>42191</v>
      </c>
      <c r="C472" s="424">
        <v>11431277</v>
      </c>
      <c r="D472" s="173">
        <v>474</v>
      </c>
      <c r="E472" s="325"/>
      <c r="F472" s="426" t="s">
        <v>1072</v>
      </c>
      <c r="G472" s="426" t="s">
        <v>1072</v>
      </c>
      <c r="H472" s="312">
        <v>4242063371</v>
      </c>
      <c r="I472" s="372">
        <v>60940</v>
      </c>
      <c r="J472" s="372">
        <v>5540</v>
      </c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</row>
    <row r="473" spans="1:34" s="281" customFormat="1" ht="21.75" customHeight="1" x14ac:dyDescent="0.3">
      <c r="A473" s="114">
        <v>472</v>
      </c>
      <c r="B473" s="377">
        <v>42192</v>
      </c>
      <c r="C473" s="378">
        <v>12878497</v>
      </c>
      <c r="D473" s="114">
        <v>475</v>
      </c>
      <c r="E473" s="379"/>
      <c r="F473" s="381" t="s">
        <v>956</v>
      </c>
      <c r="G473" s="381" t="s">
        <v>956</v>
      </c>
      <c r="H473" s="380">
        <v>4122151675</v>
      </c>
      <c r="I473" s="382">
        <v>43000</v>
      </c>
      <c r="J473" s="382">
        <v>43000</v>
      </c>
      <c r="K473" s="380"/>
      <c r="L473" s="380"/>
      <c r="M473" s="380"/>
      <c r="N473" s="380"/>
      <c r="O473" s="380"/>
      <c r="P473" s="380"/>
      <c r="Q473" s="380"/>
      <c r="R473" s="380"/>
      <c r="S473" s="380"/>
      <c r="T473" s="380"/>
      <c r="U473" s="380"/>
      <c r="V473" s="380"/>
      <c r="W473" s="380"/>
      <c r="X473" s="380"/>
      <c r="Y473" s="21"/>
      <c r="Z473" s="21"/>
      <c r="AA473" s="380"/>
      <c r="AB473" s="380"/>
      <c r="AC473" s="380"/>
      <c r="AD473" s="380"/>
      <c r="AE473" s="380"/>
      <c r="AF473" s="380"/>
      <c r="AG473" s="380"/>
      <c r="AH473" s="380"/>
    </row>
    <row r="474" spans="1:34" s="281" customFormat="1" ht="21.75" customHeight="1" x14ac:dyDescent="0.3">
      <c r="A474" s="114">
        <v>473</v>
      </c>
      <c r="B474" s="377">
        <v>42192</v>
      </c>
      <c r="C474" s="378">
        <v>13284979</v>
      </c>
      <c r="D474" s="114">
        <v>476</v>
      </c>
      <c r="E474" s="379"/>
      <c r="F474" s="381" t="s">
        <v>155</v>
      </c>
      <c r="G474" s="381" t="s">
        <v>1073</v>
      </c>
      <c r="H474" s="380">
        <v>4143166962</v>
      </c>
      <c r="I474" s="382">
        <v>43500</v>
      </c>
      <c r="J474" s="382">
        <v>43500</v>
      </c>
      <c r="K474" s="380"/>
      <c r="L474" s="380"/>
      <c r="M474" s="380"/>
      <c r="N474" s="380"/>
      <c r="O474" s="380"/>
      <c r="P474" s="380"/>
      <c r="Q474" s="380"/>
      <c r="R474" s="380"/>
      <c r="S474" s="380"/>
      <c r="T474" s="380"/>
      <c r="U474" s="380"/>
      <c r="V474" s="380"/>
      <c r="W474" s="380"/>
      <c r="X474" s="380"/>
      <c r="Y474" s="21"/>
      <c r="Z474" s="21"/>
      <c r="AA474" s="380"/>
      <c r="AB474" s="380"/>
      <c r="AC474" s="380"/>
      <c r="AD474" s="380"/>
      <c r="AE474" s="380"/>
      <c r="AF474" s="380"/>
      <c r="AG474" s="380"/>
      <c r="AH474" s="380"/>
    </row>
    <row r="475" spans="1:34" s="281" customFormat="1" ht="21.75" customHeight="1" x14ac:dyDescent="0.3">
      <c r="A475" s="114">
        <v>474</v>
      </c>
      <c r="B475" s="377">
        <v>42192</v>
      </c>
      <c r="C475" s="378">
        <v>13284979</v>
      </c>
      <c r="D475" s="114">
        <v>477</v>
      </c>
      <c r="E475" s="379"/>
      <c r="F475" s="381" t="s">
        <v>1074</v>
      </c>
      <c r="G475" s="381" t="s">
        <v>1074</v>
      </c>
      <c r="H475" s="380">
        <v>4143166962</v>
      </c>
      <c r="I475" s="382">
        <v>33000</v>
      </c>
      <c r="J475" s="382">
        <v>33000</v>
      </c>
      <c r="K475" s="380"/>
      <c r="L475" s="380"/>
      <c r="M475" s="380"/>
      <c r="N475" s="380"/>
      <c r="O475" s="380"/>
      <c r="P475" s="380"/>
      <c r="Q475" s="380"/>
      <c r="R475" s="380"/>
      <c r="S475" s="380"/>
      <c r="T475" s="380"/>
      <c r="U475" s="380"/>
      <c r="V475" s="380"/>
      <c r="W475" s="380"/>
      <c r="X475" s="380"/>
      <c r="Y475" s="21"/>
      <c r="Z475" s="21"/>
      <c r="AA475" s="380"/>
      <c r="AB475" s="380"/>
      <c r="AC475" s="380"/>
      <c r="AD475" s="380"/>
      <c r="AE475" s="380"/>
      <c r="AF475" s="380"/>
      <c r="AG475" s="380"/>
      <c r="AH475" s="380"/>
    </row>
    <row r="476" spans="1:34" s="281" customFormat="1" ht="21.75" customHeight="1" x14ac:dyDescent="0.3">
      <c r="A476" s="114">
        <v>475</v>
      </c>
      <c r="B476" s="377">
        <v>42192</v>
      </c>
      <c r="C476" s="378">
        <v>13284979</v>
      </c>
      <c r="D476" s="114">
        <v>478</v>
      </c>
      <c r="E476" s="379"/>
      <c r="F476" s="381" t="s">
        <v>1075</v>
      </c>
      <c r="G476" s="381" t="s">
        <v>1074</v>
      </c>
      <c r="H476" s="380">
        <v>4143166962</v>
      </c>
      <c r="I476" s="382">
        <v>43500</v>
      </c>
      <c r="J476" s="382">
        <v>43500</v>
      </c>
      <c r="K476" s="380"/>
      <c r="L476" s="380"/>
      <c r="M476" s="380"/>
      <c r="N476" s="380"/>
      <c r="O476" s="380"/>
      <c r="P476" s="380"/>
      <c r="Q476" s="380"/>
      <c r="R476" s="380"/>
      <c r="S476" s="380"/>
      <c r="T476" s="380"/>
      <c r="U476" s="380"/>
      <c r="V476" s="380"/>
      <c r="W476" s="380"/>
      <c r="X476" s="380"/>
      <c r="Y476" s="21"/>
      <c r="Z476" s="21"/>
      <c r="AA476" s="380"/>
      <c r="AB476" s="380"/>
      <c r="AC476" s="380"/>
      <c r="AD476" s="380"/>
      <c r="AE476" s="380"/>
      <c r="AF476" s="380"/>
      <c r="AG476" s="380"/>
      <c r="AH476" s="380"/>
    </row>
    <row r="477" spans="1:34" s="227" customFormat="1" ht="21.75" customHeight="1" x14ac:dyDescent="0.3">
      <c r="A477" s="370">
        <v>476</v>
      </c>
      <c r="B477" s="376">
        <v>42199</v>
      </c>
      <c r="C477" s="284">
        <v>26296835</v>
      </c>
      <c r="D477" s="370">
        <v>479</v>
      </c>
      <c r="E477" s="164"/>
      <c r="F477" s="285" t="s">
        <v>1076</v>
      </c>
      <c r="G477" s="285" t="s">
        <v>1076</v>
      </c>
      <c r="H477" s="283">
        <v>4120135668</v>
      </c>
      <c r="I477" s="280">
        <v>60940</v>
      </c>
      <c r="J477" s="280">
        <v>5540</v>
      </c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18"/>
      <c r="Z477" s="18"/>
      <c r="AA477" s="283"/>
      <c r="AB477" s="283"/>
      <c r="AC477" s="283"/>
      <c r="AD477" s="283"/>
      <c r="AE477" s="283"/>
      <c r="AF477" s="283"/>
      <c r="AG477" s="283"/>
      <c r="AH477" s="283"/>
    </row>
    <row r="478" spans="1:34" s="227" customFormat="1" ht="21.75" customHeight="1" x14ac:dyDescent="0.3">
      <c r="A478" s="370">
        <v>477</v>
      </c>
      <c r="B478" s="376">
        <v>42200</v>
      </c>
      <c r="C478" s="284">
        <v>20616248</v>
      </c>
      <c r="D478" s="370">
        <v>480</v>
      </c>
      <c r="E478" s="164"/>
      <c r="F478" s="285" t="s">
        <v>1078</v>
      </c>
      <c r="G478" s="285" t="s">
        <v>1078</v>
      </c>
      <c r="H478" s="283">
        <v>4241756526</v>
      </c>
      <c r="I478" s="280">
        <v>60940</v>
      </c>
      <c r="J478" s="280">
        <v>5540</v>
      </c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18"/>
      <c r="Z478" s="18"/>
      <c r="AA478" s="283"/>
      <c r="AB478" s="283"/>
      <c r="AC478" s="283"/>
      <c r="AD478" s="283"/>
      <c r="AE478" s="283"/>
      <c r="AF478" s="283"/>
      <c r="AG478" s="283"/>
      <c r="AH478" s="283"/>
    </row>
    <row r="479" spans="1:34" s="281" customFormat="1" ht="21.75" customHeight="1" x14ac:dyDescent="0.3">
      <c r="A479" s="114">
        <v>478</v>
      </c>
      <c r="B479" s="377">
        <v>42205</v>
      </c>
      <c r="C479" s="378">
        <v>6860726</v>
      </c>
      <c r="D479" s="114">
        <v>481</v>
      </c>
      <c r="E479" s="379"/>
      <c r="F479" s="381" t="s">
        <v>1079</v>
      </c>
      <c r="G479" s="381" t="s">
        <v>1079</v>
      </c>
      <c r="H479" s="380"/>
      <c r="I479" s="382">
        <v>49000</v>
      </c>
      <c r="J479" s="382">
        <v>24500</v>
      </c>
      <c r="K479" s="380"/>
      <c r="L479" s="380"/>
      <c r="M479" s="380"/>
      <c r="N479" s="380"/>
      <c r="O479" s="380"/>
      <c r="P479" s="380"/>
      <c r="Q479" s="380"/>
      <c r="R479" s="380"/>
      <c r="S479" s="380"/>
      <c r="T479" s="380"/>
      <c r="U479" s="380"/>
      <c r="V479" s="380"/>
      <c r="W479" s="380"/>
      <c r="X479" s="380"/>
      <c r="Y479" s="21"/>
      <c r="Z479" s="21"/>
      <c r="AA479" s="380"/>
      <c r="AB479" s="380"/>
      <c r="AC479" s="380"/>
      <c r="AD479" s="380"/>
      <c r="AE479" s="380"/>
      <c r="AF479" s="380"/>
      <c r="AG479" s="380"/>
      <c r="AH479" s="380"/>
    </row>
    <row r="480" spans="1:34" s="47" customFormat="1" ht="21.75" customHeight="1" x14ac:dyDescent="0.3">
      <c r="A480" s="114">
        <v>479</v>
      </c>
      <c r="B480" s="377">
        <v>42202</v>
      </c>
      <c r="C480" s="139">
        <v>10283702</v>
      </c>
      <c r="D480" s="114">
        <v>482</v>
      </c>
      <c r="E480" s="22"/>
      <c r="F480" s="381" t="s">
        <v>1083</v>
      </c>
      <c r="G480" s="381" t="s">
        <v>1084</v>
      </c>
      <c r="H480" s="21">
        <v>4143655683</v>
      </c>
      <c r="I480" s="30">
        <v>49000</v>
      </c>
      <c r="J480" s="30">
        <v>26000</v>
      </c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</row>
    <row r="481" spans="1:34" s="47" customFormat="1" ht="21.75" customHeight="1" x14ac:dyDescent="0.3">
      <c r="A481" s="114">
        <v>480</v>
      </c>
      <c r="B481" s="377">
        <v>42208</v>
      </c>
      <c r="C481" s="139">
        <v>13252400</v>
      </c>
      <c r="D481" s="114">
        <v>483</v>
      </c>
      <c r="E481" s="22"/>
      <c r="F481" s="381" t="s">
        <v>1085</v>
      </c>
      <c r="G481" s="381" t="s">
        <v>1085</v>
      </c>
      <c r="H481" s="21">
        <v>4142992756</v>
      </c>
      <c r="I481" s="30">
        <v>49000</v>
      </c>
      <c r="J481" s="30">
        <v>49000</v>
      </c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</row>
    <row r="482" spans="1:34" ht="21.75" customHeight="1" x14ac:dyDescent="0.3">
      <c r="A482" s="370">
        <v>481</v>
      </c>
      <c r="B482" s="376">
        <v>42215</v>
      </c>
      <c r="C482" s="130">
        <v>18739594</v>
      </c>
      <c r="D482" s="370">
        <v>484</v>
      </c>
      <c r="F482" s="336" t="s">
        <v>1087</v>
      </c>
      <c r="G482" s="336" t="s">
        <v>1087</v>
      </c>
      <c r="H482" s="18">
        <v>4140184200</v>
      </c>
      <c r="I482" s="26">
        <v>66000</v>
      </c>
      <c r="J482" s="26">
        <v>6000</v>
      </c>
    </row>
    <row r="483" spans="1:34" ht="21.75" customHeight="1" x14ac:dyDescent="0.3">
      <c r="A483" s="370">
        <v>482</v>
      </c>
      <c r="B483" s="376">
        <v>42215</v>
      </c>
      <c r="C483" s="130">
        <v>20413266</v>
      </c>
      <c r="D483" s="370">
        <v>485</v>
      </c>
      <c r="F483" s="336" t="s">
        <v>1088</v>
      </c>
      <c r="G483" s="336" t="s">
        <v>1088</v>
      </c>
      <c r="H483" s="18">
        <v>4149103388</v>
      </c>
      <c r="I483" s="26">
        <v>66000</v>
      </c>
      <c r="J483" s="26">
        <v>6000</v>
      </c>
    </row>
    <row r="484" spans="1:34" ht="21.75" customHeight="1" x14ac:dyDescent="0.3">
      <c r="A484" s="370">
        <v>483</v>
      </c>
      <c r="B484" s="376">
        <v>42219</v>
      </c>
      <c r="C484" s="130">
        <v>12055873</v>
      </c>
      <c r="D484" s="370">
        <v>486</v>
      </c>
      <c r="F484" s="336" t="s">
        <v>1089</v>
      </c>
      <c r="G484" s="336" t="s">
        <v>1089</v>
      </c>
      <c r="H484" s="18">
        <v>4166126185</v>
      </c>
      <c r="I484" s="26">
        <v>66000</v>
      </c>
      <c r="J484" s="26">
        <v>6000</v>
      </c>
    </row>
    <row r="485" spans="1:34" ht="21.75" customHeight="1" x14ac:dyDescent="0.3">
      <c r="A485" s="370">
        <v>484</v>
      </c>
      <c r="B485" s="376">
        <v>42233</v>
      </c>
      <c r="C485" s="130">
        <v>6524535</v>
      </c>
      <c r="D485" s="370">
        <v>487</v>
      </c>
      <c r="F485" s="336" t="s">
        <v>1098</v>
      </c>
      <c r="G485" s="336" t="s">
        <v>1099</v>
      </c>
      <c r="H485" s="384">
        <v>4143906663</v>
      </c>
      <c r="I485" s="26">
        <v>66000</v>
      </c>
      <c r="J485" s="26">
        <v>6000</v>
      </c>
      <c r="K485" s="367"/>
    </row>
    <row r="486" spans="1:34" ht="21.75" customHeight="1" x14ac:dyDescent="0.3">
      <c r="A486" s="370">
        <v>485</v>
      </c>
      <c r="B486" s="376">
        <v>42233</v>
      </c>
      <c r="C486" s="130">
        <v>17743691</v>
      </c>
      <c r="D486" s="370">
        <v>488</v>
      </c>
      <c r="F486" s="385" t="s">
        <v>1069</v>
      </c>
      <c r="G486" s="336" t="s">
        <v>1068</v>
      </c>
      <c r="H486" s="384">
        <v>4127366811</v>
      </c>
      <c r="I486" s="26">
        <v>66000</v>
      </c>
      <c r="J486" s="26">
        <v>6000</v>
      </c>
      <c r="K486" s="367"/>
    </row>
    <row r="487" spans="1:34" ht="21.75" customHeight="1" x14ac:dyDescent="0.3">
      <c r="A487" s="370">
        <v>486</v>
      </c>
      <c r="B487" s="376">
        <v>42222</v>
      </c>
      <c r="C487" s="130">
        <v>6272432</v>
      </c>
      <c r="D487" s="370">
        <v>489</v>
      </c>
      <c r="F487" s="336" t="s">
        <v>1100</v>
      </c>
      <c r="G487" s="336" t="s">
        <v>1101</v>
      </c>
      <c r="H487" s="384">
        <v>4142567882</v>
      </c>
      <c r="I487" s="26">
        <v>66000</v>
      </c>
      <c r="J487" s="26">
        <v>6000</v>
      </c>
      <c r="K487" s="367"/>
    </row>
    <row r="488" spans="1:34" ht="21.75" customHeight="1" x14ac:dyDescent="0.3">
      <c r="A488" s="370">
        <v>487</v>
      </c>
      <c r="B488" s="376">
        <v>42233</v>
      </c>
      <c r="C488" s="130">
        <v>11937726</v>
      </c>
      <c r="D488" s="370">
        <v>490</v>
      </c>
      <c r="F488" s="336" t="s">
        <v>1102</v>
      </c>
      <c r="G488" s="336" t="s">
        <v>1102</v>
      </c>
      <c r="H488" s="384">
        <v>4241322969</v>
      </c>
      <c r="I488" s="26">
        <v>66000</v>
      </c>
      <c r="J488" s="26">
        <v>6000</v>
      </c>
      <c r="K488" s="367"/>
    </row>
    <row r="489" spans="1:34" ht="19.5" customHeight="1" x14ac:dyDescent="0.3">
      <c r="A489" s="370">
        <v>488</v>
      </c>
      <c r="B489" s="376">
        <v>42229</v>
      </c>
      <c r="C489" s="130">
        <v>15508504</v>
      </c>
      <c r="D489" s="370">
        <v>491</v>
      </c>
      <c r="F489" s="336" t="s">
        <v>1103</v>
      </c>
      <c r="G489" s="336" t="s">
        <v>1103</v>
      </c>
      <c r="H489" s="384">
        <v>4241080522</v>
      </c>
      <c r="I489" s="26">
        <v>66000</v>
      </c>
      <c r="J489" s="26">
        <v>6000</v>
      </c>
      <c r="K489" s="367"/>
    </row>
    <row r="490" spans="1:34" s="47" customFormat="1" ht="21.75" customHeight="1" x14ac:dyDescent="0.3">
      <c r="A490" s="114">
        <v>489</v>
      </c>
      <c r="B490" s="377">
        <v>42230</v>
      </c>
      <c r="C490" s="139">
        <v>10484200</v>
      </c>
      <c r="D490" s="114">
        <v>492</v>
      </c>
      <c r="E490" s="22"/>
      <c r="F490" s="381" t="s">
        <v>1030</v>
      </c>
      <c r="G490" s="381" t="s">
        <v>1031</v>
      </c>
      <c r="H490" s="21">
        <v>4123623939</v>
      </c>
      <c r="I490" s="30">
        <v>49000</v>
      </c>
      <c r="J490" s="30">
        <v>6000</v>
      </c>
      <c r="K490" s="114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</row>
    <row r="491" spans="1:34" ht="21.75" customHeight="1" x14ac:dyDescent="0.3">
      <c r="A491" s="370">
        <v>490</v>
      </c>
      <c r="B491" s="376">
        <v>42230</v>
      </c>
      <c r="C491" s="130">
        <v>11819469</v>
      </c>
      <c r="D491" s="370">
        <v>493</v>
      </c>
      <c r="F491" s="336" t="s">
        <v>1104</v>
      </c>
      <c r="G491" s="336" t="s">
        <v>1105</v>
      </c>
      <c r="H491" s="384">
        <v>4143329113</v>
      </c>
      <c r="I491" s="26">
        <v>66000</v>
      </c>
      <c r="J491" s="26">
        <v>6000</v>
      </c>
      <c r="K491" s="367"/>
    </row>
    <row r="492" spans="1:34" ht="21.75" customHeight="1" x14ac:dyDescent="0.3">
      <c r="A492" s="370">
        <v>491</v>
      </c>
      <c r="B492" s="376">
        <v>42233</v>
      </c>
      <c r="C492" s="130">
        <v>24463808</v>
      </c>
      <c r="D492" s="370">
        <v>494</v>
      </c>
      <c r="F492" s="336" t="s">
        <v>1106</v>
      </c>
      <c r="G492" s="336" t="s">
        <v>1106</v>
      </c>
      <c r="H492" s="384">
        <v>4241593931</v>
      </c>
      <c r="I492" s="26">
        <v>66000</v>
      </c>
      <c r="J492" s="26">
        <v>6000</v>
      </c>
      <c r="K492" s="367"/>
    </row>
    <row r="493" spans="1:34" s="47" customFormat="1" ht="21.75" customHeight="1" x14ac:dyDescent="0.3">
      <c r="A493" s="114">
        <v>492</v>
      </c>
      <c r="B493" s="377">
        <v>42233</v>
      </c>
      <c r="C493" s="139">
        <v>23950447</v>
      </c>
      <c r="D493" s="114">
        <v>495</v>
      </c>
      <c r="E493" s="22"/>
      <c r="F493" s="381" t="s">
        <v>1107</v>
      </c>
      <c r="G493" s="381" t="s">
        <v>1107</v>
      </c>
      <c r="H493" s="21">
        <v>4241636008</v>
      </c>
      <c r="I493" s="30">
        <v>39000</v>
      </c>
      <c r="J493" s="30">
        <v>39000</v>
      </c>
      <c r="K493" s="114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</row>
    <row r="494" spans="1:34" s="47" customFormat="1" ht="21.75" customHeight="1" x14ac:dyDescent="0.3">
      <c r="A494" s="114">
        <v>493</v>
      </c>
      <c r="B494" s="377">
        <v>42229</v>
      </c>
      <c r="C494" s="139">
        <v>13866685</v>
      </c>
      <c r="D494" s="114">
        <v>496</v>
      </c>
      <c r="E494" s="22"/>
      <c r="F494" s="381" t="s">
        <v>1041</v>
      </c>
      <c r="G494" s="381" t="s">
        <v>1042</v>
      </c>
      <c r="H494" s="21">
        <v>4140183189</v>
      </c>
      <c r="I494" s="30">
        <v>49000</v>
      </c>
      <c r="J494" s="30">
        <v>49000</v>
      </c>
      <c r="K494" s="114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</row>
    <row r="495" spans="1:34" ht="21.75" customHeight="1" x14ac:dyDescent="0.3">
      <c r="A495" s="370">
        <v>494</v>
      </c>
      <c r="B495" s="434">
        <v>42233</v>
      </c>
      <c r="C495" s="130">
        <v>15666544</v>
      </c>
      <c r="D495" s="370">
        <v>497</v>
      </c>
      <c r="F495" s="336" t="s">
        <v>1108</v>
      </c>
      <c r="G495" s="336" t="s">
        <v>1108</v>
      </c>
      <c r="H495" s="384">
        <v>4145298086</v>
      </c>
      <c r="I495" s="26">
        <v>66000</v>
      </c>
      <c r="J495" s="26">
        <v>6000</v>
      </c>
      <c r="K495" s="367"/>
    </row>
    <row r="496" spans="1:34" ht="21.75" customHeight="1" x14ac:dyDescent="0.3">
      <c r="A496" s="370">
        <v>495</v>
      </c>
      <c r="B496" s="376">
        <v>42234</v>
      </c>
      <c r="C496" s="130">
        <v>22667336</v>
      </c>
      <c r="D496" s="370">
        <v>498</v>
      </c>
      <c r="F496" s="336" t="s">
        <v>1109</v>
      </c>
      <c r="G496" s="336" t="s">
        <v>1109</v>
      </c>
      <c r="H496" s="384">
        <v>4142561041</v>
      </c>
      <c r="I496" s="26">
        <v>66000</v>
      </c>
      <c r="J496" s="26">
        <v>6000</v>
      </c>
      <c r="K496" s="367"/>
    </row>
    <row r="497" spans="1:34" ht="21.75" customHeight="1" x14ac:dyDescent="0.3">
      <c r="A497" s="370">
        <v>496</v>
      </c>
      <c r="B497" s="376">
        <v>42234</v>
      </c>
      <c r="C497" s="130">
        <v>11049193</v>
      </c>
      <c r="D497" s="370">
        <v>499</v>
      </c>
      <c r="F497" s="336" t="s">
        <v>1064</v>
      </c>
      <c r="G497" s="336" t="s">
        <v>1065</v>
      </c>
      <c r="H497" s="384"/>
      <c r="I497" s="26">
        <v>66000</v>
      </c>
      <c r="J497" s="26">
        <v>6000</v>
      </c>
      <c r="K497" s="367"/>
    </row>
    <row r="498" spans="1:34" ht="21.75" customHeight="1" x14ac:dyDescent="0.3">
      <c r="A498" s="370">
        <v>497</v>
      </c>
      <c r="B498" s="376">
        <v>42235</v>
      </c>
      <c r="C498" s="130">
        <v>11821280</v>
      </c>
      <c r="D498" s="370">
        <v>500</v>
      </c>
      <c r="F498" s="336" t="s">
        <v>1110</v>
      </c>
      <c r="G498" s="336" t="s">
        <v>1110</v>
      </c>
      <c r="H498" s="384">
        <v>4149001234</v>
      </c>
      <c r="I498" s="26">
        <v>66000</v>
      </c>
      <c r="J498" s="26">
        <v>6000</v>
      </c>
      <c r="K498" s="367"/>
    </row>
    <row r="499" spans="1:34" ht="21.75" customHeight="1" x14ac:dyDescent="0.3">
      <c r="A499" s="370">
        <v>498</v>
      </c>
      <c r="B499" s="376">
        <v>42235</v>
      </c>
      <c r="C499" s="130">
        <v>10278585</v>
      </c>
      <c r="D499" s="370">
        <v>501</v>
      </c>
      <c r="F499" s="336" t="s">
        <v>1111</v>
      </c>
      <c r="G499" s="336" t="s">
        <v>1111</v>
      </c>
      <c r="H499" s="384">
        <v>4142468436</v>
      </c>
      <c r="I499" s="26">
        <v>66000</v>
      </c>
      <c r="J499" s="26">
        <v>6000</v>
      </c>
      <c r="K499" s="367"/>
    </row>
    <row r="500" spans="1:34" ht="21.75" customHeight="1" x14ac:dyDescent="0.3">
      <c r="A500" s="370">
        <v>499</v>
      </c>
      <c r="B500" s="376">
        <v>42236</v>
      </c>
      <c r="C500" s="130">
        <v>13307429</v>
      </c>
      <c r="D500" s="370">
        <v>502</v>
      </c>
      <c r="F500" s="336" t="s">
        <v>1112</v>
      </c>
      <c r="G500" s="336" t="s">
        <v>949</v>
      </c>
      <c r="H500" s="384">
        <v>4143149683</v>
      </c>
      <c r="I500" s="26">
        <v>66000</v>
      </c>
      <c r="J500" s="26">
        <v>6000</v>
      </c>
      <c r="K500" s="367"/>
    </row>
    <row r="501" spans="1:34" s="47" customFormat="1" ht="21.75" customHeight="1" x14ac:dyDescent="0.3">
      <c r="A501" s="114">
        <v>500</v>
      </c>
      <c r="B501" s="377">
        <v>42236</v>
      </c>
      <c r="C501" s="139">
        <v>12357769</v>
      </c>
      <c r="D501" s="114">
        <v>503</v>
      </c>
      <c r="E501" s="22"/>
      <c r="F501" s="381" t="s">
        <v>1059</v>
      </c>
      <c r="G501" s="381" t="s">
        <v>1113</v>
      </c>
      <c r="H501" s="21">
        <v>4123798495</v>
      </c>
      <c r="I501" s="30">
        <v>49000</v>
      </c>
      <c r="J501" s="30">
        <v>49000</v>
      </c>
      <c r="K501" s="114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</row>
    <row r="502" spans="1:34" ht="21.75" customHeight="1" x14ac:dyDescent="0.3">
      <c r="A502" s="370">
        <v>501</v>
      </c>
      <c r="B502" s="376">
        <v>42237</v>
      </c>
      <c r="C502" s="130">
        <v>16332422</v>
      </c>
      <c r="D502" s="370">
        <v>504</v>
      </c>
      <c r="F502" s="336" t="s">
        <v>1050</v>
      </c>
      <c r="G502" s="336" t="s">
        <v>1049</v>
      </c>
      <c r="H502" s="384">
        <v>4241702319</v>
      </c>
      <c r="I502" s="26">
        <v>66000</v>
      </c>
      <c r="J502" s="26">
        <v>6000</v>
      </c>
      <c r="K502" s="367"/>
    </row>
    <row r="503" spans="1:34" ht="21.75" customHeight="1" x14ac:dyDescent="0.3">
      <c r="A503" s="370">
        <v>502</v>
      </c>
      <c r="B503" s="376">
        <v>42237</v>
      </c>
      <c r="C503" s="130">
        <v>16332422</v>
      </c>
      <c r="D503" s="370">
        <v>505</v>
      </c>
      <c r="F503" s="336" t="s">
        <v>1048</v>
      </c>
      <c r="G503" s="336" t="s">
        <v>1049</v>
      </c>
      <c r="H503" s="384">
        <v>4241702319</v>
      </c>
      <c r="I503" s="26">
        <v>66000</v>
      </c>
      <c r="J503" s="26">
        <v>6000</v>
      </c>
      <c r="K503" s="367"/>
    </row>
    <row r="504" spans="1:34" ht="21.75" customHeight="1" x14ac:dyDescent="0.3">
      <c r="A504" s="370">
        <v>503</v>
      </c>
      <c r="B504" s="376">
        <v>42237</v>
      </c>
      <c r="C504" s="130">
        <v>11934965</v>
      </c>
      <c r="D504" s="370">
        <v>506</v>
      </c>
      <c r="F504" s="336" t="s">
        <v>1054</v>
      </c>
      <c r="G504" s="336" t="s">
        <v>1055</v>
      </c>
      <c r="H504" s="384">
        <v>4143804223</v>
      </c>
      <c r="I504" s="26">
        <v>66000</v>
      </c>
      <c r="J504" s="26">
        <v>6000</v>
      </c>
      <c r="K504" s="367"/>
    </row>
    <row r="505" spans="1:34" ht="21.75" customHeight="1" x14ac:dyDescent="0.3">
      <c r="A505" s="370">
        <v>504</v>
      </c>
      <c r="B505" s="376">
        <v>42237</v>
      </c>
      <c r="C505" s="130">
        <v>12879616</v>
      </c>
      <c r="D505" s="370">
        <v>507</v>
      </c>
      <c r="F505" s="336" t="s">
        <v>964</v>
      </c>
      <c r="G505" s="336" t="s">
        <v>965</v>
      </c>
      <c r="H505" s="384">
        <v>4143372719</v>
      </c>
      <c r="I505" s="26">
        <v>66000</v>
      </c>
      <c r="J505" s="26">
        <v>6000</v>
      </c>
      <c r="K505" s="367"/>
    </row>
    <row r="506" spans="1:34" ht="21.75" customHeight="1" x14ac:dyDescent="0.3">
      <c r="A506" s="370">
        <v>505</v>
      </c>
      <c r="B506" s="376">
        <v>42237</v>
      </c>
      <c r="C506" s="130">
        <v>12879616</v>
      </c>
      <c r="D506" s="370">
        <v>508</v>
      </c>
      <c r="F506" s="336" t="s">
        <v>969</v>
      </c>
      <c r="G506" s="336" t="s">
        <v>965</v>
      </c>
      <c r="H506" s="384">
        <v>4143372719</v>
      </c>
      <c r="I506" s="26">
        <v>66000</v>
      </c>
      <c r="J506" s="26">
        <v>6000</v>
      </c>
      <c r="K506" s="367"/>
    </row>
    <row r="507" spans="1:34" ht="21.75" customHeight="1" x14ac:dyDescent="0.3">
      <c r="A507" s="370">
        <v>506</v>
      </c>
      <c r="B507" s="376">
        <v>42237</v>
      </c>
      <c r="C507" s="130">
        <v>12879616</v>
      </c>
      <c r="D507" s="370">
        <v>509</v>
      </c>
      <c r="F507" s="336" t="s">
        <v>968</v>
      </c>
      <c r="G507" s="336" t="s">
        <v>965</v>
      </c>
      <c r="H507" s="384">
        <v>4143372719</v>
      </c>
      <c r="I507" s="26">
        <v>66000</v>
      </c>
      <c r="J507" s="26">
        <v>6000</v>
      </c>
      <c r="K507" s="367"/>
    </row>
    <row r="508" spans="1:34" ht="21.75" customHeight="1" x14ac:dyDescent="0.3">
      <c r="A508" s="370">
        <v>507</v>
      </c>
      <c r="B508" s="376">
        <v>42237</v>
      </c>
      <c r="C508" s="130">
        <v>12715817</v>
      </c>
      <c r="D508" s="370">
        <v>510</v>
      </c>
      <c r="F508" s="336" t="s">
        <v>1062</v>
      </c>
      <c r="G508" s="336" t="s">
        <v>1063</v>
      </c>
      <c r="H508" s="384">
        <v>4141255089</v>
      </c>
      <c r="I508" s="26">
        <v>66000</v>
      </c>
      <c r="J508" s="26">
        <v>6000</v>
      </c>
      <c r="K508" s="367"/>
    </row>
    <row r="509" spans="1:34" ht="21.75" customHeight="1" x14ac:dyDescent="0.3">
      <c r="A509" s="370">
        <v>508</v>
      </c>
      <c r="B509" s="376">
        <v>42237</v>
      </c>
      <c r="C509" s="130">
        <v>6275230</v>
      </c>
      <c r="D509" s="370">
        <v>511</v>
      </c>
      <c r="F509" s="336" t="s">
        <v>1114</v>
      </c>
      <c r="G509" s="336" t="s">
        <v>1115</v>
      </c>
      <c r="H509" s="384">
        <v>4262727717</v>
      </c>
      <c r="I509" s="26">
        <v>66000</v>
      </c>
      <c r="J509" s="26">
        <v>6000</v>
      </c>
      <c r="K509" s="367"/>
    </row>
    <row r="510" spans="1:34" ht="21.75" customHeight="1" x14ac:dyDescent="0.3">
      <c r="A510" s="370">
        <v>509</v>
      </c>
      <c r="B510" s="376">
        <v>42241</v>
      </c>
      <c r="C510" s="130">
        <v>12881125</v>
      </c>
      <c r="D510" s="370">
        <v>512</v>
      </c>
      <c r="F510" s="336" t="s">
        <v>1116</v>
      </c>
      <c r="G510" s="336" t="s">
        <v>1116</v>
      </c>
      <c r="H510" s="384">
        <v>4142644044</v>
      </c>
      <c r="I510" s="26">
        <v>60000</v>
      </c>
      <c r="J510" s="26">
        <v>6000</v>
      </c>
      <c r="K510" s="367"/>
    </row>
    <row r="511" spans="1:34" ht="21.75" customHeight="1" x14ac:dyDescent="0.3">
      <c r="A511" s="370">
        <v>510</v>
      </c>
      <c r="B511" s="376">
        <v>42245</v>
      </c>
      <c r="C511" s="130">
        <v>6136023</v>
      </c>
      <c r="D511" s="370">
        <v>513</v>
      </c>
      <c r="F511" s="336" t="s">
        <v>1119</v>
      </c>
      <c r="G511" s="336" t="s">
        <v>1120</v>
      </c>
      <c r="H511" s="384">
        <v>4142679504</v>
      </c>
      <c r="I511" s="26">
        <v>66000</v>
      </c>
      <c r="J511" s="26">
        <v>6000</v>
      </c>
      <c r="K511" s="367"/>
    </row>
    <row r="512" spans="1:34" ht="21.75" customHeight="1" x14ac:dyDescent="0.3">
      <c r="A512" s="370">
        <v>511</v>
      </c>
      <c r="B512" s="376">
        <v>42245</v>
      </c>
      <c r="C512" s="130">
        <v>6518373</v>
      </c>
      <c r="D512" s="370">
        <v>514</v>
      </c>
      <c r="F512" s="336" t="s">
        <v>1121</v>
      </c>
      <c r="G512" s="336" t="s">
        <v>928</v>
      </c>
      <c r="H512" s="386">
        <v>4142937886</v>
      </c>
      <c r="I512" s="26">
        <v>75900</v>
      </c>
      <c r="J512" s="26">
        <v>6900</v>
      </c>
      <c r="K512" s="367"/>
    </row>
    <row r="513" spans="1:34" ht="21.75" customHeight="1" x14ac:dyDescent="0.3">
      <c r="A513" s="370">
        <v>512</v>
      </c>
      <c r="B513" s="376">
        <v>42244</v>
      </c>
      <c r="C513" s="130">
        <v>5579993</v>
      </c>
      <c r="D513" s="370">
        <v>515</v>
      </c>
      <c r="F513" s="336" t="s">
        <v>1122</v>
      </c>
      <c r="G513" s="336" t="s">
        <v>1122</v>
      </c>
      <c r="H513" s="384">
        <v>4143354103</v>
      </c>
      <c r="I513" s="26">
        <v>55200</v>
      </c>
      <c r="J513" s="26">
        <v>6900</v>
      </c>
      <c r="K513" s="367"/>
    </row>
    <row r="514" spans="1:34" ht="21.75" customHeight="1" x14ac:dyDescent="0.3">
      <c r="A514" s="370">
        <v>513</v>
      </c>
      <c r="B514" s="376">
        <v>42224</v>
      </c>
      <c r="C514" s="130">
        <v>10332045</v>
      </c>
      <c r="D514" s="370">
        <v>516</v>
      </c>
      <c r="F514" s="336" t="s">
        <v>947</v>
      </c>
      <c r="G514" s="336" t="s">
        <v>948</v>
      </c>
      <c r="H514" s="384">
        <v>4141295654</v>
      </c>
      <c r="I514" s="26">
        <v>66000</v>
      </c>
      <c r="J514" s="26">
        <v>6000</v>
      </c>
      <c r="K514" s="367"/>
    </row>
    <row r="515" spans="1:34" ht="21.75" customHeight="1" x14ac:dyDescent="0.3">
      <c r="A515" s="370">
        <v>514</v>
      </c>
      <c r="B515" s="128">
        <v>42245</v>
      </c>
      <c r="C515" s="130">
        <v>18025188</v>
      </c>
      <c r="D515" s="370">
        <v>517</v>
      </c>
      <c r="F515" s="336" t="s">
        <v>1123</v>
      </c>
      <c r="G515" s="336" t="s">
        <v>1123</v>
      </c>
      <c r="H515" s="384">
        <v>4241119563</v>
      </c>
      <c r="I515" s="26">
        <v>66000</v>
      </c>
      <c r="J515" s="26">
        <v>6000</v>
      </c>
      <c r="K515" s="367"/>
    </row>
    <row r="516" spans="1:34" s="47" customFormat="1" ht="21.75" customHeight="1" x14ac:dyDescent="0.3">
      <c r="A516" s="114">
        <v>515</v>
      </c>
      <c r="B516" s="129">
        <v>42245</v>
      </c>
      <c r="C516" s="139">
        <v>12730216</v>
      </c>
      <c r="D516" s="114">
        <v>518</v>
      </c>
      <c r="E516" s="22"/>
      <c r="F516" s="381" t="s">
        <v>1057</v>
      </c>
      <c r="G516" s="381" t="s">
        <v>1058</v>
      </c>
      <c r="H516" s="21">
        <v>4142728665</v>
      </c>
      <c r="I516" s="30">
        <v>50000</v>
      </c>
      <c r="J516" s="30">
        <v>50000</v>
      </c>
      <c r="K516" s="114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</row>
    <row r="517" spans="1:34" ht="21.75" customHeight="1" x14ac:dyDescent="0.3">
      <c r="A517" s="370">
        <v>516</v>
      </c>
      <c r="B517" s="128">
        <v>42243</v>
      </c>
      <c r="C517" s="130">
        <v>12730235</v>
      </c>
      <c r="D517" s="370">
        <v>519</v>
      </c>
      <c r="F517" s="336" t="s">
        <v>1124</v>
      </c>
      <c r="G517" s="336" t="s">
        <v>1125</v>
      </c>
      <c r="H517" s="384">
        <v>4166187712</v>
      </c>
      <c r="I517" s="26">
        <v>66000</v>
      </c>
      <c r="J517" s="26">
        <v>6000</v>
      </c>
      <c r="K517" s="367"/>
    </row>
    <row r="518" spans="1:34" ht="21.75" customHeight="1" x14ac:dyDescent="0.3">
      <c r="A518" s="370">
        <v>517</v>
      </c>
      <c r="B518" s="128">
        <v>42243</v>
      </c>
      <c r="C518" s="130">
        <v>17464674</v>
      </c>
      <c r="D518" s="370">
        <v>520</v>
      </c>
      <c r="F518" s="336" t="s">
        <v>1126</v>
      </c>
      <c r="G518" s="336" t="s">
        <v>1126</v>
      </c>
      <c r="H518" s="384">
        <v>4165907605</v>
      </c>
      <c r="I518" s="26">
        <v>66000</v>
      </c>
      <c r="J518" s="26">
        <v>6000</v>
      </c>
      <c r="K518" s="367"/>
    </row>
    <row r="519" spans="1:34" ht="21.75" customHeight="1" x14ac:dyDescent="0.3">
      <c r="A519" s="370">
        <v>518</v>
      </c>
      <c r="B519" s="128">
        <v>42247</v>
      </c>
      <c r="C519" s="130">
        <v>13135196</v>
      </c>
      <c r="D519" s="370">
        <v>521</v>
      </c>
      <c r="F519" s="336" t="s">
        <v>1056</v>
      </c>
      <c r="G519" s="336" t="s">
        <v>1056</v>
      </c>
      <c r="H519" s="18">
        <v>4145066756</v>
      </c>
      <c r="I519" s="26">
        <v>66000</v>
      </c>
      <c r="J519" s="26">
        <v>6000</v>
      </c>
    </row>
    <row r="520" spans="1:34" ht="21.75" customHeight="1" x14ac:dyDescent="0.3">
      <c r="A520" s="370">
        <v>519</v>
      </c>
      <c r="B520" s="128">
        <v>42245</v>
      </c>
      <c r="C520" s="130">
        <v>12731837</v>
      </c>
      <c r="D520" s="370">
        <v>522</v>
      </c>
      <c r="F520" s="336" t="s">
        <v>1066</v>
      </c>
      <c r="G520" s="336" t="s">
        <v>1067</v>
      </c>
      <c r="H520" s="18">
        <v>4129807802</v>
      </c>
      <c r="I520" s="26">
        <v>66000</v>
      </c>
      <c r="J520" s="26">
        <v>6000</v>
      </c>
    </row>
    <row r="521" spans="1:34" ht="21.75" customHeight="1" x14ac:dyDescent="0.3">
      <c r="A521" s="370">
        <v>520</v>
      </c>
      <c r="B521" s="128">
        <v>42247</v>
      </c>
      <c r="C521" s="130">
        <v>16591593</v>
      </c>
      <c r="D521" s="370">
        <v>523</v>
      </c>
      <c r="F521" s="336" t="s">
        <v>1127</v>
      </c>
      <c r="G521" s="336" t="s">
        <v>1127</v>
      </c>
      <c r="H521" s="18">
        <v>4241440717</v>
      </c>
      <c r="I521" s="26">
        <v>55200</v>
      </c>
      <c r="J521" s="26">
        <v>6900</v>
      </c>
    </row>
    <row r="522" spans="1:34" ht="21.75" customHeight="1" x14ac:dyDescent="0.3">
      <c r="A522" s="370">
        <v>521</v>
      </c>
      <c r="B522" s="128">
        <v>42247</v>
      </c>
      <c r="C522" s="130">
        <v>16591593</v>
      </c>
      <c r="D522" s="370">
        <v>524</v>
      </c>
      <c r="F522" s="336" t="s">
        <v>1128</v>
      </c>
      <c r="G522" s="336" t="s">
        <v>1127</v>
      </c>
      <c r="H522" s="387">
        <v>4241440717</v>
      </c>
      <c r="I522" s="26">
        <v>55200</v>
      </c>
      <c r="J522" s="26">
        <v>6900</v>
      </c>
    </row>
    <row r="523" spans="1:34" ht="21.75" customHeight="1" x14ac:dyDescent="0.3">
      <c r="A523" s="370">
        <v>522</v>
      </c>
      <c r="B523" s="128">
        <v>42244</v>
      </c>
      <c r="C523" s="130">
        <v>11917398</v>
      </c>
      <c r="D523" s="370">
        <v>525</v>
      </c>
      <c r="F523" s="336" t="s">
        <v>1129</v>
      </c>
      <c r="G523" s="336" t="s">
        <v>944</v>
      </c>
      <c r="H523" s="18">
        <v>4169139515</v>
      </c>
      <c r="I523" s="26">
        <v>62100</v>
      </c>
      <c r="J523" s="26">
        <v>6900</v>
      </c>
    </row>
    <row r="524" spans="1:34" ht="21.75" customHeight="1" x14ac:dyDescent="0.3">
      <c r="A524" s="370">
        <v>523</v>
      </c>
      <c r="B524" s="128">
        <v>42250</v>
      </c>
      <c r="C524" s="130">
        <v>6314112</v>
      </c>
      <c r="D524" s="370">
        <v>526</v>
      </c>
      <c r="F524" s="336" t="s">
        <v>1130</v>
      </c>
      <c r="G524" s="336" t="s">
        <v>1130</v>
      </c>
      <c r="H524" s="18">
        <v>4241431961</v>
      </c>
      <c r="I524" s="26">
        <v>62100</v>
      </c>
      <c r="J524" s="26">
        <v>6900</v>
      </c>
    </row>
    <row r="525" spans="1:34" ht="21.75" customHeight="1" x14ac:dyDescent="0.3">
      <c r="A525" s="370">
        <v>524</v>
      </c>
      <c r="B525" s="128">
        <v>42250</v>
      </c>
      <c r="C525" s="130">
        <v>6314112</v>
      </c>
      <c r="D525" s="370">
        <v>527</v>
      </c>
      <c r="F525" s="336" t="s">
        <v>1131</v>
      </c>
      <c r="G525" s="336" t="s">
        <v>1130</v>
      </c>
      <c r="H525" s="387">
        <v>4241431961</v>
      </c>
      <c r="I525" s="26">
        <v>62100</v>
      </c>
      <c r="J525" s="26">
        <v>6900</v>
      </c>
    </row>
    <row r="526" spans="1:34" s="47" customFormat="1" ht="21.75" customHeight="1" x14ac:dyDescent="0.3">
      <c r="A526" s="114">
        <v>525</v>
      </c>
      <c r="B526" s="129">
        <v>42250</v>
      </c>
      <c r="C526" s="139">
        <v>3402942</v>
      </c>
      <c r="D526" s="22" t="s">
        <v>1146</v>
      </c>
      <c r="E526" s="22"/>
      <c r="F526" s="381" t="s">
        <v>584</v>
      </c>
      <c r="G526" s="381" t="s">
        <v>1077</v>
      </c>
      <c r="H526" s="21">
        <v>4142639808</v>
      </c>
      <c r="I526" s="30">
        <v>39000</v>
      </c>
      <c r="J526" s="30">
        <v>30000</v>
      </c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</row>
    <row r="527" spans="1:34" ht="21.75" customHeight="1" x14ac:dyDescent="0.3">
      <c r="A527" s="370">
        <v>526</v>
      </c>
      <c r="B527" s="128">
        <v>42250</v>
      </c>
      <c r="C527" s="130">
        <v>8682778</v>
      </c>
      <c r="D527" s="370">
        <v>529</v>
      </c>
      <c r="F527" s="336" t="s">
        <v>1136</v>
      </c>
      <c r="G527" s="336" t="s">
        <v>495</v>
      </c>
      <c r="H527" s="18">
        <v>4142310779</v>
      </c>
      <c r="I527" s="26">
        <v>62100</v>
      </c>
      <c r="J527" s="26">
        <v>6900</v>
      </c>
    </row>
    <row r="528" spans="1:34" ht="21.75" customHeight="1" x14ac:dyDescent="0.3">
      <c r="A528" s="370">
        <v>527</v>
      </c>
      <c r="B528" s="128">
        <v>42250</v>
      </c>
      <c r="C528" s="130">
        <v>8682778</v>
      </c>
      <c r="D528" s="370">
        <v>530</v>
      </c>
      <c r="F528" s="336" t="s">
        <v>502</v>
      </c>
      <c r="G528" s="336" t="s">
        <v>495</v>
      </c>
      <c r="H528" s="390">
        <v>4142310779</v>
      </c>
      <c r="I528" s="26">
        <v>62100</v>
      </c>
      <c r="J528" s="26">
        <v>6900</v>
      </c>
    </row>
    <row r="529" spans="1:34" ht="21.75" customHeight="1" x14ac:dyDescent="0.3">
      <c r="A529" s="370">
        <v>528</v>
      </c>
      <c r="B529" s="128">
        <v>42250</v>
      </c>
      <c r="C529" s="130">
        <v>8682778</v>
      </c>
      <c r="D529" s="370">
        <v>531</v>
      </c>
      <c r="F529" s="336" t="s">
        <v>1137</v>
      </c>
      <c r="G529" s="336" t="s">
        <v>495</v>
      </c>
      <c r="H529" s="390">
        <v>4142310779</v>
      </c>
      <c r="I529" s="26">
        <v>62100</v>
      </c>
      <c r="J529" s="26">
        <v>6900</v>
      </c>
    </row>
    <row r="530" spans="1:34" s="47" customFormat="1" ht="21.75" customHeight="1" x14ac:dyDescent="0.3">
      <c r="A530" s="114">
        <v>529</v>
      </c>
      <c r="B530" s="129">
        <v>42254</v>
      </c>
      <c r="C530" s="139">
        <v>6324258</v>
      </c>
      <c r="D530" s="114">
        <v>532</v>
      </c>
      <c r="E530" s="22"/>
      <c r="F530" s="381" t="s">
        <v>1138</v>
      </c>
      <c r="G530" s="381" t="s">
        <v>137</v>
      </c>
      <c r="H530" s="21">
        <v>4242358220</v>
      </c>
      <c r="I530" s="30">
        <v>27000</v>
      </c>
      <c r="J530" s="30">
        <v>27000</v>
      </c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</row>
    <row r="531" spans="1:34" ht="21.75" customHeight="1" x14ac:dyDescent="0.3">
      <c r="A531" s="370">
        <v>530</v>
      </c>
      <c r="B531" s="128">
        <v>42254</v>
      </c>
      <c r="C531" s="130">
        <v>11411938</v>
      </c>
      <c r="D531" s="370">
        <v>533</v>
      </c>
      <c r="F531" s="336" t="s">
        <v>979</v>
      </c>
      <c r="G531" s="336" t="s">
        <v>1139</v>
      </c>
      <c r="H531" s="442">
        <v>4169348945</v>
      </c>
      <c r="I531" s="26">
        <v>0</v>
      </c>
      <c r="J531" s="26">
        <v>0</v>
      </c>
    </row>
    <row r="532" spans="1:34" ht="21.75" customHeight="1" x14ac:dyDescent="0.3">
      <c r="A532" s="370">
        <v>531</v>
      </c>
      <c r="B532" s="128">
        <v>42254</v>
      </c>
      <c r="C532" s="130">
        <v>11411938</v>
      </c>
      <c r="D532" s="370">
        <v>534</v>
      </c>
      <c r="F532" s="336" t="s">
        <v>976</v>
      </c>
      <c r="G532" s="336" t="s">
        <v>1139</v>
      </c>
      <c r="H532" s="393">
        <v>4169348945</v>
      </c>
      <c r="I532" s="26">
        <v>0</v>
      </c>
      <c r="J532" s="26">
        <v>0</v>
      </c>
    </row>
    <row r="533" spans="1:34" s="47" customFormat="1" ht="21.75" customHeight="1" x14ac:dyDescent="0.3">
      <c r="A533" s="114">
        <v>532</v>
      </c>
      <c r="B533" s="129">
        <v>42255</v>
      </c>
      <c r="C533" s="139">
        <v>20114926</v>
      </c>
      <c r="D533" s="114">
        <v>535</v>
      </c>
      <c r="E533" s="22"/>
      <c r="F533" s="381" t="s">
        <v>1140</v>
      </c>
      <c r="G533" s="381" t="s">
        <v>1141</v>
      </c>
      <c r="H533" s="21">
        <v>4129636790</v>
      </c>
      <c r="I533" s="30">
        <v>40000</v>
      </c>
      <c r="J533" s="30">
        <v>40000</v>
      </c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</row>
    <row r="534" spans="1:34" s="47" customFormat="1" ht="21.75" customHeight="1" x14ac:dyDescent="0.3">
      <c r="A534" s="114">
        <v>533</v>
      </c>
      <c r="B534" s="129">
        <v>42255</v>
      </c>
      <c r="C534" s="139">
        <v>19735813</v>
      </c>
      <c r="D534" s="114">
        <v>536</v>
      </c>
      <c r="E534" s="22"/>
      <c r="F534" s="381" t="s">
        <v>1093</v>
      </c>
      <c r="G534" s="381" t="s">
        <v>1094</v>
      </c>
      <c r="H534" s="21">
        <v>4261122906</v>
      </c>
      <c r="I534" s="30">
        <v>40000</v>
      </c>
      <c r="J534" s="30">
        <v>6900</v>
      </c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</row>
    <row r="535" spans="1:34" s="47" customFormat="1" ht="21.75" customHeight="1" x14ac:dyDescent="0.3">
      <c r="A535" s="114">
        <v>534</v>
      </c>
      <c r="B535" s="129">
        <v>42229</v>
      </c>
      <c r="C535" s="139">
        <v>13686407</v>
      </c>
      <c r="D535" s="114">
        <v>537</v>
      </c>
      <c r="E535" s="22"/>
      <c r="F535" s="381" t="s">
        <v>1142</v>
      </c>
      <c r="G535" s="381" t="s">
        <v>1052</v>
      </c>
      <c r="H535" s="21">
        <v>4128081012</v>
      </c>
      <c r="I535" s="30">
        <v>43000</v>
      </c>
      <c r="J535" s="30">
        <v>43000</v>
      </c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</row>
    <row r="536" spans="1:34" s="47" customFormat="1" ht="21.75" customHeight="1" x14ac:dyDescent="0.3">
      <c r="A536" s="114">
        <v>535</v>
      </c>
      <c r="B536" s="129">
        <v>42255</v>
      </c>
      <c r="C536" s="139"/>
      <c r="D536" s="114">
        <v>538</v>
      </c>
      <c r="E536" s="22"/>
      <c r="F536" s="428" t="s">
        <v>1153</v>
      </c>
      <c r="G536" s="381" t="s">
        <v>1143</v>
      </c>
      <c r="H536" s="21">
        <v>4242586990</v>
      </c>
      <c r="I536" s="30">
        <v>40000</v>
      </c>
      <c r="J536" s="30">
        <v>40000</v>
      </c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</row>
    <row r="537" spans="1:34" s="47" customFormat="1" ht="21.75" customHeight="1" x14ac:dyDescent="0.3">
      <c r="A537" s="114">
        <v>536</v>
      </c>
      <c r="B537" s="129">
        <v>42255</v>
      </c>
      <c r="C537" s="139"/>
      <c r="D537" s="114">
        <v>539</v>
      </c>
      <c r="E537" s="22"/>
      <c r="F537" s="428" t="s">
        <v>1154</v>
      </c>
      <c r="G537" s="381" t="s">
        <v>1143</v>
      </c>
      <c r="H537" s="21">
        <v>4242586990</v>
      </c>
      <c r="I537" s="30">
        <v>40000</v>
      </c>
      <c r="J537" s="30">
        <v>40000</v>
      </c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</row>
    <row r="538" spans="1:34" s="47" customFormat="1" ht="21.75" customHeight="1" x14ac:dyDescent="0.3">
      <c r="A538" s="114">
        <v>537</v>
      </c>
      <c r="B538" s="129">
        <v>42257</v>
      </c>
      <c r="C538" s="139">
        <v>14206440</v>
      </c>
      <c r="D538" s="114">
        <v>540</v>
      </c>
      <c r="E538" s="22"/>
      <c r="F538" s="381" t="s">
        <v>1080</v>
      </c>
      <c r="G538" s="381" t="s">
        <v>1081</v>
      </c>
      <c r="H538" s="21">
        <v>4242149963</v>
      </c>
      <c r="I538" s="30">
        <v>40000</v>
      </c>
      <c r="J538" s="30">
        <v>34000</v>
      </c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</row>
    <row r="539" spans="1:34" s="47" customFormat="1" ht="21.75" customHeight="1" x14ac:dyDescent="0.3">
      <c r="A539" s="114">
        <v>538</v>
      </c>
      <c r="B539" s="129">
        <v>42258</v>
      </c>
      <c r="C539" s="139">
        <v>6875359</v>
      </c>
      <c r="D539" s="114">
        <v>541</v>
      </c>
      <c r="E539" s="22"/>
      <c r="F539" s="381" t="s">
        <v>1134</v>
      </c>
      <c r="G539" s="381" t="s">
        <v>1135</v>
      </c>
      <c r="H539" s="21">
        <v>4129594867</v>
      </c>
      <c r="I539" s="30">
        <v>40000</v>
      </c>
      <c r="J539" s="30">
        <v>40000</v>
      </c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</row>
    <row r="540" spans="1:34" s="47" customFormat="1" ht="21.75" customHeight="1" x14ac:dyDescent="0.3">
      <c r="A540" s="114">
        <v>539</v>
      </c>
      <c r="B540" s="129">
        <v>42261</v>
      </c>
      <c r="C540" s="139">
        <v>9220690</v>
      </c>
      <c r="D540" s="114">
        <v>542</v>
      </c>
      <c r="E540" s="22"/>
      <c r="F540" s="381" t="s">
        <v>1191</v>
      </c>
      <c r="G540" s="381" t="s">
        <v>1147</v>
      </c>
      <c r="H540" s="21">
        <v>4166387632</v>
      </c>
      <c r="I540" s="30">
        <v>40000</v>
      </c>
      <c r="J540" s="30">
        <v>40000</v>
      </c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</row>
    <row r="541" spans="1:34" ht="21.75" customHeight="1" x14ac:dyDescent="0.3">
      <c r="A541" s="370">
        <v>540</v>
      </c>
      <c r="B541" s="128">
        <v>42257</v>
      </c>
      <c r="C541" s="130">
        <v>6435955</v>
      </c>
      <c r="D541" s="370">
        <v>543</v>
      </c>
      <c r="E541" s="333"/>
      <c r="F541" s="336" t="s">
        <v>1096</v>
      </c>
      <c r="G541" s="336" t="s">
        <v>1096</v>
      </c>
      <c r="H541" s="335">
        <v>4242126412</v>
      </c>
      <c r="I541" s="57">
        <v>62100</v>
      </c>
      <c r="J541" s="26">
        <v>6900</v>
      </c>
    </row>
    <row r="542" spans="1:34" ht="21.75" customHeight="1" x14ac:dyDescent="0.3">
      <c r="A542" s="370">
        <v>541</v>
      </c>
      <c r="B542" s="128">
        <v>42257</v>
      </c>
      <c r="C542" s="130">
        <v>6435955</v>
      </c>
      <c r="D542" s="370">
        <v>544</v>
      </c>
      <c r="F542" s="336" t="s">
        <v>1095</v>
      </c>
      <c r="G542" s="336" t="s">
        <v>1096</v>
      </c>
      <c r="H542" s="18">
        <v>4242126412</v>
      </c>
      <c r="I542" s="26">
        <v>62100</v>
      </c>
      <c r="J542" s="26">
        <v>6900</v>
      </c>
    </row>
    <row r="543" spans="1:34" ht="21.75" customHeight="1" x14ac:dyDescent="0.3">
      <c r="A543" s="370">
        <v>542</v>
      </c>
      <c r="B543" s="128">
        <v>42230</v>
      </c>
      <c r="C543" s="130">
        <v>6860726</v>
      </c>
      <c r="D543" s="370">
        <v>545</v>
      </c>
      <c r="F543" s="336" t="s">
        <v>1082</v>
      </c>
      <c r="G543" s="336" t="s">
        <v>1148</v>
      </c>
      <c r="H543" s="18">
        <v>4166099986</v>
      </c>
      <c r="I543" s="26">
        <v>62100</v>
      </c>
      <c r="J543" s="26">
        <v>6900</v>
      </c>
    </row>
    <row r="544" spans="1:34" ht="21.75" customHeight="1" x14ac:dyDescent="0.3">
      <c r="A544" s="370">
        <v>543</v>
      </c>
      <c r="B544" s="128">
        <v>42263</v>
      </c>
      <c r="C544" s="130">
        <v>5298235</v>
      </c>
      <c r="D544" s="370">
        <v>546</v>
      </c>
      <c r="F544" s="336" t="s">
        <v>1149</v>
      </c>
      <c r="G544" s="336" t="s">
        <v>1150</v>
      </c>
      <c r="H544" s="18">
        <v>4125935575</v>
      </c>
      <c r="I544" s="26">
        <v>40000</v>
      </c>
      <c r="J544" s="26">
        <v>40000</v>
      </c>
    </row>
    <row r="545" spans="1:10" ht="21.75" customHeight="1" x14ac:dyDescent="0.3">
      <c r="A545" s="370">
        <v>544</v>
      </c>
      <c r="B545" s="128">
        <v>42263</v>
      </c>
      <c r="C545" s="130">
        <v>12951878</v>
      </c>
      <c r="D545" s="370">
        <v>547</v>
      </c>
      <c r="F545" s="336" t="s">
        <v>1151</v>
      </c>
      <c r="G545" s="336" t="s">
        <v>1151</v>
      </c>
      <c r="H545" s="18">
        <v>4242937889</v>
      </c>
      <c r="I545" s="26">
        <v>62100</v>
      </c>
      <c r="J545" s="26">
        <v>6900</v>
      </c>
    </row>
    <row r="546" spans="1:10" ht="21.75" customHeight="1" x14ac:dyDescent="0.3">
      <c r="A546" s="370">
        <v>545</v>
      </c>
      <c r="B546" s="128">
        <v>42263</v>
      </c>
      <c r="C546" s="130">
        <v>12951878</v>
      </c>
      <c r="D546" s="370">
        <v>548</v>
      </c>
      <c r="F546" s="336" t="s">
        <v>1152</v>
      </c>
      <c r="G546" s="336" t="s">
        <v>1151</v>
      </c>
      <c r="H546" s="429">
        <v>4242937889</v>
      </c>
      <c r="I546" s="26">
        <v>62100</v>
      </c>
      <c r="J546" s="26">
        <v>6900</v>
      </c>
    </row>
    <row r="547" spans="1:10" ht="21.75" customHeight="1" x14ac:dyDescent="0.3">
      <c r="A547" s="370">
        <v>546</v>
      </c>
      <c r="B547" s="128">
        <v>42263</v>
      </c>
      <c r="C547" s="130">
        <v>11348886</v>
      </c>
      <c r="D547" s="370">
        <v>549</v>
      </c>
      <c r="F547" s="336" t="s">
        <v>1060</v>
      </c>
      <c r="G547" s="336" t="s">
        <v>1061</v>
      </c>
      <c r="H547" s="18">
        <v>4142708772</v>
      </c>
      <c r="I547" s="26">
        <v>62100</v>
      </c>
      <c r="J547" s="26">
        <v>6900</v>
      </c>
    </row>
    <row r="548" spans="1:10" ht="21.75" customHeight="1" x14ac:dyDescent="0.3">
      <c r="A548" s="370">
        <v>547</v>
      </c>
      <c r="B548" s="128">
        <v>42265</v>
      </c>
      <c r="C548" s="130">
        <v>12950558</v>
      </c>
      <c r="D548" s="370">
        <v>550</v>
      </c>
      <c r="F548" s="336" t="s">
        <v>1155</v>
      </c>
      <c r="G548" s="336" t="s">
        <v>1156</v>
      </c>
      <c r="H548" s="18">
        <v>4141158633</v>
      </c>
      <c r="I548" s="26">
        <v>62100</v>
      </c>
      <c r="J548" s="26">
        <v>6900</v>
      </c>
    </row>
    <row r="549" spans="1:10" ht="21.75" customHeight="1" x14ac:dyDescent="0.3">
      <c r="A549" s="370">
        <v>548</v>
      </c>
      <c r="B549" s="128">
        <v>42265</v>
      </c>
      <c r="C549" s="130">
        <v>3819636</v>
      </c>
      <c r="D549" s="387">
        <v>551</v>
      </c>
      <c r="F549" s="336" t="s">
        <v>1157</v>
      </c>
      <c r="G549" s="336" t="s">
        <v>1158</v>
      </c>
      <c r="H549" s="18">
        <v>4242104828</v>
      </c>
      <c r="I549" s="26">
        <v>62100</v>
      </c>
      <c r="J549" s="26">
        <v>6900</v>
      </c>
    </row>
    <row r="550" spans="1:10" ht="21.75" customHeight="1" x14ac:dyDescent="0.3">
      <c r="A550" s="370">
        <v>549</v>
      </c>
      <c r="B550" s="128">
        <v>42268</v>
      </c>
      <c r="C550" s="130">
        <v>14789978</v>
      </c>
      <c r="D550" s="387">
        <v>552</v>
      </c>
      <c r="F550" s="336" t="s">
        <v>1159</v>
      </c>
      <c r="G550" s="336" t="s">
        <v>1160</v>
      </c>
      <c r="H550" s="18">
        <v>4126051436</v>
      </c>
      <c r="I550" s="26">
        <v>40000</v>
      </c>
      <c r="J550" s="26">
        <v>2500</v>
      </c>
    </row>
    <row r="551" spans="1:10" ht="21.75" customHeight="1" x14ac:dyDescent="0.3">
      <c r="A551" s="370">
        <v>550</v>
      </c>
      <c r="B551" s="128">
        <v>42268</v>
      </c>
      <c r="C551" s="130">
        <v>6228500</v>
      </c>
      <c r="D551" s="387">
        <v>553</v>
      </c>
      <c r="F551" s="336" t="s">
        <v>1161</v>
      </c>
      <c r="G551" s="336" t="s">
        <v>1162</v>
      </c>
      <c r="H551" s="18">
        <v>4125552833</v>
      </c>
      <c r="I551" s="26">
        <v>62100</v>
      </c>
      <c r="J551" s="26">
        <v>6900</v>
      </c>
    </row>
    <row r="552" spans="1:10" ht="21.75" customHeight="1" x14ac:dyDescent="0.3">
      <c r="A552" s="370">
        <v>551</v>
      </c>
      <c r="B552" s="128">
        <v>42268</v>
      </c>
      <c r="C552" s="130">
        <v>13127502</v>
      </c>
      <c r="D552" s="387">
        <v>554</v>
      </c>
      <c r="F552" s="336" t="s">
        <v>1163</v>
      </c>
      <c r="G552" s="336" t="s">
        <v>1164</v>
      </c>
      <c r="H552" s="18">
        <v>4142579908</v>
      </c>
      <c r="I552" s="26">
        <v>62100</v>
      </c>
      <c r="J552" s="26">
        <v>6900</v>
      </c>
    </row>
    <row r="553" spans="1:10" ht="21.75" customHeight="1" x14ac:dyDescent="0.3">
      <c r="A553" s="370">
        <v>552</v>
      </c>
      <c r="B553" s="128">
        <v>42269</v>
      </c>
      <c r="C553" s="130">
        <v>25579720</v>
      </c>
      <c r="D553" s="387">
        <v>555</v>
      </c>
      <c r="F553" s="336" t="s">
        <v>1165</v>
      </c>
      <c r="G553" s="336" t="s">
        <v>1165</v>
      </c>
      <c r="H553" s="18">
        <v>4143359009</v>
      </c>
      <c r="I553" s="26">
        <v>62100</v>
      </c>
      <c r="J553" s="26">
        <v>6900</v>
      </c>
    </row>
    <row r="554" spans="1:10" ht="21.75" customHeight="1" x14ac:dyDescent="0.3">
      <c r="A554" s="370">
        <v>553</v>
      </c>
      <c r="B554" s="128">
        <v>42270</v>
      </c>
      <c r="C554" s="130">
        <v>14508514</v>
      </c>
      <c r="D554" s="387">
        <v>556</v>
      </c>
      <c r="F554" s="336" t="s">
        <v>1166</v>
      </c>
      <c r="G554" s="336" t="s">
        <v>1167</v>
      </c>
      <c r="H554" s="18">
        <v>4142029031</v>
      </c>
      <c r="I554" s="26">
        <v>90000</v>
      </c>
    </row>
    <row r="555" spans="1:10" ht="21.75" customHeight="1" x14ac:dyDescent="0.3">
      <c r="A555" s="370">
        <v>554</v>
      </c>
      <c r="B555" s="128">
        <v>42271</v>
      </c>
      <c r="C555" s="130">
        <v>12881989</v>
      </c>
      <c r="D555" s="387">
        <v>557</v>
      </c>
      <c r="F555" s="336" t="s">
        <v>1168</v>
      </c>
      <c r="G555" s="336" t="s">
        <v>1169</v>
      </c>
      <c r="H555" s="18">
        <v>4241205617</v>
      </c>
      <c r="I555" s="26">
        <v>62100</v>
      </c>
      <c r="J555" s="26">
        <v>6900</v>
      </c>
    </row>
    <row r="556" spans="1:10" ht="21.75" customHeight="1" x14ac:dyDescent="0.3">
      <c r="A556" s="370">
        <v>555</v>
      </c>
      <c r="B556" s="128">
        <v>42271</v>
      </c>
      <c r="C556" s="130">
        <v>13483105</v>
      </c>
      <c r="D556" s="387">
        <v>558</v>
      </c>
      <c r="F556" s="336" t="s">
        <v>1170</v>
      </c>
      <c r="G556" s="336" t="s">
        <v>1171</v>
      </c>
      <c r="H556" s="18">
        <v>4149133432</v>
      </c>
      <c r="I556" s="26">
        <v>62100</v>
      </c>
      <c r="J556" s="26">
        <v>6900</v>
      </c>
    </row>
    <row r="557" spans="1:10" ht="21.75" customHeight="1" x14ac:dyDescent="0.3">
      <c r="A557" s="370">
        <v>556</v>
      </c>
      <c r="B557" s="128">
        <v>42271</v>
      </c>
      <c r="C557" s="130">
        <v>13483105</v>
      </c>
      <c r="D557" s="387">
        <v>559</v>
      </c>
      <c r="F557" s="336" t="s">
        <v>1172</v>
      </c>
      <c r="G557" s="336" t="s">
        <v>1171</v>
      </c>
      <c r="H557" s="18">
        <v>4149133432</v>
      </c>
      <c r="I557" s="26">
        <v>62100</v>
      </c>
      <c r="J557" s="26">
        <v>6900</v>
      </c>
    </row>
    <row r="558" spans="1:10" ht="21.75" customHeight="1" x14ac:dyDescent="0.3">
      <c r="A558" s="335">
        <v>557</v>
      </c>
      <c r="B558" s="128">
        <v>42271</v>
      </c>
      <c r="C558" s="130">
        <v>13483105</v>
      </c>
      <c r="D558" s="387">
        <v>560</v>
      </c>
      <c r="F558" s="336" t="s">
        <v>1428</v>
      </c>
      <c r="G558" s="336" t="s">
        <v>1171</v>
      </c>
      <c r="H558" s="18">
        <v>4149133432</v>
      </c>
      <c r="I558" s="26">
        <v>62100</v>
      </c>
      <c r="J558" s="26">
        <v>6900</v>
      </c>
    </row>
    <row r="559" spans="1:10" ht="21.75" customHeight="1" x14ac:dyDescent="0.3">
      <c r="A559" s="430">
        <v>558</v>
      </c>
      <c r="B559" s="128">
        <v>42271</v>
      </c>
      <c r="C559" s="130">
        <v>12881989</v>
      </c>
      <c r="D559" s="387">
        <v>561</v>
      </c>
      <c r="F559" s="336" t="s">
        <v>1174</v>
      </c>
      <c r="G559" s="336" t="s">
        <v>1173</v>
      </c>
      <c r="H559" s="18">
        <v>4241205617</v>
      </c>
      <c r="I559" s="26">
        <v>62100</v>
      </c>
      <c r="J559" s="26">
        <v>6900</v>
      </c>
    </row>
    <row r="560" spans="1:10" ht="21.75" customHeight="1" x14ac:dyDescent="0.3">
      <c r="A560" s="335">
        <v>559</v>
      </c>
      <c r="B560" s="128">
        <v>42270</v>
      </c>
      <c r="C560" s="130">
        <v>11820289</v>
      </c>
      <c r="D560" s="430">
        <v>562</v>
      </c>
      <c r="F560" s="336" t="s">
        <v>1175</v>
      </c>
      <c r="G560" s="336" t="s">
        <v>1175</v>
      </c>
      <c r="H560" s="18">
        <v>4141325388</v>
      </c>
      <c r="I560" s="26">
        <v>45900</v>
      </c>
      <c r="J560" s="26">
        <v>22950</v>
      </c>
    </row>
    <row r="561" spans="1:10" ht="21.75" customHeight="1" x14ac:dyDescent="0.3">
      <c r="A561" s="430">
        <v>560</v>
      </c>
      <c r="B561" s="128">
        <v>42270</v>
      </c>
      <c r="C561" s="130">
        <v>14508514</v>
      </c>
      <c r="D561" s="430">
        <v>563</v>
      </c>
      <c r="F561" s="336" t="s">
        <v>1176</v>
      </c>
      <c r="G561" s="336" t="s">
        <v>1167</v>
      </c>
      <c r="H561" s="18">
        <v>4142029031</v>
      </c>
      <c r="I561" s="26">
        <v>40000</v>
      </c>
      <c r="J561" s="26">
        <v>40000</v>
      </c>
    </row>
    <row r="562" spans="1:10" ht="21.75" customHeight="1" x14ac:dyDescent="0.3">
      <c r="A562" s="335">
        <v>561</v>
      </c>
      <c r="B562" s="128">
        <v>42270</v>
      </c>
      <c r="C562" s="130">
        <v>14508514</v>
      </c>
      <c r="D562" s="430">
        <v>564</v>
      </c>
      <c r="F562" s="336" t="s">
        <v>1167</v>
      </c>
      <c r="G562" s="336" t="s">
        <v>1167</v>
      </c>
      <c r="H562" s="18">
        <v>4142029031</v>
      </c>
      <c r="I562" s="26">
        <v>62100</v>
      </c>
      <c r="J562" s="26">
        <v>6900</v>
      </c>
    </row>
    <row r="563" spans="1:10" ht="21.75" customHeight="1" x14ac:dyDescent="0.3">
      <c r="A563" s="430">
        <v>562</v>
      </c>
      <c r="B563" s="128">
        <v>42270</v>
      </c>
      <c r="C563" s="130">
        <v>10284507</v>
      </c>
      <c r="D563" s="430">
        <v>565</v>
      </c>
      <c r="F563" s="336" t="s">
        <v>1177</v>
      </c>
      <c r="G563" s="336" t="s">
        <v>1178</v>
      </c>
      <c r="H563" s="18">
        <v>4129785202</v>
      </c>
      <c r="I563" s="26">
        <v>45000</v>
      </c>
      <c r="J563" s="26">
        <v>5000</v>
      </c>
    </row>
    <row r="564" spans="1:10" ht="21.75" customHeight="1" x14ac:dyDescent="0.3">
      <c r="A564" s="335">
        <v>563</v>
      </c>
      <c r="B564" s="128">
        <v>42272</v>
      </c>
      <c r="C564" s="130">
        <v>12097650</v>
      </c>
      <c r="D564" s="430">
        <v>566</v>
      </c>
      <c r="F564" s="336" t="s">
        <v>1179</v>
      </c>
      <c r="G564" s="336" t="s">
        <v>1180</v>
      </c>
      <c r="H564" s="18">
        <v>4142434487</v>
      </c>
      <c r="I564" s="26">
        <v>62100</v>
      </c>
      <c r="J564" s="26">
        <v>6900</v>
      </c>
    </row>
    <row r="565" spans="1:10" ht="21.75" customHeight="1" x14ac:dyDescent="0.3">
      <c r="A565" s="430">
        <v>564</v>
      </c>
      <c r="B565" s="128">
        <v>42272</v>
      </c>
      <c r="C565" s="130">
        <v>12097650</v>
      </c>
      <c r="D565" s="430">
        <v>567</v>
      </c>
      <c r="F565" s="336" t="s">
        <v>1181</v>
      </c>
      <c r="G565" s="336" t="s">
        <v>1180</v>
      </c>
      <c r="H565" s="430">
        <v>4142434487</v>
      </c>
      <c r="I565" s="26">
        <v>62100</v>
      </c>
      <c r="J565" s="26">
        <v>6900</v>
      </c>
    </row>
    <row r="566" spans="1:10" ht="21.75" customHeight="1" x14ac:dyDescent="0.3">
      <c r="A566" s="335">
        <v>565</v>
      </c>
      <c r="B566" s="128">
        <v>42273</v>
      </c>
      <c r="C566" s="130">
        <v>12097300</v>
      </c>
      <c r="D566" s="430">
        <v>568</v>
      </c>
      <c r="F566" s="336" t="s">
        <v>995</v>
      </c>
      <c r="G566" s="336" t="s">
        <v>1182</v>
      </c>
      <c r="H566" s="18">
        <v>4265815290</v>
      </c>
      <c r="I566" s="26">
        <v>40000</v>
      </c>
      <c r="J566" s="26">
        <v>20000</v>
      </c>
    </row>
    <row r="567" spans="1:10" ht="21.75" customHeight="1" x14ac:dyDescent="0.3">
      <c r="A567" s="430">
        <v>566</v>
      </c>
      <c r="B567" s="128">
        <v>42273</v>
      </c>
      <c r="C567" s="130">
        <v>13907455</v>
      </c>
      <c r="D567" s="430">
        <v>569</v>
      </c>
      <c r="F567" s="336" t="s">
        <v>719</v>
      </c>
      <c r="G567" s="336" t="s">
        <v>709</v>
      </c>
      <c r="H567" s="18">
        <v>4242249777</v>
      </c>
      <c r="I567" s="26">
        <v>40000</v>
      </c>
      <c r="J567" s="26">
        <v>40000</v>
      </c>
    </row>
    <row r="568" spans="1:10" ht="21.75" customHeight="1" x14ac:dyDescent="0.3">
      <c r="A568" s="335">
        <v>567</v>
      </c>
      <c r="B568" s="128">
        <v>42277</v>
      </c>
      <c r="C568" s="130">
        <v>6228500</v>
      </c>
      <c r="D568" s="430">
        <v>570</v>
      </c>
      <c r="F568" s="336" t="s">
        <v>1183</v>
      </c>
      <c r="G568" s="336" t="s">
        <v>1162</v>
      </c>
      <c r="H568" s="18">
        <v>4125552833</v>
      </c>
      <c r="I568" s="26">
        <v>62100</v>
      </c>
      <c r="J568" s="26">
        <v>6900</v>
      </c>
    </row>
    <row r="569" spans="1:10" ht="21.75" customHeight="1" x14ac:dyDescent="0.3">
      <c r="A569" s="430">
        <v>568</v>
      </c>
      <c r="B569" s="128">
        <v>42277</v>
      </c>
      <c r="C569" s="130">
        <v>12578926</v>
      </c>
      <c r="D569" s="430">
        <v>571</v>
      </c>
      <c r="F569" s="336" t="s">
        <v>1044</v>
      </c>
      <c r="G569" s="336" t="s">
        <v>1045</v>
      </c>
      <c r="H569" s="18">
        <v>4142134342</v>
      </c>
      <c r="I569" s="26">
        <v>62100</v>
      </c>
      <c r="J569" s="26">
        <v>6900</v>
      </c>
    </row>
    <row r="570" spans="1:10" ht="21.75" customHeight="1" x14ac:dyDescent="0.3">
      <c r="A570" s="335">
        <v>569</v>
      </c>
      <c r="B570" s="128">
        <v>42277</v>
      </c>
      <c r="C570" s="130">
        <v>11914697</v>
      </c>
      <c r="D570" s="430">
        <v>572</v>
      </c>
      <c r="F570" s="336" t="s">
        <v>1184</v>
      </c>
      <c r="G570" s="336" t="s">
        <v>1185</v>
      </c>
      <c r="H570" s="18">
        <v>4142741617</v>
      </c>
      <c r="I570" s="26">
        <v>62100</v>
      </c>
      <c r="J570" s="26">
        <v>6900</v>
      </c>
    </row>
    <row r="571" spans="1:10" ht="21.75" customHeight="1" x14ac:dyDescent="0.3">
      <c r="A571" s="430">
        <v>570</v>
      </c>
      <c r="B571" s="128">
        <v>42273</v>
      </c>
      <c r="C571" s="130">
        <v>10626050</v>
      </c>
      <c r="D571" s="430">
        <v>573</v>
      </c>
      <c r="F571" s="336" t="s">
        <v>1132</v>
      </c>
      <c r="G571" s="336" t="s">
        <v>1133</v>
      </c>
      <c r="H571" s="18">
        <v>4241514773</v>
      </c>
      <c r="I571" s="26">
        <v>62100</v>
      </c>
      <c r="J571" s="26">
        <v>6900</v>
      </c>
    </row>
    <row r="572" spans="1:10" ht="21.75" customHeight="1" x14ac:dyDescent="0.3">
      <c r="A572" s="335">
        <v>571</v>
      </c>
      <c r="B572" s="128">
        <v>42277</v>
      </c>
      <c r="C572" s="130">
        <v>16615879</v>
      </c>
      <c r="D572" s="430">
        <v>574</v>
      </c>
      <c r="F572" s="336" t="s">
        <v>1186</v>
      </c>
      <c r="G572" s="336" t="s">
        <v>1187</v>
      </c>
      <c r="H572" s="18">
        <v>4126149656</v>
      </c>
      <c r="I572" s="26">
        <v>62100</v>
      </c>
      <c r="J572" s="26">
        <v>6900</v>
      </c>
    </row>
    <row r="573" spans="1:10" ht="21.75" customHeight="1" x14ac:dyDescent="0.3">
      <c r="A573" s="430">
        <v>572</v>
      </c>
      <c r="B573" s="128">
        <v>42277</v>
      </c>
      <c r="C573" s="130">
        <v>13969368</v>
      </c>
      <c r="D573" s="430">
        <v>575</v>
      </c>
      <c r="F573" s="336" t="s">
        <v>1188</v>
      </c>
      <c r="G573" s="336" t="s">
        <v>1189</v>
      </c>
      <c r="H573" s="18">
        <v>4242988462</v>
      </c>
      <c r="I573" s="26">
        <v>40000</v>
      </c>
      <c r="J573" s="26">
        <v>40000</v>
      </c>
    </row>
    <row r="574" spans="1:10" ht="21.75" customHeight="1" x14ac:dyDescent="0.3">
      <c r="A574" s="335">
        <v>573</v>
      </c>
      <c r="B574" s="128">
        <v>42279</v>
      </c>
      <c r="C574" s="130">
        <v>14216551</v>
      </c>
      <c r="D574" s="430">
        <v>576</v>
      </c>
      <c r="F574" s="336" t="s">
        <v>1192</v>
      </c>
      <c r="G574" s="336" t="s">
        <v>1029</v>
      </c>
      <c r="H574" s="18">
        <v>4143110722</v>
      </c>
      <c r="I574" s="26">
        <v>40000</v>
      </c>
      <c r="J574" s="26">
        <v>40000</v>
      </c>
    </row>
    <row r="575" spans="1:10" ht="21.75" customHeight="1" x14ac:dyDescent="0.3">
      <c r="A575" s="430">
        <v>574</v>
      </c>
      <c r="B575" s="128">
        <v>42279</v>
      </c>
      <c r="C575" s="130">
        <v>15518962</v>
      </c>
      <c r="D575" s="430">
        <v>577</v>
      </c>
      <c r="F575" s="336" t="s">
        <v>1194</v>
      </c>
      <c r="G575" s="336" t="s">
        <v>1193</v>
      </c>
      <c r="H575" s="18">
        <v>4125738036</v>
      </c>
      <c r="I575" s="26">
        <v>62100</v>
      </c>
      <c r="J575" s="26">
        <v>6900</v>
      </c>
    </row>
    <row r="576" spans="1:10" ht="21.75" customHeight="1" x14ac:dyDescent="0.3">
      <c r="A576" s="335">
        <v>575</v>
      </c>
      <c r="B576" s="128">
        <v>42279</v>
      </c>
      <c r="C576" s="130">
        <v>12748417</v>
      </c>
      <c r="D576" s="430">
        <v>578</v>
      </c>
      <c r="F576" s="336" t="s">
        <v>1425</v>
      </c>
      <c r="G576" s="336" t="s">
        <v>1195</v>
      </c>
      <c r="H576" s="18">
        <v>4141290869</v>
      </c>
      <c r="I576" s="26">
        <v>40000</v>
      </c>
      <c r="J576" s="26">
        <v>40000</v>
      </c>
    </row>
    <row r="577" spans="1:10" ht="21.75" customHeight="1" x14ac:dyDescent="0.3">
      <c r="A577" s="430">
        <v>576</v>
      </c>
      <c r="B577" s="128">
        <v>42284</v>
      </c>
      <c r="C577" s="130">
        <v>12877713</v>
      </c>
      <c r="D577" s="430">
        <v>579</v>
      </c>
      <c r="F577" s="336" t="s">
        <v>1196</v>
      </c>
      <c r="G577" s="336" t="s">
        <v>1197</v>
      </c>
      <c r="H577" s="18">
        <v>4265163630</v>
      </c>
      <c r="I577" s="26">
        <v>44100</v>
      </c>
      <c r="J577" s="26">
        <v>4900</v>
      </c>
    </row>
    <row r="578" spans="1:10" ht="21.75" customHeight="1" x14ac:dyDescent="0.3">
      <c r="A578" s="335">
        <v>577</v>
      </c>
      <c r="B578" s="128">
        <v>42285</v>
      </c>
      <c r="C578" s="130">
        <v>11043558</v>
      </c>
      <c r="D578" s="430">
        <v>580</v>
      </c>
      <c r="F578" s="336" t="s">
        <v>1198</v>
      </c>
      <c r="G578" s="336" t="s">
        <v>1198</v>
      </c>
      <c r="H578" s="18">
        <v>4141314915</v>
      </c>
      <c r="I578" s="26">
        <v>62100</v>
      </c>
      <c r="J578" s="26">
        <v>6900</v>
      </c>
    </row>
    <row r="579" spans="1:10" ht="21.75" customHeight="1" x14ac:dyDescent="0.3">
      <c r="A579" s="430">
        <v>578</v>
      </c>
      <c r="B579" s="128">
        <v>42285</v>
      </c>
      <c r="C579" s="130">
        <v>10277664</v>
      </c>
      <c r="D579" s="430">
        <v>581</v>
      </c>
      <c r="F579" s="336" t="s">
        <v>1199</v>
      </c>
      <c r="G579" s="336" t="s">
        <v>1199</v>
      </c>
      <c r="H579" s="18">
        <v>4142774597</v>
      </c>
      <c r="I579" s="26">
        <v>42000</v>
      </c>
      <c r="J579" s="26">
        <v>42000</v>
      </c>
    </row>
    <row r="580" spans="1:10" ht="21.75" customHeight="1" x14ac:dyDescent="0.3">
      <c r="A580" s="335">
        <v>579</v>
      </c>
      <c r="B580" s="128">
        <v>42286</v>
      </c>
      <c r="C580" s="130">
        <v>1066912</v>
      </c>
      <c r="D580" s="430">
        <v>582</v>
      </c>
      <c r="F580" s="336" t="s">
        <v>1200</v>
      </c>
      <c r="G580" s="336" t="s">
        <v>1201</v>
      </c>
      <c r="H580" s="18">
        <v>4241756450</v>
      </c>
      <c r="I580" s="26">
        <v>62100</v>
      </c>
      <c r="J580" s="26">
        <v>6900</v>
      </c>
    </row>
    <row r="581" spans="1:10" ht="21.75" customHeight="1" x14ac:dyDescent="0.3">
      <c r="A581" s="430">
        <v>580</v>
      </c>
      <c r="B581" s="128">
        <v>42286</v>
      </c>
      <c r="C581" s="130">
        <v>12638417</v>
      </c>
      <c r="D581" s="430">
        <v>583</v>
      </c>
      <c r="F581" s="336" t="s">
        <v>1202</v>
      </c>
      <c r="G581" s="336" t="s">
        <v>1202</v>
      </c>
      <c r="H581" s="18">
        <v>4141217236</v>
      </c>
      <c r="I581" s="26">
        <v>40000</v>
      </c>
      <c r="J581" s="26">
        <v>40000</v>
      </c>
    </row>
    <row r="582" spans="1:10" ht="21.75" customHeight="1" x14ac:dyDescent="0.3">
      <c r="A582" s="335">
        <v>581</v>
      </c>
      <c r="B582" s="128">
        <v>42286</v>
      </c>
      <c r="C582" s="130">
        <v>21759326</v>
      </c>
      <c r="D582" s="430">
        <v>584</v>
      </c>
      <c r="F582" s="336" t="s">
        <v>1203</v>
      </c>
      <c r="G582" s="336" t="s">
        <v>1203</v>
      </c>
      <c r="H582" s="18">
        <v>4241518887</v>
      </c>
      <c r="I582" s="26">
        <v>40000</v>
      </c>
      <c r="J582" s="26">
        <v>40000</v>
      </c>
    </row>
    <row r="583" spans="1:10" ht="21.75" customHeight="1" x14ac:dyDescent="0.3">
      <c r="A583" s="430">
        <v>582</v>
      </c>
      <c r="B583" s="128">
        <v>42287</v>
      </c>
      <c r="C583" s="130">
        <v>6349253</v>
      </c>
      <c r="D583" s="430">
        <v>585</v>
      </c>
      <c r="F583" s="336" t="s">
        <v>1204</v>
      </c>
      <c r="G583" s="336" t="s">
        <v>1205</v>
      </c>
      <c r="H583" s="18">
        <v>4141520392</v>
      </c>
      <c r="I583" s="26">
        <v>40000</v>
      </c>
      <c r="J583" s="26">
        <v>40000</v>
      </c>
    </row>
    <row r="584" spans="1:10" ht="21.75" customHeight="1" x14ac:dyDescent="0.3">
      <c r="A584" s="335">
        <v>583</v>
      </c>
      <c r="B584" s="128">
        <v>42291</v>
      </c>
      <c r="C584" s="130">
        <v>19274421</v>
      </c>
      <c r="D584" s="430">
        <v>586</v>
      </c>
      <c r="F584" s="336" t="s">
        <v>1206</v>
      </c>
      <c r="G584" s="336" t="s">
        <v>1206</v>
      </c>
      <c r="H584" s="18">
        <v>4141701358</v>
      </c>
      <c r="I584" s="26">
        <v>6900</v>
      </c>
      <c r="J584" s="26">
        <v>6900</v>
      </c>
    </row>
    <row r="585" spans="1:10" ht="21.75" customHeight="1" x14ac:dyDescent="0.3">
      <c r="A585" s="430">
        <v>584</v>
      </c>
      <c r="B585" s="128">
        <v>42292</v>
      </c>
      <c r="C585" s="130">
        <v>16863466</v>
      </c>
      <c r="D585" s="430">
        <v>587</v>
      </c>
      <c r="F585" s="336" t="s">
        <v>1207</v>
      </c>
      <c r="G585" s="336" t="s">
        <v>1207</v>
      </c>
      <c r="H585" s="18">
        <v>4264080442</v>
      </c>
      <c r="I585" s="26">
        <v>40000</v>
      </c>
      <c r="J585" s="26">
        <v>40000</v>
      </c>
    </row>
    <row r="586" spans="1:10" ht="21.75" customHeight="1" x14ac:dyDescent="0.3">
      <c r="A586" s="335">
        <v>585</v>
      </c>
      <c r="B586" s="128">
        <v>42293</v>
      </c>
      <c r="C586" s="130">
        <v>12974682</v>
      </c>
      <c r="D586" s="430">
        <v>588</v>
      </c>
      <c r="F586" s="336" t="s">
        <v>1208</v>
      </c>
      <c r="G586" s="336" t="s">
        <v>1209</v>
      </c>
      <c r="H586" s="18">
        <v>4147106683</v>
      </c>
      <c r="I586" s="26">
        <v>6900</v>
      </c>
      <c r="J586" s="26">
        <v>6900</v>
      </c>
    </row>
    <row r="587" spans="1:10" ht="21.75" customHeight="1" x14ac:dyDescent="0.3">
      <c r="A587" s="430">
        <v>586</v>
      </c>
      <c r="B587" s="128">
        <v>42293</v>
      </c>
      <c r="C587" s="130">
        <v>23626579</v>
      </c>
      <c r="D587" s="430">
        <v>589</v>
      </c>
      <c r="F587" s="336" t="s">
        <v>1210</v>
      </c>
      <c r="G587" s="336" t="s">
        <v>1211</v>
      </c>
      <c r="H587" s="18">
        <v>4241598318</v>
      </c>
      <c r="I587" s="26">
        <v>6900</v>
      </c>
      <c r="J587" s="26">
        <v>6900</v>
      </c>
    </row>
    <row r="588" spans="1:10" ht="21.75" customHeight="1" x14ac:dyDescent="0.3">
      <c r="A588" s="335">
        <v>587</v>
      </c>
      <c r="B588" s="128">
        <v>42296</v>
      </c>
      <c r="C588" s="130">
        <v>6278027</v>
      </c>
      <c r="D588" s="430">
        <v>590</v>
      </c>
      <c r="F588" s="336" t="s">
        <v>1212</v>
      </c>
      <c r="G588" s="336" t="s">
        <v>1212</v>
      </c>
      <c r="H588" s="18">
        <v>4149166308</v>
      </c>
      <c r="I588" s="26">
        <v>40000</v>
      </c>
      <c r="J588" s="26">
        <v>40000</v>
      </c>
    </row>
    <row r="589" spans="1:10" ht="21.75" customHeight="1" x14ac:dyDescent="0.3">
      <c r="A589" s="430">
        <v>588</v>
      </c>
      <c r="B589" s="128">
        <v>42297</v>
      </c>
      <c r="C589" s="130">
        <v>6207392</v>
      </c>
      <c r="D589" s="430">
        <v>591</v>
      </c>
      <c r="F589" s="336" t="s">
        <v>1213</v>
      </c>
      <c r="G589" s="336" t="s">
        <v>1214</v>
      </c>
      <c r="H589" s="18">
        <v>4143038534</v>
      </c>
      <c r="I589" s="26">
        <v>6900</v>
      </c>
      <c r="J589" s="26">
        <v>6900</v>
      </c>
    </row>
    <row r="590" spans="1:10" ht="21.75" customHeight="1" x14ac:dyDescent="0.3">
      <c r="A590" s="335">
        <v>589</v>
      </c>
      <c r="B590" s="128">
        <v>42297</v>
      </c>
      <c r="C590" s="130">
        <v>6207392</v>
      </c>
      <c r="D590" s="430">
        <v>592</v>
      </c>
      <c r="F590" s="336" t="s">
        <v>1215</v>
      </c>
      <c r="G590" s="336" t="s">
        <v>1214</v>
      </c>
      <c r="H590" s="18">
        <v>4143038534</v>
      </c>
      <c r="I590" s="26">
        <v>6000</v>
      </c>
      <c r="J590" s="26">
        <v>6000</v>
      </c>
    </row>
    <row r="591" spans="1:10" ht="21.75" customHeight="1" x14ac:dyDescent="0.3">
      <c r="A591" s="430">
        <v>590</v>
      </c>
      <c r="B591" s="128">
        <v>42297</v>
      </c>
      <c r="C591" s="130">
        <v>14674932</v>
      </c>
      <c r="D591" s="430">
        <v>593</v>
      </c>
      <c r="F591" s="336" t="s">
        <v>434</v>
      </c>
      <c r="G591" s="336" t="s">
        <v>434</v>
      </c>
      <c r="H591" s="18">
        <v>4169091776</v>
      </c>
      <c r="I591" s="26">
        <v>3900</v>
      </c>
    </row>
    <row r="592" spans="1:10" ht="21.75" customHeight="1" x14ac:dyDescent="0.3">
      <c r="A592" s="335">
        <v>591</v>
      </c>
      <c r="B592" s="128">
        <v>42298</v>
      </c>
      <c r="C592" s="130">
        <v>13127934</v>
      </c>
      <c r="D592" s="430">
        <v>594</v>
      </c>
      <c r="F592" s="336" t="s">
        <v>1217</v>
      </c>
      <c r="G592" s="336" t="s">
        <v>1216</v>
      </c>
      <c r="H592" s="18">
        <v>4129880350</v>
      </c>
      <c r="I592" s="26">
        <v>40000</v>
      </c>
      <c r="J592" s="26">
        <v>40000</v>
      </c>
    </row>
    <row r="593" spans="1:10" ht="21.75" customHeight="1" x14ac:dyDescent="0.3">
      <c r="A593" s="430">
        <v>592</v>
      </c>
      <c r="B593" s="128">
        <v>42299</v>
      </c>
      <c r="C593" s="130">
        <v>10181822</v>
      </c>
      <c r="D593" s="430">
        <v>595</v>
      </c>
      <c r="F593" s="336" t="s">
        <v>1218</v>
      </c>
      <c r="G593" s="336" t="s">
        <v>1219</v>
      </c>
      <c r="H593" s="18">
        <v>4140183492</v>
      </c>
      <c r="I593" s="26">
        <v>21000</v>
      </c>
      <c r="J593" s="26">
        <v>42000</v>
      </c>
    </row>
    <row r="594" spans="1:10" ht="21.75" customHeight="1" x14ac:dyDescent="0.3">
      <c r="A594" s="335">
        <v>593</v>
      </c>
      <c r="B594" s="128">
        <v>42299</v>
      </c>
      <c r="C594" s="130">
        <v>20412199</v>
      </c>
      <c r="D594" s="430">
        <v>596</v>
      </c>
      <c r="F594" s="336" t="s">
        <v>1220</v>
      </c>
      <c r="G594" s="336" t="s">
        <v>1220</v>
      </c>
      <c r="H594" s="18">
        <v>4129968168</v>
      </c>
      <c r="I594" s="26">
        <v>6900</v>
      </c>
      <c r="J594" s="26">
        <v>55200</v>
      </c>
    </row>
    <row r="595" spans="1:10" ht="21.75" customHeight="1" x14ac:dyDescent="0.3">
      <c r="A595" s="430">
        <v>594</v>
      </c>
      <c r="B595" s="128">
        <v>42299</v>
      </c>
      <c r="C595" s="130">
        <v>23826848</v>
      </c>
      <c r="D595" s="430">
        <v>597</v>
      </c>
      <c r="F595" s="336" t="s">
        <v>1221</v>
      </c>
      <c r="G595" s="336" t="s">
        <v>1221</v>
      </c>
      <c r="H595" s="18">
        <v>4129968168</v>
      </c>
      <c r="I595" s="26">
        <v>6900</v>
      </c>
      <c r="J595" s="26">
        <v>55200</v>
      </c>
    </row>
    <row r="596" spans="1:10" ht="21.75" customHeight="1" x14ac:dyDescent="0.3">
      <c r="A596" s="335">
        <v>595</v>
      </c>
      <c r="B596" s="128">
        <v>42300</v>
      </c>
      <c r="C596" s="130">
        <v>19285913</v>
      </c>
      <c r="D596" s="430">
        <v>598</v>
      </c>
      <c r="F596" s="336" t="s">
        <v>1222</v>
      </c>
      <c r="G596" s="336" t="s">
        <v>1222</v>
      </c>
      <c r="H596" s="18">
        <v>4242266837</v>
      </c>
      <c r="I596" s="26">
        <v>6900</v>
      </c>
      <c r="J596" s="26">
        <v>55200</v>
      </c>
    </row>
    <row r="597" spans="1:10" ht="21.75" customHeight="1" x14ac:dyDescent="0.3">
      <c r="A597" s="430">
        <v>596</v>
      </c>
      <c r="B597" s="128">
        <v>42304</v>
      </c>
      <c r="C597" s="130">
        <v>16370591</v>
      </c>
      <c r="D597" s="430">
        <v>599</v>
      </c>
      <c r="F597" s="336" t="s">
        <v>1223</v>
      </c>
      <c r="G597" s="336" t="s">
        <v>1227</v>
      </c>
      <c r="H597" s="18">
        <v>4265369940</v>
      </c>
      <c r="I597" s="26">
        <v>40000</v>
      </c>
      <c r="J597" s="26">
        <v>20000</v>
      </c>
    </row>
    <row r="598" spans="1:10" ht="21.75" customHeight="1" x14ac:dyDescent="0.3">
      <c r="A598" s="335">
        <v>597</v>
      </c>
      <c r="B598" s="128">
        <v>42307</v>
      </c>
      <c r="C598" s="130">
        <v>8039552</v>
      </c>
      <c r="D598" s="430">
        <v>600</v>
      </c>
      <c r="F598" s="336" t="s">
        <v>1224</v>
      </c>
      <c r="G598" s="336" t="s">
        <v>1225</v>
      </c>
      <c r="H598" s="18">
        <v>4249320020</v>
      </c>
      <c r="I598" s="26">
        <v>62100</v>
      </c>
      <c r="J598" s="26">
        <v>6900</v>
      </c>
    </row>
    <row r="599" spans="1:10" ht="21.75" customHeight="1" x14ac:dyDescent="0.3">
      <c r="A599" s="430">
        <v>598</v>
      </c>
      <c r="B599" s="128">
        <v>42303</v>
      </c>
      <c r="C599" s="130">
        <v>18994121</v>
      </c>
      <c r="D599" s="387">
        <v>601</v>
      </c>
      <c r="F599" s="336" t="s">
        <v>1226</v>
      </c>
      <c r="G599" s="336" t="s">
        <v>1226</v>
      </c>
      <c r="H599" s="18">
        <v>4146286254</v>
      </c>
      <c r="I599" s="26">
        <v>62100</v>
      </c>
      <c r="J599" s="26">
        <v>6900</v>
      </c>
    </row>
    <row r="600" spans="1:10" ht="21.75" customHeight="1" x14ac:dyDescent="0.3">
      <c r="A600" s="335">
        <v>599</v>
      </c>
      <c r="B600" s="128">
        <v>42307</v>
      </c>
      <c r="C600" s="130">
        <v>10804885</v>
      </c>
      <c r="D600" s="387">
        <v>602</v>
      </c>
      <c r="F600" s="436" t="s">
        <v>1264</v>
      </c>
      <c r="G600" s="336" t="s">
        <v>1228</v>
      </c>
      <c r="H600" s="18">
        <v>4126354849</v>
      </c>
      <c r="I600" s="26">
        <v>62100</v>
      </c>
      <c r="J600" s="26">
        <v>6900</v>
      </c>
    </row>
    <row r="601" spans="1:10" ht="21.75" customHeight="1" x14ac:dyDescent="0.3">
      <c r="A601" s="430">
        <v>600</v>
      </c>
      <c r="B601" s="128">
        <v>42305</v>
      </c>
      <c r="C601" s="130">
        <v>13887634</v>
      </c>
      <c r="D601" s="387">
        <v>603</v>
      </c>
      <c r="F601" s="336" t="s">
        <v>1229</v>
      </c>
      <c r="G601" s="336" t="s">
        <v>1230</v>
      </c>
      <c r="H601" s="18">
        <v>4242149546</v>
      </c>
    </row>
    <row r="602" spans="1:10" ht="21.75" customHeight="1" x14ac:dyDescent="0.3">
      <c r="B602" s="128">
        <v>42307</v>
      </c>
      <c r="C602" s="130">
        <v>12414588</v>
      </c>
      <c r="D602" s="387">
        <v>604</v>
      </c>
      <c r="F602" s="336" t="s">
        <v>1232</v>
      </c>
      <c r="G602" s="336" t="s">
        <v>1231</v>
      </c>
      <c r="H602" s="18">
        <v>4142737287</v>
      </c>
      <c r="I602" s="26">
        <v>40000</v>
      </c>
      <c r="J602" s="26">
        <v>4000</v>
      </c>
    </row>
    <row r="603" spans="1:10" ht="21.75" customHeight="1" x14ac:dyDescent="0.3">
      <c r="B603" s="128">
        <v>42307</v>
      </c>
      <c r="C603" s="130">
        <v>8168145</v>
      </c>
      <c r="D603" s="387">
        <v>605</v>
      </c>
      <c r="F603" s="336" t="s">
        <v>1233</v>
      </c>
      <c r="G603" s="336" t="s">
        <v>1234</v>
      </c>
      <c r="H603" s="431">
        <v>4265367206</v>
      </c>
      <c r="J603" s="26">
        <v>7900</v>
      </c>
    </row>
    <row r="604" spans="1:10" ht="21.75" customHeight="1" x14ac:dyDescent="0.3">
      <c r="B604" s="128">
        <v>42285</v>
      </c>
      <c r="C604" s="130">
        <v>11043558</v>
      </c>
      <c r="D604" s="387">
        <v>606</v>
      </c>
      <c r="F604" s="336" t="s">
        <v>1235</v>
      </c>
      <c r="G604" s="336" t="s">
        <v>1235</v>
      </c>
      <c r="H604" s="18">
        <v>4141314915</v>
      </c>
      <c r="I604" s="26">
        <v>62100</v>
      </c>
      <c r="J604" s="26">
        <v>6900</v>
      </c>
    </row>
    <row r="605" spans="1:10" ht="21.75" customHeight="1" x14ac:dyDescent="0.3">
      <c r="B605" s="128">
        <v>42285</v>
      </c>
      <c r="C605" s="130">
        <v>10277664</v>
      </c>
      <c r="D605" s="387">
        <v>607</v>
      </c>
      <c r="F605" s="336" t="s">
        <v>1236</v>
      </c>
      <c r="G605" s="336" t="s">
        <v>1236</v>
      </c>
      <c r="H605" s="18">
        <v>4142774597</v>
      </c>
      <c r="I605" s="26">
        <v>42000</v>
      </c>
    </row>
    <row r="606" spans="1:10" ht="21.75" customHeight="1" x14ac:dyDescent="0.3">
      <c r="B606" s="128">
        <v>42307</v>
      </c>
      <c r="C606" s="130">
        <v>10501224</v>
      </c>
      <c r="D606" s="387">
        <v>608</v>
      </c>
      <c r="F606" s="336" t="s">
        <v>319</v>
      </c>
      <c r="G606" s="336" t="s">
        <v>320</v>
      </c>
      <c r="H606" s="18">
        <v>4166090502</v>
      </c>
      <c r="I606" s="26">
        <v>55000</v>
      </c>
      <c r="J606" s="26">
        <v>10000</v>
      </c>
    </row>
    <row r="607" spans="1:10" ht="21.75" customHeight="1" x14ac:dyDescent="0.3">
      <c r="B607" s="128">
        <v>42290</v>
      </c>
      <c r="C607" s="130">
        <v>12159314</v>
      </c>
      <c r="D607" s="387">
        <v>609</v>
      </c>
      <c r="F607" s="336" t="s">
        <v>820</v>
      </c>
      <c r="G607" s="336" t="s">
        <v>821</v>
      </c>
      <c r="H607" s="18">
        <v>4167115962</v>
      </c>
      <c r="I607" s="26">
        <v>62100</v>
      </c>
      <c r="J607" s="26">
        <v>6900</v>
      </c>
    </row>
    <row r="608" spans="1:10" ht="21.75" customHeight="1" x14ac:dyDescent="0.3">
      <c r="B608" s="128">
        <v>42304</v>
      </c>
      <c r="C608" s="130">
        <v>6463135</v>
      </c>
      <c r="D608" s="387">
        <v>610</v>
      </c>
      <c r="F608" s="336" t="s">
        <v>1237</v>
      </c>
      <c r="G608" s="336" t="s">
        <v>970</v>
      </c>
      <c r="H608" s="18">
        <v>4241283426</v>
      </c>
      <c r="I608" s="26">
        <v>6900</v>
      </c>
    </row>
    <row r="609" spans="2:10" ht="21.75" customHeight="1" x14ac:dyDescent="0.3">
      <c r="B609" s="128">
        <v>42310</v>
      </c>
      <c r="C609" s="130">
        <v>12097650</v>
      </c>
      <c r="D609" s="387">
        <v>611</v>
      </c>
      <c r="F609" s="336" t="s">
        <v>1180</v>
      </c>
      <c r="G609" s="336" t="s">
        <v>1180</v>
      </c>
      <c r="H609" s="18">
        <v>4142434487</v>
      </c>
      <c r="I609" s="26">
        <v>62100</v>
      </c>
      <c r="J609" s="26">
        <v>6900</v>
      </c>
    </row>
    <row r="610" spans="2:10" ht="21.75" customHeight="1" x14ac:dyDescent="0.3">
      <c r="B610" s="128">
        <v>42310</v>
      </c>
      <c r="C610" s="130">
        <v>8881356</v>
      </c>
      <c r="D610" s="387">
        <v>612</v>
      </c>
      <c r="F610" s="336" t="s">
        <v>1238</v>
      </c>
      <c r="G610" s="336" t="s">
        <v>1239</v>
      </c>
      <c r="H610" s="18">
        <v>4141362804</v>
      </c>
      <c r="I610" s="26">
        <v>62100</v>
      </c>
      <c r="J610" s="26">
        <v>6900</v>
      </c>
    </row>
    <row r="611" spans="2:10" ht="21.75" customHeight="1" x14ac:dyDescent="0.3">
      <c r="B611" s="128">
        <v>42311</v>
      </c>
      <c r="C611" s="130" t="s">
        <v>1240</v>
      </c>
      <c r="D611" s="387">
        <v>613</v>
      </c>
      <c r="F611" s="336" t="s">
        <v>1241</v>
      </c>
      <c r="G611" s="336" t="s">
        <v>1242</v>
      </c>
      <c r="H611" s="18">
        <v>4241285488</v>
      </c>
      <c r="I611" s="26">
        <v>40000</v>
      </c>
      <c r="J611" s="26">
        <v>20000</v>
      </c>
    </row>
    <row r="612" spans="2:10" ht="21.75" customHeight="1" x14ac:dyDescent="0.3">
      <c r="B612" s="128">
        <v>42317</v>
      </c>
      <c r="C612" s="130">
        <v>8525152</v>
      </c>
      <c r="D612" s="387">
        <v>614</v>
      </c>
      <c r="F612" s="336" t="s">
        <v>808</v>
      </c>
      <c r="G612" s="336" t="s">
        <v>561</v>
      </c>
      <c r="H612" s="18">
        <v>4142359723</v>
      </c>
      <c r="I612" s="26">
        <v>40000</v>
      </c>
      <c r="J612" s="26">
        <v>0</v>
      </c>
    </row>
    <row r="613" spans="2:10" ht="21.75" customHeight="1" x14ac:dyDescent="0.3">
      <c r="B613" s="128">
        <v>42317</v>
      </c>
      <c r="C613" s="130">
        <v>8525152</v>
      </c>
      <c r="D613" s="387">
        <v>615</v>
      </c>
      <c r="F613" s="336" t="s">
        <v>560</v>
      </c>
      <c r="G613" s="336" t="s">
        <v>561</v>
      </c>
      <c r="H613" s="18">
        <v>4142359123</v>
      </c>
      <c r="I613" s="26">
        <v>40000</v>
      </c>
      <c r="J613" s="26">
        <v>0</v>
      </c>
    </row>
    <row r="614" spans="2:10" ht="21.75" customHeight="1" x14ac:dyDescent="0.3">
      <c r="B614" s="128">
        <v>42319</v>
      </c>
      <c r="C614" s="130">
        <v>3281819</v>
      </c>
      <c r="D614" s="387">
        <v>616</v>
      </c>
      <c r="F614" s="336" t="s">
        <v>1243</v>
      </c>
      <c r="G614" s="336" t="s">
        <v>1244</v>
      </c>
      <c r="H614" s="18">
        <v>4142094321</v>
      </c>
      <c r="I614" s="26" t="s">
        <v>978</v>
      </c>
    </row>
    <row r="615" spans="2:10" ht="21.75" customHeight="1" x14ac:dyDescent="0.3">
      <c r="B615" s="128">
        <v>42319</v>
      </c>
      <c r="C615" s="130">
        <v>5961164</v>
      </c>
      <c r="D615" s="387">
        <v>617</v>
      </c>
      <c r="F615" s="336" t="s">
        <v>1245</v>
      </c>
      <c r="G615" s="336" t="s">
        <v>1245</v>
      </c>
      <c r="H615" s="18">
        <v>4241774896</v>
      </c>
      <c r="I615" s="26" t="s">
        <v>978</v>
      </c>
    </row>
    <row r="616" spans="2:10" ht="21.75" customHeight="1" x14ac:dyDescent="0.3">
      <c r="B616" s="128">
        <v>42319</v>
      </c>
      <c r="C616" s="130">
        <v>13270080</v>
      </c>
      <c r="D616" s="387">
        <v>618</v>
      </c>
      <c r="F616" s="432" t="s">
        <v>1320</v>
      </c>
      <c r="G616" s="336" t="s">
        <v>1246</v>
      </c>
      <c r="H616" s="18">
        <v>4143695175</v>
      </c>
      <c r="I616" s="26">
        <v>49000</v>
      </c>
    </row>
    <row r="617" spans="2:10" ht="21.75" customHeight="1" x14ac:dyDescent="0.3">
      <c r="B617" s="128" t="s">
        <v>584</v>
      </c>
      <c r="C617" s="130">
        <v>6858525</v>
      </c>
      <c r="D617" s="387">
        <v>619</v>
      </c>
      <c r="F617" s="433" t="s">
        <v>1256</v>
      </c>
      <c r="G617" s="336" t="s">
        <v>1257</v>
      </c>
      <c r="H617" s="18">
        <v>4122945938</v>
      </c>
      <c r="I617" s="26">
        <v>7900</v>
      </c>
    </row>
    <row r="618" spans="2:10" ht="21.75" customHeight="1" x14ac:dyDescent="0.3">
      <c r="B618" s="128">
        <v>42322</v>
      </c>
      <c r="C618" s="130">
        <v>25764807</v>
      </c>
      <c r="D618" s="387">
        <v>620</v>
      </c>
      <c r="F618" s="336" t="s">
        <v>1247</v>
      </c>
      <c r="G618" s="336" t="s">
        <v>1248</v>
      </c>
      <c r="H618" s="18">
        <v>2123226538</v>
      </c>
      <c r="I618" s="26">
        <v>49000</v>
      </c>
    </row>
    <row r="619" spans="2:10" ht="21.75" customHeight="1" x14ac:dyDescent="0.3">
      <c r="B619" s="128">
        <v>42278</v>
      </c>
      <c r="C619" s="130">
        <v>14136039</v>
      </c>
      <c r="D619" s="387">
        <v>580</v>
      </c>
      <c r="F619" s="336" t="s">
        <v>1249</v>
      </c>
      <c r="G619" s="336" t="s">
        <v>1444</v>
      </c>
      <c r="H619" s="18">
        <v>4141517717</v>
      </c>
      <c r="I619" s="26">
        <v>40000</v>
      </c>
    </row>
    <row r="620" spans="2:10" ht="21.75" customHeight="1" x14ac:dyDescent="0.3">
      <c r="B620" s="128">
        <v>42326</v>
      </c>
      <c r="C620" s="130">
        <v>14490325</v>
      </c>
      <c r="D620" s="387">
        <v>622</v>
      </c>
      <c r="F620" s="336" t="s">
        <v>1250</v>
      </c>
      <c r="G620" s="336" t="s">
        <v>1250</v>
      </c>
      <c r="H620" s="18">
        <v>4242764214</v>
      </c>
      <c r="I620" s="26">
        <v>7900</v>
      </c>
    </row>
    <row r="621" spans="2:10" ht="21.75" customHeight="1" x14ac:dyDescent="0.3">
      <c r="B621" s="128">
        <v>42326</v>
      </c>
      <c r="C621" s="130">
        <v>18994657</v>
      </c>
      <c r="D621" s="387">
        <v>623</v>
      </c>
      <c r="F621" s="336" t="s">
        <v>1251</v>
      </c>
      <c r="G621" s="336" t="s">
        <v>1251</v>
      </c>
      <c r="H621" s="18">
        <v>4242764104</v>
      </c>
      <c r="I621" s="26">
        <v>7900</v>
      </c>
    </row>
    <row r="622" spans="2:10" ht="21.75" customHeight="1" x14ac:dyDescent="0.3">
      <c r="B622" s="128">
        <v>42326</v>
      </c>
      <c r="C622" s="130">
        <v>18010735</v>
      </c>
      <c r="D622" s="387">
        <v>624</v>
      </c>
      <c r="F622" s="336" t="s">
        <v>1252</v>
      </c>
      <c r="G622" s="336" t="s">
        <v>1252</v>
      </c>
      <c r="H622" s="18">
        <v>4242849943</v>
      </c>
      <c r="I622" s="26">
        <v>49000</v>
      </c>
    </row>
    <row r="623" spans="2:10" ht="21.75" customHeight="1" x14ac:dyDescent="0.3">
      <c r="B623" s="128">
        <v>42327</v>
      </c>
      <c r="C623" s="130">
        <v>12563698</v>
      </c>
      <c r="D623" s="387">
        <v>625</v>
      </c>
      <c r="F623" s="432" t="s">
        <v>1253</v>
      </c>
      <c r="G623" s="336" t="s">
        <v>1253</v>
      </c>
      <c r="H623" s="18">
        <v>4147820110</v>
      </c>
      <c r="I623" s="26">
        <v>7900</v>
      </c>
    </row>
    <row r="624" spans="2:10" ht="21.75" customHeight="1" x14ac:dyDescent="0.3">
      <c r="B624" s="128">
        <v>42332</v>
      </c>
      <c r="C624" s="130">
        <v>20794939</v>
      </c>
      <c r="D624" s="387">
        <v>626</v>
      </c>
      <c r="F624" s="336" t="s">
        <v>1254</v>
      </c>
      <c r="G624" s="336" t="s">
        <v>1254</v>
      </c>
      <c r="H624" s="18">
        <v>4242843887</v>
      </c>
      <c r="I624" s="26">
        <v>7900</v>
      </c>
    </row>
    <row r="625" spans="2:9" ht="21.75" customHeight="1" x14ac:dyDescent="0.3">
      <c r="B625" s="128">
        <v>42331</v>
      </c>
      <c r="C625" s="130">
        <v>24463880</v>
      </c>
      <c r="D625" s="387">
        <v>627</v>
      </c>
      <c r="F625" s="336" t="s">
        <v>1255</v>
      </c>
      <c r="G625" s="336" t="s">
        <v>1255</v>
      </c>
      <c r="H625" s="18">
        <v>4142105119</v>
      </c>
      <c r="I625" s="26">
        <v>49000</v>
      </c>
    </row>
    <row r="626" spans="2:9" ht="21.75" customHeight="1" x14ac:dyDescent="0.3">
      <c r="B626" s="128">
        <v>42310</v>
      </c>
      <c r="C626" s="130">
        <v>14427244</v>
      </c>
      <c r="D626" s="387">
        <v>628</v>
      </c>
      <c r="F626" s="336" t="s">
        <v>1258</v>
      </c>
      <c r="G626" s="336" t="s">
        <v>1258</v>
      </c>
      <c r="H626" s="18">
        <v>4142437248</v>
      </c>
      <c r="I626" s="26">
        <v>31400</v>
      </c>
    </row>
    <row r="627" spans="2:9" ht="21.75" customHeight="1" x14ac:dyDescent="0.3">
      <c r="B627" s="128">
        <v>42335</v>
      </c>
      <c r="C627" s="130">
        <v>23526185</v>
      </c>
      <c r="D627" s="387">
        <v>629</v>
      </c>
      <c r="F627" s="336" t="s">
        <v>1259</v>
      </c>
      <c r="G627" s="336" t="s">
        <v>1259</v>
      </c>
      <c r="H627" s="18">
        <v>4142450050</v>
      </c>
      <c r="I627" s="26">
        <v>7900</v>
      </c>
    </row>
    <row r="628" spans="2:9" ht="21.75" customHeight="1" x14ac:dyDescent="0.3">
      <c r="B628" s="128">
        <v>42339</v>
      </c>
      <c r="C628" s="130">
        <v>18716391</v>
      </c>
      <c r="D628" s="435">
        <v>630</v>
      </c>
      <c r="F628" s="336" t="s">
        <v>1263</v>
      </c>
      <c r="G628" s="336" t="s">
        <v>1263</v>
      </c>
      <c r="H628" s="435">
        <v>4127251137</v>
      </c>
      <c r="I628" s="26">
        <v>49000</v>
      </c>
    </row>
    <row r="629" spans="2:9" ht="21.75" customHeight="1" x14ac:dyDescent="0.3">
      <c r="B629" s="128">
        <v>42340</v>
      </c>
      <c r="C629" s="130">
        <v>13476545</v>
      </c>
      <c r="D629" s="435">
        <v>631</v>
      </c>
      <c r="F629" s="336" t="s">
        <v>1261</v>
      </c>
      <c r="G629" s="336" t="s">
        <v>1262</v>
      </c>
      <c r="H629" s="435">
        <v>4143273231</v>
      </c>
      <c r="I629" s="26">
        <v>49000</v>
      </c>
    </row>
    <row r="630" spans="2:9" ht="21.75" customHeight="1" x14ac:dyDescent="0.3">
      <c r="B630" s="128">
        <v>42346</v>
      </c>
      <c r="C630" s="130">
        <v>20410772</v>
      </c>
      <c r="D630" s="435">
        <v>632</v>
      </c>
      <c r="F630" s="336" t="s">
        <v>1265</v>
      </c>
      <c r="G630" s="336" t="s">
        <v>1265</v>
      </c>
      <c r="H630" s="435">
        <v>4241346885</v>
      </c>
      <c r="I630" s="26">
        <v>49000</v>
      </c>
    </row>
    <row r="631" spans="2:9" ht="21.75" customHeight="1" x14ac:dyDescent="0.3">
      <c r="B631" s="128">
        <v>42345</v>
      </c>
      <c r="C631" s="130">
        <v>5026351</v>
      </c>
      <c r="D631" s="387">
        <v>633</v>
      </c>
      <c r="F631" s="336" t="s">
        <v>1266</v>
      </c>
      <c r="G631" s="336" t="s">
        <v>1267</v>
      </c>
      <c r="H631" s="18">
        <v>4142460945</v>
      </c>
      <c r="I631" s="26">
        <v>7900</v>
      </c>
    </row>
    <row r="632" spans="2:9" ht="21.75" customHeight="1" x14ac:dyDescent="0.3">
      <c r="B632" s="438" t="s">
        <v>1270</v>
      </c>
      <c r="C632" s="130">
        <v>17075241</v>
      </c>
      <c r="D632" s="387">
        <v>634</v>
      </c>
      <c r="F632" s="336" t="s">
        <v>1268</v>
      </c>
      <c r="G632" s="336" t="s">
        <v>1268</v>
      </c>
      <c r="H632" s="18">
        <v>4244022940</v>
      </c>
      <c r="I632" s="26">
        <v>7900</v>
      </c>
    </row>
    <row r="633" spans="2:9" ht="21.75" customHeight="1" x14ac:dyDescent="0.3">
      <c r="B633" s="128">
        <v>42347</v>
      </c>
      <c r="C633" s="130">
        <v>24523853</v>
      </c>
      <c r="D633" s="387">
        <v>635</v>
      </c>
      <c r="F633" s="336" t="s">
        <v>1387</v>
      </c>
      <c r="G633" s="336" t="s">
        <v>1269</v>
      </c>
      <c r="H633" s="18">
        <v>4149244767</v>
      </c>
      <c r="I633" s="26">
        <v>7900</v>
      </c>
    </row>
    <row r="634" spans="2:9" ht="21.75" customHeight="1" x14ac:dyDescent="0.3">
      <c r="B634" s="128">
        <v>42348</v>
      </c>
      <c r="C634" s="130">
        <v>12731837</v>
      </c>
      <c r="D634" s="387">
        <v>636</v>
      </c>
      <c r="F634" s="336" t="s">
        <v>1271</v>
      </c>
      <c r="G634" s="336" t="s">
        <v>1067</v>
      </c>
      <c r="H634" s="18">
        <v>4129807802</v>
      </c>
      <c r="I634" s="26">
        <v>49000</v>
      </c>
    </row>
    <row r="635" spans="2:9" ht="21.75" customHeight="1" x14ac:dyDescent="0.3">
      <c r="B635" s="128">
        <v>42348</v>
      </c>
      <c r="C635" s="130">
        <v>10279409</v>
      </c>
      <c r="D635" s="387">
        <v>637</v>
      </c>
      <c r="F635" s="336" t="s">
        <v>1273</v>
      </c>
      <c r="G635" s="336" t="s">
        <v>1272</v>
      </c>
      <c r="H635" s="18">
        <v>4120184133</v>
      </c>
      <c r="I635" s="26">
        <v>7900</v>
      </c>
    </row>
    <row r="636" spans="2:9" ht="21.75" customHeight="1" x14ac:dyDescent="0.3">
      <c r="B636" s="128">
        <v>42348</v>
      </c>
      <c r="C636" s="130">
        <v>10279409</v>
      </c>
      <c r="D636" s="387">
        <v>638</v>
      </c>
      <c r="F636" s="336" t="s">
        <v>1276</v>
      </c>
      <c r="G636" s="336" t="s">
        <v>1272</v>
      </c>
      <c r="H636" s="437">
        <v>4120184133</v>
      </c>
      <c r="I636" s="26">
        <v>7900</v>
      </c>
    </row>
    <row r="637" spans="2:9" ht="21.75" customHeight="1" x14ac:dyDescent="0.3">
      <c r="B637" s="128">
        <v>42348</v>
      </c>
      <c r="C637" s="130">
        <v>14123696</v>
      </c>
      <c r="D637" s="387">
        <v>639</v>
      </c>
      <c r="F637" s="336" t="s">
        <v>1274</v>
      </c>
      <c r="G637" s="336" t="s">
        <v>1275</v>
      </c>
      <c r="H637" s="18">
        <v>4149901084</v>
      </c>
      <c r="I637" s="26">
        <v>49000</v>
      </c>
    </row>
    <row r="638" spans="2:9" ht="21.75" customHeight="1" x14ac:dyDescent="0.3">
      <c r="B638" s="128">
        <v>42348</v>
      </c>
      <c r="C638" s="130">
        <v>12160289</v>
      </c>
      <c r="D638" s="387">
        <v>640</v>
      </c>
      <c r="F638" s="336" t="s">
        <v>566</v>
      </c>
      <c r="G638" s="336" t="s">
        <v>807</v>
      </c>
      <c r="H638" s="18">
        <v>4120220247</v>
      </c>
      <c r="I638" s="259">
        <v>49000</v>
      </c>
    </row>
    <row r="639" spans="2:9" ht="21.75" customHeight="1" x14ac:dyDescent="0.3">
      <c r="B639" s="128">
        <v>42350</v>
      </c>
      <c r="C639" s="130">
        <v>12386950</v>
      </c>
      <c r="D639" s="387">
        <v>641</v>
      </c>
      <c r="F639" s="432" t="s">
        <v>1277</v>
      </c>
      <c r="G639" s="336" t="s">
        <v>1278</v>
      </c>
      <c r="H639" s="18">
        <v>4142246446</v>
      </c>
      <c r="I639" s="26">
        <v>49000</v>
      </c>
    </row>
    <row r="640" spans="2:9" ht="21.75" customHeight="1" x14ac:dyDescent="0.3">
      <c r="B640" s="128">
        <v>42349</v>
      </c>
      <c r="C640" s="130">
        <v>15118724</v>
      </c>
      <c r="D640" s="387">
        <v>642</v>
      </c>
      <c r="F640" s="336" t="s">
        <v>1279</v>
      </c>
      <c r="G640" s="336" t="s">
        <v>1280</v>
      </c>
      <c r="H640" s="18">
        <v>4123628214</v>
      </c>
      <c r="I640" s="26">
        <v>71100</v>
      </c>
    </row>
    <row r="641" spans="2:10" ht="21.75" customHeight="1" x14ac:dyDescent="0.3">
      <c r="B641" s="128">
        <v>42349</v>
      </c>
      <c r="C641" s="130">
        <v>5380476</v>
      </c>
      <c r="D641" s="387">
        <v>643</v>
      </c>
      <c r="F641" s="336" t="s">
        <v>1281</v>
      </c>
      <c r="G641" s="336" t="s">
        <v>1424</v>
      </c>
      <c r="H641" s="18">
        <v>4142307562</v>
      </c>
      <c r="I641" s="26">
        <v>7900</v>
      </c>
    </row>
    <row r="642" spans="2:10" ht="21.75" customHeight="1" x14ac:dyDescent="0.3">
      <c r="B642" s="128">
        <v>42349</v>
      </c>
      <c r="C642" s="130">
        <v>10814400</v>
      </c>
      <c r="D642" s="387">
        <v>644</v>
      </c>
      <c r="F642" s="336" t="s">
        <v>1283</v>
      </c>
      <c r="G642" s="336" t="s">
        <v>1282</v>
      </c>
      <c r="H642" s="18">
        <v>4168152475</v>
      </c>
      <c r="I642" s="26">
        <v>71100</v>
      </c>
    </row>
    <row r="643" spans="2:10" ht="21.75" customHeight="1" x14ac:dyDescent="0.3">
      <c r="B643" s="128">
        <v>42350</v>
      </c>
      <c r="C643" s="130">
        <v>17980117</v>
      </c>
      <c r="D643" s="387">
        <v>645</v>
      </c>
      <c r="F643" s="336" t="s">
        <v>1304</v>
      </c>
      <c r="G643" s="336" t="s">
        <v>1304</v>
      </c>
      <c r="H643" s="18">
        <v>4141803165</v>
      </c>
      <c r="I643" s="26">
        <v>43000</v>
      </c>
    </row>
    <row r="644" spans="2:10" ht="21.75" customHeight="1" x14ac:dyDescent="0.3">
      <c r="B644" s="128">
        <v>42383</v>
      </c>
      <c r="C644" s="130">
        <v>10277036</v>
      </c>
      <c r="D644" s="387">
        <v>646</v>
      </c>
      <c r="F644" s="336" t="s">
        <v>1284</v>
      </c>
      <c r="G644" s="336" t="s">
        <v>1285</v>
      </c>
      <c r="H644" s="18">
        <v>4122027009</v>
      </c>
      <c r="I644" s="26">
        <v>44100</v>
      </c>
    </row>
    <row r="645" spans="2:10" ht="21.75" customHeight="1" x14ac:dyDescent="0.3">
      <c r="B645" s="128">
        <v>42380</v>
      </c>
      <c r="C645" s="130">
        <v>13865093</v>
      </c>
      <c r="D645" s="387">
        <v>647</v>
      </c>
      <c r="F645" s="336" t="s">
        <v>1286</v>
      </c>
      <c r="G645" s="336" t="s">
        <v>1287</v>
      </c>
      <c r="H645" s="18">
        <v>4241936353</v>
      </c>
      <c r="I645" s="26">
        <v>71700</v>
      </c>
    </row>
    <row r="646" spans="2:10" ht="21.75" customHeight="1" x14ac:dyDescent="0.3">
      <c r="B646" s="128">
        <v>42382</v>
      </c>
      <c r="C646" s="130">
        <v>20754170</v>
      </c>
      <c r="D646" s="387">
        <v>648</v>
      </c>
      <c r="F646" s="336" t="s">
        <v>1288</v>
      </c>
      <c r="G646" s="336" t="s">
        <v>1289</v>
      </c>
      <c r="H646" s="18">
        <v>4261785155</v>
      </c>
      <c r="I646" s="26">
        <v>49000</v>
      </c>
    </row>
    <row r="647" spans="2:10" ht="21.75" customHeight="1" x14ac:dyDescent="0.3">
      <c r="B647" s="128">
        <v>42382</v>
      </c>
      <c r="C647" s="130">
        <v>7978296</v>
      </c>
      <c r="D647" s="387">
        <v>649</v>
      </c>
      <c r="F647" s="336" t="s">
        <v>1290</v>
      </c>
      <c r="G647" s="336" t="s">
        <v>1291</v>
      </c>
      <c r="H647" s="18">
        <v>4142796197</v>
      </c>
      <c r="I647" s="26">
        <v>49000</v>
      </c>
    </row>
    <row r="648" spans="2:10" ht="21.75" customHeight="1" x14ac:dyDescent="0.3">
      <c r="B648" s="128">
        <v>42380</v>
      </c>
      <c r="C648" s="130">
        <v>9818415</v>
      </c>
      <c r="D648" s="387">
        <v>650</v>
      </c>
      <c r="F648" s="336" t="s">
        <v>1365</v>
      </c>
      <c r="G648" s="336" t="s">
        <v>1364</v>
      </c>
      <c r="H648" s="18">
        <v>4242700485</v>
      </c>
      <c r="I648" s="26">
        <v>53000</v>
      </c>
    </row>
    <row r="649" spans="2:10" ht="21.75" customHeight="1" x14ac:dyDescent="0.3">
      <c r="B649" s="128">
        <v>42380</v>
      </c>
      <c r="C649" s="130">
        <v>9818415</v>
      </c>
      <c r="D649" s="387">
        <v>651</v>
      </c>
      <c r="F649" s="336" t="s">
        <v>1364</v>
      </c>
      <c r="G649" s="336" t="s">
        <v>1364</v>
      </c>
      <c r="H649" s="18">
        <v>4242700485</v>
      </c>
      <c r="I649" s="26">
        <v>53000</v>
      </c>
    </row>
    <row r="650" spans="2:10" ht="21.75" customHeight="1" x14ac:dyDescent="0.3">
      <c r="B650" s="128">
        <v>42382</v>
      </c>
      <c r="C650" s="130">
        <v>12762022</v>
      </c>
      <c r="D650" s="387">
        <v>652</v>
      </c>
      <c r="F650" s="336" t="s">
        <v>1292</v>
      </c>
      <c r="G650" s="336" t="s">
        <v>1293</v>
      </c>
      <c r="H650" s="18">
        <v>4265208654</v>
      </c>
      <c r="I650" s="26">
        <v>80100</v>
      </c>
    </row>
    <row r="651" spans="2:10" ht="21.75" customHeight="1" x14ac:dyDescent="0.3">
      <c r="B651" s="128">
        <v>42382</v>
      </c>
      <c r="C651" s="130">
        <v>13483105</v>
      </c>
      <c r="D651" s="387">
        <v>653</v>
      </c>
      <c r="F651" s="336" t="s">
        <v>1294</v>
      </c>
      <c r="G651" s="336" t="s">
        <v>1171</v>
      </c>
      <c r="H651" s="18">
        <v>4149133432</v>
      </c>
      <c r="I651" s="26">
        <v>69000</v>
      </c>
    </row>
    <row r="652" spans="2:10" ht="21.75" customHeight="1" x14ac:dyDescent="0.3">
      <c r="B652" s="128">
        <v>42382</v>
      </c>
      <c r="C652" s="130">
        <v>11042500</v>
      </c>
      <c r="D652" s="387">
        <v>654</v>
      </c>
      <c r="F652" s="336" t="s">
        <v>1295</v>
      </c>
      <c r="G652" s="336" t="s">
        <v>1296</v>
      </c>
      <c r="H652" s="18">
        <v>4142092929</v>
      </c>
      <c r="I652" s="26">
        <v>53000</v>
      </c>
    </row>
    <row r="653" spans="2:10" ht="21.75" customHeight="1" x14ac:dyDescent="0.3">
      <c r="B653" s="128">
        <v>42383</v>
      </c>
      <c r="C653" s="130">
        <v>17890581</v>
      </c>
      <c r="D653" s="387">
        <v>655</v>
      </c>
      <c r="F653" s="336" t="s">
        <v>1297</v>
      </c>
      <c r="G653" s="336" t="s">
        <v>1297</v>
      </c>
      <c r="H653" s="18">
        <v>4123936803</v>
      </c>
      <c r="I653" s="26">
        <v>49000</v>
      </c>
    </row>
    <row r="654" spans="2:10" ht="21.75" customHeight="1" x14ac:dyDescent="0.3">
      <c r="B654" s="128">
        <v>42387</v>
      </c>
      <c r="C654" s="130">
        <v>11199463</v>
      </c>
      <c r="D654" s="387">
        <v>656</v>
      </c>
      <c r="F654" s="336" t="s">
        <v>1314</v>
      </c>
      <c r="G654" s="336" t="s">
        <v>1298</v>
      </c>
      <c r="H654" s="18">
        <v>4141717357</v>
      </c>
      <c r="I654" s="26">
        <v>53000</v>
      </c>
    </row>
    <row r="655" spans="2:10" ht="21.75" customHeight="1" x14ac:dyDescent="0.3">
      <c r="B655" s="128">
        <v>42387</v>
      </c>
      <c r="C655" s="130">
        <v>11199463</v>
      </c>
      <c r="D655" s="387">
        <v>657</v>
      </c>
      <c r="F655" s="336" t="s">
        <v>1299</v>
      </c>
      <c r="G655" s="336" t="s">
        <v>1298</v>
      </c>
      <c r="H655" s="18">
        <v>4141717357</v>
      </c>
      <c r="I655" s="26">
        <v>53000</v>
      </c>
    </row>
    <row r="656" spans="2:10" ht="21.75" customHeight="1" x14ac:dyDescent="0.3">
      <c r="B656" s="128">
        <v>42387</v>
      </c>
      <c r="C656" s="130">
        <v>10500858</v>
      </c>
      <c r="D656" s="387">
        <v>658</v>
      </c>
      <c r="F656" s="336" t="s">
        <v>1300</v>
      </c>
      <c r="G656" s="336" t="s">
        <v>1301</v>
      </c>
      <c r="H656" s="18">
        <v>4241945444</v>
      </c>
      <c r="I656" s="26">
        <v>55000</v>
      </c>
      <c r="J656" s="26">
        <v>26500</v>
      </c>
    </row>
    <row r="657" spans="2:9" ht="21.75" customHeight="1" x14ac:dyDescent="0.3">
      <c r="B657" s="128">
        <v>42391</v>
      </c>
      <c r="C657" s="130">
        <v>12749059</v>
      </c>
      <c r="D657" s="387">
        <v>659</v>
      </c>
      <c r="F657" s="336" t="s">
        <v>1302</v>
      </c>
      <c r="G657" s="336" t="s">
        <v>1303</v>
      </c>
      <c r="H657" s="18">
        <v>4241088900</v>
      </c>
      <c r="I657" s="26">
        <v>10900</v>
      </c>
    </row>
    <row r="658" spans="2:9" ht="21.75" customHeight="1" x14ac:dyDescent="0.3">
      <c r="C658" s="130">
        <v>8676427</v>
      </c>
      <c r="D658" s="387">
        <v>660</v>
      </c>
      <c r="F658" s="336" t="s">
        <v>1305</v>
      </c>
      <c r="G658" s="336" t="s">
        <v>1306</v>
      </c>
      <c r="H658" s="18">
        <v>414138370</v>
      </c>
      <c r="I658" s="26">
        <v>63000</v>
      </c>
    </row>
    <row r="659" spans="2:9" ht="21.75" customHeight="1" x14ac:dyDescent="0.3">
      <c r="B659" s="128">
        <v>42397</v>
      </c>
      <c r="C659" s="130">
        <v>23526246</v>
      </c>
      <c r="D659" s="387">
        <v>661</v>
      </c>
      <c r="F659" s="336" t="s">
        <v>1307</v>
      </c>
      <c r="G659" s="336" t="s">
        <v>1308</v>
      </c>
      <c r="H659" s="18">
        <v>4263110263</v>
      </c>
      <c r="I659" s="26">
        <v>63000</v>
      </c>
    </row>
    <row r="660" spans="2:9" ht="21.75" customHeight="1" x14ac:dyDescent="0.3">
      <c r="B660" s="128">
        <v>42399</v>
      </c>
      <c r="C660" s="130">
        <v>6283947</v>
      </c>
      <c r="D660" s="387">
        <v>662</v>
      </c>
      <c r="F660" s="336" t="s">
        <v>1309</v>
      </c>
      <c r="G660" s="336" t="s">
        <v>1310</v>
      </c>
      <c r="H660" s="18">
        <v>4162109159</v>
      </c>
      <c r="I660" s="26">
        <v>63000</v>
      </c>
    </row>
    <row r="661" spans="2:9" ht="21.75" customHeight="1" x14ac:dyDescent="0.3">
      <c r="B661" s="128">
        <v>42399</v>
      </c>
      <c r="C661" s="130">
        <v>6283947</v>
      </c>
      <c r="D661" s="387">
        <v>663</v>
      </c>
      <c r="F661" s="336" t="s">
        <v>1311</v>
      </c>
      <c r="G661" s="336" t="s">
        <v>1310</v>
      </c>
      <c r="H661" s="439">
        <v>4162109159</v>
      </c>
      <c r="I661" s="26">
        <v>63000</v>
      </c>
    </row>
    <row r="662" spans="2:9" ht="21.75" customHeight="1" x14ac:dyDescent="0.3">
      <c r="B662" s="128">
        <v>42410</v>
      </c>
      <c r="C662" s="130">
        <v>6878585</v>
      </c>
      <c r="D662" s="387">
        <v>664</v>
      </c>
      <c r="F662" s="336" t="s">
        <v>1447</v>
      </c>
      <c r="G662" s="336" t="s">
        <v>1448</v>
      </c>
      <c r="H662" s="18">
        <v>4168095244</v>
      </c>
      <c r="I662" s="26">
        <v>9900</v>
      </c>
    </row>
    <row r="663" spans="2:9" ht="21.75" customHeight="1" x14ac:dyDescent="0.3">
      <c r="B663" s="128">
        <v>42298</v>
      </c>
      <c r="C663" s="130">
        <v>13127934</v>
      </c>
      <c r="D663" s="387">
        <v>665</v>
      </c>
      <c r="F663" s="336" t="s">
        <v>572</v>
      </c>
      <c r="G663" s="336" t="s">
        <v>1312</v>
      </c>
      <c r="H663" s="18">
        <v>4129880350</v>
      </c>
      <c r="I663" s="26">
        <v>40000</v>
      </c>
    </row>
    <row r="664" spans="2:9" ht="21.75" customHeight="1" x14ac:dyDescent="0.3">
      <c r="B664" s="128">
        <v>42410</v>
      </c>
      <c r="C664" s="130">
        <v>26376418</v>
      </c>
      <c r="D664" s="387">
        <v>666</v>
      </c>
      <c r="F664" s="336" t="s">
        <v>1313</v>
      </c>
      <c r="G664" s="336" t="s">
        <v>1313</v>
      </c>
      <c r="H664" s="18">
        <v>4142242127</v>
      </c>
      <c r="I664" s="26">
        <v>9900</v>
      </c>
    </row>
    <row r="665" spans="2:9" ht="21.75" customHeight="1" x14ac:dyDescent="0.3">
      <c r="C665" s="130">
        <v>17299169</v>
      </c>
      <c r="D665" s="387">
        <v>667</v>
      </c>
      <c r="F665" s="336" t="s">
        <v>229</v>
      </c>
      <c r="G665" s="336" t="s">
        <v>229</v>
      </c>
      <c r="H665" s="18">
        <v>4143652994</v>
      </c>
    </row>
    <row r="666" spans="2:9" ht="21.75" customHeight="1" x14ac:dyDescent="0.3">
      <c r="B666" s="128">
        <v>42416</v>
      </c>
      <c r="C666" s="130">
        <v>15914286</v>
      </c>
      <c r="D666" s="387">
        <v>668</v>
      </c>
      <c r="F666" s="336" t="s">
        <v>705</v>
      </c>
      <c r="G666" s="336" t="s">
        <v>706</v>
      </c>
      <c r="H666" s="18">
        <v>4127372052</v>
      </c>
      <c r="I666" s="26">
        <v>63000</v>
      </c>
    </row>
    <row r="667" spans="2:9" ht="21.75" customHeight="1" x14ac:dyDescent="0.3">
      <c r="B667" s="128">
        <v>42411</v>
      </c>
      <c r="C667" s="130">
        <v>16972758</v>
      </c>
      <c r="D667" s="387">
        <v>669</v>
      </c>
      <c r="F667" s="336" t="s">
        <v>1336</v>
      </c>
      <c r="G667" s="336" t="s">
        <v>1336</v>
      </c>
      <c r="H667" s="18">
        <v>4142576995</v>
      </c>
      <c r="I667" s="26">
        <v>63000</v>
      </c>
    </row>
    <row r="668" spans="2:9" ht="21.75" customHeight="1" x14ac:dyDescent="0.3">
      <c r="B668" s="128">
        <v>42403</v>
      </c>
      <c r="C668" s="130">
        <v>10278667</v>
      </c>
      <c r="D668" s="387">
        <v>670</v>
      </c>
      <c r="F668" s="336" t="s">
        <v>1315</v>
      </c>
      <c r="G668" s="336" t="s">
        <v>1316</v>
      </c>
      <c r="H668" s="18">
        <v>4142238623</v>
      </c>
      <c r="I668" s="26">
        <v>9900</v>
      </c>
    </row>
    <row r="669" spans="2:9" ht="21.75" customHeight="1" x14ac:dyDescent="0.3">
      <c r="B669" s="128">
        <v>42413</v>
      </c>
      <c r="C669" s="130">
        <v>19014965</v>
      </c>
      <c r="D669" s="387">
        <v>671</v>
      </c>
      <c r="F669" s="336" t="s">
        <v>1317</v>
      </c>
      <c r="G669" s="336" t="s">
        <v>1317</v>
      </c>
      <c r="H669" s="18">
        <v>4242929746</v>
      </c>
      <c r="I669" s="26">
        <v>9900</v>
      </c>
    </row>
    <row r="670" spans="2:9" ht="21.75" customHeight="1" x14ac:dyDescent="0.3">
      <c r="B670" s="128">
        <v>42321</v>
      </c>
      <c r="C670" s="130">
        <v>6879961</v>
      </c>
      <c r="D670" s="387">
        <v>672</v>
      </c>
      <c r="F670" s="336" t="s">
        <v>1318</v>
      </c>
      <c r="G670" s="336" t="s">
        <v>1319</v>
      </c>
      <c r="H670" s="18">
        <v>2123307281</v>
      </c>
      <c r="I670" s="26">
        <v>49000</v>
      </c>
    </row>
    <row r="671" spans="2:9" ht="21.75" customHeight="1" x14ac:dyDescent="0.3">
      <c r="B671" s="128">
        <v>42413</v>
      </c>
      <c r="C671" s="130">
        <v>27450249</v>
      </c>
      <c r="D671" s="387">
        <v>673</v>
      </c>
      <c r="F671" s="336" t="s">
        <v>1322</v>
      </c>
      <c r="G671" s="336" t="s">
        <v>1321</v>
      </c>
      <c r="H671" s="18">
        <v>4141225122</v>
      </c>
      <c r="I671" s="26">
        <v>63000</v>
      </c>
    </row>
    <row r="672" spans="2:9" ht="21.75" customHeight="1" x14ac:dyDescent="0.3">
      <c r="B672" s="128">
        <v>42404</v>
      </c>
      <c r="C672" s="130">
        <v>11552810</v>
      </c>
      <c r="D672" s="387">
        <v>674</v>
      </c>
      <c r="F672" s="336" t="s">
        <v>1323</v>
      </c>
      <c r="G672" s="336" t="s">
        <v>1324</v>
      </c>
      <c r="H672" s="18">
        <v>4142450167</v>
      </c>
      <c r="I672" s="26">
        <v>9900</v>
      </c>
    </row>
    <row r="673" spans="2:9" ht="21.75" customHeight="1" x14ac:dyDescent="0.3">
      <c r="B673" s="128">
        <v>42404</v>
      </c>
      <c r="C673" s="130">
        <v>11552810</v>
      </c>
      <c r="D673" s="387">
        <v>675</v>
      </c>
      <c r="F673" s="336" t="s">
        <v>1327</v>
      </c>
      <c r="G673" s="336" t="s">
        <v>1324</v>
      </c>
      <c r="H673" s="18">
        <v>4142450167</v>
      </c>
      <c r="I673" s="26">
        <v>9900</v>
      </c>
    </row>
    <row r="674" spans="2:9" ht="21.75" customHeight="1" x14ac:dyDescent="0.3">
      <c r="B674" s="128">
        <v>42415</v>
      </c>
      <c r="C674" s="130">
        <v>6172008</v>
      </c>
      <c r="D674" s="387">
        <v>676</v>
      </c>
      <c r="F674" s="336" t="s">
        <v>1325</v>
      </c>
      <c r="G674" s="336" t="s">
        <v>1326</v>
      </c>
      <c r="H674" s="18">
        <v>4141058967</v>
      </c>
      <c r="I674" s="26">
        <v>63000</v>
      </c>
    </row>
    <row r="675" spans="2:9" ht="21.75" customHeight="1" x14ac:dyDescent="0.3">
      <c r="B675" s="128">
        <v>42416</v>
      </c>
      <c r="C675" s="130">
        <v>6144669</v>
      </c>
      <c r="D675" s="387">
        <v>677</v>
      </c>
      <c r="F675" s="336" t="s">
        <v>1328</v>
      </c>
      <c r="G675" s="336" t="s">
        <v>1329</v>
      </c>
      <c r="H675" s="18">
        <v>4249321226</v>
      </c>
      <c r="I675" s="26" t="s">
        <v>65</v>
      </c>
    </row>
    <row r="676" spans="2:9" ht="21.75" customHeight="1" x14ac:dyDescent="0.3">
      <c r="B676" s="387" t="s">
        <v>1330</v>
      </c>
      <c r="C676" s="130">
        <v>17107674</v>
      </c>
      <c r="D676" s="387">
        <v>678</v>
      </c>
      <c r="F676" s="336" t="s">
        <v>714</v>
      </c>
      <c r="G676" s="336" t="s">
        <v>715</v>
      </c>
      <c r="H676" s="101">
        <v>4241812622</v>
      </c>
      <c r="I676" s="26">
        <v>63000</v>
      </c>
    </row>
    <row r="677" spans="2:9" ht="21.75" customHeight="1" x14ac:dyDescent="0.3">
      <c r="B677" s="128">
        <v>42416</v>
      </c>
      <c r="C677" s="130">
        <v>5888547</v>
      </c>
      <c r="D677" s="387">
        <v>679</v>
      </c>
      <c r="F677" s="336" t="s">
        <v>1331</v>
      </c>
      <c r="G677" s="336" t="s">
        <v>1332</v>
      </c>
      <c r="H677" s="18">
        <v>4129377909</v>
      </c>
      <c r="I677" s="26">
        <v>63000</v>
      </c>
    </row>
    <row r="678" spans="2:9" ht="21.75" customHeight="1" x14ac:dyDescent="0.3">
      <c r="B678" s="128">
        <v>42416</v>
      </c>
      <c r="C678" s="130">
        <v>5888547</v>
      </c>
      <c r="D678" s="387">
        <v>680</v>
      </c>
      <c r="F678" s="336" t="s">
        <v>1333</v>
      </c>
      <c r="G678" s="336" t="s">
        <v>1332</v>
      </c>
      <c r="H678" s="18">
        <v>4129377909</v>
      </c>
      <c r="I678" s="26">
        <v>53000</v>
      </c>
    </row>
    <row r="679" spans="2:9" ht="21.75" customHeight="1" x14ac:dyDescent="0.3">
      <c r="B679" s="128">
        <v>42419</v>
      </c>
      <c r="C679" s="130">
        <v>12877498</v>
      </c>
      <c r="D679" s="387">
        <v>681</v>
      </c>
      <c r="F679" s="336" t="s">
        <v>1334</v>
      </c>
      <c r="G679" s="336" t="s">
        <v>1335</v>
      </c>
      <c r="H679" s="18">
        <v>4168062077</v>
      </c>
      <c r="I679" s="26">
        <v>9900</v>
      </c>
    </row>
    <row r="680" spans="2:9" ht="21.75" customHeight="1" x14ac:dyDescent="0.3">
      <c r="B680" s="128">
        <v>42422</v>
      </c>
      <c r="C680" s="130">
        <v>27908767</v>
      </c>
      <c r="D680" s="387">
        <v>682</v>
      </c>
      <c r="F680" s="336" t="s">
        <v>1003</v>
      </c>
      <c r="G680" s="336" t="s">
        <v>1004</v>
      </c>
      <c r="H680" s="18">
        <v>4169116184</v>
      </c>
      <c r="I680" s="26" t="s">
        <v>516</v>
      </c>
    </row>
    <row r="681" spans="2:9" ht="21.75" customHeight="1" x14ac:dyDescent="0.3">
      <c r="B681" s="128">
        <v>42422</v>
      </c>
      <c r="C681" s="130">
        <v>10481552</v>
      </c>
      <c r="D681" s="387">
        <v>683</v>
      </c>
      <c r="F681" s="336" t="s">
        <v>1337</v>
      </c>
      <c r="G681" s="336" t="s">
        <v>1338</v>
      </c>
      <c r="H681" s="18">
        <v>4142437880</v>
      </c>
      <c r="I681" s="26">
        <v>9900</v>
      </c>
    </row>
    <row r="682" spans="2:9" ht="21.75" customHeight="1" x14ac:dyDescent="0.3">
      <c r="B682" s="128">
        <v>42422</v>
      </c>
      <c r="C682" s="130" t="s">
        <v>1339</v>
      </c>
      <c r="D682" s="387">
        <v>684</v>
      </c>
      <c r="F682" s="336" t="s">
        <v>1244</v>
      </c>
      <c r="G682" s="336" t="s">
        <v>1244</v>
      </c>
      <c r="H682" s="18">
        <v>4142094321</v>
      </c>
      <c r="I682" s="26" t="s">
        <v>978</v>
      </c>
    </row>
    <row r="683" spans="2:9" ht="21.75" customHeight="1" x14ac:dyDescent="0.3">
      <c r="B683" s="128">
        <v>42422</v>
      </c>
      <c r="C683" s="130">
        <v>27908987</v>
      </c>
      <c r="D683" s="387">
        <v>685</v>
      </c>
      <c r="F683" s="336" t="s">
        <v>1340</v>
      </c>
      <c r="G683" s="336" t="s">
        <v>1341</v>
      </c>
      <c r="H683" s="18">
        <v>4241685077</v>
      </c>
      <c r="I683" s="26">
        <v>9900</v>
      </c>
    </row>
    <row r="684" spans="2:9" ht="21.75" customHeight="1" x14ac:dyDescent="0.3">
      <c r="B684" s="128">
        <v>42424</v>
      </c>
      <c r="C684" s="130">
        <v>16368339</v>
      </c>
      <c r="D684" s="387">
        <v>686</v>
      </c>
      <c r="F684" s="336" t="s">
        <v>1012</v>
      </c>
      <c r="G684" s="336" t="s">
        <v>1342</v>
      </c>
      <c r="H684" s="18">
        <v>4241823106</v>
      </c>
      <c r="I684" s="26">
        <v>7900</v>
      </c>
    </row>
    <row r="685" spans="2:9" ht="21.75" customHeight="1" x14ac:dyDescent="0.3">
      <c r="B685" s="128">
        <v>42424</v>
      </c>
      <c r="C685" s="130">
        <v>12729020</v>
      </c>
      <c r="D685" s="387">
        <v>687</v>
      </c>
      <c r="F685" s="336" t="s">
        <v>1343</v>
      </c>
      <c r="G685" s="336" t="s">
        <v>1343</v>
      </c>
      <c r="H685" s="18">
        <v>4141097089</v>
      </c>
      <c r="I685" s="26">
        <v>63000</v>
      </c>
    </row>
    <row r="686" spans="2:9" ht="21.75" customHeight="1" x14ac:dyDescent="0.3">
      <c r="B686" s="128">
        <v>42431</v>
      </c>
      <c r="C686" s="130">
        <v>82122565</v>
      </c>
      <c r="D686" s="387">
        <v>688</v>
      </c>
      <c r="F686" s="336" t="s">
        <v>1344</v>
      </c>
      <c r="G686" s="336" t="s">
        <v>906</v>
      </c>
      <c r="H686" s="18">
        <v>4241639497</v>
      </c>
      <c r="I686" s="26">
        <v>9900</v>
      </c>
    </row>
    <row r="687" spans="2:9" ht="21.75" customHeight="1" x14ac:dyDescent="0.3">
      <c r="B687" s="128">
        <v>42431</v>
      </c>
      <c r="C687" s="130">
        <v>82122565</v>
      </c>
      <c r="D687" s="387">
        <v>689</v>
      </c>
      <c r="F687" s="336" t="s">
        <v>910</v>
      </c>
      <c r="G687" s="336" t="s">
        <v>906</v>
      </c>
      <c r="H687" s="440">
        <v>4241639497</v>
      </c>
      <c r="I687" s="26">
        <v>9900</v>
      </c>
    </row>
    <row r="688" spans="2:9" ht="21.75" customHeight="1" x14ac:dyDescent="0.3">
      <c r="B688" s="128">
        <v>42429</v>
      </c>
      <c r="C688" s="130">
        <v>13232214</v>
      </c>
      <c r="D688" s="387">
        <v>690</v>
      </c>
      <c r="F688" s="336" t="s">
        <v>1345</v>
      </c>
      <c r="G688" s="336" t="s">
        <v>1345</v>
      </c>
      <c r="H688" s="18">
        <v>4142315226</v>
      </c>
      <c r="I688" s="26">
        <v>9900</v>
      </c>
    </row>
    <row r="689" spans="2:9" ht="21.75" customHeight="1" x14ac:dyDescent="0.3">
      <c r="B689" s="128">
        <v>42426</v>
      </c>
      <c r="C689" s="130">
        <v>18249730</v>
      </c>
      <c r="D689" s="387">
        <v>691</v>
      </c>
      <c r="F689" s="336" t="s">
        <v>1346</v>
      </c>
      <c r="G689" s="336" t="s">
        <v>1346</v>
      </c>
      <c r="H689" s="18">
        <v>4141860140</v>
      </c>
      <c r="I689" s="26">
        <v>9900</v>
      </c>
    </row>
    <row r="690" spans="2:9" ht="21.75" customHeight="1" x14ac:dyDescent="0.3">
      <c r="B690" s="128">
        <v>42429</v>
      </c>
      <c r="C690" s="130">
        <v>15714829</v>
      </c>
      <c r="D690" s="387">
        <v>692</v>
      </c>
      <c r="F690" s="336" t="s">
        <v>1347</v>
      </c>
      <c r="G690" s="336" t="s">
        <v>1348</v>
      </c>
      <c r="H690" s="18">
        <v>4142422807</v>
      </c>
      <c r="I690" s="26">
        <v>63000</v>
      </c>
    </row>
    <row r="691" spans="2:9" ht="21.75" customHeight="1" x14ac:dyDescent="0.3">
      <c r="B691" s="128">
        <v>42426</v>
      </c>
      <c r="C691" s="130">
        <v>7954007</v>
      </c>
      <c r="D691" s="387">
        <v>693</v>
      </c>
      <c r="F691" s="336" t="s">
        <v>1349</v>
      </c>
      <c r="G691" s="336" t="s">
        <v>1350</v>
      </c>
      <c r="H691" s="18">
        <v>4141386348</v>
      </c>
      <c r="I691" s="26">
        <v>9900</v>
      </c>
    </row>
    <row r="692" spans="2:9" ht="21.75" customHeight="1" x14ac:dyDescent="0.3">
      <c r="B692" s="128">
        <v>42426</v>
      </c>
      <c r="C692" s="130">
        <v>19014966</v>
      </c>
      <c r="D692" s="387">
        <v>694</v>
      </c>
      <c r="F692" s="336" t="s">
        <v>1351</v>
      </c>
      <c r="G692" s="336" t="s">
        <v>1352</v>
      </c>
      <c r="H692" s="18">
        <v>4242483153</v>
      </c>
      <c r="I692" s="26">
        <v>23000</v>
      </c>
    </row>
    <row r="693" spans="2:9" ht="21.75" customHeight="1" x14ac:dyDescent="0.3">
      <c r="B693" s="128">
        <v>42429</v>
      </c>
      <c r="C693" s="130">
        <v>18829593</v>
      </c>
      <c r="D693" s="387">
        <v>695</v>
      </c>
      <c r="F693" s="336" t="s">
        <v>1353</v>
      </c>
      <c r="G693" s="336" t="s">
        <v>1353</v>
      </c>
      <c r="H693" s="18">
        <v>4126005318</v>
      </c>
      <c r="I693" s="26">
        <v>9900</v>
      </c>
    </row>
    <row r="694" spans="2:9" ht="21.75" customHeight="1" x14ac:dyDescent="0.3">
      <c r="B694" s="128">
        <v>42429</v>
      </c>
      <c r="C694" s="130">
        <v>8675655</v>
      </c>
      <c r="D694" s="387">
        <v>696</v>
      </c>
      <c r="F694" s="336" t="s">
        <v>1354</v>
      </c>
      <c r="G694" s="336" t="s">
        <v>360</v>
      </c>
      <c r="H694" s="18">
        <v>4142665818</v>
      </c>
      <c r="I694" s="26">
        <v>72800</v>
      </c>
    </row>
    <row r="695" spans="2:9" ht="21.75" customHeight="1" x14ac:dyDescent="0.3">
      <c r="B695" s="128">
        <v>42429</v>
      </c>
      <c r="C695" s="130">
        <v>20116026</v>
      </c>
      <c r="D695" s="387">
        <v>697</v>
      </c>
      <c r="F695" s="336" t="s">
        <v>1355</v>
      </c>
      <c r="G695" s="336" t="s">
        <v>1355</v>
      </c>
      <c r="H695" s="18">
        <v>4140116056</v>
      </c>
      <c r="I695" s="26">
        <v>9900</v>
      </c>
    </row>
    <row r="696" spans="2:9" ht="21.75" customHeight="1" x14ac:dyDescent="0.3">
      <c r="B696" s="128">
        <v>42431</v>
      </c>
      <c r="C696" s="130">
        <v>12416765</v>
      </c>
      <c r="D696" s="387">
        <v>698</v>
      </c>
      <c r="F696" s="336" t="s">
        <v>1356</v>
      </c>
      <c r="G696" s="336" t="s">
        <v>1356</v>
      </c>
      <c r="H696" s="18">
        <v>4242710270</v>
      </c>
      <c r="I696" s="26">
        <v>9900</v>
      </c>
    </row>
    <row r="697" spans="2:9" ht="21.75" customHeight="1" x14ac:dyDescent="0.3">
      <c r="B697" s="128">
        <v>42430</v>
      </c>
      <c r="C697" s="130">
        <v>23625094</v>
      </c>
      <c r="D697" s="387">
        <v>699</v>
      </c>
      <c r="F697" s="336" t="s">
        <v>1047</v>
      </c>
      <c r="G697" s="336" t="s">
        <v>1047</v>
      </c>
      <c r="H697" s="18">
        <v>4140218688</v>
      </c>
      <c r="I697" s="26">
        <v>5900</v>
      </c>
    </row>
    <row r="698" spans="2:9" ht="21.75" customHeight="1" x14ac:dyDescent="0.3">
      <c r="B698" s="128">
        <v>42433</v>
      </c>
      <c r="C698" s="130">
        <v>12415009</v>
      </c>
      <c r="D698" s="387">
        <v>700</v>
      </c>
      <c r="F698" s="336" t="s">
        <v>1357</v>
      </c>
      <c r="G698" s="336" t="s">
        <v>1358</v>
      </c>
      <c r="H698" s="18">
        <v>4141158189</v>
      </c>
      <c r="I698" s="26">
        <v>69000</v>
      </c>
    </row>
    <row r="699" spans="2:9" ht="21.75" customHeight="1" x14ac:dyDescent="0.3">
      <c r="B699" s="128">
        <v>42433</v>
      </c>
      <c r="C699" s="130">
        <v>12415009</v>
      </c>
      <c r="D699" s="387">
        <v>701</v>
      </c>
      <c r="F699" s="336" t="s">
        <v>1359</v>
      </c>
      <c r="G699" s="336" t="s">
        <v>1358</v>
      </c>
      <c r="H699" s="441">
        <v>4141158189</v>
      </c>
      <c r="I699" s="26">
        <v>69000</v>
      </c>
    </row>
    <row r="700" spans="2:9" ht="21.75" customHeight="1" x14ac:dyDescent="0.3">
      <c r="B700" s="128">
        <v>42426</v>
      </c>
      <c r="C700" s="130">
        <v>20181822</v>
      </c>
      <c r="D700" s="387">
        <v>702</v>
      </c>
      <c r="F700" s="336" t="s">
        <v>1219</v>
      </c>
      <c r="G700" s="336" t="s">
        <v>1219</v>
      </c>
      <c r="H700" s="18">
        <v>4140183492</v>
      </c>
      <c r="I700" s="26">
        <v>9900</v>
      </c>
    </row>
    <row r="701" spans="2:9" ht="21.75" customHeight="1" x14ac:dyDescent="0.3">
      <c r="B701" s="128">
        <v>42437</v>
      </c>
      <c r="C701" s="130">
        <v>6353098</v>
      </c>
      <c r="D701" s="387">
        <v>703</v>
      </c>
      <c r="F701" s="336" t="s">
        <v>1360</v>
      </c>
      <c r="G701" s="336" t="s">
        <v>1360</v>
      </c>
      <c r="H701" s="18">
        <v>4143193020</v>
      </c>
      <c r="I701" s="26">
        <v>9900</v>
      </c>
    </row>
    <row r="702" spans="2:9" ht="21.75" customHeight="1" x14ac:dyDescent="0.3">
      <c r="B702" s="128">
        <v>42437</v>
      </c>
      <c r="C702" s="130">
        <v>10333850</v>
      </c>
      <c r="D702" s="387">
        <v>704</v>
      </c>
      <c r="F702" s="336" t="s">
        <v>1361</v>
      </c>
      <c r="G702" s="336" t="s">
        <v>1361</v>
      </c>
      <c r="H702" s="18">
        <v>4166154972</v>
      </c>
      <c r="I702" s="26">
        <v>9900</v>
      </c>
    </row>
    <row r="703" spans="2:9" ht="21.75" customHeight="1" x14ac:dyDescent="0.3">
      <c r="B703" s="128">
        <v>42433</v>
      </c>
      <c r="C703" s="130">
        <v>11820289</v>
      </c>
      <c r="D703" s="387">
        <v>705</v>
      </c>
      <c r="F703" s="336" t="s">
        <v>1175</v>
      </c>
      <c r="G703" s="336" t="s">
        <v>1175</v>
      </c>
      <c r="H703" s="445">
        <v>4141325388</v>
      </c>
      <c r="I703" s="26">
        <v>36500</v>
      </c>
    </row>
    <row r="704" spans="2:9" ht="21.75" customHeight="1" x14ac:dyDescent="0.3">
      <c r="B704" s="128">
        <v>42437</v>
      </c>
      <c r="C704" s="130">
        <v>13483105</v>
      </c>
      <c r="D704" s="387">
        <v>706</v>
      </c>
      <c r="F704" s="336" t="s">
        <v>1171</v>
      </c>
      <c r="G704" s="336" t="s">
        <v>1171</v>
      </c>
      <c r="H704" s="18">
        <v>4149133432</v>
      </c>
      <c r="I704" s="26" t="s">
        <v>65</v>
      </c>
    </row>
    <row r="705" spans="2:10" ht="21.75" customHeight="1" x14ac:dyDescent="0.3">
      <c r="B705" s="128">
        <v>42437</v>
      </c>
      <c r="C705" s="130">
        <v>16663453</v>
      </c>
      <c r="D705" s="387">
        <v>707</v>
      </c>
      <c r="F705" s="336" t="s">
        <v>1362</v>
      </c>
      <c r="G705" s="336" t="s">
        <v>1363</v>
      </c>
      <c r="H705" s="18">
        <v>4269014100</v>
      </c>
      <c r="I705" s="26">
        <v>9900</v>
      </c>
    </row>
    <row r="706" spans="2:10" ht="21.75" customHeight="1" x14ac:dyDescent="0.3">
      <c r="B706" s="128">
        <v>42444</v>
      </c>
      <c r="C706" s="130">
        <v>8628579</v>
      </c>
      <c r="D706" s="387">
        <v>708</v>
      </c>
      <c r="F706" s="336" t="s">
        <v>742</v>
      </c>
      <c r="G706" s="336" t="s">
        <v>742</v>
      </c>
      <c r="H706" s="18">
        <v>4129233871</v>
      </c>
      <c r="I706" s="26">
        <v>9900</v>
      </c>
    </row>
    <row r="707" spans="2:10" ht="21.75" customHeight="1" x14ac:dyDescent="0.3">
      <c r="B707" s="128">
        <v>42444</v>
      </c>
      <c r="C707" s="130">
        <v>13494773</v>
      </c>
      <c r="D707" s="387">
        <v>709</v>
      </c>
      <c r="F707" s="336" t="s">
        <v>1367</v>
      </c>
      <c r="G707" s="336" t="s">
        <v>1367</v>
      </c>
      <c r="H707" s="18">
        <v>4122228789</v>
      </c>
      <c r="I707" s="26">
        <v>9900</v>
      </c>
    </row>
    <row r="708" spans="2:10" ht="21.75" customHeight="1" x14ac:dyDescent="0.3">
      <c r="B708" s="128">
        <v>42445</v>
      </c>
      <c r="C708" s="130">
        <v>14989534</v>
      </c>
      <c r="D708" s="387">
        <v>710</v>
      </c>
      <c r="F708" s="336" t="s">
        <v>1368</v>
      </c>
      <c r="G708" s="336" t="s">
        <v>1368</v>
      </c>
      <c r="H708" s="18">
        <v>4141534025</v>
      </c>
      <c r="I708" s="26" t="s">
        <v>65</v>
      </c>
    </row>
    <row r="709" spans="2:10" ht="21.75" customHeight="1" x14ac:dyDescent="0.3">
      <c r="B709" s="128">
        <v>42436</v>
      </c>
      <c r="C709" s="130">
        <v>21264716</v>
      </c>
      <c r="D709" s="387">
        <v>711</v>
      </c>
      <c r="F709" s="336" t="s">
        <v>1369</v>
      </c>
      <c r="G709" s="336" t="s">
        <v>1369</v>
      </c>
      <c r="H709" s="18">
        <v>4249700891</v>
      </c>
      <c r="I709" s="26">
        <v>4900</v>
      </c>
    </row>
    <row r="710" spans="2:10" ht="21.75" customHeight="1" x14ac:dyDescent="0.3">
      <c r="B710" s="128">
        <v>42445</v>
      </c>
      <c r="C710" s="130">
        <v>11042405</v>
      </c>
      <c r="D710" s="387">
        <v>712</v>
      </c>
      <c r="F710" s="336" t="s">
        <v>975</v>
      </c>
      <c r="G710" s="336" t="s">
        <v>1053</v>
      </c>
      <c r="H710" s="18">
        <v>4142776133</v>
      </c>
      <c r="I710" s="26" t="s">
        <v>65</v>
      </c>
    </row>
    <row r="711" spans="2:10" ht="21.75" customHeight="1" x14ac:dyDescent="0.3">
      <c r="B711" s="128">
        <v>42446</v>
      </c>
      <c r="C711" s="130">
        <v>12414600</v>
      </c>
      <c r="D711" s="387">
        <v>713</v>
      </c>
      <c r="F711" s="336" t="s">
        <v>1371</v>
      </c>
      <c r="G711" s="336" t="s">
        <v>1370</v>
      </c>
      <c r="H711" s="18">
        <v>4142653161</v>
      </c>
      <c r="I711" s="26" t="s">
        <v>65</v>
      </c>
    </row>
    <row r="712" spans="2:10" ht="21.75" customHeight="1" x14ac:dyDescent="0.3">
      <c r="B712" s="128">
        <v>42446</v>
      </c>
      <c r="C712" s="130">
        <v>6826826</v>
      </c>
      <c r="D712" s="387">
        <v>714</v>
      </c>
      <c r="F712" s="336" t="s">
        <v>1008</v>
      </c>
      <c r="G712" s="336" t="s">
        <v>1372</v>
      </c>
      <c r="H712" s="18">
        <v>4160123434</v>
      </c>
      <c r="I712" s="26">
        <v>9900</v>
      </c>
    </row>
    <row r="713" spans="2:10" ht="21.75" customHeight="1" x14ac:dyDescent="0.3">
      <c r="B713" s="128">
        <v>42445</v>
      </c>
      <c r="C713" s="130">
        <v>10481552</v>
      </c>
      <c r="D713" s="387">
        <v>715</v>
      </c>
      <c r="F713" s="336" t="s">
        <v>1373</v>
      </c>
      <c r="G713" s="336" t="s">
        <v>1373</v>
      </c>
      <c r="H713" s="18">
        <v>4142437880</v>
      </c>
      <c r="I713" s="26">
        <v>9900</v>
      </c>
    </row>
    <row r="714" spans="2:10" ht="21.75" customHeight="1" x14ac:dyDescent="0.3">
      <c r="B714" s="128">
        <v>42447</v>
      </c>
      <c r="C714" s="130">
        <v>18492878</v>
      </c>
      <c r="D714" s="387">
        <v>716</v>
      </c>
      <c r="F714" s="336" t="s">
        <v>91</v>
      </c>
      <c r="G714" s="336" t="s">
        <v>91</v>
      </c>
      <c r="H714" s="18">
        <v>4160120244</v>
      </c>
      <c r="I714" s="26" t="s">
        <v>65</v>
      </c>
    </row>
    <row r="715" spans="2:10" ht="21.75" customHeight="1" x14ac:dyDescent="0.3">
      <c r="B715" s="128">
        <v>42447</v>
      </c>
      <c r="C715" s="130">
        <v>15711359</v>
      </c>
      <c r="D715" s="387">
        <v>717</v>
      </c>
      <c r="F715" s="336" t="s">
        <v>1374</v>
      </c>
      <c r="G715" s="336" t="s">
        <v>1374</v>
      </c>
      <c r="H715" s="18">
        <v>4142055245</v>
      </c>
      <c r="I715" s="26" t="s">
        <v>65</v>
      </c>
    </row>
    <row r="716" spans="2:10" ht="21.75" customHeight="1" x14ac:dyDescent="0.3">
      <c r="B716" s="128">
        <v>42447</v>
      </c>
      <c r="C716" s="130">
        <v>14907700</v>
      </c>
      <c r="D716" s="387">
        <v>718</v>
      </c>
      <c r="F716" s="336" t="s">
        <v>1375</v>
      </c>
      <c r="G716" s="336" t="s">
        <v>1375</v>
      </c>
      <c r="H716" s="18">
        <v>4143247978</v>
      </c>
      <c r="I716" s="26" t="s">
        <v>65</v>
      </c>
    </row>
    <row r="717" spans="2:10" ht="21.75" customHeight="1" x14ac:dyDescent="0.3">
      <c r="B717" s="128">
        <v>42447</v>
      </c>
      <c r="C717" s="130">
        <v>10827105</v>
      </c>
      <c r="D717" s="387">
        <v>719</v>
      </c>
      <c r="F717" s="336" t="s">
        <v>1376</v>
      </c>
      <c r="G717" s="336" t="s">
        <v>1377</v>
      </c>
      <c r="H717" s="18">
        <v>41242302342</v>
      </c>
      <c r="I717" s="26">
        <v>9900</v>
      </c>
    </row>
    <row r="718" spans="2:10" ht="21.75" customHeight="1" x14ac:dyDescent="0.3">
      <c r="B718" s="128">
        <v>42432</v>
      </c>
      <c r="C718" s="130">
        <v>28461591</v>
      </c>
      <c r="D718" s="387">
        <v>720</v>
      </c>
      <c r="F718" s="336" t="s">
        <v>1378</v>
      </c>
      <c r="G718" s="336" t="s">
        <v>1379</v>
      </c>
      <c r="H718" s="18">
        <v>4244226952</v>
      </c>
      <c r="I718" s="26">
        <v>9900</v>
      </c>
    </row>
    <row r="719" spans="2:10" ht="21.75" customHeight="1" x14ac:dyDescent="0.3">
      <c r="B719" s="128">
        <v>42459</v>
      </c>
      <c r="C719" s="130">
        <v>21411600</v>
      </c>
      <c r="D719" s="387">
        <v>721</v>
      </c>
      <c r="F719" s="336" t="s">
        <v>1398</v>
      </c>
      <c r="G719" s="336" t="s">
        <v>1398</v>
      </c>
      <c r="H719" s="18">
        <v>4166360377</v>
      </c>
      <c r="I719" s="26" t="s">
        <v>1380</v>
      </c>
    </row>
    <row r="720" spans="2:10" ht="21.75" customHeight="1" x14ac:dyDescent="0.3">
      <c r="B720" s="128">
        <v>42461</v>
      </c>
      <c r="C720" s="130">
        <v>12974682</v>
      </c>
      <c r="D720" s="387">
        <v>722</v>
      </c>
      <c r="F720" s="336" t="s">
        <v>1208</v>
      </c>
      <c r="G720" s="336" t="s">
        <v>1209</v>
      </c>
      <c r="H720" s="18">
        <v>4147106683</v>
      </c>
      <c r="I720" s="26">
        <v>9900</v>
      </c>
      <c r="J720" s="26" t="s">
        <v>1381</v>
      </c>
    </row>
    <row r="721" spans="2:11" ht="21.75" customHeight="1" x14ac:dyDescent="0.3">
      <c r="B721" s="128">
        <v>42430</v>
      </c>
      <c r="C721" s="130">
        <v>19477877</v>
      </c>
      <c r="D721" s="387">
        <v>723</v>
      </c>
      <c r="F721" s="336" t="s">
        <v>1382</v>
      </c>
      <c r="G721" s="336" t="s">
        <v>1383</v>
      </c>
      <c r="H721" s="18">
        <v>4122063440</v>
      </c>
      <c r="I721" s="26">
        <v>9900</v>
      </c>
    </row>
    <row r="722" spans="2:11" ht="21.75" customHeight="1" x14ac:dyDescent="0.3">
      <c r="B722" s="128">
        <v>42448</v>
      </c>
      <c r="C722" s="130">
        <v>16683781</v>
      </c>
      <c r="D722" s="387">
        <v>724</v>
      </c>
      <c r="F722" s="336" t="s">
        <v>1384</v>
      </c>
      <c r="G722" s="336" t="s">
        <v>1384</v>
      </c>
      <c r="H722" s="18">
        <v>4123297043</v>
      </c>
      <c r="I722" s="26" t="s">
        <v>1380</v>
      </c>
    </row>
    <row r="723" spans="2:11" ht="21.75" customHeight="1" x14ac:dyDescent="0.3">
      <c r="B723" s="128">
        <v>42457</v>
      </c>
      <c r="C723" s="130">
        <v>22540092</v>
      </c>
      <c r="D723" s="387">
        <v>725</v>
      </c>
      <c r="F723" s="336" t="s">
        <v>1385</v>
      </c>
      <c r="G723" s="336" t="s">
        <v>1385</v>
      </c>
      <c r="H723" s="18">
        <v>4241541221</v>
      </c>
      <c r="I723" s="26" t="s">
        <v>1380</v>
      </c>
    </row>
    <row r="724" spans="2:11" ht="21.75" customHeight="1" x14ac:dyDescent="0.3">
      <c r="B724" s="128">
        <v>42464</v>
      </c>
      <c r="C724" s="130">
        <v>10899978</v>
      </c>
      <c r="D724" s="387">
        <v>726</v>
      </c>
      <c r="F724" s="336" t="s">
        <v>842</v>
      </c>
      <c r="G724" s="336" t="s">
        <v>843</v>
      </c>
      <c r="H724" s="18">
        <v>4143227070</v>
      </c>
      <c r="I724" s="26">
        <v>9900</v>
      </c>
    </row>
    <row r="725" spans="2:11" ht="21.75" customHeight="1" x14ac:dyDescent="0.3">
      <c r="B725" s="128">
        <v>42465</v>
      </c>
      <c r="C725" s="130">
        <v>25840986</v>
      </c>
      <c r="D725" s="387">
        <v>727</v>
      </c>
      <c r="E725" s="126" t="s">
        <v>1388</v>
      </c>
      <c r="F725" s="336" t="s">
        <v>598</v>
      </c>
      <c r="G725" s="336" t="s">
        <v>598</v>
      </c>
      <c r="H725" s="18">
        <v>4244212179</v>
      </c>
      <c r="I725" s="26">
        <v>107100</v>
      </c>
      <c r="J725" s="26">
        <v>11900</v>
      </c>
      <c r="K725" s="18">
        <v>11900</v>
      </c>
    </row>
    <row r="726" spans="2:11" ht="21.75" customHeight="1" x14ac:dyDescent="0.3">
      <c r="B726" s="128">
        <v>42467</v>
      </c>
      <c r="C726" s="130">
        <v>17857750</v>
      </c>
      <c r="D726" s="387">
        <v>728</v>
      </c>
      <c r="E726" s="126" t="s">
        <v>1388</v>
      </c>
      <c r="F726" s="336" t="s">
        <v>1389</v>
      </c>
      <c r="G726" s="336" t="s">
        <v>1389</v>
      </c>
      <c r="H726" s="18">
        <v>4262049572</v>
      </c>
      <c r="I726" s="26">
        <v>107100</v>
      </c>
      <c r="J726" s="26">
        <v>11900</v>
      </c>
      <c r="K726" s="18">
        <v>11900</v>
      </c>
    </row>
    <row r="727" spans="2:11" ht="21.75" customHeight="1" x14ac:dyDescent="0.3">
      <c r="B727" s="128">
        <v>42467</v>
      </c>
      <c r="C727" s="130">
        <v>13599673</v>
      </c>
      <c r="D727" s="387">
        <v>729</v>
      </c>
      <c r="E727" s="126" t="s">
        <v>1388</v>
      </c>
      <c r="F727" s="336" t="s">
        <v>1390</v>
      </c>
      <c r="G727" s="336" t="s">
        <v>1391</v>
      </c>
      <c r="H727" s="18">
        <v>4141376849</v>
      </c>
      <c r="I727" s="26">
        <v>107100</v>
      </c>
      <c r="J727" s="26">
        <v>11900</v>
      </c>
      <c r="K727" s="18">
        <v>11900</v>
      </c>
    </row>
    <row r="728" spans="2:11" ht="21.75" customHeight="1" x14ac:dyDescent="0.3">
      <c r="B728" s="128">
        <v>42468</v>
      </c>
      <c r="C728" s="130">
        <v>13224315</v>
      </c>
      <c r="D728" s="387">
        <v>730</v>
      </c>
      <c r="E728" s="126" t="s">
        <v>1388</v>
      </c>
      <c r="F728" s="336" t="s">
        <v>1392</v>
      </c>
      <c r="G728" s="336" t="s">
        <v>1392</v>
      </c>
      <c r="H728" s="18">
        <v>4241431787</v>
      </c>
      <c r="I728" s="26">
        <v>89100</v>
      </c>
      <c r="J728" s="26">
        <v>9900</v>
      </c>
      <c r="K728" s="18">
        <v>9900</v>
      </c>
    </row>
    <row r="729" spans="2:11" ht="21.75" customHeight="1" x14ac:dyDescent="0.3">
      <c r="B729" s="128">
        <v>42468</v>
      </c>
      <c r="C729" s="130">
        <v>17400627</v>
      </c>
      <c r="D729" s="387">
        <v>731</v>
      </c>
      <c r="E729" s="126" t="s">
        <v>1388</v>
      </c>
      <c r="F729" s="336" t="s">
        <v>1393</v>
      </c>
      <c r="G729" s="336" t="s">
        <v>1393</v>
      </c>
      <c r="H729" s="18">
        <v>424874415</v>
      </c>
      <c r="I729" s="26">
        <v>107100</v>
      </c>
      <c r="J729" s="26">
        <v>11900</v>
      </c>
      <c r="K729" s="18">
        <v>11900</v>
      </c>
    </row>
    <row r="730" spans="2:11" ht="21.75" customHeight="1" x14ac:dyDescent="0.3">
      <c r="B730" s="128">
        <v>42468</v>
      </c>
      <c r="C730" s="130">
        <v>13770759</v>
      </c>
      <c r="D730" s="387">
        <v>732</v>
      </c>
      <c r="E730" s="126" t="s">
        <v>1388</v>
      </c>
      <c r="F730" s="336" t="s">
        <v>1394</v>
      </c>
      <c r="G730" s="336" t="s">
        <v>1394</v>
      </c>
      <c r="H730" s="18">
        <v>4122661911</v>
      </c>
      <c r="I730" s="26">
        <v>89100</v>
      </c>
      <c r="J730" s="26">
        <v>9900</v>
      </c>
      <c r="K730" s="18">
        <v>9900</v>
      </c>
    </row>
    <row r="731" spans="2:11" ht="21.75" customHeight="1" x14ac:dyDescent="0.3">
      <c r="B731" s="128">
        <v>42469</v>
      </c>
      <c r="C731" s="130">
        <v>5585032</v>
      </c>
      <c r="D731" s="387">
        <v>733</v>
      </c>
      <c r="E731" s="126" t="s">
        <v>231</v>
      </c>
      <c r="F731" s="336" t="s">
        <v>1396</v>
      </c>
      <c r="G731" s="336" t="s">
        <v>1395</v>
      </c>
      <c r="H731" s="18">
        <v>4262266316</v>
      </c>
      <c r="I731" s="26">
        <v>79000</v>
      </c>
      <c r="J731" s="26">
        <v>39800</v>
      </c>
      <c r="K731" s="18" t="s">
        <v>1397</v>
      </c>
    </row>
    <row r="732" spans="2:11" ht="21.75" customHeight="1" x14ac:dyDescent="0.3">
      <c r="B732" s="128">
        <v>42469</v>
      </c>
      <c r="C732" s="130">
        <v>11681943</v>
      </c>
      <c r="D732" s="387">
        <v>734</v>
      </c>
      <c r="E732" s="126" t="s">
        <v>1388</v>
      </c>
      <c r="F732" s="336" t="s">
        <v>1022</v>
      </c>
      <c r="G732" s="336" t="s">
        <v>1019</v>
      </c>
      <c r="H732" s="18">
        <v>4241082232</v>
      </c>
      <c r="I732" s="26" t="s">
        <v>1399</v>
      </c>
      <c r="J732" s="26" t="s">
        <v>1400</v>
      </c>
    </row>
    <row r="733" spans="2:11" ht="21.75" customHeight="1" x14ac:dyDescent="0.3">
      <c r="B733" s="128">
        <v>42469</v>
      </c>
      <c r="C733" s="130">
        <v>11681943</v>
      </c>
      <c r="D733" s="387">
        <v>735</v>
      </c>
      <c r="E733" s="126" t="s">
        <v>1388</v>
      </c>
      <c r="F733" s="336" t="s">
        <v>1021</v>
      </c>
      <c r="G733" s="336" t="s">
        <v>1019</v>
      </c>
      <c r="H733" s="443">
        <v>4241082232</v>
      </c>
      <c r="I733" s="26" t="s">
        <v>1399</v>
      </c>
      <c r="J733" s="26" t="s">
        <v>1400</v>
      </c>
    </row>
    <row r="734" spans="2:11" ht="21.75" customHeight="1" x14ac:dyDescent="0.3">
      <c r="B734" s="128">
        <v>42469</v>
      </c>
      <c r="C734" s="130">
        <v>11681943</v>
      </c>
      <c r="D734" s="387">
        <v>736</v>
      </c>
      <c r="E734" s="126" t="s">
        <v>1388</v>
      </c>
      <c r="F734" s="336" t="s">
        <v>1019</v>
      </c>
      <c r="G734" s="336" t="s">
        <v>1019</v>
      </c>
      <c r="H734" s="443">
        <v>4241082232</v>
      </c>
      <c r="I734" s="26" t="s">
        <v>1399</v>
      </c>
      <c r="J734" s="26" t="s">
        <v>1400</v>
      </c>
    </row>
    <row r="735" spans="2:11" ht="21.75" customHeight="1" x14ac:dyDescent="0.3">
      <c r="B735" s="128" t="s">
        <v>1404</v>
      </c>
      <c r="C735" s="130">
        <v>26281193</v>
      </c>
      <c r="D735" s="387">
        <v>737</v>
      </c>
      <c r="E735" s="126" t="s">
        <v>1388</v>
      </c>
      <c r="F735" s="336" t="s">
        <v>1403</v>
      </c>
      <c r="G735" s="336" t="s">
        <v>1019</v>
      </c>
      <c r="H735" s="18">
        <v>4140131598</v>
      </c>
      <c r="I735" s="26">
        <v>107100</v>
      </c>
      <c r="J735" s="26" t="s">
        <v>1402</v>
      </c>
    </row>
    <row r="736" spans="2:11" ht="21.75" customHeight="1" x14ac:dyDescent="0.3">
      <c r="B736" s="128">
        <v>42471</v>
      </c>
      <c r="C736" s="130">
        <v>4845526</v>
      </c>
      <c r="D736" s="387">
        <v>738</v>
      </c>
      <c r="E736" s="126" t="s">
        <v>1388</v>
      </c>
      <c r="F736" s="336" t="s">
        <v>1401</v>
      </c>
      <c r="G736" s="336" t="s">
        <v>1401</v>
      </c>
      <c r="H736" s="444">
        <v>4140131598</v>
      </c>
      <c r="I736" s="26">
        <v>107100</v>
      </c>
      <c r="J736" s="26" t="s">
        <v>1402</v>
      </c>
    </row>
    <row r="737" spans="2:10" ht="21.75" customHeight="1" x14ac:dyDescent="0.3">
      <c r="B737" s="128">
        <v>42471</v>
      </c>
      <c r="C737" s="130">
        <v>29765597</v>
      </c>
      <c r="D737" s="387">
        <v>739</v>
      </c>
      <c r="F737" s="336" t="s">
        <v>995</v>
      </c>
      <c r="G737" s="336" t="s">
        <v>1182</v>
      </c>
      <c r="H737" s="18">
        <v>4122154039</v>
      </c>
      <c r="I737" s="26" t="s">
        <v>65</v>
      </c>
    </row>
    <row r="738" spans="2:10" ht="21.75" customHeight="1" x14ac:dyDescent="0.3">
      <c r="B738" s="128">
        <v>42471</v>
      </c>
      <c r="D738" s="387">
        <v>740</v>
      </c>
      <c r="F738" s="336" t="s">
        <v>1405</v>
      </c>
      <c r="G738" s="336" t="s">
        <v>1373</v>
      </c>
      <c r="I738" s="26" t="s">
        <v>65</v>
      </c>
    </row>
    <row r="739" spans="2:10" ht="21.75" customHeight="1" x14ac:dyDescent="0.3">
      <c r="B739" s="128">
        <v>42471</v>
      </c>
      <c r="D739" s="387">
        <v>741</v>
      </c>
      <c r="F739" s="336" t="s">
        <v>1337</v>
      </c>
      <c r="G739" s="336" t="s">
        <v>1373</v>
      </c>
      <c r="I739" s="26" t="s">
        <v>65</v>
      </c>
    </row>
    <row r="740" spans="2:10" ht="21.75" customHeight="1" x14ac:dyDescent="0.3">
      <c r="B740" s="128">
        <v>42472</v>
      </c>
      <c r="C740" s="130">
        <v>6844564</v>
      </c>
      <c r="D740" s="387">
        <v>742</v>
      </c>
      <c r="E740" s="126" t="s">
        <v>1388</v>
      </c>
      <c r="F740" s="336" t="s">
        <v>1406</v>
      </c>
      <c r="G740" s="336" t="s">
        <v>1406</v>
      </c>
      <c r="H740" s="18">
        <v>4141175712</v>
      </c>
      <c r="I740" s="26">
        <v>107100</v>
      </c>
      <c r="J740" s="26">
        <v>11900</v>
      </c>
    </row>
    <row r="741" spans="2:10" ht="21.75" customHeight="1" x14ac:dyDescent="0.3">
      <c r="B741" s="128">
        <v>42471</v>
      </c>
      <c r="C741" s="130">
        <v>10282153</v>
      </c>
      <c r="D741" s="387">
        <v>743</v>
      </c>
      <c r="F741" s="336" t="s">
        <v>730</v>
      </c>
      <c r="G741" s="336" t="s">
        <v>1407</v>
      </c>
      <c r="H741" s="18">
        <v>4141294235</v>
      </c>
      <c r="I741" s="26" t="s">
        <v>65</v>
      </c>
    </row>
    <row r="742" spans="2:10" ht="21.75" customHeight="1" x14ac:dyDescent="0.3">
      <c r="B742" s="128">
        <v>42475</v>
      </c>
      <c r="C742" s="130">
        <v>20410337</v>
      </c>
      <c r="D742" s="387">
        <v>744</v>
      </c>
      <c r="E742" s="126" t="s">
        <v>1388</v>
      </c>
      <c r="F742" s="336" t="s">
        <v>1410</v>
      </c>
      <c r="G742" s="336" t="s">
        <v>1410</v>
      </c>
      <c r="H742" s="18">
        <v>4241485304</v>
      </c>
      <c r="I742" s="26">
        <v>107100</v>
      </c>
      <c r="J742" s="26">
        <v>11900</v>
      </c>
    </row>
    <row r="743" spans="2:10" ht="21.75" customHeight="1" x14ac:dyDescent="0.3">
      <c r="B743" s="128">
        <v>42475</v>
      </c>
      <c r="C743" s="130">
        <v>23616727</v>
      </c>
      <c r="D743" s="387">
        <v>745</v>
      </c>
      <c r="E743" s="126" t="s">
        <v>1388</v>
      </c>
      <c r="F743" s="336" t="s">
        <v>1411</v>
      </c>
      <c r="G743" s="336" t="s">
        <v>1411</v>
      </c>
      <c r="H743" s="18">
        <v>4141294411</v>
      </c>
      <c r="I743" s="26">
        <v>107100</v>
      </c>
      <c r="J743" s="26">
        <v>11900</v>
      </c>
    </row>
    <row r="744" spans="2:10" ht="21.75" customHeight="1" x14ac:dyDescent="0.3">
      <c r="B744" s="128">
        <v>42481</v>
      </c>
      <c r="C744" s="130">
        <v>12877386</v>
      </c>
      <c r="D744" s="387">
        <v>746</v>
      </c>
      <c r="F744" s="336" t="s">
        <v>1412</v>
      </c>
      <c r="G744" s="336" t="s">
        <v>1413</v>
      </c>
      <c r="H744" s="18">
        <v>4242089552</v>
      </c>
      <c r="I744" s="26" t="s">
        <v>65</v>
      </c>
      <c r="J744" s="26">
        <v>79000</v>
      </c>
    </row>
    <row r="745" spans="2:10" ht="21.75" customHeight="1" x14ac:dyDescent="0.3">
      <c r="B745" s="128">
        <v>42481</v>
      </c>
      <c r="C745" s="130">
        <v>8682778</v>
      </c>
      <c r="D745" s="387">
        <v>747</v>
      </c>
      <c r="E745" s="126" t="s">
        <v>1388</v>
      </c>
      <c r="F745" s="336" t="s">
        <v>1414</v>
      </c>
      <c r="G745" s="336" t="s">
        <v>495</v>
      </c>
      <c r="H745" s="18">
        <v>4142400525</v>
      </c>
      <c r="I745" s="26">
        <v>79200</v>
      </c>
      <c r="J745" s="26">
        <v>9900</v>
      </c>
    </row>
    <row r="746" spans="2:10" ht="21.75" customHeight="1" x14ac:dyDescent="0.3">
      <c r="B746" s="128">
        <v>42481</v>
      </c>
      <c r="C746" s="130">
        <v>15315800</v>
      </c>
      <c r="D746" s="387">
        <v>748</v>
      </c>
      <c r="E746" s="126" t="s">
        <v>1388</v>
      </c>
      <c r="F746" s="336" t="s">
        <v>1415</v>
      </c>
      <c r="G746" s="336" t="s">
        <v>1415</v>
      </c>
      <c r="H746" s="18">
        <v>4143231858</v>
      </c>
      <c r="I746" s="26">
        <v>107100</v>
      </c>
      <c r="J746" s="26">
        <v>11900</v>
      </c>
    </row>
    <row r="747" spans="2:10" ht="21.75" customHeight="1" x14ac:dyDescent="0.3">
      <c r="B747" s="128">
        <v>42480</v>
      </c>
      <c r="C747" s="130">
        <v>19310227</v>
      </c>
      <c r="D747" s="387">
        <v>749</v>
      </c>
      <c r="F747" s="336" t="s">
        <v>1416</v>
      </c>
      <c r="G747" s="336" t="s">
        <v>1416</v>
      </c>
      <c r="H747" s="18">
        <v>4269145826</v>
      </c>
      <c r="I747" s="26" t="s">
        <v>65</v>
      </c>
    </row>
    <row r="748" spans="2:10" ht="21.75" customHeight="1" x14ac:dyDescent="0.3">
      <c r="B748" s="128">
        <v>41750</v>
      </c>
      <c r="C748" s="130">
        <v>8682778</v>
      </c>
      <c r="D748" s="387">
        <v>750</v>
      </c>
      <c r="F748" s="336" t="s">
        <v>1137</v>
      </c>
      <c r="G748" s="336" t="s">
        <v>495</v>
      </c>
      <c r="H748" s="18">
        <v>4142310779</v>
      </c>
      <c r="I748" s="26" t="s">
        <v>65</v>
      </c>
    </row>
    <row r="749" spans="2:10" ht="21.75" customHeight="1" x14ac:dyDescent="0.3">
      <c r="B749" s="128">
        <v>42480</v>
      </c>
      <c r="C749" s="130">
        <v>9889271</v>
      </c>
      <c r="D749" s="387">
        <v>751</v>
      </c>
      <c r="E749" s="126" t="s">
        <v>1388</v>
      </c>
      <c r="F749" s="336" t="s">
        <v>1417</v>
      </c>
      <c r="G749" s="336" t="s">
        <v>1418</v>
      </c>
      <c r="H749" s="18">
        <v>4244069363</v>
      </c>
      <c r="I749" s="26">
        <v>107100</v>
      </c>
      <c r="J749" s="26">
        <v>11900</v>
      </c>
    </row>
    <row r="750" spans="2:10" ht="21.75" customHeight="1" x14ac:dyDescent="0.3">
      <c r="B750" s="128">
        <v>42482</v>
      </c>
      <c r="C750" s="130">
        <v>6056586</v>
      </c>
      <c r="D750" s="387">
        <v>752</v>
      </c>
      <c r="F750" s="336" t="s">
        <v>1419</v>
      </c>
      <c r="G750" s="336" t="s">
        <v>1420</v>
      </c>
      <c r="H750" s="18">
        <v>4120290161</v>
      </c>
      <c r="I750" s="26" t="s">
        <v>65</v>
      </c>
    </row>
    <row r="751" spans="2:10" ht="21.75" customHeight="1" x14ac:dyDescent="0.3">
      <c r="B751" s="128">
        <v>42482</v>
      </c>
      <c r="C751" s="130">
        <v>20410337</v>
      </c>
      <c r="D751" s="387">
        <v>753</v>
      </c>
      <c r="F751" s="336" t="s">
        <v>1421</v>
      </c>
      <c r="G751" s="336" t="s">
        <v>1421</v>
      </c>
      <c r="H751" s="18">
        <v>4120131797</v>
      </c>
      <c r="I751" s="26" t="s">
        <v>65</v>
      </c>
    </row>
    <row r="752" spans="2:10" ht="21.75" customHeight="1" x14ac:dyDescent="0.3">
      <c r="B752" s="128">
        <v>42485</v>
      </c>
      <c r="C752" s="130">
        <v>6233541</v>
      </c>
      <c r="D752" s="387">
        <v>754</v>
      </c>
      <c r="F752" s="336" t="s">
        <v>1422</v>
      </c>
      <c r="G752" s="336" t="s">
        <v>916</v>
      </c>
      <c r="H752" s="18">
        <v>4143385126</v>
      </c>
      <c r="I752" s="26" t="s">
        <v>65</v>
      </c>
    </row>
    <row r="753" spans="2:10" ht="21.75" customHeight="1" x14ac:dyDescent="0.3">
      <c r="B753" s="128">
        <v>42486</v>
      </c>
      <c r="C753" s="130">
        <v>20631389</v>
      </c>
      <c r="D753" s="387">
        <v>755</v>
      </c>
      <c r="E753" s="126" t="s">
        <v>1388</v>
      </c>
      <c r="F753" s="336" t="s">
        <v>1423</v>
      </c>
      <c r="G753" s="336" t="s">
        <v>1423</v>
      </c>
      <c r="H753" s="18">
        <v>4169026973</v>
      </c>
      <c r="I753" s="26">
        <v>107100</v>
      </c>
      <c r="J753" s="26">
        <v>11900</v>
      </c>
    </row>
    <row r="754" spans="2:10" ht="21.75" customHeight="1" x14ac:dyDescent="0.3">
      <c r="B754" s="128">
        <v>42485</v>
      </c>
      <c r="C754" s="130">
        <v>19353317</v>
      </c>
      <c r="D754" s="387">
        <v>756</v>
      </c>
      <c r="F754" s="336" t="s">
        <v>1093</v>
      </c>
      <c r="G754" s="336" t="s">
        <v>1094</v>
      </c>
      <c r="H754" s="18">
        <v>4261122906</v>
      </c>
      <c r="I754" s="26" t="s">
        <v>1380</v>
      </c>
    </row>
    <row r="755" spans="2:10" ht="21.75" customHeight="1" x14ac:dyDescent="0.3">
      <c r="B755" s="128">
        <v>42492</v>
      </c>
      <c r="C755" s="130">
        <v>18329138</v>
      </c>
      <c r="D755" s="387">
        <v>757</v>
      </c>
      <c r="F755" s="336" t="s">
        <v>1426</v>
      </c>
      <c r="G755" s="336" t="s">
        <v>1420</v>
      </c>
      <c r="H755" s="18">
        <v>4120290161</v>
      </c>
      <c r="I755" s="26" t="s">
        <v>65</v>
      </c>
    </row>
    <row r="756" spans="2:10" ht="21.75" customHeight="1" x14ac:dyDescent="0.3">
      <c r="B756" s="128">
        <v>42492</v>
      </c>
      <c r="C756" s="130">
        <v>18329138</v>
      </c>
      <c r="D756" s="387">
        <v>758</v>
      </c>
      <c r="E756" s="126" t="s">
        <v>1388</v>
      </c>
      <c r="F756" s="336" t="s">
        <v>1427</v>
      </c>
      <c r="G756" s="336" t="s">
        <v>1427</v>
      </c>
      <c r="H756" s="18">
        <v>4143801367</v>
      </c>
      <c r="I756" s="26">
        <v>107100</v>
      </c>
      <c r="J756" s="26">
        <v>11900</v>
      </c>
    </row>
    <row r="757" spans="2:10" ht="21.75" customHeight="1" x14ac:dyDescent="0.3">
      <c r="B757" s="128">
        <v>42492</v>
      </c>
      <c r="C757" s="130">
        <v>17978462</v>
      </c>
      <c r="D757" s="446">
        <v>759</v>
      </c>
      <c r="F757" s="336" t="s">
        <v>986</v>
      </c>
      <c r="G757" s="336" t="s">
        <v>986</v>
      </c>
      <c r="H757" s="18">
        <v>4242135058</v>
      </c>
      <c r="I757" s="26">
        <v>79000</v>
      </c>
    </row>
    <row r="758" spans="2:10" ht="21.75" customHeight="1" x14ac:dyDescent="0.3">
      <c r="B758" s="128">
        <v>42492</v>
      </c>
      <c r="C758" s="130">
        <v>12258128</v>
      </c>
      <c r="D758" s="446">
        <v>760</v>
      </c>
      <c r="E758" s="126" t="s">
        <v>1388</v>
      </c>
      <c r="F758" s="336" t="s">
        <v>974</v>
      </c>
      <c r="G758" s="336" t="s">
        <v>974</v>
      </c>
      <c r="H758" s="18">
        <v>4142239657</v>
      </c>
      <c r="I758" s="26">
        <v>107100</v>
      </c>
      <c r="J758" s="26">
        <v>11900</v>
      </c>
    </row>
    <row r="759" spans="2:10" ht="21.75" customHeight="1" x14ac:dyDescent="0.3">
      <c r="B759" s="128">
        <v>42493</v>
      </c>
      <c r="C759" s="130">
        <v>20745520</v>
      </c>
      <c r="D759" s="446">
        <v>761</v>
      </c>
      <c r="E759" s="126" t="s">
        <v>1388</v>
      </c>
      <c r="F759" s="336" t="s">
        <v>1429</v>
      </c>
      <c r="G759" s="336" t="s">
        <v>1430</v>
      </c>
      <c r="H759" s="18">
        <v>4140285696</v>
      </c>
      <c r="I759" s="26">
        <v>107100</v>
      </c>
      <c r="J759" s="26">
        <v>11900</v>
      </c>
    </row>
    <row r="760" spans="2:10" ht="21.75" customHeight="1" x14ac:dyDescent="0.3">
      <c r="B760" s="128">
        <v>42493</v>
      </c>
      <c r="C760" s="130">
        <v>21759326</v>
      </c>
      <c r="D760" s="446">
        <v>762</v>
      </c>
      <c r="F760" s="336" t="s">
        <v>1203</v>
      </c>
      <c r="G760" s="336" t="s">
        <v>1203</v>
      </c>
      <c r="H760" s="18">
        <v>4244158887</v>
      </c>
      <c r="I760" s="26">
        <v>79000</v>
      </c>
      <c r="J760" s="26">
        <v>79000</v>
      </c>
    </row>
    <row r="761" spans="2:10" ht="21.75" customHeight="1" x14ac:dyDescent="0.3">
      <c r="B761" s="128">
        <v>42493</v>
      </c>
      <c r="C761" s="130">
        <v>8682585</v>
      </c>
      <c r="D761" s="446">
        <v>763</v>
      </c>
      <c r="E761" s="126" t="s">
        <v>1388</v>
      </c>
      <c r="F761" s="336" t="s">
        <v>1431</v>
      </c>
      <c r="G761" s="336" t="s">
        <v>1432</v>
      </c>
      <c r="H761" s="18">
        <v>4126250800</v>
      </c>
      <c r="I761" s="26">
        <v>107100</v>
      </c>
      <c r="J761" s="26">
        <v>11900</v>
      </c>
    </row>
    <row r="762" spans="2:10" ht="21.75" customHeight="1" x14ac:dyDescent="0.3">
      <c r="B762" s="357">
        <v>42494</v>
      </c>
      <c r="C762" s="358">
        <v>18994121</v>
      </c>
      <c r="D762" s="359">
        <v>764</v>
      </c>
      <c r="E762" s="159" t="s">
        <v>1388</v>
      </c>
      <c r="F762" s="449" t="s">
        <v>1226</v>
      </c>
      <c r="G762" s="449" t="s">
        <v>1226</v>
      </c>
      <c r="H762" s="447">
        <v>4143286254</v>
      </c>
      <c r="I762" s="448">
        <v>39600</v>
      </c>
      <c r="J762" s="26">
        <v>9900</v>
      </c>
    </row>
    <row r="763" spans="2:10" ht="21.75" customHeight="1" x14ac:dyDescent="0.3">
      <c r="B763" s="128">
        <v>42495</v>
      </c>
      <c r="C763" s="130">
        <v>9220690</v>
      </c>
      <c r="D763" s="387">
        <v>765</v>
      </c>
      <c r="E763" s="126" t="s">
        <v>1433</v>
      </c>
      <c r="F763" s="336" t="s">
        <v>1191</v>
      </c>
      <c r="G763" s="336" t="s">
        <v>1147</v>
      </c>
      <c r="H763" s="18">
        <v>4166387632</v>
      </c>
      <c r="I763" s="26">
        <v>47600</v>
      </c>
      <c r="J763" s="26">
        <v>11900</v>
      </c>
    </row>
    <row r="764" spans="2:10" ht="21.75" customHeight="1" x14ac:dyDescent="0.3">
      <c r="B764" s="128">
        <v>42495</v>
      </c>
      <c r="C764" s="130">
        <v>10353850</v>
      </c>
      <c r="D764" s="387">
        <v>766</v>
      </c>
      <c r="E764" s="126" t="s">
        <v>1388</v>
      </c>
      <c r="F764" s="336" t="s">
        <v>1361</v>
      </c>
      <c r="G764" s="336" t="s">
        <v>1361</v>
      </c>
      <c r="H764" s="18">
        <v>4166154922</v>
      </c>
      <c r="I764" s="26" t="s">
        <v>65</v>
      </c>
      <c r="J764" s="26" t="s">
        <v>65</v>
      </c>
    </row>
    <row r="765" spans="2:10" ht="21.75" customHeight="1" x14ac:dyDescent="0.3">
      <c r="B765" s="128">
        <v>42496</v>
      </c>
      <c r="C765" s="130">
        <v>6233541</v>
      </c>
      <c r="D765" s="387">
        <v>767</v>
      </c>
      <c r="E765" s="126" t="s">
        <v>301</v>
      </c>
      <c r="F765" s="336" t="s">
        <v>916</v>
      </c>
      <c r="G765" s="336" t="s">
        <v>916</v>
      </c>
      <c r="H765" s="18">
        <v>4143385126</v>
      </c>
      <c r="I765" s="26" t="s">
        <v>65</v>
      </c>
      <c r="J765" s="26" t="s">
        <v>65</v>
      </c>
    </row>
    <row r="766" spans="2:10" ht="21.75" customHeight="1" x14ac:dyDescent="0.3">
      <c r="B766" s="128">
        <v>42496</v>
      </c>
      <c r="C766" s="130" t="s">
        <v>1434</v>
      </c>
      <c r="D766" s="387">
        <v>768</v>
      </c>
      <c r="E766" s="126" t="s">
        <v>1388</v>
      </c>
      <c r="F766" s="336" t="s">
        <v>1435</v>
      </c>
      <c r="G766" s="336" t="s">
        <v>1436</v>
      </c>
      <c r="H766" s="18">
        <v>4242661859</v>
      </c>
      <c r="I766" s="26">
        <v>107100</v>
      </c>
      <c r="J766" s="26">
        <v>11900</v>
      </c>
    </row>
    <row r="767" spans="2:10" ht="21.75" customHeight="1" x14ac:dyDescent="0.3">
      <c r="B767" s="128">
        <v>42501</v>
      </c>
      <c r="C767" s="130">
        <v>12483727</v>
      </c>
      <c r="D767" s="387">
        <v>769</v>
      </c>
      <c r="E767" s="126" t="s">
        <v>301</v>
      </c>
      <c r="F767" s="336" t="s">
        <v>996</v>
      </c>
      <c r="G767" s="336" t="s">
        <v>996</v>
      </c>
      <c r="H767" s="18">
        <v>4166803875</v>
      </c>
      <c r="I767" s="26" t="s">
        <v>65</v>
      </c>
      <c r="J767" s="26" t="s">
        <v>65</v>
      </c>
    </row>
    <row r="768" spans="2:10" ht="21.75" customHeight="1" x14ac:dyDescent="0.3">
      <c r="B768" s="128">
        <v>42501</v>
      </c>
      <c r="C768" s="130">
        <v>17532658</v>
      </c>
      <c r="D768" s="387">
        <v>770</v>
      </c>
      <c r="E768" s="126" t="s">
        <v>1408</v>
      </c>
      <c r="F768" s="336" t="s">
        <v>1437</v>
      </c>
      <c r="G768" s="336" t="s">
        <v>1438</v>
      </c>
      <c r="H768" s="18">
        <v>4142789373</v>
      </c>
      <c r="I768" s="26">
        <v>107100</v>
      </c>
      <c r="J768" s="26">
        <v>11900</v>
      </c>
    </row>
    <row r="769" spans="2:10" ht="21.75" customHeight="1" x14ac:dyDescent="0.3">
      <c r="B769" s="128">
        <v>42499</v>
      </c>
      <c r="C769" s="130">
        <v>14206446</v>
      </c>
      <c r="D769" s="387">
        <v>771</v>
      </c>
      <c r="E769" s="126" t="s">
        <v>231</v>
      </c>
      <c r="F769" s="336" t="s">
        <v>1080</v>
      </c>
      <c r="G769" s="336" t="s">
        <v>1081</v>
      </c>
      <c r="H769" s="18">
        <v>4242149963</v>
      </c>
      <c r="I769" s="26">
        <v>79000</v>
      </c>
      <c r="J769" s="26">
        <v>39500</v>
      </c>
    </row>
    <row r="770" spans="2:10" ht="21.75" customHeight="1" x14ac:dyDescent="0.3">
      <c r="B770" s="128">
        <v>42500</v>
      </c>
      <c r="C770" s="130">
        <v>17857750</v>
      </c>
      <c r="D770" s="387">
        <v>772</v>
      </c>
      <c r="E770" s="126" t="s">
        <v>1388</v>
      </c>
      <c r="F770" s="336" t="s">
        <v>1439</v>
      </c>
      <c r="G770" s="336" t="s">
        <v>1389</v>
      </c>
      <c r="H770" s="18">
        <v>4262049572</v>
      </c>
      <c r="I770" s="26">
        <v>107100</v>
      </c>
      <c r="J770" s="26">
        <v>11900</v>
      </c>
    </row>
    <row r="771" spans="2:10" ht="21.75" customHeight="1" x14ac:dyDescent="0.3">
      <c r="B771" s="128">
        <v>42494</v>
      </c>
      <c r="C771" s="130">
        <v>12414600</v>
      </c>
      <c r="D771" s="387">
        <v>773</v>
      </c>
      <c r="E771" s="126" t="s">
        <v>301</v>
      </c>
      <c r="F771" s="336" t="s">
        <v>1371</v>
      </c>
      <c r="G771" s="336" t="s">
        <v>1370</v>
      </c>
      <c r="H771" s="18">
        <v>4142653161</v>
      </c>
      <c r="I771" s="26" t="s">
        <v>65</v>
      </c>
      <c r="J771" s="26" t="s">
        <v>65</v>
      </c>
    </row>
    <row r="772" spans="2:10" ht="21.75" customHeight="1" x14ac:dyDescent="0.3">
      <c r="B772" s="128">
        <v>42495</v>
      </c>
      <c r="C772" s="130">
        <v>12881989</v>
      </c>
      <c r="D772" s="387">
        <v>774</v>
      </c>
      <c r="E772" s="126" t="s">
        <v>1388</v>
      </c>
      <c r="F772" s="336" t="s">
        <v>1168</v>
      </c>
      <c r="G772" s="336" t="s">
        <v>1173</v>
      </c>
      <c r="H772" s="18">
        <v>4241205617</v>
      </c>
      <c r="I772" s="26">
        <v>107100</v>
      </c>
      <c r="J772" s="26">
        <v>11900</v>
      </c>
    </row>
    <row r="773" spans="2:10" ht="21.75" customHeight="1" x14ac:dyDescent="0.3">
      <c r="B773" s="128">
        <v>42495</v>
      </c>
      <c r="C773" s="130">
        <v>6860726</v>
      </c>
      <c r="D773" s="387">
        <v>775</v>
      </c>
      <c r="E773" s="126" t="s">
        <v>301</v>
      </c>
      <c r="F773" s="336" t="s">
        <v>1079</v>
      </c>
      <c r="G773" s="336" t="s">
        <v>1079</v>
      </c>
      <c r="H773" s="18">
        <v>4166099986</v>
      </c>
      <c r="I773" s="26" t="s">
        <v>65</v>
      </c>
      <c r="J773" s="26" t="s">
        <v>65</v>
      </c>
    </row>
    <row r="774" spans="2:10" ht="21.75" customHeight="1" x14ac:dyDescent="0.3">
      <c r="B774" s="128">
        <v>42503</v>
      </c>
      <c r="C774" s="130">
        <v>14989534</v>
      </c>
      <c r="D774" s="387">
        <v>776</v>
      </c>
      <c r="E774" s="126" t="s">
        <v>231</v>
      </c>
      <c r="F774" s="336" t="s">
        <v>1368</v>
      </c>
      <c r="G774" s="336" t="s">
        <v>1368</v>
      </c>
      <c r="H774" s="18">
        <v>4141534025</v>
      </c>
      <c r="I774" s="26">
        <v>89000</v>
      </c>
      <c r="J774" s="26">
        <v>44500</v>
      </c>
    </row>
    <row r="775" spans="2:10" ht="21.75" customHeight="1" x14ac:dyDescent="0.3">
      <c r="B775" s="128">
        <v>42500</v>
      </c>
      <c r="C775" s="130">
        <v>6860726</v>
      </c>
      <c r="D775" s="387">
        <v>777</v>
      </c>
      <c r="E775" s="126" t="s">
        <v>1388</v>
      </c>
      <c r="F775" s="336" t="s">
        <v>1082</v>
      </c>
      <c r="G775" s="336" t="s">
        <v>1079</v>
      </c>
      <c r="H775" s="18">
        <v>4166099986</v>
      </c>
      <c r="I775" s="26">
        <v>79200</v>
      </c>
      <c r="J775" s="26">
        <v>9900</v>
      </c>
    </row>
    <row r="776" spans="2:10" ht="21.75" customHeight="1" x14ac:dyDescent="0.3">
      <c r="B776" s="128">
        <v>42503</v>
      </c>
      <c r="C776" s="130">
        <v>24285205</v>
      </c>
      <c r="D776" s="387">
        <v>778</v>
      </c>
      <c r="E776" s="126" t="s">
        <v>1388</v>
      </c>
      <c r="F776" s="336" t="s">
        <v>1440</v>
      </c>
      <c r="G776" s="336" t="s">
        <v>1440</v>
      </c>
      <c r="H776" s="18">
        <v>4122039464</v>
      </c>
      <c r="I776" s="26">
        <v>107100</v>
      </c>
      <c r="J776" s="26">
        <v>11900</v>
      </c>
    </row>
    <row r="777" spans="2:10" ht="21.75" customHeight="1" x14ac:dyDescent="0.3">
      <c r="B777" s="128">
        <v>42504</v>
      </c>
      <c r="C777" s="130">
        <v>20327509</v>
      </c>
      <c r="D777" s="387">
        <v>779</v>
      </c>
      <c r="E777" s="126" t="s">
        <v>1388</v>
      </c>
      <c r="F777" s="336" t="s">
        <v>1441</v>
      </c>
      <c r="G777" s="336" t="s">
        <v>1441</v>
      </c>
      <c r="H777" s="18">
        <v>4129308567</v>
      </c>
      <c r="I777" s="26">
        <v>107100</v>
      </c>
      <c r="J777" s="26">
        <v>11900</v>
      </c>
    </row>
    <row r="778" spans="2:10" ht="21.75" customHeight="1" x14ac:dyDescent="0.3">
      <c r="B778" s="128">
        <v>42500</v>
      </c>
      <c r="C778" s="130">
        <v>12159314</v>
      </c>
      <c r="D778" s="387">
        <v>780</v>
      </c>
      <c r="E778" s="126" t="s">
        <v>1433</v>
      </c>
      <c r="F778" s="336" t="s">
        <v>820</v>
      </c>
      <c r="G778" s="336" t="s">
        <v>821</v>
      </c>
      <c r="H778" s="18">
        <v>4169322662</v>
      </c>
      <c r="I778" s="26">
        <v>39600</v>
      </c>
      <c r="J778" s="26">
        <v>9900</v>
      </c>
    </row>
    <row r="779" spans="2:10" ht="21.75" customHeight="1" x14ac:dyDescent="0.3">
      <c r="B779" s="128">
        <v>42508</v>
      </c>
      <c r="C779" s="130">
        <v>10485733</v>
      </c>
      <c r="D779" s="387">
        <v>781</v>
      </c>
      <c r="E779" s="126" t="s">
        <v>1388</v>
      </c>
      <c r="F779" s="336" t="s">
        <v>1442</v>
      </c>
      <c r="G779" s="336" t="s">
        <v>1443</v>
      </c>
      <c r="H779" s="18">
        <v>4242332713</v>
      </c>
      <c r="I779" s="26">
        <v>107000</v>
      </c>
      <c r="J779" s="26">
        <v>11900</v>
      </c>
    </row>
    <row r="780" spans="2:10" ht="21.75" customHeight="1" x14ac:dyDescent="0.3">
      <c r="B780" s="128">
        <v>42509</v>
      </c>
      <c r="C780" s="130">
        <v>10814400</v>
      </c>
      <c r="D780" s="387">
        <v>782</v>
      </c>
      <c r="E780" s="126" t="s">
        <v>80</v>
      </c>
      <c r="F780" s="336" t="s">
        <v>1283</v>
      </c>
      <c r="G780" s="336" t="s">
        <v>1409</v>
      </c>
      <c r="H780" s="18">
        <v>4168152475</v>
      </c>
      <c r="I780" s="26" t="s">
        <v>65</v>
      </c>
      <c r="J780" s="26" t="s">
        <v>65</v>
      </c>
    </row>
    <row r="781" spans="2:10" ht="21.75" customHeight="1" x14ac:dyDescent="0.3">
      <c r="B781" s="128">
        <v>42499</v>
      </c>
      <c r="C781" s="130">
        <v>10283702</v>
      </c>
      <c r="D781" s="387">
        <v>783</v>
      </c>
      <c r="E781" s="126" t="s">
        <v>1388</v>
      </c>
      <c r="F781" s="336" t="s">
        <v>1083</v>
      </c>
      <c r="G781" s="336" t="s">
        <v>1084</v>
      </c>
      <c r="H781" s="18">
        <v>4169012527</v>
      </c>
      <c r="I781" s="26">
        <v>79200</v>
      </c>
      <c r="J781" s="26">
        <v>9900</v>
      </c>
    </row>
    <row r="782" spans="2:10" ht="21.75" customHeight="1" x14ac:dyDescent="0.3">
      <c r="B782" s="128">
        <v>42385</v>
      </c>
      <c r="C782" s="130">
        <v>17957197</v>
      </c>
      <c r="D782" s="387">
        <v>784</v>
      </c>
      <c r="E782" s="126" t="s">
        <v>1388</v>
      </c>
      <c r="F782" s="336" t="s">
        <v>1145</v>
      </c>
      <c r="G782" s="336" t="s">
        <v>1445</v>
      </c>
      <c r="H782" s="18">
        <v>4241283426</v>
      </c>
    </row>
    <row r="783" spans="2:10" ht="21.75" customHeight="1" x14ac:dyDescent="0.3">
      <c r="B783" s="128">
        <v>42387</v>
      </c>
      <c r="C783" s="130">
        <v>12880499</v>
      </c>
      <c r="D783" s="387">
        <v>785</v>
      </c>
      <c r="E783" s="126" t="s">
        <v>1388</v>
      </c>
      <c r="F783" s="336" t="s">
        <v>927</v>
      </c>
      <c r="G783" s="336" t="s">
        <v>1446</v>
      </c>
      <c r="H783" s="18">
        <v>4149041087</v>
      </c>
      <c r="I783" s="26">
        <v>63200</v>
      </c>
      <c r="J783" s="26">
        <v>7900</v>
      </c>
    </row>
    <row r="784" spans="2:10" ht="21.75" customHeight="1" x14ac:dyDescent="0.3">
      <c r="B784" s="128">
        <v>42511</v>
      </c>
      <c r="C784" s="130">
        <v>20412199</v>
      </c>
      <c r="D784" s="387">
        <v>786</v>
      </c>
      <c r="E784" s="126" t="s">
        <v>1388</v>
      </c>
      <c r="F784" s="336" t="s">
        <v>1220</v>
      </c>
      <c r="G784" s="336" t="s">
        <v>1220</v>
      </c>
      <c r="H784" s="18">
        <v>4129968168</v>
      </c>
      <c r="I784" s="26">
        <v>107100</v>
      </c>
      <c r="J784" s="26">
        <v>11900</v>
      </c>
    </row>
    <row r="785" spans="2:10" ht="21.75" customHeight="1" x14ac:dyDescent="0.3">
      <c r="B785" s="128">
        <v>42511</v>
      </c>
      <c r="C785" s="130">
        <v>23826848</v>
      </c>
      <c r="D785" s="387">
        <v>787</v>
      </c>
      <c r="E785" s="126" t="s">
        <v>1388</v>
      </c>
      <c r="F785" s="336" t="s">
        <v>1221</v>
      </c>
      <c r="G785" s="336" t="s">
        <v>1221</v>
      </c>
      <c r="H785" s="18">
        <v>4123921405</v>
      </c>
      <c r="I785" s="26">
        <v>107100</v>
      </c>
      <c r="J785" s="26">
        <v>11900</v>
      </c>
    </row>
    <row r="786" spans="2:10" ht="21.75" customHeight="1" x14ac:dyDescent="0.3">
      <c r="B786" s="128">
        <v>42514</v>
      </c>
      <c r="C786" s="130">
        <v>13887634</v>
      </c>
      <c r="D786" s="387">
        <v>788</v>
      </c>
      <c r="E786" s="126" t="s">
        <v>1388</v>
      </c>
      <c r="F786" s="336" t="s">
        <v>1230</v>
      </c>
      <c r="G786" s="336" t="s">
        <v>1230</v>
      </c>
      <c r="H786" s="18">
        <v>4244214954</v>
      </c>
      <c r="I786" s="26">
        <v>107100</v>
      </c>
      <c r="J786" s="26">
        <v>11900</v>
      </c>
    </row>
    <row r="787" spans="2:10" ht="21.75" customHeight="1" x14ac:dyDescent="0.3">
      <c r="B787" s="128">
        <v>42514</v>
      </c>
      <c r="C787" s="130">
        <v>13887634</v>
      </c>
      <c r="D787" s="387">
        <v>789</v>
      </c>
      <c r="E787" s="126" t="s">
        <v>1388</v>
      </c>
      <c r="F787" s="336" t="s">
        <v>1064</v>
      </c>
      <c r="G787" s="336" t="s">
        <v>1230</v>
      </c>
      <c r="H787" s="18">
        <v>4244214954</v>
      </c>
      <c r="I787" s="26">
        <v>107100</v>
      </c>
      <c r="J787" s="26">
        <v>11900</v>
      </c>
    </row>
    <row r="788" spans="2:10" ht="21.75" customHeight="1" x14ac:dyDescent="0.3">
      <c r="B788" s="128">
        <v>42517</v>
      </c>
      <c r="C788" s="130">
        <v>12715817</v>
      </c>
      <c r="D788" s="387">
        <v>790</v>
      </c>
      <c r="E788" s="126" t="s">
        <v>1388</v>
      </c>
      <c r="F788" s="336" t="s">
        <v>1062</v>
      </c>
      <c r="G788" s="336" t="s">
        <v>1063</v>
      </c>
      <c r="H788" s="18">
        <v>4142538992</v>
      </c>
      <c r="I788" s="26">
        <v>107100</v>
      </c>
      <c r="J788" s="26">
        <v>11900</v>
      </c>
    </row>
    <row r="789" spans="2:10" ht="21.75" customHeight="1" x14ac:dyDescent="0.3">
      <c r="B789" s="128">
        <v>42515</v>
      </c>
      <c r="C789" s="130">
        <v>13483105</v>
      </c>
      <c r="D789" s="387">
        <v>791</v>
      </c>
      <c r="E789" s="126" t="s">
        <v>1388</v>
      </c>
      <c r="F789" s="336" t="s">
        <v>1449</v>
      </c>
      <c r="G789" s="336" t="s">
        <v>1171</v>
      </c>
      <c r="H789" s="18">
        <v>4149133432</v>
      </c>
      <c r="I789" s="26" t="s">
        <v>1450</v>
      </c>
      <c r="J789" s="26">
        <v>11900</v>
      </c>
    </row>
    <row r="790" spans="2:10" ht="21.75" customHeight="1" x14ac:dyDescent="0.3">
      <c r="B790" s="128">
        <v>42515</v>
      </c>
      <c r="C790" s="130">
        <v>19885234</v>
      </c>
      <c r="D790" s="387">
        <v>792</v>
      </c>
      <c r="E790" s="126" t="s">
        <v>231</v>
      </c>
      <c r="F790" s="336" t="s">
        <v>1451</v>
      </c>
      <c r="G790" s="336" t="s">
        <v>1451</v>
      </c>
      <c r="H790" s="18">
        <v>4141042499</v>
      </c>
      <c r="I790" s="26">
        <v>107100</v>
      </c>
      <c r="J790" s="26">
        <v>11900</v>
      </c>
    </row>
    <row r="791" spans="2:10" ht="21.75" customHeight="1" x14ac:dyDescent="0.3">
      <c r="B791" s="128">
        <v>42511</v>
      </c>
      <c r="C791" s="130">
        <v>12097300</v>
      </c>
      <c r="D791" s="387">
        <v>793</v>
      </c>
      <c r="E791" s="126" t="s">
        <v>231</v>
      </c>
      <c r="F791" s="336" t="s">
        <v>995</v>
      </c>
      <c r="G791" s="336" t="s">
        <v>1182</v>
      </c>
      <c r="H791" s="18">
        <v>4142154039</v>
      </c>
      <c r="I791" s="26">
        <v>73000</v>
      </c>
      <c r="J791" s="26">
        <v>73000</v>
      </c>
    </row>
    <row r="792" spans="2:10" ht="21.75" customHeight="1" x14ac:dyDescent="0.3">
      <c r="B792" s="128">
        <v>42521</v>
      </c>
      <c r="C792" s="130">
        <v>24997648</v>
      </c>
      <c r="D792" s="387">
        <v>794</v>
      </c>
      <c r="E792" s="126" t="s">
        <v>1388</v>
      </c>
      <c r="F792" s="336" t="s">
        <v>1452</v>
      </c>
      <c r="G792" s="336" t="s">
        <v>1452</v>
      </c>
      <c r="H792" s="18">
        <v>4241493096</v>
      </c>
      <c r="I792" s="26">
        <v>107100</v>
      </c>
      <c r="J792" s="26">
        <v>11900</v>
      </c>
    </row>
    <row r="793" spans="2:10" ht="21.75" customHeight="1" x14ac:dyDescent="0.3">
      <c r="B793" s="128">
        <v>42521</v>
      </c>
      <c r="C793" s="130">
        <v>10279409</v>
      </c>
      <c r="D793" s="387">
        <v>795</v>
      </c>
      <c r="E793" s="126" t="s">
        <v>301</v>
      </c>
      <c r="F793" s="336" t="s">
        <v>1276</v>
      </c>
      <c r="G793" s="336" t="s">
        <v>1276</v>
      </c>
      <c r="H793" s="18">
        <v>4120184133</v>
      </c>
      <c r="I793" s="26">
        <v>95000</v>
      </c>
      <c r="J793" s="26">
        <v>95000</v>
      </c>
    </row>
    <row r="794" spans="2:10" ht="21.75" customHeight="1" x14ac:dyDescent="0.3">
      <c r="B794" s="128">
        <v>42521</v>
      </c>
      <c r="C794" s="130">
        <v>15255994</v>
      </c>
      <c r="D794" s="387">
        <v>796</v>
      </c>
      <c r="E794" s="126" t="s">
        <v>1388</v>
      </c>
      <c r="F794" s="336" t="s">
        <v>1238</v>
      </c>
      <c r="G794" s="336" t="s">
        <v>1453</v>
      </c>
      <c r="H794" s="18">
        <v>4141362804</v>
      </c>
      <c r="I794" s="26">
        <v>107100</v>
      </c>
      <c r="J794" s="26">
        <v>11900</v>
      </c>
    </row>
    <row r="795" spans="2:10" ht="21.75" customHeight="1" x14ac:dyDescent="0.3">
      <c r="B795" s="128">
        <v>42521</v>
      </c>
      <c r="C795" s="130">
        <v>10484200</v>
      </c>
      <c r="D795" s="387">
        <v>797</v>
      </c>
      <c r="E795" s="126" t="s">
        <v>1388</v>
      </c>
      <c r="F795" s="336" t="s">
        <v>1030</v>
      </c>
      <c r="G795" s="336" t="s">
        <v>1031</v>
      </c>
      <c r="H795" s="18">
        <v>4123623939</v>
      </c>
      <c r="I795" s="26">
        <v>107100</v>
      </c>
      <c r="J795" s="26">
        <v>11900</v>
      </c>
    </row>
    <row r="796" spans="2:10" ht="21.75" customHeight="1" x14ac:dyDescent="0.3">
      <c r="B796" s="128">
        <v>42521</v>
      </c>
      <c r="C796" s="130">
        <v>20754170</v>
      </c>
      <c r="D796" s="387">
        <v>798</v>
      </c>
      <c r="E796" s="126" t="s">
        <v>301</v>
      </c>
      <c r="F796" s="336" t="s">
        <v>1288</v>
      </c>
      <c r="G796" s="336" t="s">
        <v>1289</v>
      </c>
      <c r="H796" s="18">
        <v>4261785155</v>
      </c>
      <c r="I796" s="26">
        <v>79000</v>
      </c>
      <c r="J796" s="26">
        <v>79000</v>
      </c>
    </row>
    <row r="797" spans="2:10" ht="21.75" customHeight="1" x14ac:dyDescent="0.3">
      <c r="B797" s="128">
        <v>42521</v>
      </c>
      <c r="C797" s="130">
        <v>19014966</v>
      </c>
      <c r="D797" s="387">
        <v>799</v>
      </c>
      <c r="E797" s="126" t="s">
        <v>1388</v>
      </c>
      <c r="F797" s="336" t="s">
        <v>1351</v>
      </c>
      <c r="G797" s="336" t="s">
        <v>1351</v>
      </c>
      <c r="H797" s="18">
        <v>4242483153</v>
      </c>
      <c r="I797" s="26">
        <v>89000</v>
      </c>
      <c r="J797" s="26">
        <v>89000</v>
      </c>
    </row>
    <row r="798" spans="2:10" ht="21.75" customHeight="1" x14ac:dyDescent="0.3">
      <c r="B798" s="128">
        <v>42522</v>
      </c>
      <c r="C798" s="130">
        <v>6224225</v>
      </c>
      <c r="D798" s="387">
        <v>800</v>
      </c>
      <c r="F798" s="336" t="s">
        <v>606</v>
      </c>
      <c r="G798" s="336" t="s">
        <v>606</v>
      </c>
      <c r="H798" s="450">
        <v>4142249731</v>
      </c>
      <c r="I798" s="26">
        <v>50000</v>
      </c>
    </row>
    <row r="799" spans="2:10" ht="21.75" customHeight="1" x14ac:dyDescent="0.3">
      <c r="B799" s="128">
        <v>42523</v>
      </c>
      <c r="C799" s="130">
        <v>27391068</v>
      </c>
      <c r="D799" s="387">
        <v>801</v>
      </c>
      <c r="E799" s="126" t="s">
        <v>1388</v>
      </c>
      <c r="F799" s="336" t="s">
        <v>1454</v>
      </c>
      <c r="G799" s="336" t="s">
        <v>1454</v>
      </c>
      <c r="H799" s="18">
        <v>4242587722</v>
      </c>
      <c r="I799" s="26">
        <v>107100</v>
      </c>
      <c r="J799" s="26">
        <v>11900</v>
      </c>
    </row>
    <row r="800" spans="2:10" ht="21.75" customHeight="1" x14ac:dyDescent="0.3">
      <c r="B800" s="128">
        <v>42523</v>
      </c>
      <c r="C800" s="130">
        <v>10276373</v>
      </c>
      <c r="D800" s="387">
        <v>802</v>
      </c>
      <c r="E800" s="126" t="s">
        <v>1388</v>
      </c>
      <c r="F800" s="336" t="s">
        <v>1455</v>
      </c>
      <c r="G800" s="336" t="s">
        <v>1456</v>
      </c>
      <c r="H800" s="18">
        <v>4242295632</v>
      </c>
      <c r="I800" s="26">
        <v>107100</v>
      </c>
      <c r="J800" s="26">
        <v>11900</v>
      </c>
    </row>
    <row r="801" spans="2:10" ht="21.75" customHeight="1" x14ac:dyDescent="0.3">
      <c r="B801" s="128">
        <v>42521</v>
      </c>
      <c r="C801" s="130">
        <v>14427244</v>
      </c>
      <c r="D801" s="387">
        <v>803</v>
      </c>
      <c r="E801" s="126" t="s">
        <v>1388</v>
      </c>
      <c r="F801" s="336" t="s">
        <v>1457</v>
      </c>
      <c r="G801" s="336" t="s">
        <v>1258</v>
      </c>
      <c r="H801" s="18">
        <v>4142437248</v>
      </c>
      <c r="I801" s="26">
        <v>107100</v>
      </c>
      <c r="J801" s="26">
        <v>11900</v>
      </c>
    </row>
    <row r="802" spans="2:10" ht="21.75" customHeight="1" x14ac:dyDescent="0.3">
      <c r="B802" s="128">
        <v>42524</v>
      </c>
      <c r="C802" s="130" t="s">
        <v>1458</v>
      </c>
      <c r="D802" s="387">
        <v>804</v>
      </c>
      <c r="E802" s="126" t="s">
        <v>1388</v>
      </c>
      <c r="F802" s="336" t="s">
        <v>1241</v>
      </c>
      <c r="G802" s="336" t="s">
        <v>1242</v>
      </c>
      <c r="H802" s="18">
        <v>4241285488</v>
      </c>
      <c r="I802" s="26">
        <v>95200</v>
      </c>
      <c r="J802" s="26">
        <v>11900</v>
      </c>
    </row>
    <row r="803" spans="2:10" ht="21.75" customHeight="1" x14ac:dyDescent="0.3">
      <c r="B803" s="128">
        <v>42524</v>
      </c>
      <c r="C803" s="130">
        <v>14216551</v>
      </c>
      <c r="D803" s="387">
        <v>805</v>
      </c>
      <c r="E803" s="126" t="s">
        <v>301</v>
      </c>
      <c r="F803" s="336" t="s">
        <v>1192</v>
      </c>
      <c r="G803" s="336" t="s">
        <v>1029</v>
      </c>
      <c r="H803" s="18">
        <v>4143110722</v>
      </c>
      <c r="I803" s="26" t="s">
        <v>65</v>
      </c>
      <c r="J803" s="26" t="s">
        <v>65</v>
      </c>
    </row>
    <row r="804" spans="2:10" ht="21.75" customHeight="1" x14ac:dyDescent="0.3">
      <c r="B804" s="128">
        <v>42524</v>
      </c>
      <c r="C804" s="130">
        <v>6207392</v>
      </c>
      <c r="D804" s="387">
        <v>806</v>
      </c>
      <c r="E804" s="126" t="s">
        <v>1388</v>
      </c>
      <c r="F804" s="336" t="s">
        <v>1215</v>
      </c>
      <c r="G804" s="336" t="s">
        <v>1459</v>
      </c>
      <c r="H804" s="18">
        <v>4143038534</v>
      </c>
      <c r="I804" s="26">
        <v>107100</v>
      </c>
      <c r="J804" s="26">
        <v>11900</v>
      </c>
    </row>
    <row r="805" spans="2:10" ht="21.75" customHeight="1" x14ac:dyDescent="0.3">
      <c r="B805" s="128">
        <v>42524</v>
      </c>
      <c r="C805" s="130">
        <v>6207392</v>
      </c>
      <c r="D805" s="387">
        <v>807</v>
      </c>
      <c r="E805" s="126" t="s">
        <v>1388</v>
      </c>
      <c r="F805" s="336" t="s">
        <v>1213</v>
      </c>
      <c r="G805" s="336" t="s">
        <v>1459</v>
      </c>
      <c r="H805" s="18">
        <v>4143038534</v>
      </c>
      <c r="I805" s="26">
        <v>107100</v>
      </c>
      <c r="J805" s="26">
        <v>11900</v>
      </c>
    </row>
    <row r="806" spans="2:10" ht="21.75" customHeight="1" x14ac:dyDescent="0.3">
      <c r="B806" s="128">
        <v>42527</v>
      </c>
      <c r="C806" s="130">
        <v>15714829</v>
      </c>
      <c r="D806" s="387">
        <v>808</v>
      </c>
      <c r="E806" s="126" t="s">
        <v>1388</v>
      </c>
      <c r="F806" s="336" t="s">
        <v>1347</v>
      </c>
      <c r="G806" s="336" t="s">
        <v>1347</v>
      </c>
      <c r="H806" s="18">
        <v>4142422807</v>
      </c>
      <c r="I806" s="26">
        <v>95200</v>
      </c>
      <c r="J806" s="26">
        <v>11900</v>
      </c>
    </row>
    <row r="807" spans="2:10" ht="21.75" customHeight="1" x14ac:dyDescent="0.3">
      <c r="B807" s="128">
        <v>42527</v>
      </c>
      <c r="C807" s="130" t="s">
        <v>1460</v>
      </c>
      <c r="D807" s="387">
        <v>809</v>
      </c>
      <c r="E807" s="126" t="s">
        <v>1388</v>
      </c>
      <c r="F807" s="336" t="s">
        <v>1461</v>
      </c>
      <c r="G807" s="336" t="s">
        <v>1461</v>
      </c>
      <c r="H807" s="18">
        <v>4144972770</v>
      </c>
      <c r="I807" s="26">
        <v>107100</v>
      </c>
      <c r="J807" s="26">
        <v>11900</v>
      </c>
    </row>
    <row r="808" spans="2:10" ht="21.75" customHeight="1" x14ac:dyDescent="0.3">
      <c r="B808" s="128">
        <v>42527</v>
      </c>
      <c r="C808" s="130">
        <v>11741902</v>
      </c>
      <c r="D808" s="387">
        <v>810</v>
      </c>
      <c r="E808" s="126" t="s">
        <v>231</v>
      </c>
      <c r="F808" s="336" t="s">
        <v>1462</v>
      </c>
      <c r="G808" s="336" t="s">
        <v>1462</v>
      </c>
      <c r="H808" s="18">
        <v>4140499312</v>
      </c>
      <c r="I808" s="26">
        <v>89000</v>
      </c>
      <c r="J808" s="26">
        <v>44500</v>
      </c>
    </row>
    <row r="809" spans="2:10" ht="21.75" customHeight="1" x14ac:dyDescent="0.3">
      <c r="B809" s="128">
        <v>42527</v>
      </c>
      <c r="C809" s="130">
        <v>14123264</v>
      </c>
      <c r="D809" s="387">
        <v>811</v>
      </c>
      <c r="E809" s="126" t="s">
        <v>231</v>
      </c>
      <c r="F809" s="336" t="s">
        <v>1463</v>
      </c>
      <c r="G809" s="336" t="s">
        <v>1464</v>
      </c>
      <c r="H809" s="18">
        <v>4242240238</v>
      </c>
      <c r="I809" s="26">
        <v>89000</v>
      </c>
      <c r="J809" s="26">
        <v>44500</v>
      </c>
    </row>
  </sheetData>
  <autoFilter ref="B5:J551" xr:uid="{00000000-0009-0000-0000-000000000000}"/>
  <mergeCells count="1">
    <mergeCell ref="O4:AB4"/>
  </mergeCells>
  <pageMargins left="0.23622047244094491" right="0.23622047244094491" top="0.23622047244094491" bottom="0.15748031496062992" header="0.15748031496062992" footer="0.15748031496062992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 DE MATRICULA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Usuario</cp:lastModifiedBy>
  <cp:lastPrinted>2015-08-20T22:28:13Z</cp:lastPrinted>
  <dcterms:created xsi:type="dcterms:W3CDTF">2013-11-07T17:08:17Z</dcterms:created>
  <dcterms:modified xsi:type="dcterms:W3CDTF">2026-06-03T00:12:55Z</dcterms:modified>
</cp:coreProperties>
</file>