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Usuario\Documents\Adminitracion Enero 26\Desarrollo de soft web\"/>
    </mc:Choice>
  </mc:AlternateContent>
  <xr:revisionPtr revIDLastSave="0" documentId="8_{82C46187-75C2-4E0D-A42B-336DCDEAC84B}" xr6:coauthVersionLast="43" xr6:coauthVersionMax="43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Historico Matriculas CCLC" sheetId="1" r:id="rId1"/>
    <sheet name="Matriculas Cascada 2023-2024" sheetId="2" r:id="rId2"/>
    <sheet name="Convenio-Becas" sheetId="3" r:id="rId3"/>
    <sheet name="Traspasos" sheetId="4" r:id="rId4"/>
  </sheets>
  <definedNames>
    <definedName name="_xlnm._FilterDatabase" localSheetId="2" hidden="1">'Convenio-Becas'!$A$6:$AS$808</definedName>
    <definedName name="_xlnm._FilterDatabase" localSheetId="1" hidden="1">'Matriculas Cascada 2023-2024'!$A$6:$AS$406</definedName>
    <definedName name="_xlnm._FilterDatabase" localSheetId="3" hidden="1">Traspasos!$A$6:$AS$808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10" roundtripDataChecksum="BOhXdO5PLKciLomy6jJhzXmPORmMGY1cZ5Z+tte86JU="/>
    </ext>
  </extLst>
</workbook>
</file>

<file path=xl/calcChain.xml><?xml version="1.0" encoding="utf-8"?>
<calcChain xmlns="http://schemas.openxmlformats.org/spreadsheetml/2006/main">
  <c r="J807" i="4" l="1"/>
  <c r="J805" i="4"/>
  <c r="J803" i="4"/>
  <c r="J801" i="4"/>
  <c r="J799" i="4"/>
  <c r="J797" i="4"/>
  <c r="J795" i="4"/>
  <c r="J793" i="4"/>
  <c r="J791" i="4"/>
  <c r="J789" i="4"/>
  <c r="J787" i="4"/>
  <c r="J785" i="4"/>
  <c r="J783" i="4"/>
  <c r="J781" i="4"/>
  <c r="J779" i="4"/>
  <c r="J777" i="4"/>
  <c r="J775" i="4"/>
  <c r="J773" i="4"/>
  <c r="J771" i="4"/>
  <c r="J769" i="4"/>
  <c r="J767" i="4"/>
  <c r="J765" i="4"/>
  <c r="J763" i="4"/>
  <c r="J761" i="4"/>
  <c r="J759" i="4"/>
  <c r="P185" i="4"/>
  <c r="J807" i="3"/>
  <c r="J805" i="3"/>
  <c r="J803" i="3"/>
  <c r="J801" i="3"/>
  <c r="J799" i="3"/>
  <c r="J797" i="3"/>
  <c r="J795" i="3"/>
  <c r="J793" i="3"/>
  <c r="J791" i="3"/>
  <c r="J789" i="3"/>
  <c r="J787" i="3"/>
  <c r="J785" i="3"/>
  <c r="J783" i="3"/>
  <c r="J781" i="3"/>
  <c r="J779" i="3"/>
  <c r="J777" i="3"/>
  <c r="J775" i="3"/>
  <c r="J773" i="3"/>
  <c r="J771" i="3"/>
  <c r="J769" i="3"/>
  <c r="J767" i="3"/>
  <c r="J765" i="3"/>
  <c r="J763" i="3"/>
  <c r="J761" i="3"/>
  <c r="J759" i="3"/>
  <c r="P185" i="3"/>
  <c r="J339" i="2"/>
  <c r="J337" i="2"/>
  <c r="J335" i="2"/>
  <c r="J333" i="2"/>
  <c r="J331" i="2"/>
  <c r="J329" i="2"/>
  <c r="J327" i="2"/>
  <c r="J325" i="2"/>
  <c r="J323" i="2"/>
  <c r="J321" i="2"/>
  <c r="J319" i="2"/>
  <c r="J317" i="2"/>
  <c r="J315" i="2"/>
  <c r="J313" i="2"/>
  <c r="J311" i="2"/>
  <c r="J309" i="2"/>
  <c r="J307" i="2"/>
  <c r="J305" i="2"/>
  <c r="J303" i="2"/>
  <c r="J301" i="2"/>
  <c r="J299" i="2"/>
  <c r="J297" i="2"/>
  <c r="J295" i="2"/>
  <c r="J293" i="2"/>
  <c r="J291" i="2"/>
  <c r="J289" i="2"/>
  <c r="J287" i="2"/>
  <c r="J285" i="2"/>
  <c r="J283" i="2"/>
  <c r="J281" i="2"/>
  <c r="J279" i="2"/>
  <c r="J277" i="2"/>
  <c r="J275" i="2"/>
  <c r="J273" i="2"/>
  <c r="J271" i="2"/>
  <c r="J269" i="2"/>
  <c r="J267" i="2"/>
  <c r="J265" i="2"/>
  <c r="J263" i="2"/>
  <c r="J261" i="2"/>
  <c r="J259" i="2"/>
  <c r="J257" i="2"/>
  <c r="J255" i="2"/>
  <c r="J253" i="2"/>
  <c r="J251" i="2"/>
  <c r="J249" i="2"/>
  <c r="J247" i="2"/>
  <c r="J245" i="2"/>
  <c r="J243" i="2"/>
  <c r="J241" i="2"/>
  <c r="J239" i="2"/>
  <c r="J237" i="2"/>
  <c r="J235" i="2"/>
  <c r="J233" i="2"/>
  <c r="J231" i="2"/>
  <c r="J229" i="2"/>
  <c r="J227" i="2"/>
  <c r="J225" i="2"/>
  <c r="J223" i="2"/>
  <c r="J221" i="2"/>
  <c r="J219" i="2"/>
  <c r="J217" i="2"/>
  <c r="J215" i="2"/>
  <c r="J213" i="2"/>
  <c r="J211" i="2"/>
  <c r="J209" i="2"/>
  <c r="J207" i="2"/>
  <c r="J205" i="2"/>
  <c r="J203" i="2"/>
  <c r="J201" i="2"/>
  <c r="J199" i="2"/>
  <c r="J197" i="2"/>
  <c r="J195" i="2"/>
  <c r="J193" i="2"/>
  <c r="J191" i="2"/>
  <c r="J189" i="2"/>
  <c r="J187" i="2"/>
  <c r="P185" i="2"/>
  <c r="J185" i="2"/>
  <c r="J183" i="2"/>
  <c r="J181" i="2"/>
  <c r="J179" i="2"/>
  <c r="J177" i="2"/>
  <c r="J175" i="2"/>
  <c r="J173" i="2"/>
  <c r="J171" i="2"/>
  <c r="J169" i="2"/>
  <c r="J167" i="2"/>
  <c r="J165" i="2"/>
  <c r="J163" i="2"/>
  <c r="J161" i="2"/>
  <c r="J159" i="2"/>
  <c r="J157" i="2"/>
  <c r="J155" i="2"/>
  <c r="J153" i="2"/>
  <c r="J151" i="2"/>
  <c r="J149" i="2"/>
  <c r="J147" i="2"/>
  <c r="J145" i="2"/>
  <c r="J143" i="2"/>
  <c r="J141" i="2"/>
  <c r="J139" i="2"/>
  <c r="J137" i="2"/>
  <c r="J135" i="2"/>
  <c r="J133" i="2"/>
  <c r="J131" i="2"/>
  <c r="J129" i="2"/>
  <c r="J127" i="2"/>
  <c r="J125" i="2"/>
  <c r="J123" i="2"/>
  <c r="J121" i="2"/>
  <c r="J119" i="2"/>
  <c r="J117" i="2"/>
  <c r="J115" i="2"/>
  <c r="J113" i="2"/>
  <c r="J111" i="2"/>
  <c r="J109" i="2"/>
  <c r="J107" i="2"/>
  <c r="J105" i="2"/>
  <c r="J103" i="2"/>
  <c r="J101" i="2"/>
  <c r="J99" i="2"/>
  <c r="J97" i="2"/>
  <c r="J95" i="2"/>
  <c r="J93" i="2"/>
  <c r="J91" i="2"/>
  <c r="J89" i="2"/>
  <c r="J87" i="2"/>
  <c r="J85" i="2"/>
  <c r="J83" i="2"/>
  <c r="J81" i="2"/>
  <c r="J79" i="2"/>
  <c r="J77" i="2"/>
  <c r="J75" i="2"/>
  <c r="J73" i="2"/>
  <c r="J71" i="2"/>
  <c r="J69" i="2"/>
  <c r="J67" i="2"/>
  <c r="J65" i="2"/>
  <c r="J63" i="2"/>
  <c r="J61" i="2"/>
  <c r="J59" i="2"/>
  <c r="J57" i="2"/>
  <c r="J55" i="2"/>
  <c r="J53" i="2"/>
  <c r="J51" i="2"/>
  <c r="J49" i="2"/>
  <c r="J47" i="2"/>
  <c r="J45" i="2"/>
  <c r="J43" i="2"/>
  <c r="J41" i="2"/>
  <c r="J39" i="2"/>
  <c r="J37" i="2"/>
  <c r="J35" i="2"/>
  <c r="J33" i="2"/>
  <c r="J31" i="2"/>
  <c r="J29" i="2"/>
  <c r="J27" i="2"/>
  <c r="J25" i="2"/>
  <c r="J23" i="2"/>
  <c r="J21" i="2"/>
  <c r="J19" i="2"/>
  <c r="J17" i="2"/>
  <c r="J15" i="2"/>
  <c r="J13" i="2"/>
  <c r="J11" i="2"/>
  <c r="J9" i="2"/>
  <c r="J7" i="2"/>
  <c r="I613" i="1"/>
  <c r="I611" i="1"/>
  <c r="I609" i="1"/>
  <c r="I607" i="1"/>
  <c r="I605" i="1"/>
  <c r="I603" i="1"/>
  <c r="I601" i="1"/>
  <c r="I599" i="1"/>
  <c r="I597" i="1"/>
  <c r="I595" i="1"/>
  <c r="I593" i="1"/>
  <c r="I591" i="1"/>
  <c r="I589" i="1"/>
  <c r="I587" i="1"/>
  <c r="I585" i="1"/>
  <c r="I583" i="1"/>
  <c r="I581" i="1"/>
  <c r="I579" i="1"/>
  <c r="I577" i="1"/>
  <c r="I575" i="1"/>
  <c r="I573" i="1"/>
  <c r="I571" i="1"/>
  <c r="I569" i="1"/>
  <c r="I567" i="1"/>
  <c r="I565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Y207" i="1"/>
  <c r="I207" i="1"/>
  <c r="I206" i="1"/>
  <c r="I205" i="1"/>
  <c r="I204" i="1"/>
  <c r="I203" i="1"/>
  <c r="I201" i="1"/>
  <c r="I200" i="1"/>
  <c r="I199" i="1"/>
  <c r="I198" i="1"/>
  <c r="I197" i="1"/>
  <c r="I196" i="1"/>
  <c r="I195" i="1"/>
  <c r="Y194" i="1"/>
  <c r="I194" i="1"/>
  <c r="I193" i="1"/>
  <c r="I192" i="1"/>
  <c r="I191" i="1"/>
  <c r="Y190" i="1"/>
  <c r="I190" i="1"/>
  <c r="Y189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O96" i="1"/>
  <c r="I96" i="1"/>
  <c r="I95" i="1"/>
  <c r="I94" i="1"/>
  <c r="I93" i="1"/>
  <c r="I92" i="1"/>
  <c r="I91" i="1"/>
  <c r="I90" i="1"/>
  <c r="I89" i="1"/>
  <c r="I88" i="1"/>
  <c r="I87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7" authorId="0" shapeId="0" xr:uid="{00000000-0006-0000-0000-00000A000000}">
      <text>
        <r>
          <rPr>
            <sz val="11"/>
            <color rgb="FF000000"/>
            <rFont val="Calibri"/>
            <scheme val="minor"/>
          </rPr>
          <t>======
ID#AAABXovxiK8
info@onenglishcourse.com    (2024-10-21 19:47:54)
averiguar donde esta su planilla</t>
        </r>
      </text>
    </comment>
    <comment ref="E55" authorId="0" shapeId="0" xr:uid="{00000000-0006-0000-0000-000003000000}">
      <text>
        <r>
          <rPr>
            <sz val="11"/>
            <color rgb="FF000000"/>
            <rFont val="Calibri"/>
            <scheme val="minor"/>
          </rPr>
          <t>======
ID#AAABXovxiRI
FLC3    (2024-10-21 19:47:55)
Trasladado a picacho nuevamente</t>
        </r>
      </text>
    </comment>
    <comment ref="E59" authorId="0" shapeId="0" xr:uid="{00000000-0006-0000-0000-00000D000000}">
      <text>
        <r>
          <rPr>
            <sz val="11"/>
            <color rgb="FF000000"/>
            <rFont val="Calibri"/>
            <scheme val="minor"/>
          </rPr>
          <t>======
ID#AAABXovxiKg
FLC3    (2024-10-21 19:47:54)
Trasladado a picacho nuevamente</t>
        </r>
      </text>
    </comment>
    <comment ref="Q62" authorId="0" shapeId="0" xr:uid="{00000000-0006-0000-0000-000002000000}">
      <text>
        <r>
          <rPr>
            <sz val="11"/>
            <color rgb="FF000000"/>
            <rFont val="Calibri"/>
            <scheme val="minor"/>
          </rPr>
          <t>======
ID#AAABXovxiRU
Recepcion    (2024-10-21 19:47:55)
IC-2 pagado el 28/01/22</t>
        </r>
      </text>
    </comment>
    <comment ref="E68" authorId="0" shapeId="0" xr:uid="{00000000-0006-0000-0000-00000B000000}">
      <text>
        <r>
          <rPr>
            <sz val="11"/>
            <color rgb="FF000000"/>
            <rFont val="Calibri"/>
            <scheme val="minor"/>
          </rPr>
          <t>======
ID#AAABXovxiK0
FLC3    (2024-10-21 19:47:54)
Trasladadas al picacho nuevamente</t>
        </r>
      </text>
    </comment>
    <comment ref="Q90" authorId="0" shapeId="0" xr:uid="{00000000-0006-0000-0000-000005000000}">
      <text>
        <r>
          <rPr>
            <sz val="11"/>
            <color rgb="FF000000"/>
            <rFont val="Calibri"/>
            <scheme val="minor"/>
          </rPr>
          <t>======
ID#AAABXovxiQ4
Usuario de Windows    (2024-10-21 19:47:55)
Por empezar</t>
        </r>
      </text>
    </comment>
    <comment ref="Q92" authorId="0" shapeId="0" xr:uid="{00000000-0006-0000-0000-00000C000000}">
      <text>
        <r>
          <rPr>
            <sz val="11"/>
            <color rgb="FF000000"/>
            <rFont val="Calibri"/>
            <scheme val="minor"/>
          </rPr>
          <t>======
ID#AAABXovxiKY
Recepcion    (2024-10-21 19:47:54)
Pagado todo el curso hasta pass-2</t>
        </r>
      </text>
    </comment>
    <comment ref="E168" authorId="0" shapeId="0" xr:uid="{00000000-0006-0000-0000-000007000000}">
      <text>
        <r>
          <rPr>
            <sz val="11"/>
            <color rgb="FF000000"/>
            <rFont val="Calibri"/>
            <scheme val="minor"/>
          </rPr>
          <t>======
ID#AAABXovxiQ0
FLC3    (2024-10-21 19:47:55)
traspaso al picacho</t>
        </r>
      </text>
    </comment>
    <comment ref="E169" authorId="0" shapeId="0" xr:uid="{00000000-0006-0000-0000-00000F000000}">
      <text>
        <r>
          <rPr>
            <sz val="11"/>
            <color rgb="FF000000"/>
            <rFont val="Calibri"/>
            <scheme val="minor"/>
          </rPr>
          <t>======
ID#AAABXovxiKU
FLC3    (2024-10-21 19:47:54)
traspaso al picacho</t>
        </r>
      </text>
    </comment>
    <comment ref="AE185" authorId="0" shapeId="0" xr:uid="{00000000-0006-0000-0000-000004000000}">
      <text>
        <r>
          <rPr>
            <sz val="11"/>
            <color rgb="FF000000"/>
            <rFont val="Calibri"/>
            <scheme val="minor"/>
          </rPr>
          <t>======
ID#AAABXovxiRA
info    (2024-10-21 19:47:55)
Abono de parte de Reinaldo</t>
        </r>
      </text>
    </comment>
    <comment ref="Y214" authorId="0" shapeId="0" xr:uid="{00000000-0006-0000-0000-000009000000}">
      <text>
        <r>
          <rPr>
            <sz val="11"/>
            <color rgb="FF000000"/>
            <rFont val="Calibri"/>
            <scheme val="minor"/>
          </rPr>
          <t>======
ID#AAABXovxiLE
info    (2024-10-21 19:47:54)
Debe $120</t>
        </r>
      </text>
    </comment>
    <comment ref="Y235" authorId="0" shapeId="0" xr:uid="{00000000-0006-0000-0000-000006000000}">
      <text>
        <r>
          <rPr>
            <sz val="11"/>
            <color rgb="FF000000"/>
            <rFont val="Calibri"/>
            <scheme val="minor"/>
          </rPr>
          <t>======
ID#AAABXovxiQ8
info    (2024-10-21 19:47:55)
Debe $180</t>
        </r>
      </text>
    </comment>
    <comment ref="Y237" authorId="0" shapeId="0" xr:uid="{00000000-0006-0000-0000-000008000000}">
      <text>
        <r>
          <rPr>
            <sz val="11"/>
            <color rgb="FF000000"/>
            <rFont val="Calibri"/>
            <scheme val="minor"/>
          </rPr>
          <t>======
ID#AAABXovxiQs
info    (2024-10-21 19:47:55)
Debe $180</t>
        </r>
      </text>
    </comment>
    <comment ref="Y247" authorId="0" shapeId="0" xr:uid="{00000000-0006-0000-0000-00000E000000}">
      <text>
        <r>
          <rPr>
            <sz val="11"/>
            <color rgb="FF000000"/>
            <rFont val="Calibri"/>
            <scheme val="minor"/>
          </rPr>
          <t>======
ID#AAABXovxiKk
info    (2024-10-21 19:47:54)
Debe 260</t>
        </r>
      </text>
    </comment>
    <comment ref="Y249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ID#AAABXovxibg
info    (2024-10-21 19:47:55)
Debe 180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0IJ9/k91mRjLZHm+cZmgU2s/m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7" authorId="0" shapeId="0" xr:uid="{00000000-0006-0000-0100-000004000000}">
      <text>
        <r>
          <rPr>
            <sz val="11"/>
            <color rgb="FF000000"/>
            <rFont val="Calibri"/>
            <scheme val="minor"/>
          </rPr>
          <t>======
ID#AAABXovxiKE
info@onenglishcourse.com    (2024-10-21 19:47:54)
averiguar donde esta su planilla</t>
        </r>
      </text>
    </comment>
    <comment ref="R117" authorId="0" shapeId="0" xr:uid="{00000000-0006-0000-0100-000001000000}">
      <text>
        <r>
          <rPr>
            <sz val="11"/>
            <color rgb="FF000000"/>
            <rFont val="Calibri"/>
            <scheme val="minor"/>
          </rPr>
          <t>======
ID#AAABXovxibk
Recepcion    (2024-10-21 19:47:55)
IC-2 pagado el 28/01/22</t>
        </r>
      </text>
    </comment>
    <comment ref="R173" authorId="0" shapeId="0" xr:uid="{00000000-0006-0000-0100-000002000000}">
      <text>
        <r>
          <rPr>
            <sz val="11"/>
            <color rgb="FF000000"/>
            <rFont val="Calibri"/>
            <scheme val="minor"/>
          </rPr>
          <t>======
ID#AAABXovxiRo
Usuario de Windows    (2024-10-21 19:47:55)
Por empezar</t>
        </r>
      </text>
    </comment>
    <comment ref="R177" authorId="0" shapeId="0" xr:uid="{00000000-0006-0000-0100-000003000000}">
      <text>
        <r>
          <rPr>
            <sz val="11"/>
            <color rgb="FF000000"/>
            <rFont val="Calibri"/>
            <scheme val="minor"/>
          </rPr>
          <t>======
ID#AAABXovxiKw
Recepcion    (2024-10-21 19:47:54)
Pagado todo el curso hasta pass-2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CIwAH6pHoULN0Dgey/Nv3r2Mu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7" authorId="0" shapeId="0" xr:uid="{00000000-0006-0000-0200-00000B000000}">
      <text>
        <r>
          <rPr>
            <sz val="11"/>
            <color rgb="FF000000"/>
            <rFont val="Calibri"/>
            <scheme val="minor"/>
          </rPr>
          <t>======
ID#AAABXovxiKQ
info@onenglishcourse.com    (2024-10-21 19:47:54)
averiguar donde esta su planilla</t>
        </r>
      </text>
    </comment>
    <comment ref="R117" authorId="0" shapeId="0" xr:uid="{00000000-0006-0000-0200-000009000000}">
      <text>
        <r>
          <rPr>
            <sz val="11"/>
            <color rgb="FF000000"/>
            <rFont val="Calibri"/>
            <scheme val="minor"/>
          </rPr>
          <t>======
ID#AAABXovxiKs
Recepcion    (2024-10-21 19:47:54)
IC-2 pagado el 28/01/22</t>
        </r>
      </text>
    </comment>
    <comment ref="R173" authorId="0" shapeId="0" xr:uid="{00000000-0006-0000-0200-000007000000}">
      <text>
        <r>
          <rPr>
            <sz val="11"/>
            <color rgb="FF000000"/>
            <rFont val="Calibri"/>
            <scheme val="minor"/>
          </rPr>
          <t>======
ID#AAABXovxiRM
Usuario de Windows    (2024-10-21 19:47:55)
Por empezar</t>
        </r>
      </text>
    </comment>
    <comment ref="R177" authorId="0" shapeId="0" xr:uid="{00000000-0006-0000-0200-000004000000}">
      <text>
        <r>
          <rPr>
            <sz val="11"/>
            <color rgb="FF000000"/>
            <rFont val="Calibri"/>
            <scheme val="minor"/>
          </rPr>
          <t>======
ID#AAABXovxibY
Recepcion    (2024-10-21 19:47:55)
Pagado todo el curso hasta pass-2</t>
        </r>
      </text>
    </comment>
    <comment ref="AF363" authorId="0" shapeId="0" xr:uid="{00000000-0006-0000-0200-00000A000000}">
      <text>
        <r>
          <rPr>
            <sz val="11"/>
            <color rgb="FF000000"/>
            <rFont val="Calibri"/>
            <scheme val="minor"/>
          </rPr>
          <t>======
ID#AAABXovxiKc
info    (2024-10-21 19:47:54)
Abono de parte de Reinaldo</t>
        </r>
      </text>
    </comment>
    <comment ref="U377" authorId="0" shapeId="0" xr:uid="{00000000-0006-0000-0200-000005000000}">
      <text>
        <r>
          <rPr>
            <sz val="11"/>
            <color rgb="FF000000"/>
            <rFont val="Calibri"/>
            <scheme val="minor"/>
          </rPr>
          <t>======
ID#AAABXovxiRk
Recepcion    (2024-10-21 19:47:55)
BECADA</t>
        </r>
      </text>
    </comment>
    <comment ref="Z407" authorId="0" shapeId="0" xr:uid="{00000000-0006-0000-0200-000002000000}">
      <text>
        <r>
          <rPr>
            <sz val="11"/>
            <color rgb="FF000000"/>
            <rFont val="Calibri"/>
            <scheme val="minor"/>
          </rPr>
          <t>======
ID#AAABXovxibo
info    (2024-10-21 19:47:55)
Debe $120</t>
        </r>
      </text>
    </comment>
    <comment ref="Z429" authorId="0" shapeId="0" xr:uid="{00000000-0006-0000-0200-000008000000}">
      <text>
        <r>
          <rPr>
            <sz val="11"/>
            <color rgb="FF000000"/>
            <rFont val="Calibri"/>
            <scheme val="minor"/>
          </rPr>
          <t>======
ID#AAABXovxiLA
info    (2024-10-21 19:47:54)
Debe $180</t>
        </r>
      </text>
    </comment>
    <comment ref="Z431" authorId="0" shapeId="0" xr:uid="{00000000-0006-0000-0200-000006000000}">
      <text>
        <r>
          <rPr>
            <sz val="11"/>
            <color rgb="FF000000"/>
            <rFont val="Calibri"/>
            <scheme val="minor"/>
          </rPr>
          <t>======
ID#AAABXovxiRg
info    (2024-10-21 19:47:55)
Debe $180</t>
        </r>
      </text>
    </comment>
    <comment ref="Z441" authorId="0" shapeId="0" xr:uid="{00000000-0006-0000-0200-000001000000}">
      <text>
        <r>
          <rPr>
            <sz val="11"/>
            <color rgb="FF000000"/>
            <rFont val="Calibri"/>
            <scheme val="minor"/>
          </rPr>
          <t>======
ID#AAABXovxib4
info    (2024-10-21 19:47:55)
Debe 260</t>
        </r>
      </text>
    </comment>
    <comment ref="Z443" authorId="0" shapeId="0" xr:uid="{00000000-0006-0000-0200-000003000000}">
      <text>
        <r>
          <rPr>
            <sz val="11"/>
            <color rgb="FF000000"/>
            <rFont val="Calibri"/>
            <scheme val="minor"/>
          </rPr>
          <t>======
ID#AAABXovxibc
info    (2024-10-21 19:47:55)
Debe 180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GksZi0R6T5ziaPFCXvN4qYFmUH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7" authorId="0" shapeId="0" xr:uid="{00000000-0006-0000-0300-000007000000}">
      <text>
        <r>
          <rPr>
            <sz val="11"/>
            <color rgb="FF000000"/>
            <rFont val="Calibri"/>
            <scheme val="minor"/>
          </rPr>
          <t>======
ID#AAABXovxiRE
info@onenglishcourse.com    (2024-10-21 19:47:55)
averiguar donde esta su planilla</t>
        </r>
      </text>
    </comment>
    <comment ref="R117" authorId="0" shapeId="0" xr:uid="{00000000-0006-0000-0300-00000A000000}">
      <text>
        <r>
          <rPr>
            <sz val="11"/>
            <color rgb="FF000000"/>
            <rFont val="Calibri"/>
            <scheme val="minor"/>
          </rPr>
          <t>======
ID#AAABXovxiK4
Recepcion    (2024-10-21 19:47:54)
IC-2 pagado el 28/01/22</t>
        </r>
      </text>
    </comment>
    <comment ref="R173" authorId="0" shapeId="0" xr:uid="{00000000-0006-0000-0300-00000B000000}">
      <text>
        <r>
          <rPr>
            <sz val="11"/>
            <color rgb="FF000000"/>
            <rFont val="Calibri"/>
            <scheme val="minor"/>
          </rPr>
          <t>======
ID#AAABXovxiKo
Usuario de Windows    (2024-10-21 19:47:54)
Por empezar</t>
        </r>
      </text>
    </comment>
    <comment ref="R177" authorId="0" shapeId="0" xr:uid="{00000000-0006-0000-0300-000009000000}">
      <text>
        <r>
          <rPr>
            <sz val="11"/>
            <color rgb="FF000000"/>
            <rFont val="Calibri"/>
            <scheme val="minor"/>
          </rPr>
          <t>======
ID#AAABXovxiLI
Recepcion    (2024-10-21 19:47:54)
Pagado todo el curso hasta pass-2</t>
        </r>
      </text>
    </comment>
    <comment ref="AF363" authorId="0" shapeId="0" xr:uid="{00000000-0006-0000-0300-000006000000}">
      <text>
        <r>
          <rPr>
            <sz val="11"/>
            <color rgb="FF000000"/>
            <rFont val="Calibri"/>
            <scheme val="minor"/>
          </rPr>
          <t>======
ID#AAABXovxiRQ
info    (2024-10-21 19:47:55)
Abono de parte de Reinaldo</t>
        </r>
      </text>
    </comment>
    <comment ref="U377" authorId="0" shapeId="0" xr:uid="{00000000-0006-0000-0300-000003000000}">
      <text>
        <r>
          <rPr>
            <sz val="11"/>
            <color rgb="FF000000"/>
            <rFont val="Calibri"/>
            <scheme val="minor"/>
          </rPr>
          <t>======
ID#AAABXovxib0
Recepcion    (2024-10-21 19:47:55)
BECADA</t>
        </r>
      </text>
    </comment>
    <comment ref="Z407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ID#AAABXovxibs
info    (2024-10-21 19:47:55)
Debe $120</t>
        </r>
      </text>
    </comment>
    <comment ref="Z429" authorId="0" shapeId="0" xr:uid="{00000000-0006-0000-0300-000008000000}">
      <text>
        <r>
          <rPr>
            <sz val="11"/>
            <color rgb="FF000000"/>
            <rFont val="Calibri"/>
            <scheme val="minor"/>
          </rPr>
          <t>======
ID#AAABXovxiQw
info    (2024-10-21 19:47:55)
Debe $180</t>
        </r>
      </text>
    </comment>
    <comment ref="Z431" authorId="0" shapeId="0" xr:uid="{00000000-0006-0000-0300-000002000000}">
      <text>
        <r>
          <rPr>
            <sz val="11"/>
            <color rgb="FF000000"/>
            <rFont val="Calibri"/>
            <scheme val="minor"/>
          </rPr>
          <t>======
ID#AAABXovxibw
info    (2024-10-21 19:47:55)
Debe $180</t>
        </r>
      </text>
    </comment>
    <comment ref="Z441" authorId="0" shapeId="0" xr:uid="{00000000-0006-0000-0300-000005000000}">
      <text>
        <r>
          <rPr>
            <sz val="11"/>
            <color rgb="FF000000"/>
            <rFont val="Calibri"/>
            <scheme val="minor"/>
          </rPr>
          <t>======
ID#AAABXovxiRY
info    (2024-10-21 19:47:55)
Debe 260</t>
        </r>
      </text>
    </comment>
    <comment ref="Z443" authorId="0" shapeId="0" xr:uid="{00000000-0006-0000-0300-000004000000}">
      <text>
        <r>
          <rPr>
            <sz val="11"/>
            <color rgb="FF000000"/>
            <rFont val="Calibri"/>
            <scheme val="minor"/>
          </rPr>
          <t>======
ID#AAABXovxiRc
info    (2024-10-21 19:47:55)
Debe 180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FTiN6mfJgo3f3p2+QkYpF4Ep0g=="/>
    </ext>
  </extLst>
</comments>
</file>

<file path=xl/sharedStrings.xml><?xml version="1.0" encoding="utf-8"?>
<sst xmlns="http://schemas.openxmlformats.org/spreadsheetml/2006/main" count="10962" uniqueCount="2574">
  <si>
    <t>27</t>
  </si>
  <si>
    <t>DATOS DEL ARCHIVO</t>
  </si>
  <si>
    <t>DATOS DEL ALUMNO</t>
  </si>
  <si>
    <t>Datos del Representante
Datos Academicos 2023-2024</t>
  </si>
  <si>
    <t>Observaciones</t>
  </si>
  <si>
    <t>Historico</t>
  </si>
  <si>
    <t>Nivel Actual</t>
  </si>
  <si>
    <t>Montos y Cuotas</t>
  </si>
  <si>
    <t>Inicio</t>
  </si>
  <si>
    <t>Renovación 1</t>
  </si>
  <si>
    <t>Renovación 2</t>
  </si>
  <si>
    <t>Renovación 3</t>
  </si>
  <si>
    <t>Renovación 4</t>
  </si>
  <si>
    <t>Renovación 5</t>
  </si>
  <si>
    <t>Renovación 6</t>
  </si>
  <si>
    <t>Carp</t>
  </si>
  <si>
    <t>N° Expediente</t>
  </si>
  <si>
    <t>Nombres y Apellidos</t>
  </si>
  <si>
    <t>SEDE DE ORIGEN</t>
  </si>
  <si>
    <t>Documento de Identidad</t>
  </si>
  <si>
    <t xml:space="preserve">Fecha de Nacimiento </t>
  </si>
  <si>
    <t>Edad</t>
  </si>
  <si>
    <t>Correo</t>
  </si>
  <si>
    <t xml:space="preserve">Telefono </t>
  </si>
  <si>
    <t xml:space="preserve">Dirección </t>
  </si>
  <si>
    <t>Nombre y Apellido</t>
  </si>
  <si>
    <t>Documento de Identidad2</t>
  </si>
  <si>
    <t>Telefono</t>
  </si>
  <si>
    <t>Correo2</t>
  </si>
  <si>
    <t>Nivel</t>
  </si>
  <si>
    <t>Horario</t>
  </si>
  <si>
    <t>Comercial</t>
  </si>
  <si>
    <t>Promoción</t>
  </si>
  <si>
    <t>Total a pagar</t>
  </si>
  <si>
    <t>Fecha de inscripción</t>
  </si>
  <si>
    <t>Nivel de inicio</t>
  </si>
  <si>
    <t>Monto Pagado</t>
  </si>
  <si>
    <t>Mes3</t>
  </si>
  <si>
    <t>Nivel24</t>
  </si>
  <si>
    <t>Monto Pagado5</t>
  </si>
  <si>
    <t>Carp N°1, Seccion 1</t>
  </si>
  <si>
    <t>OE-CCLC001</t>
  </si>
  <si>
    <t>GARETH G RIVAS MALPICA</t>
  </si>
  <si>
    <t>CASCADA</t>
  </si>
  <si>
    <t>garethtezak@gmail.com</t>
  </si>
  <si>
    <t>0416 524 8755</t>
  </si>
  <si>
    <t>PARCELA LA PORFIA, ALTAGRAIA DE LA MONTAÑA LOS AMARILLOS</t>
  </si>
  <si>
    <t>GABRIELA MALPICA</t>
  </si>
  <si>
    <t>0416 729 5793</t>
  </si>
  <si>
    <t>gabrielamalpicaseijas@gmail.com</t>
  </si>
  <si>
    <t>INTRO</t>
  </si>
  <si>
    <t>SABADO 8:00- 11:30</t>
  </si>
  <si>
    <t>ABRAHAM BETANCOURT</t>
  </si>
  <si>
    <t>1/2 FINANCIADO</t>
  </si>
  <si>
    <t>MATRICULA P/ASIGNAR</t>
  </si>
  <si>
    <t>OE-CCLC002</t>
  </si>
  <si>
    <t>SIDNEY NICOLE INOJOSA MARTINEZ</t>
  </si>
  <si>
    <t>sidney.inojosa@gmail.com</t>
  </si>
  <si>
    <t>0414 117 1557</t>
  </si>
  <si>
    <t>CALLE EL CRUCE, QTA TIO #35, COLINAS DE CARRIZAL</t>
  </si>
  <si>
    <t>LISSETT MARTINEZ</t>
  </si>
  <si>
    <t>0414 228 0990</t>
  </si>
  <si>
    <t>aurisela@gmail.com</t>
  </si>
  <si>
    <t>IC2</t>
  </si>
  <si>
    <t>martes y jueves 2:20-3:50</t>
  </si>
  <si>
    <t>GAMEZ</t>
  </si>
  <si>
    <t>preventa</t>
  </si>
  <si>
    <t>720$ 3 NIVELES</t>
  </si>
  <si>
    <t xml:space="preserve"> </t>
  </si>
  <si>
    <t>OE-CCLC003</t>
  </si>
  <si>
    <t xml:space="preserve">MARIA FERNANDA VELASQUEZ </t>
  </si>
  <si>
    <t>fernando.v.2123@gmail.com</t>
  </si>
  <si>
    <t>0414 136 1057</t>
  </si>
  <si>
    <t>LOS TEQUES SECTOR EL PUEBLO MIRANDA</t>
  </si>
  <si>
    <t>FERNANDO RODRIGUEZ</t>
  </si>
  <si>
    <t>0212 323 9036</t>
  </si>
  <si>
    <t>IC1</t>
  </si>
  <si>
    <t>martes y jueves 4:00-5:30</t>
  </si>
  <si>
    <t xml:space="preserve">SR GUSTAVO </t>
  </si>
  <si>
    <t>OE-CCLC004</t>
  </si>
  <si>
    <t>VICTORIA A MOROS G</t>
  </si>
  <si>
    <t>nadiagarciavi@gmail.com</t>
  </si>
  <si>
    <t>COLINAS DE CARRIZAL SECTOR PAN DE AZUCAR</t>
  </si>
  <si>
    <t xml:space="preserve">NADIA GARCIA </t>
  </si>
  <si>
    <t>0424 165 8535</t>
  </si>
  <si>
    <t>SILVIA MEZONES</t>
  </si>
  <si>
    <t>$240</t>
  </si>
  <si>
    <t>OE-CCLC005</t>
  </si>
  <si>
    <t>BRIANA SOFIA RODRIGUEZ</t>
  </si>
  <si>
    <t>gabrielagomez6354@gmail.com</t>
  </si>
  <si>
    <t>URB PAN DE AZUCAR, QTA BELLA VISTA CALLE TANIA</t>
  </si>
  <si>
    <t>DANA GABRIELA GOMEZ DÍAZ</t>
  </si>
  <si>
    <t>0412 732 1904</t>
  </si>
  <si>
    <t>dana2416@hotmail.com</t>
  </si>
  <si>
    <t>PRE- PRIMARY</t>
  </si>
  <si>
    <t>martes y jueves  4:00-5:30</t>
  </si>
  <si>
    <t>PRE-PRIMARY</t>
  </si>
  <si>
    <t>$240,00</t>
  </si>
  <si>
    <t>OE-CCLC006</t>
  </si>
  <si>
    <t>RASSI ENRIQUE</t>
  </si>
  <si>
    <t>enriquerassi@gnail.com</t>
  </si>
  <si>
    <t>0412 395 1019</t>
  </si>
  <si>
    <t>URB ROSALINDA, CALLE LA CAMPANA, QTA MARGARITA, CARRIZAL</t>
  </si>
  <si>
    <t>DAPHNE DE RASSI</t>
  </si>
  <si>
    <t>0414 171 4282</t>
  </si>
  <si>
    <t>daphnerassi@gmail.com</t>
  </si>
  <si>
    <t>IC3 PERSONALIZADO</t>
  </si>
  <si>
    <t xml:space="preserve">Lunes y miercoles 4:00-5:30 </t>
  </si>
  <si>
    <t>OE-CCLC007</t>
  </si>
  <si>
    <t>ANTONELLA DOS SANTOS</t>
  </si>
  <si>
    <t>jennydads270484@hotmail.com</t>
  </si>
  <si>
    <t>CALLE CORRALITO, CARRIZAL</t>
  </si>
  <si>
    <t>JENNY DE ABREU DOS SANTOS</t>
  </si>
  <si>
    <t>0412 385 6987</t>
  </si>
  <si>
    <t>$100</t>
  </si>
  <si>
    <t>OE-CCLC008</t>
  </si>
  <si>
    <t>RASSI ENRICO</t>
  </si>
  <si>
    <t>enricorassi.jr@gmail.com</t>
  </si>
  <si>
    <t>0412 597 9285</t>
  </si>
  <si>
    <t>IC2 PERSONALIZADO</t>
  </si>
  <si>
    <t>Lunes - Jueves 8:00-9:30am</t>
  </si>
  <si>
    <t>OE-CCLC009</t>
  </si>
  <si>
    <t xml:space="preserve">SOFIA VALENTINA RODRIGUEZ CONTI </t>
  </si>
  <si>
    <t>36. 026 955</t>
  </si>
  <si>
    <t>conridani76@gmail.com</t>
  </si>
  <si>
    <t>0426 413 4796</t>
  </si>
  <si>
    <t>CALLE VARGAS RESD. ALDEBARAN PISO 10 APT 103 TORRE B LOS TEQUES</t>
  </si>
  <si>
    <t>DANIELA CONTI RIZO</t>
  </si>
  <si>
    <t>0414 270 6354</t>
  </si>
  <si>
    <t>BP1</t>
  </si>
  <si>
    <t>Viernes 2:20-5:40</t>
  </si>
  <si>
    <t>OE-CCLC010</t>
  </si>
  <si>
    <t>DENISSE PAOLA PATIÑO GUTIERREZ</t>
  </si>
  <si>
    <t>angelimerz@gmail.com</t>
  </si>
  <si>
    <t>0424 214 4814</t>
  </si>
  <si>
    <t>CARRIZAL, JOSE MANUEL ALVAREZ</t>
  </si>
  <si>
    <t>ANGELIMER KARINA GUIERREZ</t>
  </si>
  <si>
    <t xml:space="preserve">0424 263 0559 </t>
  </si>
  <si>
    <t>GUSTAVO ORENCE</t>
  </si>
  <si>
    <t>OE-CCLC011</t>
  </si>
  <si>
    <t>TOMAS GUILLERMO MIJARES SANCHEZ</t>
  </si>
  <si>
    <t>slicceth@gmail.cm</t>
  </si>
  <si>
    <t>URB. PAN DE AZUCAR PARCELA 185 CALLE TORRESOL COLINAS DE CARRIZAL</t>
  </si>
  <si>
    <t>LICETH ANDREINA SANCHEZ MORENO</t>
  </si>
  <si>
    <t>0424 244 8479</t>
  </si>
  <si>
    <t>slicceth@gmail.com</t>
  </si>
  <si>
    <t xml:space="preserve">Lunes y miercoles 2:20-3:50pm </t>
  </si>
  <si>
    <t>OE-CCLC012</t>
  </si>
  <si>
    <t>DEREN ELIANGEL VILLARROEL RODRIGUEZ</t>
  </si>
  <si>
    <t>dereneliangelvr@gnail.com</t>
  </si>
  <si>
    <t>0412 360 0313</t>
  </si>
  <si>
    <t>BAROLA CARRIZAL CALLE BUENA VISTA SECTOR LOZANO</t>
  </si>
  <si>
    <t>ANGI YOSELY RODRIGUEZ LOZANO</t>
  </si>
  <si>
    <t>0414 223 11 05</t>
  </si>
  <si>
    <t>angiyoselyrodriguez@gmail.cm</t>
  </si>
  <si>
    <t>OE-CCLC013</t>
  </si>
  <si>
    <t>CARLOTA VALENTINA BOLIVAR CASTILLO</t>
  </si>
  <si>
    <t>solnc79@hotmail.com</t>
  </si>
  <si>
    <t>0424 188 0167</t>
  </si>
  <si>
    <t>CARRIZAL, CALLE PPAL HIERBA BUENA CASA N° 08.</t>
  </si>
  <si>
    <t>NERIDA CASTILLO</t>
  </si>
  <si>
    <t>0414 907 0618</t>
  </si>
  <si>
    <t>solnc79@hotmal.com</t>
  </si>
  <si>
    <t>OE-CCLC014</t>
  </si>
  <si>
    <t>ROTSEN DANIEL MORENO ESQUEDA</t>
  </si>
  <si>
    <t>elena.esqueda@gmail.com</t>
  </si>
  <si>
    <t>0424 152 6996</t>
  </si>
  <si>
    <t xml:space="preserve">AV. EL LAGO, QTA. PANCHA, COLINAS DE CARRIZAL, CARRIZAL </t>
  </si>
  <si>
    <t>ELENA ISABEL ESQUEDA</t>
  </si>
  <si>
    <t>0424 117 1290</t>
  </si>
  <si>
    <t>elena.esqueda@telefonica.com</t>
  </si>
  <si>
    <t>sabado 8:00- 11:30am</t>
  </si>
  <si>
    <t>OE-CCLC015</t>
  </si>
  <si>
    <t>LEONEL WILFREDO VARELA ROSALES</t>
  </si>
  <si>
    <t>CARRIZAL, CALLE RAUL LEONI CASA N°2</t>
  </si>
  <si>
    <t>LUZ IRAIMA ROSALES</t>
  </si>
  <si>
    <t>0424 134 9354</t>
  </si>
  <si>
    <t>martesy jueves 2:20-3:50</t>
  </si>
  <si>
    <t>OE-CCLC016</t>
  </si>
  <si>
    <t>MIA ALESSA DOCUMET PORRAS</t>
  </si>
  <si>
    <t>derby.porras@gmail.com</t>
  </si>
  <si>
    <t>0424 163 1907</t>
  </si>
  <si>
    <t>URBANIZACION LAS MIMAS, RESIDENCIAS PINO PISO 3 APTO 31 SAN ANTONIO</t>
  </si>
  <si>
    <t>DERBY PORRAS</t>
  </si>
  <si>
    <t>0414 537 7584</t>
  </si>
  <si>
    <t>BP2</t>
  </si>
  <si>
    <t>NATHALY</t>
  </si>
  <si>
    <t>OE-CCLC017</t>
  </si>
  <si>
    <t>VIANCA VERENZUELA</t>
  </si>
  <si>
    <t>kathenavas79@gmail.com</t>
  </si>
  <si>
    <t>CALLE BUENA VISTA LOPERSIO CARRIZAL</t>
  </si>
  <si>
    <t>KATERINE NAVAS</t>
  </si>
  <si>
    <t>0424 130 6038</t>
  </si>
  <si>
    <t>OE-CCLC018</t>
  </si>
  <si>
    <t>VALERIA ALEJANDRA GRATEROL FLORES</t>
  </si>
  <si>
    <t>valeriagraterol4@gmail.com</t>
  </si>
  <si>
    <t>0414 773 2393</t>
  </si>
  <si>
    <t>SAN ANTONIO, UBR. PICCOTT CALLE 3, QUINTA SAGITARIO</t>
  </si>
  <si>
    <t>OLGA KARINA FLORES</t>
  </si>
  <si>
    <t>0414 216 27 00</t>
  </si>
  <si>
    <t>sonrisasok@gmail.com</t>
  </si>
  <si>
    <t>OLGA</t>
  </si>
  <si>
    <t>PREVENTA</t>
  </si>
  <si>
    <t>OE-CCLC019</t>
  </si>
  <si>
    <t>VICTORIA VALENTINA TORRES ORDOÑEZ</t>
  </si>
  <si>
    <t>cindyor123@gmail.com</t>
  </si>
  <si>
    <t>0414 140 0327</t>
  </si>
  <si>
    <t>MONTAÑA ALTA EDIF 10 APTO 2-3 CARRIZAL</t>
  </si>
  <si>
    <t>CINDY ORDOÑEZ</t>
  </si>
  <si>
    <t>0414 226 1780</t>
  </si>
  <si>
    <t>mattes y jueves 2:20-3:50</t>
  </si>
  <si>
    <t>OE-CCLC020</t>
  </si>
  <si>
    <t>JUAN DIEGO SANDOVAL</t>
  </si>
  <si>
    <t>deilyn9bergolla@gmail.com</t>
  </si>
  <si>
    <t xml:space="preserve">URB. LA QUINTA TERRAZA 2 APTO 2G </t>
  </si>
  <si>
    <t>DEILYN A BERGOLLA S</t>
  </si>
  <si>
    <t>0412 263 7769</t>
  </si>
  <si>
    <t>Carp N°1, Seccion 2</t>
  </si>
  <si>
    <t>OE-CCLC021</t>
  </si>
  <si>
    <t>PAULA VALENTINA GINES</t>
  </si>
  <si>
    <t>inescarolina17@gmail.com</t>
  </si>
  <si>
    <t>URB. VALLE ALTO, LOS  TEQUES</t>
  </si>
  <si>
    <t>INES CAROLINA GARCIA</t>
  </si>
  <si>
    <t>0424 111 1120</t>
  </si>
  <si>
    <t>OE-CCLC022</t>
  </si>
  <si>
    <t>DANA S. DUMONT R.</t>
  </si>
  <si>
    <t>eiderly@hotmail.com</t>
  </si>
  <si>
    <t>0424 207 05 12</t>
  </si>
  <si>
    <t>COLINAS DE CARRIZAL SECTOR CERRO GRANDE RAMAL 1</t>
  </si>
  <si>
    <t>Heiderly Rojas</t>
  </si>
  <si>
    <t>0424 848 2382</t>
  </si>
  <si>
    <t>OE-CCLC023</t>
  </si>
  <si>
    <t>LUIS GABRIEL CONTRERAS</t>
  </si>
  <si>
    <t>luzgoncalvesv@gmail.com</t>
  </si>
  <si>
    <t>RES REGA PISO 7 APTO. 73 URB LOS NUEVOS TEQUES</t>
  </si>
  <si>
    <t>LUZ I GONCALVES V</t>
  </si>
  <si>
    <t>0414 265 5666</t>
  </si>
  <si>
    <t>sabado 1:00-4:50am</t>
  </si>
  <si>
    <t>OE-CCLC024</t>
  </si>
  <si>
    <t>STEFANI GONCALVES CONTRERAS</t>
  </si>
  <si>
    <t>OE-CCLC025</t>
  </si>
  <si>
    <t>AIXA ESCALONA</t>
  </si>
  <si>
    <t>dr.vivascadiz@outlook.com</t>
  </si>
  <si>
    <t>URBANIZACION MONTANA ALTA</t>
  </si>
  <si>
    <t>DARLING R ROJAS</t>
  </si>
  <si>
    <t>0424 179 5520</t>
  </si>
  <si>
    <t>OE-CCLC026</t>
  </si>
  <si>
    <t>MARCELO ESCALONA</t>
  </si>
  <si>
    <t>OE-CCLC027</t>
  </si>
  <si>
    <t>PAULA ANDREA CABRERA MATTAR</t>
  </si>
  <si>
    <t>cabrerapaula15@gmail.com</t>
  </si>
  <si>
    <t>0412 929 9498</t>
  </si>
  <si>
    <t>AV. PRINCIPAL DE CARRIZAL QTA. LA PAZ SECTOR CORRALITO</t>
  </si>
  <si>
    <t xml:space="preserve">INGRID MATTAR CHEDID </t>
  </si>
  <si>
    <t>0414 242 9139</t>
  </si>
  <si>
    <t>ingrid_mattar@gmail.com</t>
  </si>
  <si>
    <t>SABADO 8:30 - 11:30AM</t>
  </si>
  <si>
    <t>OE-CCLC028</t>
  </si>
  <si>
    <t>ALISSON V HERRERA E</t>
  </si>
  <si>
    <t>alissonherreraz86@gmail.com</t>
  </si>
  <si>
    <t>COMUNIDAD BRISAS DE ORIENTE</t>
  </si>
  <si>
    <t>SCARLETT ESCOBAR</t>
  </si>
  <si>
    <t>0412 383 7233</t>
  </si>
  <si>
    <t>$150,00</t>
  </si>
  <si>
    <t>OE-CCLC029</t>
  </si>
  <si>
    <t>JUAN DIEGO SAN MARTIN</t>
  </si>
  <si>
    <t>jdsmk2010@gnail.com</t>
  </si>
  <si>
    <t>LOMAS DE URQUIA</t>
  </si>
  <si>
    <t>MAIRIM KHALIL</t>
  </si>
  <si>
    <t>0414 250 6820</t>
  </si>
  <si>
    <t>mairimk@gmail.com</t>
  </si>
  <si>
    <t>intro</t>
  </si>
  <si>
    <t>$280,00</t>
  </si>
  <si>
    <t>OE-CCLC030</t>
  </si>
  <si>
    <t>PAOLA SAN MARTIN</t>
  </si>
  <si>
    <t>paolasanmartin0106@gmail.com</t>
  </si>
  <si>
    <t>OE-CCLC031</t>
  </si>
  <si>
    <t>EDINSON GARCIA</t>
  </si>
  <si>
    <t>PICACHO</t>
  </si>
  <si>
    <t>YOLI BELLORIN</t>
  </si>
  <si>
    <t>0414 109 7306</t>
  </si>
  <si>
    <t>BASIC USER</t>
  </si>
  <si>
    <t>OE-CCLC032</t>
  </si>
  <si>
    <t>FIORELLA FORTINO</t>
  </si>
  <si>
    <t>maria7isabel@gmail.com</t>
  </si>
  <si>
    <t>URB. PAN DE AZUCAR CALLE LASROSAS</t>
  </si>
  <si>
    <t>MARIA GARCIA</t>
  </si>
  <si>
    <t>0414 380 4440</t>
  </si>
  <si>
    <t>JACKSON AMESTY</t>
  </si>
  <si>
    <t>OE-CCLC033</t>
  </si>
  <si>
    <t>SEBASTIAN ALEJANDRO SALAS</t>
  </si>
  <si>
    <t>estellanarvaez@gmail.com</t>
  </si>
  <si>
    <t>0412 996 8069</t>
  </si>
  <si>
    <t>Urb.  CECILIO ACOSTA, EL PASO, LOS TEQUES</t>
  </si>
  <si>
    <t>ESTELLA NAVAEZ</t>
  </si>
  <si>
    <t>0424 218 8015 - 0412 558 4550</t>
  </si>
  <si>
    <t>OE-CCLC034</t>
  </si>
  <si>
    <t>JOCELINE ROMERO</t>
  </si>
  <si>
    <t>JHN1835@hotmail.com</t>
  </si>
  <si>
    <t>URB. PAN DE AZUCAR, CALLE LAS MARIAS, QTA OLIMPO</t>
  </si>
  <si>
    <t>JACKQUELINE HENRIQUEZ</t>
  </si>
  <si>
    <t>0412 810 1169</t>
  </si>
  <si>
    <t>JHN1835@gmail.com</t>
  </si>
  <si>
    <t xml:space="preserve">martes y jueves </t>
  </si>
  <si>
    <t>OE-CCLC035</t>
  </si>
  <si>
    <t>SOFIA CAROLINA GONCALVES</t>
  </si>
  <si>
    <t>caropezado@gmail.com</t>
  </si>
  <si>
    <t>LAGUNETICA SECTOR LA NAVERA CASA 2A</t>
  </si>
  <si>
    <t>CAROLINA OROPEZA</t>
  </si>
  <si>
    <t>0412 384 4573</t>
  </si>
  <si>
    <t>martes y jueves 5:40-7:10</t>
  </si>
  <si>
    <t>OE-CCLC036</t>
  </si>
  <si>
    <t>CRISBEiLY NAZARETH MIRANDA VARGAS</t>
  </si>
  <si>
    <t>crisbel81@hotmail.com</t>
  </si>
  <si>
    <t>LOS TEQUES URB ALTO VERDE ETAPA 3 EDIF 9</t>
  </si>
  <si>
    <t>CRISBEL VARGAS</t>
  </si>
  <si>
    <t>0414 403 2924</t>
  </si>
  <si>
    <t>OE-CCLC037</t>
  </si>
  <si>
    <t>JOSELIS N MIRANDA VARGAS</t>
  </si>
  <si>
    <t>LOS TEQUES URB ALTO VERDE ETAPA 3 EDIF 10</t>
  </si>
  <si>
    <t>OE-CCLC038</t>
  </si>
  <si>
    <t>EDWIN ALEXANDER GARCIA MOLINA</t>
  </si>
  <si>
    <t>edw.alex.gm@gmail.com</t>
  </si>
  <si>
    <t>0424 280 5128</t>
  </si>
  <si>
    <t>MONTAÑA ALTA EDIF 9 PISO 13-4</t>
  </si>
  <si>
    <t>SABADOS 1PM- 4PM</t>
  </si>
  <si>
    <t>OE-CCLC039</t>
  </si>
  <si>
    <t>SAMUEL DE JESUS ALBERZUAL CASTILLO</t>
  </si>
  <si>
    <t>CALLE PPAL YERBA BUENA CARRIZAL CASA 08</t>
  </si>
  <si>
    <t>0414 907 0618- 0424 188 0167</t>
  </si>
  <si>
    <t>por definir</t>
  </si>
  <si>
    <t>OE-CCLC040</t>
  </si>
  <si>
    <t xml:space="preserve">MATHIAS DAVID GONCALVES HÉRNANDEZ </t>
  </si>
  <si>
    <t>goncalvesmathias691@gmail.com</t>
  </si>
  <si>
    <t>0424 292 8417</t>
  </si>
  <si>
    <t>CALLE PETAQUIRE MONTANA ALTA CARRIZAL</t>
  </si>
  <si>
    <t>SANDRA CAROLINA HERNANDEZ</t>
  </si>
  <si>
    <t>0414 220 4021</t>
  </si>
  <si>
    <t>schernandez20@gmail.com</t>
  </si>
  <si>
    <t>Carp N°1, Seccion 3</t>
  </si>
  <si>
    <t>OE-CCLC041</t>
  </si>
  <si>
    <t>ANTHONY ALEJANDRO DIAZ GONCALVES</t>
  </si>
  <si>
    <t>anthonygoncalves2506@gmail.com</t>
  </si>
  <si>
    <t>0424 264 8393</t>
  </si>
  <si>
    <t>SAN ANTONIO DE LOS ALTOS RESIDENCIA BUCARRIAL  TORRE A PISO 1</t>
  </si>
  <si>
    <t>LISETH YULIMER GONCALVES TORRES</t>
  </si>
  <si>
    <t>0414 109 7155</t>
  </si>
  <si>
    <t>yuli1287@yahoo.com</t>
  </si>
  <si>
    <t>OE-CCLC042</t>
  </si>
  <si>
    <t xml:space="preserve">MATIAS GABRIEL VANEGAS VILLEGAS </t>
  </si>
  <si>
    <t>CALLE ACUEDUCTO SECTOR EL BARBECHO RES EL BARBECHO TORRE APISO II</t>
  </si>
  <si>
    <t>JOXIMAR YAILETH VILLEGAS PEREZ</t>
  </si>
  <si>
    <t>villegas.armco@gmail.com</t>
  </si>
  <si>
    <t>BACK P1</t>
  </si>
  <si>
    <t>OE-CCLC043</t>
  </si>
  <si>
    <t>VALENTINA ACEVEDO</t>
  </si>
  <si>
    <t>33 327 309</t>
  </si>
  <si>
    <t>acevedovalevero@gmail.com</t>
  </si>
  <si>
    <t>URB PAN DE AZUCAR CALLE LOS GABRIELES QTA 177</t>
  </si>
  <si>
    <t>ARTURO ACEVEDO</t>
  </si>
  <si>
    <t>6 878 863</t>
  </si>
  <si>
    <t>0412 996 64 49</t>
  </si>
  <si>
    <t>arturoandresacevedo@gmail.com</t>
  </si>
  <si>
    <t>OE-CCLC044</t>
  </si>
  <si>
    <t>LUCRECIA ALEJANDRA ROSALES</t>
  </si>
  <si>
    <t>LA ROSALEDA</t>
  </si>
  <si>
    <t>ISORAMI CAMACHO</t>
  </si>
  <si>
    <t>0412 120 9690</t>
  </si>
  <si>
    <t>isorami.23@gmail.com</t>
  </si>
  <si>
    <t>PRIMARY 1</t>
  </si>
  <si>
    <t>PRIMARY 2</t>
  </si>
  <si>
    <t>OE-CCLC045</t>
  </si>
  <si>
    <t>ARANTZA S LEON G</t>
  </si>
  <si>
    <t>joymargarcia22@gmail.com</t>
  </si>
  <si>
    <t>URB. SANTA MARIA  LOS TEQUES EDO MIRANDA</t>
  </si>
  <si>
    <t>JOYMAR GARCIA</t>
  </si>
  <si>
    <t>0424 175 3848</t>
  </si>
  <si>
    <t>OE-CCLC046</t>
  </si>
  <si>
    <t>SEBASTIAN DOS SANTOS</t>
  </si>
  <si>
    <t>CALLE CORRALITO CARRIZAL</t>
  </si>
  <si>
    <t>JENNY ABREU DOS SANTOS</t>
  </si>
  <si>
    <t>15 914 411</t>
  </si>
  <si>
    <t>OE-CCLC047</t>
  </si>
  <si>
    <t>DIANA BERROTERAN</t>
  </si>
  <si>
    <t>hermosodanielaz@gmail.com</t>
  </si>
  <si>
    <t>MONTANA ALTA TORRE 2 APTO 1 2</t>
  </si>
  <si>
    <t xml:space="preserve">DANIELA HERMOSO </t>
  </si>
  <si>
    <t>18 364 000</t>
  </si>
  <si>
    <t>0412 541 0100</t>
  </si>
  <si>
    <t>OE-CCLC048</t>
  </si>
  <si>
    <t>IGMAR ANDREA BLANCO</t>
  </si>
  <si>
    <t>igmar1026@gmail.com</t>
  </si>
  <si>
    <t>0424 211 7248</t>
  </si>
  <si>
    <t>SECTOR AMIGOS REUNIDOS, CALLE PRINCIPAL, CASA 3-A</t>
  </si>
  <si>
    <t>MANOLO BLANCO</t>
  </si>
  <si>
    <t>0414 593 0882</t>
  </si>
  <si>
    <t>CONVENIO</t>
  </si>
  <si>
    <t>CONVE</t>
  </si>
  <si>
    <t>OE-CCLC049</t>
  </si>
  <si>
    <t>XAVIER RODRIGUEZ</t>
  </si>
  <si>
    <t>0414 389 7418</t>
  </si>
  <si>
    <t>CALLE PROLONGACION COLINAS DE CARRIZAL</t>
  </si>
  <si>
    <t>ESTEFANI FERNANDEZ</t>
  </si>
  <si>
    <t>0414 662 4200</t>
  </si>
  <si>
    <t>HIGH SCHOOL 2</t>
  </si>
  <si>
    <t>OE-CCLC050</t>
  </si>
  <si>
    <t>KAEL GENNANO HERANDEZ SEQUERA</t>
  </si>
  <si>
    <t>SECTOR LA ESTRELLA RESD ALDEBARAN TORRE B apto 101  LOS TEQUES</t>
  </si>
  <si>
    <t>KENIA SEQUERA</t>
  </si>
  <si>
    <t>0414  269 8335</t>
  </si>
  <si>
    <t>keniasequera123@gmail.com</t>
  </si>
  <si>
    <t>PRE- PRIMARY 2</t>
  </si>
  <si>
    <t>PP 1</t>
  </si>
  <si>
    <t>OE-CCLC051</t>
  </si>
  <si>
    <t>AMELIA ISABEL DIAZ PONTE</t>
  </si>
  <si>
    <t>amella.diazponce@gmail.com</t>
  </si>
  <si>
    <t>URB CLUB HIPICO CARRIZAL EDO MIRANDA</t>
  </si>
  <si>
    <t>EIMY G PONIE QUINTERO</t>
  </si>
  <si>
    <t>0412 321  5062</t>
  </si>
  <si>
    <t>PRIMARY BASIC</t>
  </si>
  <si>
    <t>P 2</t>
  </si>
  <si>
    <t>OE-CCLC052</t>
  </si>
  <si>
    <t>PAULINA SOFIA DIAZ PONCE</t>
  </si>
  <si>
    <t>pau.diazponce@gmail.com</t>
  </si>
  <si>
    <t>0412 322 5062</t>
  </si>
  <si>
    <t>eimy.giselle@gmail.com</t>
  </si>
  <si>
    <t>OE-CCLC053</t>
  </si>
  <si>
    <t xml:space="preserve">DIEGO A DELGADO </t>
  </si>
  <si>
    <t>diegoandresdelgado@gmail.com</t>
  </si>
  <si>
    <t>LA MORITA Edif LAS CAYENAS</t>
  </si>
  <si>
    <t>ANA BEATRIZ BETANCOURT LUGO</t>
  </si>
  <si>
    <t>0424 4538181</t>
  </si>
  <si>
    <t>umderlas@gmail.com</t>
  </si>
  <si>
    <t>BU</t>
  </si>
  <si>
    <t>OE-CCLC054</t>
  </si>
  <si>
    <t>DANIELA SARAI CANELON</t>
  </si>
  <si>
    <t>canelonbarraezdaniela@gmail.com</t>
  </si>
  <si>
    <t>0414 541 9779</t>
  </si>
  <si>
    <t>ALTOS DE PIPE</t>
  </si>
  <si>
    <t>OE-CCLC055</t>
  </si>
  <si>
    <t xml:space="preserve">DIEGO HANNA </t>
  </si>
  <si>
    <t>gabrielajeres1539@gmail.com</t>
  </si>
  <si>
    <t>0412 284 1655</t>
  </si>
  <si>
    <t>COLINAS DE CARRIZAL</t>
  </si>
  <si>
    <t>GABRIELA JERES</t>
  </si>
  <si>
    <t>0414 911 3529</t>
  </si>
  <si>
    <t>OE-CCLC056</t>
  </si>
  <si>
    <t>SOFIA HANNA</t>
  </si>
  <si>
    <t>0414 306 2070</t>
  </si>
  <si>
    <t>URB. A.V.P</t>
  </si>
  <si>
    <t>OE-CCLC057</t>
  </si>
  <si>
    <t>FERNANDA ISABEL ZAMBRANO SILVA</t>
  </si>
  <si>
    <t>AV. PPAL EL LAGO CONJUNTO RESIDENCIAL</t>
  </si>
  <si>
    <t>YESSNEYDA SILVA</t>
  </si>
  <si>
    <t>0414 104 7387 / 0414 274 9227</t>
  </si>
  <si>
    <t>yessneyda@gmail.com</t>
  </si>
  <si>
    <t>PRE-PRIMARY 2</t>
  </si>
  <si>
    <t>OE-CCLC058</t>
  </si>
  <si>
    <t>PAULA INOJOSA</t>
  </si>
  <si>
    <t>MARIA FERANANDA RODRIGUEZ</t>
  </si>
  <si>
    <t>0424 349 4133/0412 650 9470</t>
  </si>
  <si>
    <t>mfrv1986@gmail.com</t>
  </si>
  <si>
    <t>OE-CCLC059</t>
  </si>
  <si>
    <t>MANUEL GABRIEL VILLARREAL PEREZ</t>
  </si>
  <si>
    <t>COLINAS DE CARRIZAL RESD BUCARE</t>
  </si>
  <si>
    <t>MARIA ANGELICA PEREZ BRICEÑO</t>
  </si>
  <si>
    <t>0414 3882350</t>
  </si>
  <si>
    <t>maria_angelicapb13@gmail.com</t>
  </si>
  <si>
    <t>OE-CCLC060</t>
  </si>
  <si>
    <t>MARIANGEL GABRIELA VILARREAL PEREZ</t>
  </si>
  <si>
    <t>Carp N°1, Seccion 4</t>
  </si>
  <si>
    <t>OE-CCLC061</t>
  </si>
  <si>
    <t>RICARDO MARRERO</t>
  </si>
  <si>
    <t>ricardodavidmm@gmail.com</t>
  </si>
  <si>
    <t>0412 293 7773</t>
  </si>
  <si>
    <t>VIA PRINCIPAL DE CARRIZAL EDIF. PORTOFINO</t>
  </si>
  <si>
    <t>DABELIS MALDONADO</t>
  </si>
  <si>
    <t>0414 113 3459</t>
  </si>
  <si>
    <t>dabelism@gmail.com</t>
  </si>
  <si>
    <t>BASIC USER 1</t>
  </si>
  <si>
    <t>Martes y jueves 5:40-7:10</t>
  </si>
  <si>
    <t>OE-CCLC062</t>
  </si>
  <si>
    <t>LUCIA VICTORIA DO NASCIMENTO GONZALEZ</t>
  </si>
  <si>
    <t>CALLE BARRIALITO, RESD. VISTA AL VALLE EDIF.BUCARE B</t>
  </si>
  <si>
    <t>KARINA GONZALEZ</t>
  </si>
  <si>
    <t>0412 904 4167</t>
  </si>
  <si>
    <t>karinag2204@gmail.com</t>
  </si>
  <si>
    <t>OE-CCLC063</t>
  </si>
  <si>
    <t>MIA VALENTINA DO NASCIMENTO GONZALEZ</t>
  </si>
  <si>
    <t>OE-CCLC064</t>
  </si>
  <si>
    <t>CARLOTA HERNANDEZ GUERRA</t>
  </si>
  <si>
    <t>AV. PERIMETRAL C/CALLE LA ERMITA RES. ANITA SAN ANTONIO</t>
  </si>
  <si>
    <t>RUBMARY GUERRA</t>
  </si>
  <si>
    <t xml:space="preserve">0414 314 4772 </t>
  </si>
  <si>
    <t>rubmaryg@gmail.com</t>
  </si>
  <si>
    <t>OE-CCLC065</t>
  </si>
  <si>
    <t>TILSIA MILENA ELENA BERMUDEZ</t>
  </si>
  <si>
    <t>URB QUENDA CALLE PPAL RESD Q</t>
  </si>
  <si>
    <t>TILSIA DAZA</t>
  </si>
  <si>
    <t>0414 319 4048</t>
  </si>
  <si>
    <t>tilsiadaza14@gmail.com</t>
  </si>
  <si>
    <t>PRMARY 1</t>
  </si>
  <si>
    <t>OE-CCLC066</t>
  </si>
  <si>
    <t>SOPHIA NICOLE ROJAS LOPEZ</t>
  </si>
  <si>
    <t>URB EL BARBECHO, CALLE ACUEDUCTO CASA 18 LOS TEQUES</t>
  </si>
  <si>
    <t>ZULIMA LOPEZ</t>
  </si>
  <si>
    <t>0412 820 4869</t>
  </si>
  <si>
    <t>zuri2303@gmail.com</t>
  </si>
  <si>
    <t>OE-CCLC067</t>
  </si>
  <si>
    <t>LUIS MIGUEL ROJAS CORDOVA</t>
  </si>
  <si>
    <t>luismiguelr_18@hotmail.com</t>
  </si>
  <si>
    <t>0412 011 3117</t>
  </si>
  <si>
    <t>SE RETIRO</t>
  </si>
  <si>
    <t>OE-CCLC068</t>
  </si>
  <si>
    <t>NAZARETH  MOLINA</t>
  </si>
  <si>
    <t>LLANO ALTO, RESD LOS PINOS TORRE 4 APTO PH1-4</t>
  </si>
  <si>
    <t>ANGELLY GUTIERREZ</t>
  </si>
  <si>
    <t>0416 618 7217</t>
  </si>
  <si>
    <t>angelly.gutierrez.r@gmail.com</t>
  </si>
  <si>
    <t>OE-CCLC069</t>
  </si>
  <si>
    <t>VALENTINA YSABEL DIAZ</t>
  </si>
  <si>
    <t>valentinadiaz1908@gmail.com</t>
  </si>
  <si>
    <t>0424 182 6140</t>
  </si>
  <si>
    <t>CALLE PPAL LOMAS DE URQUIA CARRIZAL</t>
  </si>
  <si>
    <t>TRINA CAÑEZ DE DIAZ</t>
  </si>
  <si>
    <t>TRINA1955@HOTMAIL.COM</t>
  </si>
  <si>
    <t>OE-CCLC070</t>
  </si>
  <si>
    <t>ROXANA ISABEL MENDES CARRILLO</t>
  </si>
  <si>
    <t>roxana.mendez15@gmail.com</t>
  </si>
  <si>
    <t>0424 132 5731</t>
  </si>
  <si>
    <t>LAGUNETICA LOS TEQUES</t>
  </si>
  <si>
    <t>MARISOL CARILLO</t>
  </si>
  <si>
    <t>roxana.mendes15@gmail.com</t>
  </si>
  <si>
    <t>OE-CCLC071</t>
  </si>
  <si>
    <t>ASHLY  BRICEÑO</t>
  </si>
  <si>
    <t>0424 124 0315</t>
  </si>
  <si>
    <t>EL JUNQUITO KM 19 CALLE LA GLORIA</t>
  </si>
  <si>
    <t>MADERLIN PEREIRA</t>
  </si>
  <si>
    <t>0414 112 8820</t>
  </si>
  <si>
    <t>maderlin_19@hotmail.com</t>
  </si>
  <si>
    <t>OE-CCLC072</t>
  </si>
  <si>
    <t>ANTHONY GONZALEZ</t>
  </si>
  <si>
    <t>0424 2551288</t>
  </si>
  <si>
    <t>RES COLINAS DE CARRIZAL</t>
  </si>
  <si>
    <t>IC 1</t>
  </si>
  <si>
    <t>OE-CCLC073</t>
  </si>
  <si>
    <t>EMIL FERNANDEZ</t>
  </si>
  <si>
    <t>lcrepsac@hotmail.com</t>
  </si>
  <si>
    <t>0414 3004467</t>
  </si>
  <si>
    <t>URB LOMAS DE URQUIA</t>
  </si>
  <si>
    <t>LENI DE FERNANDEZ</t>
  </si>
  <si>
    <t>13 795 255</t>
  </si>
  <si>
    <t>BP 1</t>
  </si>
  <si>
    <t>martes jueves 2:20 3:50</t>
  </si>
  <si>
    <t>OE-CCLC074</t>
  </si>
  <si>
    <t>VALERIA RODRIGUEZ</t>
  </si>
  <si>
    <t>33 303 364</t>
  </si>
  <si>
    <t>valeriaerodoa@gmail.com</t>
  </si>
  <si>
    <t>0414 2387174</t>
  </si>
  <si>
    <t>LAS MINAS RESIDENCIA LOS PIRINEOS</t>
  </si>
  <si>
    <t>YAJAIRA ARRAIZ</t>
  </si>
  <si>
    <t>10 277 074</t>
  </si>
  <si>
    <t>0414 2387176</t>
  </si>
  <si>
    <t>yarraiz@banesco.com</t>
  </si>
  <si>
    <t>OE-CCLC075</t>
  </si>
  <si>
    <t>ISABELLA SIRACUSANO MONTES DE OCA</t>
  </si>
  <si>
    <t>noblesancho@gmail.com</t>
  </si>
  <si>
    <t>0424 157 5205</t>
  </si>
  <si>
    <t>CALLE 1 ero DE MAYO CASA N 2  EL BARBECHO LOS TEQUES</t>
  </si>
  <si>
    <t xml:space="preserve">ANA MARIA MONTES DE OCA </t>
  </si>
  <si>
    <t>8 693 996</t>
  </si>
  <si>
    <t>0424 266 8113</t>
  </si>
  <si>
    <t>anamary1969@yahoo.es</t>
  </si>
  <si>
    <t>OE-CCLC076</t>
  </si>
  <si>
    <t>ADRIAN CADENAS</t>
  </si>
  <si>
    <t>URB. LA QUINTA EDIF 13E</t>
  </si>
  <si>
    <t>MILEYNE VALERA</t>
  </si>
  <si>
    <t>0426 904 6911/ 0416 640 4416</t>
  </si>
  <si>
    <t>mileynevalera17@gmail.com</t>
  </si>
  <si>
    <t xml:space="preserve">PRIMARY 1 </t>
  </si>
  <si>
    <t>LUNES Y  MIERCOLES 2:20-3:50PM</t>
  </si>
  <si>
    <t>OE-CCLC077</t>
  </si>
  <si>
    <t>DIEGO ALONZO MARTINEZ</t>
  </si>
  <si>
    <t>AV. BERTORELLI URB, LA QUINTA TERRAZA 7</t>
  </si>
  <si>
    <t>MONICA BRITO</t>
  </si>
  <si>
    <t>0414 016 3239</t>
  </si>
  <si>
    <t>monicalbritog@gmail.com</t>
  </si>
  <si>
    <t xml:space="preserve">                                             </t>
  </si>
  <si>
    <t>OE-CCLC078</t>
  </si>
  <si>
    <t>CAMILA RODRIGUEZ RODRIGUEZ</t>
  </si>
  <si>
    <t>INDEPENDENT USER 2</t>
  </si>
  <si>
    <t>OE-CCLC079</t>
  </si>
  <si>
    <t>LAYLA CASTRO OTAYEK</t>
  </si>
  <si>
    <t>0414 1271841</t>
  </si>
  <si>
    <t xml:space="preserve">URB. COLINAS DE CARRIZAL. RESD. COLINAS DE CARRIZAL TORRE B </t>
  </si>
  <si>
    <t>LAYLA OTAYEK</t>
  </si>
  <si>
    <t>0414 254 2278</t>
  </si>
  <si>
    <t>lotayek@gmail.com</t>
  </si>
  <si>
    <t>OE-CCLC080</t>
  </si>
  <si>
    <t>SAMANTHA CORINA DA COSTA MUJICA</t>
  </si>
  <si>
    <t>samanthadacosta.m@gmail.com</t>
  </si>
  <si>
    <t>0412 996 2734</t>
  </si>
  <si>
    <t>URB. PAN DE AZUCAR C/ LAS FLORES</t>
  </si>
  <si>
    <t>YOLIMAR MUJICA DE DA COSTA</t>
  </si>
  <si>
    <t>0412 237 5981</t>
  </si>
  <si>
    <t>yolimarmujica@gmail.com</t>
  </si>
  <si>
    <t>Carp N°1, Seccion 5</t>
  </si>
  <si>
    <t>OE-CCLC081</t>
  </si>
  <si>
    <t>VALERIA PEÑA</t>
  </si>
  <si>
    <t>0412 5561525</t>
  </si>
  <si>
    <t>SAN PEDRO DE LOS ALTOS</t>
  </si>
  <si>
    <t>ALFREDO PEÑA</t>
  </si>
  <si>
    <t>penalfredo83@gmail.com</t>
  </si>
  <si>
    <t>OE-CCLC082</t>
  </si>
  <si>
    <t>DILARIS FARIÑAS</t>
  </si>
  <si>
    <t>nata.vega.31@gmail.com</t>
  </si>
  <si>
    <t>0412 5995449</t>
  </si>
  <si>
    <t>LOS TEQUES MACARENA SUR</t>
  </si>
  <si>
    <t>MARYELIS VEGAS</t>
  </si>
  <si>
    <t>LUNES MIERCOLES 2:20 A 3:50</t>
  </si>
  <si>
    <t xml:space="preserve">SE RETIRO </t>
  </si>
  <si>
    <t>OE-CCLC083</t>
  </si>
  <si>
    <t>GERALDINE PEÑA</t>
  </si>
  <si>
    <t>peñageraldine1103@gmail.com</t>
  </si>
  <si>
    <t>0424 1245643</t>
  </si>
  <si>
    <t>RESIDENCIA QUENDA LOS TEQUES</t>
  </si>
  <si>
    <t>SABADOS 8:00 AM- 11:30AM</t>
  </si>
  <si>
    <t>B USER</t>
  </si>
  <si>
    <t>OE-CCLC084</t>
  </si>
  <si>
    <t>SOFIA VALENTINA HERNANDEZ CARTAYA</t>
  </si>
  <si>
    <t>fmcartaya@gmail.com</t>
  </si>
  <si>
    <t>0424 1503683</t>
  </si>
  <si>
    <t>COLINAS DE CARRIZAL AV EL LAGO SC MERIDA QTA MIS ARAGUA</t>
  </si>
  <si>
    <t>FRANCIRAIS MARLY CARTAYA LUGO</t>
  </si>
  <si>
    <t>MARTES Jueves 4:00 5:30</t>
  </si>
  <si>
    <t>OE-CCLC085</t>
  </si>
  <si>
    <t>ENRIQUE IGNACIO SCIARRONE VILLANUEVA</t>
  </si>
  <si>
    <t>mariavillanuevaa@gmail.com</t>
  </si>
  <si>
    <t>URB LA ROSALEDA EDIF MATA PISO 11 APTO 11 A</t>
  </si>
  <si>
    <t>MARIA JOSE VILLANUEVA ALFONZO</t>
  </si>
  <si>
    <t>0424 1050545</t>
  </si>
  <si>
    <t>premary 1</t>
  </si>
  <si>
    <t>lun mier 4:00 a 5:30pm</t>
  </si>
  <si>
    <t>OE-CCLC086</t>
  </si>
  <si>
    <t>ANDREA CRISTINA MUÑOZ CASTAÑO</t>
  </si>
  <si>
    <t>RESIDENCIA LAS MARGARITAS TORRE C PHA CORRALITO</t>
  </si>
  <si>
    <t>MARIA CRISTINA CASTAÑO DE MUÑOZ</t>
  </si>
  <si>
    <t>0412 5930704</t>
  </si>
  <si>
    <t>mariacastaño433@gmail.com</t>
  </si>
  <si>
    <t xml:space="preserve">ROSA MOLINA </t>
  </si>
  <si>
    <t>OE-CCLC087</t>
  </si>
  <si>
    <t>GABRIELA MUÑOZ</t>
  </si>
  <si>
    <t>mariacastano433@gmail.com</t>
  </si>
  <si>
    <t xml:space="preserve">premary basic </t>
  </si>
  <si>
    <t>primary basic</t>
  </si>
  <si>
    <t>OE-CCLC088</t>
  </si>
  <si>
    <t>JOSE RAMON  MUÑOZ CASTAÑO</t>
  </si>
  <si>
    <t xml:space="preserve">BASIC USER </t>
  </si>
  <si>
    <t xml:space="preserve">MARTES Y JUEVES 4.00 PM </t>
  </si>
  <si>
    <t>OE-CCLC089</t>
  </si>
  <si>
    <t>NAYERLIN FABIOLA DURAN MIRABAL</t>
  </si>
  <si>
    <t>fabioladuran123@icloud.com</t>
  </si>
  <si>
    <t>CARRIZAL YERBABUENA</t>
  </si>
  <si>
    <t>MARTES JUEVES 5:40 A 7:10</t>
  </si>
  <si>
    <t>CONVENIO ALCALDIA</t>
  </si>
  <si>
    <t>OE-CCLC090</t>
  </si>
  <si>
    <t>VICTORIA DEL VALLE PARRA GONZALEZ</t>
  </si>
  <si>
    <t>gracielagonzalez1474@hotmail.com</t>
  </si>
  <si>
    <t xml:space="preserve">URB SANTA MARIA RESD ALTAMIRA APTO 84-3 PISO 8 KM 25 </t>
  </si>
  <si>
    <t>GRACIELA GONZALEZ</t>
  </si>
  <si>
    <t>valedieing@hotmail.com</t>
  </si>
  <si>
    <t>MARTES Y JUEVES DE 4:00 A 5:30</t>
  </si>
  <si>
    <t>OE-CCLC091</t>
  </si>
  <si>
    <t>MARIA FERNANDA RODRIGUEZ V</t>
  </si>
  <si>
    <t>O424 3494133</t>
  </si>
  <si>
    <t>LOS TEQUES SOLAR DE LA QUINTA</t>
  </si>
  <si>
    <t>OE-CCLC092</t>
  </si>
  <si>
    <t>JOHEL PASCUALINO INOJOSA ZAMBRANO</t>
  </si>
  <si>
    <t>johelinojosa@gmail.com</t>
  </si>
  <si>
    <t>0412 6509470</t>
  </si>
  <si>
    <t>OE-CCLC093</t>
  </si>
  <si>
    <t>ROSSY GONZALEZ</t>
  </si>
  <si>
    <t>rossygonzalez1995@gmail.com</t>
  </si>
  <si>
    <t>0412 2059900</t>
  </si>
  <si>
    <t>BASIC USER 2</t>
  </si>
  <si>
    <t>OE-CCLC094</t>
  </si>
  <si>
    <t>ZODQUIEL HIDALGO</t>
  </si>
  <si>
    <t>0414 2298121</t>
  </si>
  <si>
    <t>JOSE MANUEL ALVAREZ</t>
  </si>
  <si>
    <t>PATRICIO AGUILAR</t>
  </si>
  <si>
    <t>LUNES MIERCOLES 5:40 7:10</t>
  </si>
  <si>
    <t xml:space="preserve">CONVENIO </t>
  </si>
  <si>
    <t>OE-CCLC095</t>
  </si>
  <si>
    <t>JORGE ANTONIO AGUILAR</t>
  </si>
  <si>
    <t>umc2016aguilar@gmail.com</t>
  </si>
  <si>
    <t>PATRICIA RAQUEL AGUILAR</t>
  </si>
  <si>
    <t>MARTES Y JUEVES 5.40 @ 7.10 PM</t>
  </si>
  <si>
    <t>OE-CCLC096</t>
  </si>
  <si>
    <t>AARON NAVAS</t>
  </si>
  <si>
    <t>aaronnavas@icloud.com</t>
  </si>
  <si>
    <t>0412 0283039</t>
  </si>
  <si>
    <t>Urb llANO ALTO Resd CARMELCASA 12</t>
  </si>
  <si>
    <t>DAIRUBY AVENDAÑO</t>
  </si>
  <si>
    <t>0412 2198272</t>
  </si>
  <si>
    <t>HSB</t>
  </si>
  <si>
    <t>MART JUEV 4:00 5:30</t>
  </si>
  <si>
    <t>FINANCIADO</t>
  </si>
  <si>
    <t>OE-CCLC097</t>
  </si>
  <si>
    <t xml:space="preserve">ADAM RINCON </t>
  </si>
  <si>
    <t>adamra1405@icloud.com</t>
  </si>
  <si>
    <t>0412 2019317</t>
  </si>
  <si>
    <t>OE-CCLC098</t>
  </si>
  <si>
    <t>MARIA LOURDES YORKS</t>
  </si>
  <si>
    <t>MARIAYORKS.13@GMAIL.COM</t>
  </si>
  <si>
    <t>El Vigia, calle libertador</t>
  </si>
  <si>
    <t>CONTADO</t>
  </si>
  <si>
    <t>contad</t>
  </si>
  <si>
    <t>OE-CCLC099</t>
  </si>
  <si>
    <t>SOFIA CAÑIZALEZ</t>
  </si>
  <si>
    <t>RESD COLINAS DE CARRIZA, TORRE D PISO 8</t>
  </si>
  <si>
    <t>JACKELINE ARANGUREN</t>
  </si>
  <si>
    <t>MARTES JUEVES 2.20 A 3.50</t>
  </si>
  <si>
    <t>OE-CCLC100</t>
  </si>
  <si>
    <t>MAILEI JURADO</t>
  </si>
  <si>
    <t>marleijurado@gmail.com</t>
  </si>
  <si>
    <t>LOS TEQUES</t>
  </si>
  <si>
    <t xml:space="preserve">SABADO DE 8.00 AM @ 11.30 AM </t>
  </si>
  <si>
    <t>Carp N°2, Seccion1</t>
  </si>
  <si>
    <t>OE-CCLC101</t>
  </si>
  <si>
    <t>MARIANGEL VALENTINA GUERRA</t>
  </si>
  <si>
    <t>Valengrimann@gmail.com</t>
  </si>
  <si>
    <t>0412 5585047</t>
  </si>
  <si>
    <t>CARRIZAL SANTA EDUVIGES CASA 3</t>
  </si>
  <si>
    <t>ARIANA ALEJANDRA GRIMAN SERRANO</t>
  </si>
  <si>
    <t>OE-CCLC102</t>
  </si>
  <si>
    <t>ALBERT ROSALES CAMACHO</t>
  </si>
  <si>
    <t>isoraimi@gmail.com</t>
  </si>
  <si>
    <t>URB ROSALEDA SUR</t>
  </si>
  <si>
    <t xml:space="preserve">ISORAIMI ALEJANDRA CAMACHO </t>
  </si>
  <si>
    <t>isoraimi.23@gmail.com</t>
  </si>
  <si>
    <t>PRE PRIMORY</t>
  </si>
  <si>
    <t>LUN MIER 4:00 5:30 PM</t>
  </si>
  <si>
    <t>PRE PRIMARY</t>
  </si>
  <si>
    <t>OE-CCLC103</t>
  </si>
  <si>
    <t>ORIANA NAVAS</t>
  </si>
  <si>
    <t>0414 4004833</t>
  </si>
  <si>
    <t>SAN DIEGO DE LOS ALTOS CALLE CODAZZI QTA VILLA CHIPI</t>
  </si>
  <si>
    <t>ADELINA DIAZ</t>
  </si>
  <si>
    <t>adelinadiaz133@gmail.com</t>
  </si>
  <si>
    <t>MARTES JUEVES 4:00 A 5:30PM</t>
  </si>
  <si>
    <t>BASIC U</t>
  </si>
  <si>
    <t>OE-CCLC104</t>
  </si>
  <si>
    <t>CAMILA NAVAS</t>
  </si>
  <si>
    <t>navascamila26@gmail.com</t>
  </si>
  <si>
    <t>0424 1621817</t>
  </si>
  <si>
    <t>OE-CCLC105</t>
  </si>
  <si>
    <t>CAMERON DE LEON OADILLA</t>
  </si>
  <si>
    <t>deleonjuanpedro@gmail.com</t>
  </si>
  <si>
    <t>0412 3756665</t>
  </si>
  <si>
    <t>CALLE LOS GABRIELES, URB PAN DE AZUCAR CASA 176 A COLINAS DE CARRIZAL</t>
  </si>
  <si>
    <t>JUAN PEDRO DE LEOS PADILLA</t>
  </si>
  <si>
    <t>MARTES JUEVES 2:20 3:50</t>
  </si>
  <si>
    <t>OE-CCLC106</t>
  </si>
  <si>
    <t xml:space="preserve">NICOLE ANDREINA DE LEON </t>
  </si>
  <si>
    <t>HICH SCHOOL</t>
  </si>
  <si>
    <t>OE-CCLC107</t>
  </si>
  <si>
    <t>ARNALDO URQUIDI</t>
  </si>
  <si>
    <t>arnaldourquidi@gmail.com</t>
  </si>
  <si>
    <t>0424 1525458</t>
  </si>
  <si>
    <t>COLINAS DE CARRIZAL AV EL LAGO CASA 27-C</t>
  </si>
  <si>
    <t>LUN MIER 5:40 7:10</t>
  </si>
  <si>
    <t>OE-CCLC108</t>
  </si>
  <si>
    <t>DANIEL ALDANA</t>
  </si>
  <si>
    <t>jessy.marquez@gmail.com</t>
  </si>
  <si>
    <t>0424 2418505</t>
  </si>
  <si>
    <t>LA MACARENA SUR CALLE PPAL NUM 19</t>
  </si>
  <si>
    <t>JESSIKA MARKEZ</t>
  </si>
  <si>
    <t>SR GUSTAVO</t>
  </si>
  <si>
    <t xml:space="preserve">BASIC USER 1 </t>
  </si>
  <si>
    <t>OE-CCLC109</t>
  </si>
  <si>
    <t>ERIKA ISABEL QUINTERO</t>
  </si>
  <si>
    <t>erikaquintero1099@gmail.com</t>
  </si>
  <si>
    <t>0414 106 0773</t>
  </si>
  <si>
    <t xml:space="preserve">LOS TEQUES CALLE CARDENAL QUINTERO, EDIF. ARAGUANEY, CAMPO ALEGRE. </t>
  </si>
  <si>
    <t xml:space="preserve">MARTES JUEVES 4:00 A 5:30 PM </t>
  </si>
  <si>
    <t xml:space="preserve">CONTADO EFECTIVO $ </t>
  </si>
  <si>
    <t xml:space="preserve">$ 300,00 </t>
  </si>
  <si>
    <t>OE-CCLC110</t>
  </si>
  <si>
    <t xml:space="preserve">MARIA EDUVIGIS GUTIERREZ CASTILLO </t>
  </si>
  <si>
    <t>ragavila15@gmai.com</t>
  </si>
  <si>
    <t>0412 9786211</t>
  </si>
  <si>
    <t xml:space="preserve">LOS TEQUES URB LAS FLORES, PISO 10, APTO 101, EDIFI. TULIPNA. </t>
  </si>
  <si>
    <t xml:space="preserve">RAFAEL ALBERTO GUTIERREZ  AVILA </t>
  </si>
  <si>
    <t>0412 0233441</t>
  </si>
  <si>
    <t>ragavila15@gmail.com</t>
  </si>
  <si>
    <t>MARTES JUEVES 5:40 A 7:10 PM</t>
  </si>
  <si>
    <t xml:space="preserve">200 $ PAGO MOVIL / 100 $ EFECTIVO </t>
  </si>
  <si>
    <t>OE-CCLC111</t>
  </si>
  <si>
    <t>CARLOS LUIS MIRANDA</t>
  </si>
  <si>
    <t>0414 4032924</t>
  </si>
  <si>
    <t>URB. ALTO VERDE ETAPA III EDIFICIO 9 LOS TEQUES</t>
  </si>
  <si>
    <t>MART JUEV 2:20 A 3:50</t>
  </si>
  <si>
    <t>OE-CCLC112</t>
  </si>
  <si>
    <t xml:space="preserve">VICTORIA ANDREINA ACEVEDO CASTILLO </t>
  </si>
  <si>
    <t>sthaellcastilloq@gmail.com</t>
  </si>
  <si>
    <t>04126769139</t>
  </si>
  <si>
    <t>URBANIZACION LAS FLORES, EDIFICIO GARDENIA, PISO 15. APTO 151, LOS TEQUES.</t>
  </si>
  <si>
    <t xml:space="preserve">Sthaell Castillo </t>
  </si>
  <si>
    <t>OE-CCLC113</t>
  </si>
  <si>
    <t xml:space="preserve">GLENDA PAOLA VASQUEZ CISNEROS </t>
  </si>
  <si>
    <t xml:space="preserve">jcisneros.camesca@gmail.com </t>
  </si>
  <si>
    <t xml:space="preserve">04241002715 </t>
  </si>
  <si>
    <t>URB. LOS NUEVOS TEQUES, RUTA 2, EDIF. VZLA.</t>
  </si>
  <si>
    <t xml:space="preserve">JHAENYA CISNEROS SILVA </t>
  </si>
  <si>
    <t>HICH SCHOOL BASIC</t>
  </si>
  <si>
    <t xml:space="preserve">SAB 8:00 A 11:30 AM </t>
  </si>
  <si>
    <t xml:space="preserve">FINANCIADO </t>
  </si>
  <si>
    <t>OE-CCLC114</t>
  </si>
  <si>
    <t>JHAENYA VALENTINA VASQUEZ</t>
  </si>
  <si>
    <t>04241002715</t>
  </si>
  <si>
    <t>OE-CCLC115</t>
  </si>
  <si>
    <t xml:space="preserve">EDUARD JOSE LIZARAZO DIAZ </t>
  </si>
  <si>
    <t>CI 30.381.302</t>
  </si>
  <si>
    <t xml:space="preserve">eduard.19diaz@gmail.com </t>
  </si>
  <si>
    <t>041207241085</t>
  </si>
  <si>
    <t>OE-CCLC116</t>
  </si>
  <si>
    <t>RENZIMAR SARAHI BRICEÑO VASQUEZ</t>
  </si>
  <si>
    <t>renzimar.66@gmail.com</t>
  </si>
  <si>
    <t>04123693703</t>
  </si>
  <si>
    <t>KM 18</t>
  </si>
  <si>
    <t xml:space="preserve">MARISELA COROMOTO VASQUEZ </t>
  </si>
  <si>
    <t>vasquezmarisela70@gmail.com</t>
  </si>
  <si>
    <t>OE-CCLC117</t>
  </si>
  <si>
    <t xml:space="preserve">ISABELLA PACHECO </t>
  </si>
  <si>
    <t xml:space="preserve">Rmeysh@gmail.com </t>
  </si>
  <si>
    <t>04142408262</t>
  </si>
  <si>
    <t xml:space="preserve">SAN ANTONIO CALLE ERMITA EDIF NAZARETH PISO 9/9C </t>
  </si>
  <si>
    <t xml:space="preserve">JEYSON PACHECO </t>
  </si>
  <si>
    <t>OE-CCLC118</t>
  </si>
  <si>
    <t xml:space="preserve">DINORATH GALINDEZ </t>
  </si>
  <si>
    <t xml:space="preserve">Dinorathgalindez1@gmail.com </t>
  </si>
  <si>
    <t>04120903185</t>
  </si>
  <si>
    <t xml:space="preserve">CALLE CORRALITO RES. COLINAS DE CARRIZAL </t>
  </si>
  <si>
    <t>JACKSON AMESTI</t>
  </si>
  <si>
    <t>OE-CCLC119</t>
  </si>
  <si>
    <t xml:space="preserve">GABRIELA VALENZUELA GIVLIANO </t>
  </si>
  <si>
    <t>gabrielavalenzuelagivliano@gmail.com</t>
  </si>
  <si>
    <t>04241103872</t>
  </si>
  <si>
    <t>CARRIZAL CALLE BOY SCOUT</t>
  </si>
  <si>
    <t xml:space="preserve">JOSUE GABRIEL VALENZUELA FONSECA </t>
  </si>
  <si>
    <t xml:space="preserve">jvg_25@hotmail.com </t>
  </si>
  <si>
    <t xml:space="preserve">HIGH SCHOOL </t>
  </si>
  <si>
    <t xml:space="preserve">INTERCAMBIO ALCALDIA </t>
  </si>
  <si>
    <t>OE-CCLC120</t>
  </si>
  <si>
    <t xml:space="preserve">ELIZABETH ANDREA RICO GONZALEZ </t>
  </si>
  <si>
    <t xml:space="preserve">kellnimargonzalez@gmail.com </t>
  </si>
  <si>
    <t>04126286785</t>
  </si>
  <si>
    <t>CARRETERA PANAMERICANA KM 18 SECTOR FRANCISCO DE MIRANDA</t>
  </si>
  <si>
    <t xml:space="preserve">KELLY GONZALEZ DELGADO </t>
  </si>
  <si>
    <t xml:space="preserve">Kellnimargonzalza@hotmail.com </t>
  </si>
  <si>
    <t>Carp N°2, Seccion2</t>
  </si>
  <si>
    <t>OE-CCLC121</t>
  </si>
  <si>
    <t xml:space="preserve">BEIKER RAMIREZ </t>
  </si>
  <si>
    <t xml:space="preserve">beiker@gmail.com </t>
  </si>
  <si>
    <t>04129960924</t>
  </si>
  <si>
    <t>CARRIZAL CALLE PERALTA CASA # 37</t>
  </si>
  <si>
    <t xml:space="preserve">MATRICULA P/ASIGNAR </t>
  </si>
  <si>
    <t>OE-CCLC122</t>
  </si>
  <si>
    <t xml:space="preserve">SEBASTIAN ANDRES PACHECO GUANIN </t>
  </si>
  <si>
    <t>gladysguanin@gmail.com</t>
  </si>
  <si>
    <t>04142519437</t>
  </si>
  <si>
    <t xml:space="preserve">CARRIZAL ,  CONJUNTO CASCADA MAGICA </t>
  </si>
  <si>
    <t xml:space="preserve">GLADYS GUANIN </t>
  </si>
  <si>
    <t xml:space="preserve">gladys.guanin@gmail.com </t>
  </si>
  <si>
    <t>EGRESADO</t>
  </si>
  <si>
    <t>OE-CCLC123</t>
  </si>
  <si>
    <t xml:space="preserve">STEFANI VICTORIA OVALLES RONDON </t>
  </si>
  <si>
    <t>stefanysvictoriaovalles@gmail.com</t>
  </si>
  <si>
    <t>04129835368</t>
  </si>
  <si>
    <t>URB. SIMON BOLIVAR BLOQUE 4, APTO 04-07, LOS TEQUES</t>
  </si>
  <si>
    <t xml:space="preserve">DELIA RONDON </t>
  </si>
  <si>
    <t>drondon.dpd@gmail.com</t>
  </si>
  <si>
    <t xml:space="preserve">4.00 A 5.30 PM </t>
  </si>
  <si>
    <t>OE-CCLC124</t>
  </si>
  <si>
    <t xml:space="preserve">JOSE ALEJANDRO SOUSA GIL </t>
  </si>
  <si>
    <t xml:space="preserve">yetzhenia@hotmail.com </t>
  </si>
  <si>
    <t>04168015643</t>
  </si>
  <si>
    <t xml:space="preserve">LOS TEQUES, MUNICIPIO GUAICAIPURO </t>
  </si>
  <si>
    <t xml:space="preserve">YETZHENIA GIL CORDOVES </t>
  </si>
  <si>
    <t>04143388133 / 04168015643</t>
  </si>
  <si>
    <t xml:space="preserve">Yetzhenia87@gmail.com </t>
  </si>
  <si>
    <t>HSB 2</t>
  </si>
  <si>
    <t xml:space="preserve">MARTES Y JUEVES 4.00 A 5.30 PM </t>
  </si>
  <si>
    <t>OE-CCLC125</t>
  </si>
  <si>
    <t xml:space="preserve">ARLIS ROMERO </t>
  </si>
  <si>
    <t>0424-1269992</t>
  </si>
  <si>
    <t>LOS BUDARES</t>
  </si>
  <si>
    <t>OE-CCLC126</t>
  </si>
  <si>
    <t>RAZHIELL ARIAGNE</t>
  </si>
  <si>
    <t>razhiellandaetab58@gmail.com</t>
  </si>
  <si>
    <t>0414-3193896</t>
  </si>
  <si>
    <t>LOS TEQUES VIA LAGUNETICA</t>
  </si>
  <si>
    <t>WILMAR LANDAETA</t>
  </si>
  <si>
    <t>0412-7127484</t>
  </si>
  <si>
    <t>SABADO 8 A 11:30</t>
  </si>
  <si>
    <t xml:space="preserve">BECA </t>
  </si>
  <si>
    <t>OE-CCLC127</t>
  </si>
  <si>
    <t>ARANZA SILVA GARCES</t>
  </si>
  <si>
    <t>eleanne19@gmail.com</t>
  </si>
  <si>
    <t>0424-2156618</t>
  </si>
  <si>
    <t>CORRALITO, MUNICIPIO CARRIZAL. DETRÁS DEL CC. LA CASCADA.</t>
  </si>
  <si>
    <t xml:space="preserve">ELEANNE GARCES </t>
  </si>
  <si>
    <t xml:space="preserve">BASIC USER  </t>
  </si>
  <si>
    <t>GRUPO EN FORMACION</t>
  </si>
  <si>
    <t>OE-CCLC128</t>
  </si>
  <si>
    <t>ISABELLA DE JESUS CASTILLO DE FREITES</t>
  </si>
  <si>
    <t xml:space="preserve">jeimy_alexandra@hotmail.com </t>
  </si>
  <si>
    <t>02123733936</t>
  </si>
  <si>
    <t xml:space="preserve">URB. LOS SALIAS. </t>
  </si>
  <si>
    <t xml:space="preserve">JEIMY DE FREITAS </t>
  </si>
  <si>
    <t>0424-2262937</t>
  </si>
  <si>
    <t>OE-CCLC129</t>
  </si>
  <si>
    <t xml:space="preserve">GABRIEL ALEXANDER REYES LOPEZ </t>
  </si>
  <si>
    <t>gabrielreyes0160@gmail.com</t>
  </si>
  <si>
    <t>04122878214</t>
  </si>
  <si>
    <t xml:space="preserve">EL BARBECHO, CALLE ACUEDUCTO, CASA </t>
  </si>
  <si>
    <t xml:space="preserve">MARTES Y JUEVES 5:40 A 7:10 PM </t>
  </si>
  <si>
    <t>OE-CCLC130</t>
  </si>
  <si>
    <t xml:space="preserve">DYLAN ALEJANDRO PINEDA RICO </t>
  </si>
  <si>
    <t>04123822180</t>
  </si>
  <si>
    <t xml:space="preserve">LA ROSALEDA SUR AV PRINCIPAL, EDIF. MANPIRE PISO 15 C. </t>
  </si>
  <si>
    <t xml:space="preserve">HERLY C RICO VILLEGAS </t>
  </si>
  <si>
    <t>ricoherly@gmail.com</t>
  </si>
  <si>
    <t xml:space="preserve">MARTES Y JUEVES 2.20 @ 3.50 PM </t>
  </si>
  <si>
    <t>OE-CCLC131</t>
  </si>
  <si>
    <t>HANLEY ALEJANDRO DIAZ MONTENEGRO</t>
  </si>
  <si>
    <t>04141354298</t>
  </si>
  <si>
    <t>ALVARO JAIRO DIAZ AKEL</t>
  </si>
  <si>
    <t>Alvarodiazawo@gmail.com</t>
  </si>
  <si>
    <t xml:space="preserve">LUNES Y MIERCOLES 4.00 @ 5.30  PM </t>
  </si>
  <si>
    <t>OE-CCLC132</t>
  </si>
  <si>
    <t>ASDRUBAL RAMSÉS BARRETO PAREDES</t>
  </si>
  <si>
    <t xml:space="preserve">mari1711pv@gmail.com </t>
  </si>
  <si>
    <t>04125550232</t>
  </si>
  <si>
    <t xml:space="preserve">BAROLA CARRIZAL </t>
  </si>
  <si>
    <t xml:space="preserve">MARIA RAQUEL PAREDES VILLARREAL </t>
  </si>
  <si>
    <t>mari1711pv@gmail.com</t>
  </si>
  <si>
    <t xml:space="preserve">HIGH SCHOOL BASIC </t>
  </si>
  <si>
    <t>OE-CCLC133</t>
  </si>
  <si>
    <t xml:space="preserve">ARIANA HERNANDEZ </t>
  </si>
  <si>
    <t>orianarr2005@gmail.com</t>
  </si>
  <si>
    <t>04120409675</t>
  </si>
  <si>
    <t>CARRIZAL, YERBA BUENA.</t>
  </si>
  <si>
    <t xml:space="preserve">ERZON HERNANDEZ </t>
  </si>
  <si>
    <t>tisay2529@gmail.com</t>
  </si>
  <si>
    <t>SÁB 8:00 @ 11:30 AM</t>
  </si>
  <si>
    <t>HIGH SCHOOL BASCI</t>
  </si>
  <si>
    <t>OE-CCLC134</t>
  </si>
  <si>
    <t>MANUEL ALEJANDRO MONTILLA IBARRA</t>
  </si>
  <si>
    <t>greciadelmaribarracarmona@gmail.com</t>
  </si>
  <si>
    <t xml:space="preserve">LA ROSALEDA SUR  </t>
  </si>
  <si>
    <t xml:space="preserve">GRECIA DEL MAR IBARRA CARMONA </t>
  </si>
  <si>
    <t>OE-CCLC135</t>
  </si>
  <si>
    <t xml:space="preserve">JORGE MONTILLA </t>
  </si>
  <si>
    <t>04246662661</t>
  </si>
  <si>
    <t xml:space="preserve">LA ROSALEDA SUR </t>
  </si>
  <si>
    <t>OE-CCLC136</t>
  </si>
  <si>
    <t xml:space="preserve">LUIS MONTILLA </t>
  </si>
  <si>
    <t>OE-CCLC137</t>
  </si>
  <si>
    <t>BRIGGY INALAY ESCALONA NIEVES</t>
  </si>
  <si>
    <t>escalonabriggy@gmail.com</t>
  </si>
  <si>
    <t>04241422113</t>
  </si>
  <si>
    <t xml:space="preserve">SAN DIEGO DE LOS ALTOS </t>
  </si>
  <si>
    <t xml:space="preserve">HORARIO POR DEFINIR </t>
  </si>
  <si>
    <t>ROSA</t>
  </si>
  <si>
    <t>ROSA MOLINA</t>
  </si>
  <si>
    <t>OE-CCLC138</t>
  </si>
  <si>
    <t xml:space="preserve">CAMILA ANDREA HERNANDEZ BARRIOS </t>
  </si>
  <si>
    <t>Camila.9.hernandez.barrios@gmail.com</t>
  </si>
  <si>
    <t>04121145700</t>
  </si>
  <si>
    <t xml:space="preserve">LOS TEQUES, URB. EL ENCANTO EDIF. COLIBRI PISO 9-H1 </t>
  </si>
  <si>
    <t xml:space="preserve">ANGELA MAYRIN BARRIOS VELASQUEZ </t>
  </si>
  <si>
    <t>angelamayrinb@gmail.com</t>
  </si>
  <si>
    <t xml:space="preserve">INDEPENDENT USER 2 </t>
  </si>
  <si>
    <t xml:space="preserve">GUSTAVO </t>
  </si>
  <si>
    <t>OE-CCLC139</t>
  </si>
  <si>
    <t>OMAR EL JOULANI</t>
  </si>
  <si>
    <t xml:space="preserve">bodour17@hotmail.com </t>
  </si>
  <si>
    <t>04242442232</t>
  </si>
  <si>
    <t xml:space="preserve">LOS TEQUES CERCA DE LA ALCALDIA </t>
  </si>
  <si>
    <t xml:space="preserve">BDOUR MOUSA </t>
  </si>
  <si>
    <t>E-84441100</t>
  </si>
  <si>
    <t>bodour17@hotmail.com</t>
  </si>
  <si>
    <t xml:space="preserve">ROSA/SOLICITO CAMBIO DE HORARIO </t>
  </si>
  <si>
    <t>OE-CCLC140</t>
  </si>
  <si>
    <t xml:space="preserve">SALMA EL JOULANI </t>
  </si>
  <si>
    <t>04242442234</t>
  </si>
  <si>
    <t>Carp N°2, Seccion 3</t>
  </si>
  <si>
    <t>OE-CCLC141</t>
  </si>
  <si>
    <t xml:space="preserve">AMIR EL JOULARI </t>
  </si>
  <si>
    <t xml:space="preserve">GRUPO EN FORMACION </t>
  </si>
  <si>
    <t>OE-CCLC142</t>
  </si>
  <si>
    <t xml:space="preserve">MARIA JOSE FUENTES R </t>
  </si>
  <si>
    <t>mariajosefuentesrodriguez31@gmai.com</t>
  </si>
  <si>
    <t>04127052685</t>
  </si>
  <si>
    <t xml:space="preserve">EL VIGIA CALLE BONANZA, QTA. STMA. TRINIDAD N °10, LOS TEQUES. </t>
  </si>
  <si>
    <t>ESTHERVY MARILIN RODRIGUEZ V</t>
  </si>
  <si>
    <t xml:space="preserve">resthervy@gmail.com </t>
  </si>
  <si>
    <t xml:space="preserve">IC 2 </t>
  </si>
  <si>
    <t>POSIBLE OPCION MARTES Y JUEVES 2.20 PM A 3.50 PM</t>
  </si>
  <si>
    <t xml:space="preserve">CONVENIO ALCALDIA </t>
  </si>
  <si>
    <t>OE-CCLC143</t>
  </si>
  <si>
    <t xml:space="preserve">LOANDRYS YAHILIN TORRES PEREZ </t>
  </si>
  <si>
    <t>loandryst7@gmail.com</t>
  </si>
  <si>
    <t>04128564951</t>
  </si>
  <si>
    <t>KM 24, CARRETERA PANAMERICANA SECTOR BUENOS AIRES, CALLE PPAL #11</t>
  </si>
  <si>
    <t>loandrys7@gmail.com</t>
  </si>
  <si>
    <t xml:space="preserve">INTRO </t>
  </si>
  <si>
    <t>OE-CCLC144</t>
  </si>
  <si>
    <t xml:space="preserve">IVANNA K. HERNANDEZ </t>
  </si>
  <si>
    <t>yoriov842@gmail.com</t>
  </si>
  <si>
    <t>04129827234</t>
  </si>
  <si>
    <t xml:space="preserve">PARQUE EL RETIRO SAN ANTONIO </t>
  </si>
  <si>
    <t>YEIMIT T. YORIO V.</t>
  </si>
  <si>
    <t>yoviou842@gmail.com</t>
  </si>
  <si>
    <t xml:space="preserve">SABADO 8 A 11:30 AM </t>
  </si>
  <si>
    <t xml:space="preserve">ROSA </t>
  </si>
  <si>
    <t>OE-CCLC145</t>
  </si>
  <si>
    <t xml:space="preserve">LEONARDO GUZMAN </t>
  </si>
  <si>
    <t>mayerlinbautista2023@gmail.com</t>
  </si>
  <si>
    <t>04126004924</t>
  </si>
  <si>
    <t xml:space="preserve">CALLE BUCARE SECTOR LA PERITA COLINAS DE CARRIZAL, CASA 586C. </t>
  </si>
  <si>
    <t xml:space="preserve">MAYERLIN AGÜERO </t>
  </si>
  <si>
    <t>ERA DE PICACHO</t>
  </si>
  <si>
    <t>OE-CCLC146</t>
  </si>
  <si>
    <t xml:space="preserve">GREGORY EMILIANO ORIGUEN MANRIQUE </t>
  </si>
  <si>
    <t>origuengregory@gmail.com</t>
  </si>
  <si>
    <t>04242699060</t>
  </si>
  <si>
    <t xml:space="preserve">URB. LA FRONTERA, CALLE A, CASA G8, LOS TEQUES. </t>
  </si>
  <si>
    <t>OASLITH NATHALY MANRIQUE DUARTE</t>
  </si>
  <si>
    <t>equipopistonoa@gmail.com</t>
  </si>
  <si>
    <t>FRANCISCO</t>
  </si>
  <si>
    <t>OE-CCLC147</t>
  </si>
  <si>
    <t xml:space="preserve">TIAGO DE ANDRADE </t>
  </si>
  <si>
    <t>diagnangeles@hotmail.com</t>
  </si>
  <si>
    <t xml:space="preserve">URB. LA MORITA SAN ANTONIO DE LOS ALTOS. </t>
  </si>
  <si>
    <t xml:space="preserve">DIGNA DA SILVA </t>
  </si>
  <si>
    <t>CONVENIO JESUS AIRE ACONDICIONADO</t>
  </si>
  <si>
    <t>OE-CCLC148</t>
  </si>
  <si>
    <t xml:space="preserve">DANA PAOLA DE ANDRADE DA SILVA </t>
  </si>
  <si>
    <t>04142446182</t>
  </si>
  <si>
    <t>OE-CCLC149</t>
  </si>
  <si>
    <t xml:space="preserve">SAMANTHA CORONADO </t>
  </si>
  <si>
    <t>berbesivanessa0@gmail.com</t>
  </si>
  <si>
    <t>04125399838</t>
  </si>
  <si>
    <t xml:space="preserve">COLINAS DE CARRIZAL, SECTOR LAS PIÑAS </t>
  </si>
  <si>
    <t xml:space="preserve">STEPHANIE  VANESSA GARCIA </t>
  </si>
  <si>
    <t xml:space="preserve">VIERNES 2.30 @ 5.40 PM </t>
  </si>
  <si>
    <t>OE-CCLC150</t>
  </si>
  <si>
    <t>ANGELICA SOLEDAD LOVERA CAMACHO</t>
  </si>
  <si>
    <t>04125844956</t>
  </si>
  <si>
    <t>LOS TEQUES, LAGUNETICA, SECTOR EL MORRO</t>
  </si>
  <si>
    <t>MIREYA CAMACHO</t>
  </si>
  <si>
    <t xml:space="preserve">HSB </t>
  </si>
  <si>
    <t>LUN Y MIERC 4:00 @ 5:30 PM</t>
  </si>
  <si>
    <t>BECA TOTAL ALCALDIA</t>
  </si>
  <si>
    <t>OE-CCLC151</t>
  </si>
  <si>
    <t>MARIA JOSE IGUARAN MORENO</t>
  </si>
  <si>
    <t>iguaranmaria60@gmail.com</t>
  </si>
  <si>
    <t>04123918430</t>
  </si>
  <si>
    <t xml:space="preserve">ALBA MARIA MONTIEL URDANETA </t>
  </si>
  <si>
    <t>maru_04@hotmail.com</t>
  </si>
  <si>
    <t>OE-CCLC152</t>
  </si>
  <si>
    <t xml:space="preserve">YESERLYN RODRIGUEZ </t>
  </si>
  <si>
    <t>04129608920</t>
  </si>
  <si>
    <t>SECTOR LOS HIDALGOS, CARRIZAL.</t>
  </si>
  <si>
    <t>YEIXI LOZANO</t>
  </si>
  <si>
    <t>ayarit09@hotmail.com</t>
  </si>
  <si>
    <t>OE-CCLC153</t>
  </si>
  <si>
    <t xml:space="preserve">LUIS FERNANDO VENTO MONASTERIOS </t>
  </si>
  <si>
    <t>luisfervento2007@gmail.com</t>
  </si>
  <si>
    <t>04123298842</t>
  </si>
  <si>
    <t xml:space="preserve">FINAL CALLE LA MONTAÑA CASA 33 COMUNIDAD YERBA BUENA </t>
  </si>
  <si>
    <t xml:space="preserve">NATALY MONASTERIOS </t>
  </si>
  <si>
    <t>natalymonasterios19@gmail.com</t>
  </si>
  <si>
    <t>OE-CCLC154</t>
  </si>
  <si>
    <t>SALVATORE ILARDO</t>
  </si>
  <si>
    <t>salvatore.ilardo@gmail.com</t>
  </si>
  <si>
    <t>04241513826</t>
  </si>
  <si>
    <t xml:space="preserve">EDIF GUAICAIPAEZ, LOS TEQUES. </t>
  </si>
  <si>
    <t xml:space="preserve">LILIANA </t>
  </si>
  <si>
    <t>sandra.liliana@gmail.com</t>
  </si>
  <si>
    <t>P1</t>
  </si>
  <si>
    <t>SAB 8.00 @ 11.30 AM</t>
  </si>
  <si>
    <t>OE-CCLC155</t>
  </si>
  <si>
    <t>04242262937</t>
  </si>
  <si>
    <t xml:space="preserve">URB. LOS SALIAS </t>
  </si>
  <si>
    <t>EN FORMACION</t>
  </si>
  <si>
    <t>OE-CCLC156</t>
  </si>
  <si>
    <t>ORIANA GABRIELA HERRERA CARDENAS</t>
  </si>
  <si>
    <t>yeimicardenasherrera@gmail.com</t>
  </si>
  <si>
    <t>04126122732</t>
  </si>
  <si>
    <t xml:space="preserve">CARRIZAL, MONTAÑA ALTA, TORRE 5 PB </t>
  </si>
  <si>
    <t>YEIMI CARDENAS DE HERRERA</t>
  </si>
  <si>
    <t>OE-CCLC157</t>
  </si>
  <si>
    <t>ZOE ISABELLA LOPEZ LUNA</t>
  </si>
  <si>
    <t>04143173838</t>
  </si>
  <si>
    <t xml:space="preserve">URB. SANTA MARIA, EDIF. STA EDUVIGIS, PB2 </t>
  </si>
  <si>
    <t xml:space="preserve">ZORAIDA LUNA BRICEÑO </t>
  </si>
  <si>
    <t>zoraida.luna@gmail.com</t>
  </si>
  <si>
    <t xml:space="preserve">SAB 8:00 @ 11:30 AM </t>
  </si>
  <si>
    <t>OE-CCLC158</t>
  </si>
  <si>
    <t xml:space="preserve">SHARON VALENTINA GONZALEZ ROJAS </t>
  </si>
  <si>
    <t>dileyrojas@gmail.com</t>
  </si>
  <si>
    <t>04143664381</t>
  </si>
  <si>
    <t>CARRIZAL, POTRERITO, SECTOR LA REDOMA, CASA S/N.</t>
  </si>
  <si>
    <t>LEYDI CAROL ROJAS GONZALEZ</t>
  </si>
  <si>
    <t>HS1</t>
  </si>
  <si>
    <t xml:space="preserve">MAR Y JUEVES 4:00 PM @ 5:30 PM </t>
  </si>
  <si>
    <t>BECA ALCALDIA</t>
  </si>
  <si>
    <t>OE-CCLC159</t>
  </si>
  <si>
    <t>WUILIAHGERLY LOPEZ H</t>
  </si>
  <si>
    <t>brusmelishernandez41@gmail.com</t>
  </si>
  <si>
    <t>0412993430</t>
  </si>
  <si>
    <t>CARRIZAL, COMUNIDAD JOSE MANUEL ALVAREZ, CALLE ELPROGRESO CASA #12.</t>
  </si>
  <si>
    <t xml:space="preserve">BRUSMELI HERNANDEZ DIAZ </t>
  </si>
  <si>
    <t>brusmelihernandez41@gmail.com</t>
  </si>
  <si>
    <t>OE-CCLC160</t>
  </si>
  <si>
    <t xml:space="preserve">VERONICA GARCIA NAVA </t>
  </si>
  <si>
    <t>vermig09@gmail.com</t>
  </si>
  <si>
    <t>04120423174</t>
  </si>
  <si>
    <t>MONTAÑA ALTA TORRE 11 PISO 16, APTO 16-2</t>
  </si>
  <si>
    <t>VERONICA NAVA</t>
  </si>
  <si>
    <t>navaveronica074@gmail.com</t>
  </si>
  <si>
    <t xml:space="preserve">BECA TOTAL ALCALDIA </t>
  </si>
  <si>
    <t>Carp N°2, Seccion 4</t>
  </si>
  <si>
    <t>OE-CCLC161</t>
  </si>
  <si>
    <t xml:space="preserve">GIANFRANCO DOMIGUEZ ORTEGA </t>
  </si>
  <si>
    <t>gianfrancodominguez30@gmail.com</t>
  </si>
  <si>
    <t>04143384379</t>
  </si>
  <si>
    <t>COLINAS DE CARRIZAL, SECTOR MERIDA, CALLE LOS CEDROS, CASA SAN GABRIEL.</t>
  </si>
  <si>
    <t xml:space="preserve">FRANCIS ORTEGA </t>
  </si>
  <si>
    <t>fortega@fclaboratorios.com</t>
  </si>
  <si>
    <t xml:space="preserve">LUN  Y MIERCLS 4.00 PM @ 5.30 PM </t>
  </si>
  <si>
    <t>OE-CCLC162</t>
  </si>
  <si>
    <t xml:space="preserve">DIEGO ENRIQUE RONDON MATHEUS </t>
  </si>
  <si>
    <t>04242893443</t>
  </si>
  <si>
    <t xml:space="preserve">AV. VICTOR BATISTA, CONJUNTO RESD LA QUINTA. EDIF. 2C APTO, LOS TEQUES. </t>
  </si>
  <si>
    <t>MARIA GABRIELA MATHEUS ALTUVE</t>
  </si>
  <si>
    <t>mgmatheusa@gmail.com</t>
  </si>
  <si>
    <t xml:space="preserve">HS3 </t>
  </si>
  <si>
    <t>OE-CCLC163</t>
  </si>
  <si>
    <t>NOUR ALEJANDRA BAYROUTI YAMMINE</t>
  </si>
  <si>
    <t>rabihbayrouti@gmail.com</t>
  </si>
  <si>
    <t>04143286403</t>
  </si>
  <si>
    <t>URB. LLANO ALTO SECTOR SAN FRANCISCO CALLE 3, CASA 3-2. QTA. SAN CHARBEL, CARRIZAL.</t>
  </si>
  <si>
    <t xml:space="preserve">RABIH BAYROUTI </t>
  </si>
  <si>
    <t xml:space="preserve">P1 </t>
  </si>
  <si>
    <t>OE-CCLC164</t>
  </si>
  <si>
    <t xml:space="preserve">MARIOUM GABRIELA MONSALVE SOSA </t>
  </si>
  <si>
    <t>marioummnsalv2@gmail.com</t>
  </si>
  <si>
    <t>04125943716</t>
  </si>
  <si>
    <t>FINAL CALLE LOS PINOS SECTOR LA LADERA, APTO PB 04</t>
  </si>
  <si>
    <t>WILDER GABRIEL MONSALVE MARTINEZ</t>
  </si>
  <si>
    <t>wildergabrielmonsalve@gmail.com</t>
  </si>
  <si>
    <t>OE-CCLC165</t>
  </si>
  <si>
    <t xml:space="preserve">ALEX DANIEL GONZALEZ ASCANIO </t>
  </si>
  <si>
    <t>gonzalezdaniel2015@gmail.com</t>
  </si>
  <si>
    <t>15.315.972</t>
  </si>
  <si>
    <t xml:space="preserve">CARRIZAL JOSE MANUEL ALVAREZ CALLE EL COLEGIO </t>
  </si>
  <si>
    <t xml:space="preserve">ADELY CENOBIA ASCANIO CEBALLOS </t>
  </si>
  <si>
    <t>adelyascanio@gmail.com</t>
  </si>
  <si>
    <t>SAB 1:00 PM A 4:00 PM</t>
  </si>
  <si>
    <t>OE-CCLC166</t>
  </si>
  <si>
    <t xml:space="preserve">JOVANA CAROLINA ISTURIZ RAMOS </t>
  </si>
  <si>
    <t xml:space="preserve">POR DEFINIR </t>
  </si>
  <si>
    <t>isturizjovana@gmail.com</t>
  </si>
  <si>
    <t xml:space="preserve">MOTAÑA ALTA, URB. LOMA MAGICA </t>
  </si>
  <si>
    <t>POR DEFINIR</t>
  </si>
  <si>
    <t>OE-CCLC167</t>
  </si>
  <si>
    <t xml:space="preserve">PAULO JOSE PEREIRA GONZALEZ </t>
  </si>
  <si>
    <t>paulopg656@gmail.com</t>
  </si>
  <si>
    <t>24.656.503</t>
  </si>
  <si>
    <t>LOMA MAGICA, MONTAÑA ALTA, CARRIZAL.</t>
  </si>
  <si>
    <t>OE-CCLC168</t>
  </si>
  <si>
    <t xml:space="preserve">FABIANA ANDREINA NUÑEZ VELIZ </t>
  </si>
  <si>
    <t>fabiandrev28@gmail.com</t>
  </si>
  <si>
    <t>33.781.226</t>
  </si>
  <si>
    <t xml:space="preserve">SECTOR 19 DE ABRIL CASA SIN # FAMILIA PAREDES BAROLA CARRIZAL </t>
  </si>
  <si>
    <t>RUNARKY IVETTE VELIZ RAMIREZ</t>
  </si>
  <si>
    <t>04241670451</t>
  </si>
  <si>
    <t>rveliz2806@gmail.com</t>
  </si>
  <si>
    <t xml:space="preserve">VIERNES 2.30 PM  @ 5:40 PM </t>
  </si>
  <si>
    <t>OE-CCLC169</t>
  </si>
  <si>
    <t>DILARY SOFIA DIAZ BAEZ</t>
  </si>
  <si>
    <t>SOFIA.BAEZ021110@GMAIL.COM</t>
  </si>
  <si>
    <t>04128385936</t>
  </si>
  <si>
    <t>CARRETERA VIEJA CARACAS LOS TEQUES, SECTOR 2 CASA Nº 4</t>
  </si>
  <si>
    <t>DAYANA BAEZ DIAZ</t>
  </si>
  <si>
    <t>04128292012</t>
  </si>
  <si>
    <t>DAYANABAEZDIAZ@GMAIL.COM</t>
  </si>
  <si>
    <t>OE-CCLC170</t>
  </si>
  <si>
    <t>MARIAM GABRIELA ORTIZ DIAZ</t>
  </si>
  <si>
    <t>04123988907</t>
  </si>
  <si>
    <t>COLINAS DE CARRIZAL, SECTOR MERIDA</t>
  </si>
  <si>
    <t>MIRIAN ORTIZ</t>
  </si>
  <si>
    <t>04120220541</t>
  </si>
  <si>
    <t>ELEJEMD@2014GMAIL.COM</t>
  </si>
  <si>
    <t>OE-CCLC171</t>
  </si>
  <si>
    <t>MARCO ANTONIO PEREZ</t>
  </si>
  <si>
    <t>04141064969</t>
  </si>
  <si>
    <t>HORACIO PEREZ</t>
  </si>
  <si>
    <t>04141517810</t>
  </si>
  <si>
    <t>HORA3017@GMAIL.COM</t>
  </si>
  <si>
    <t>OE-CCLC172</t>
  </si>
  <si>
    <t>DANIEL BARROETA</t>
  </si>
  <si>
    <t>25-12-2012</t>
  </si>
  <si>
    <t>04125199344</t>
  </si>
  <si>
    <t>SAN ANTONIO DE LOS ALTOS, EL RETIRO</t>
  </si>
  <si>
    <t>DANIELA PERDOMO</t>
  </si>
  <si>
    <t>ODONTO3DCA@GMAIL.COM</t>
  </si>
  <si>
    <t>HBU</t>
  </si>
  <si>
    <t>OE-CCLC173</t>
  </si>
  <si>
    <t>LURISMAR YULIET PEREZ VELASQUEZ</t>
  </si>
  <si>
    <t>LURISMARPEREZ@GMAIL.COM</t>
  </si>
  <si>
    <t>04129525311</t>
  </si>
  <si>
    <t>YURISMA VELASQUEZ</t>
  </si>
  <si>
    <t>BU1</t>
  </si>
  <si>
    <t>LUNES Y MIERCOLES 5:40 A 7:10</t>
  </si>
  <si>
    <t>OE-CCLC174</t>
  </si>
  <si>
    <t xml:space="preserve">GABRIELE FERNANDO CIAVATTA </t>
  </si>
  <si>
    <t>giovannalocascio@gmail.com</t>
  </si>
  <si>
    <t>CALLE CARABOBO QTA GENY OLGA, CAMPO ALEGRE, LOS TEQUES</t>
  </si>
  <si>
    <t>GIANCARLO CIAVATA</t>
  </si>
  <si>
    <t>04144513933</t>
  </si>
  <si>
    <t>GIANCARLOCIAV@GMAIL.COM</t>
  </si>
  <si>
    <t>PRE- PRIMARY 1</t>
  </si>
  <si>
    <t>14-6-24</t>
  </si>
  <si>
    <t>PP1</t>
  </si>
  <si>
    <t>OE-CCLC175</t>
  </si>
  <si>
    <t>JOSUEPH MANUEL RIVAS MUJICA</t>
  </si>
  <si>
    <t>JOSUEPHRIVAS@GMAIL.COM</t>
  </si>
  <si>
    <t>04126844361</t>
  </si>
  <si>
    <t>Km 18</t>
  </si>
  <si>
    <t>IC1, IC2.IC3,PS1,PS2</t>
  </si>
  <si>
    <t>17-6-24</t>
  </si>
  <si>
    <t>OE-CCLC176</t>
  </si>
  <si>
    <t>ANGIE MORA</t>
  </si>
  <si>
    <t>CARRIZAL</t>
  </si>
  <si>
    <t>MARIA TONITO</t>
  </si>
  <si>
    <t>04142932248</t>
  </si>
  <si>
    <t>MARIUGUERRA24@GMAIL.COM</t>
  </si>
  <si>
    <t>OE-CCLC177</t>
  </si>
  <si>
    <t>MEGHAN SOFIA ARZOLA</t>
  </si>
  <si>
    <t>YUSLEIDYMAR CARRASQUEL</t>
  </si>
  <si>
    <t>04142875009</t>
  </si>
  <si>
    <t>ANDRYMAR.CARRASQUEL@GMAIL.COM</t>
  </si>
  <si>
    <t>PRE PRIMARY 1</t>
  </si>
  <si>
    <t>OE-CCLC178</t>
  </si>
  <si>
    <t>HENRY RAFAEL ARZOLA CAMACHO</t>
  </si>
  <si>
    <t>JERRYARZO@GMAIL.COM</t>
  </si>
  <si>
    <t>04142675443</t>
  </si>
  <si>
    <t>LOS TEQUES, SECTOR MATICA</t>
  </si>
  <si>
    <t>OE-CCLC179</t>
  </si>
  <si>
    <t>OE-CCLC180</t>
  </si>
  <si>
    <t>ANDRES DAVID ARZOLA CARRASQUEL</t>
  </si>
  <si>
    <t>Carp N°2, Seccion5</t>
  </si>
  <si>
    <t>OE-CCLC181</t>
  </si>
  <si>
    <t>MELANY ALEJANDRA RIVAS MARTINEZ</t>
  </si>
  <si>
    <t>04242161491</t>
  </si>
  <si>
    <t>SAN ANTONIO DE LOS ALTOS, LAS MINAS</t>
  </si>
  <si>
    <t>KRISBEL MARTINEZ</t>
  </si>
  <si>
    <t>04242118841</t>
  </si>
  <si>
    <t>KRISBELMARTINEZ12@GMAIL.COM</t>
  </si>
  <si>
    <t>18-6-24</t>
  </si>
  <si>
    <t>OE-CCLC182</t>
  </si>
  <si>
    <t>AMWRYITZHAK AMARO</t>
  </si>
  <si>
    <t>AMWRY.AMARO@GMAIL.COM</t>
  </si>
  <si>
    <t>04143185498</t>
  </si>
  <si>
    <t>URB QUENDA, TORRE 1 APTO 9D, LOS TEQUES</t>
  </si>
  <si>
    <t>OE-CCLC183</t>
  </si>
  <si>
    <t>AXXIEL ABRAHAM PEREZ AGUILAR</t>
  </si>
  <si>
    <t>AXXIELP5@GMAIL.COM</t>
  </si>
  <si>
    <t>04242491692</t>
  </si>
  <si>
    <t>AC PRINCIPAL JOSE MANUEL ALVAREZ, CARRIZAL</t>
  </si>
  <si>
    <t xml:space="preserve">LUIS RAFAEL PEREZ </t>
  </si>
  <si>
    <t>04241129280</t>
  </si>
  <si>
    <t>CSKILR32@GMAIL.COM</t>
  </si>
  <si>
    <t>OE-CCLC184</t>
  </si>
  <si>
    <t>SAMUEL ANTONIO DA SILVA VOLCANES</t>
  </si>
  <si>
    <t>04149201711</t>
  </si>
  <si>
    <t>URB LAS QUINTAS ETAPA 3 EDIFICIO 2-13</t>
  </si>
  <si>
    <t xml:space="preserve">KEYLA KARINA VOLCANES </t>
  </si>
  <si>
    <t>asuajer@gmail.com</t>
  </si>
  <si>
    <t>27-6-24</t>
  </si>
  <si>
    <t>OE-CCLC185</t>
  </si>
  <si>
    <t>SAMUEL ALEJANDRO LOPEZ PAREDES</t>
  </si>
  <si>
    <t>CONUNTO RESIDENCIAL LOS PINOS TORRE 2 PB CARRIZAL</t>
  </si>
  <si>
    <t>JENIFFER ALEJANDRA PAREDES YEPEZ</t>
  </si>
  <si>
    <t>04126316478</t>
  </si>
  <si>
    <t>JENIFFERPARE@GMAIL.COM</t>
  </si>
  <si>
    <t>OE-CCLC186</t>
  </si>
  <si>
    <t>MATIAS SEGOVIA</t>
  </si>
  <si>
    <t>URB LOMA ALTA, CARRIZAL</t>
  </si>
  <si>
    <t>MONICA LANDAETA</t>
  </si>
  <si>
    <t>04265339906</t>
  </si>
  <si>
    <t>MLANDAETAPINTO@GMAIL.COM</t>
  </si>
  <si>
    <t>OE-CCLC187</t>
  </si>
  <si>
    <t>FABIAN JOSE VEGA SANCHEZ</t>
  </si>
  <si>
    <t>AV SUCRE, CARRIZAL</t>
  </si>
  <si>
    <t>YASMIN SANCHEZ</t>
  </si>
  <si>
    <t>04242217786</t>
  </si>
  <si>
    <t>yasmin.ssl302@gmail.com</t>
  </si>
  <si>
    <t>MARTES, MIERCOLES  Y JUEVES 9:40 A 11:110</t>
  </si>
  <si>
    <t>OE-CCLC188</t>
  </si>
  <si>
    <t>SAMIRA ALEXANDRA SANCHEZ AHMAD</t>
  </si>
  <si>
    <t>04127571812</t>
  </si>
  <si>
    <t>EL CUJI</t>
  </si>
  <si>
    <t>ANA MARIA AHMAD</t>
  </si>
  <si>
    <t>04165447374</t>
  </si>
  <si>
    <t>ANA197840@GMAIL.COM</t>
  </si>
  <si>
    <t>OE-CCLC189</t>
  </si>
  <si>
    <t>VICTOR ALEXANDER PINEDA GARCIA</t>
  </si>
  <si>
    <t>04241270191</t>
  </si>
  <si>
    <t>URB TERREZAS DEL PASO</t>
  </si>
  <si>
    <t>ROSDAMI GARCIA</t>
  </si>
  <si>
    <t>04120401171</t>
  </si>
  <si>
    <t>OE-CCLC190</t>
  </si>
  <si>
    <t>RACHAEL ANDREINA GOMEZ SANCHEZ</t>
  </si>
  <si>
    <t>GOMEZSANCHEZRACHAEL6@GMAIL.COM</t>
  </si>
  <si>
    <t>04143104702</t>
  </si>
  <si>
    <t>LURY SANCHEZ</t>
  </si>
  <si>
    <t>04142152042</t>
  </si>
  <si>
    <t>LUCYSANCHEZSEPULVEDA@GMAIL.COM</t>
  </si>
  <si>
    <t>15-7-24</t>
  </si>
  <si>
    <t>OE-CCLC191</t>
  </si>
  <si>
    <t>EMILY SINAI MENDIVIELSO  ALVAREZ</t>
  </si>
  <si>
    <t>HERRERAARACELIS@GMAIL.COM</t>
  </si>
  <si>
    <t>04125777248</t>
  </si>
  <si>
    <t>LA MACARENA SUR</t>
  </si>
  <si>
    <t>ANGEL ALVAREZ</t>
  </si>
  <si>
    <t>ANGELBEST1703@GMAIL.COM</t>
  </si>
  <si>
    <t>OE-CCLC192</t>
  </si>
  <si>
    <t>STEPHANY MARUANGEL ALVAREZ RIVEROL</t>
  </si>
  <si>
    <t>STEPHANYMARYANGEL1703@GMAIL.COM</t>
  </si>
  <si>
    <t>04149165013</t>
  </si>
  <si>
    <t>CALLE EL PARQUE, DIAGONAL AL ATENEO</t>
  </si>
  <si>
    <t>OE-CCLC193</t>
  </si>
  <si>
    <t>GENESIS MENDIVELZO</t>
  </si>
  <si>
    <t>04125412318</t>
  </si>
  <si>
    <t>SAN ANTONIO DE LOS ALTOS</t>
  </si>
  <si>
    <t>OE-CCLC194</t>
  </si>
  <si>
    <t>YORLEANY LOPEZ</t>
  </si>
  <si>
    <t>04121110509</t>
  </si>
  <si>
    <t>LLANO ALTO</t>
  </si>
  <si>
    <t>YORLANDE ACOSTA</t>
  </si>
  <si>
    <t>04127150498</t>
  </si>
  <si>
    <t>YORLIANYS.LOPEZ03@GMAIL.COM</t>
  </si>
  <si>
    <t>20-7-24</t>
  </si>
  <si>
    <t>OE-CCLC195</t>
  </si>
  <si>
    <t>ARLENYS NAZARETH ESPINOZA</t>
  </si>
  <si>
    <t>ARLENYSESPINOZA234@GMAIL.COM</t>
  </si>
  <si>
    <t>04129962062</t>
  </si>
  <si>
    <t>ANGELI TERESA GARCIA</t>
  </si>
  <si>
    <t>04143960074</t>
  </si>
  <si>
    <t>ANGELIJA21@HOTMAIL.COM</t>
  </si>
  <si>
    <t>OE-CCLC196</t>
  </si>
  <si>
    <t>DANIEL DEANE</t>
  </si>
  <si>
    <t>22-07-24</t>
  </si>
  <si>
    <t>OE-CCLC197</t>
  </si>
  <si>
    <t>GRECIA SARAI RAMIREZ MANAURE</t>
  </si>
  <si>
    <t>04141563909</t>
  </si>
  <si>
    <t>LAHUNETICA, URB LOS TEQUES CONUNTRY CLUB, LOS TEQUES</t>
  </si>
  <si>
    <t>YESSIKA MANAURE</t>
  </si>
  <si>
    <t>04141555536</t>
  </si>
  <si>
    <t>YESNAC@HOTMAIL.COM</t>
  </si>
  <si>
    <t>26-07-2024</t>
  </si>
  <si>
    <t>OE-CCLC198</t>
  </si>
  <si>
    <t>SARAY VEGA</t>
  </si>
  <si>
    <t>04242774599</t>
  </si>
  <si>
    <t>ROSA GOMEZ</t>
  </si>
  <si>
    <t>04142231821</t>
  </si>
  <si>
    <t>ROSAELVIRAGOMEZSANCHEZ@GMAIL.COM</t>
  </si>
  <si>
    <t>OE-CCLC199</t>
  </si>
  <si>
    <t>LUCIANA DUBAY CASTILLO GRIMAN</t>
  </si>
  <si>
    <t>04124367458</t>
  </si>
  <si>
    <t>ARIANNY GRIMAN</t>
  </si>
  <si>
    <t>04242591070</t>
  </si>
  <si>
    <t>griannygriman@gmail.com</t>
  </si>
  <si>
    <t xml:space="preserve">IC2 </t>
  </si>
  <si>
    <t>OE-CCLC200</t>
  </si>
  <si>
    <t>CONSTANZA VITTORIA LA PIRA DUEÑAS</t>
  </si>
  <si>
    <t>04242557860</t>
  </si>
  <si>
    <t>DUSAY DE LA CRUZ DUEÑAS GONZALEZ</t>
  </si>
  <si>
    <t>04142566229</t>
  </si>
  <si>
    <t>DUSAYDELAC@GMAIL.COM</t>
  </si>
  <si>
    <t>23-08-2024</t>
  </si>
  <si>
    <t>Carp N°3, Seccion 1</t>
  </si>
  <si>
    <t>OE-CCLC201</t>
  </si>
  <si>
    <t>STEPHANIA SALMERAN GUERRA</t>
  </si>
  <si>
    <t>STEPHANIA.SALMERAN@GMAIL.COM</t>
  </si>
  <si>
    <t>04142297701</t>
  </si>
  <si>
    <t>MARISELA GUERRA</t>
  </si>
  <si>
    <t>04141243233</t>
  </si>
  <si>
    <t>MARISELAGUERRAS@GMAIL.COM</t>
  </si>
  <si>
    <t>24-08-24</t>
  </si>
  <si>
    <t>OE-CCLC202</t>
  </si>
  <si>
    <t>MARCELA KAHWASTY</t>
  </si>
  <si>
    <t>ELISA RIVAS</t>
  </si>
  <si>
    <t>04246933097</t>
  </si>
  <si>
    <t>OE-CCLC203</t>
  </si>
  <si>
    <t>DARILYN  SOFIA GONZALEZ SUAREZ</t>
  </si>
  <si>
    <t>SUAREZSOFIX@MAIL.COM</t>
  </si>
  <si>
    <t>04127349551</t>
  </si>
  <si>
    <t>LOMAS DE URQUIA, CARRIZAL</t>
  </si>
  <si>
    <t>LUIS CONZALEZ</t>
  </si>
  <si>
    <t>0412584090</t>
  </si>
  <si>
    <t>LUISGONZALEZ16591436@GMAIL.COM</t>
  </si>
  <si>
    <t>27-08-202</t>
  </si>
  <si>
    <t>OE-CCLC204</t>
  </si>
  <si>
    <t>ISABELLA VICTORIA ANDRADE GONZALZ</t>
  </si>
  <si>
    <t>ISAVICAG@GMAIL.COM</t>
  </si>
  <si>
    <t>04244684284</t>
  </si>
  <si>
    <t>URB SIMON BOLIVAR EDIF 10 LOS TEQUES</t>
  </si>
  <si>
    <t>ROSA VIRGINIA GONZALEZ TORRES</t>
  </si>
  <si>
    <t>04141030667</t>
  </si>
  <si>
    <t>ROSSVIRG13@GMAIL.COM</t>
  </si>
  <si>
    <t>OE-CCLC205</t>
  </si>
  <si>
    <t>KENYERLIN ALEXANDRA RAMIREZ ROJAS</t>
  </si>
  <si>
    <t>KLLRMRZ@GMIL.COM</t>
  </si>
  <si>
    <t>0424201772</t>
  </si>
  <si>
    <t>LOS TE QUES, URB QUENDA</t>
  </si>
  <si>
    <t>BELKIS ROJAS</t>
  </si>
  <si>
    <t>04140320040</t>
  </si>
  <si>
    <t>BELKIX_36@HOTMAIL.COM</t>
  </si>
  <si>
    <t>HBS</t>
  </si>
  <si>
    <t>OE-CCLC206</t>
  </si>
  <si>
    <t>JESUS LEJANDRO REGALADO VRGAS</t>
  </si>
  <si>
    <t>JESUSREGLADO@GMAIL.COM</t>
  </si>
  <si>
    <t>04241951682</t>
  </si>
  <si>
    <t>RES LA QUINTA TERRAZA 7</t>
  </si>
  <si>
    <t>17-09-2</t>
  </si>
  <si>
    <t>OE-CCLC207</t>
  </si>
  <si>
    <t>MARIA JOSE PEREZ</t>
  </si>
  <si>
    <t>MARIAJPQ2016@GMAIL.COM</t>
  </si>
  <si>
    <t>04242314955</t>
  </si>
  <si>
    <t>18-09-24</t>
  </si>
  <si>
    <t>OE-CCLC208</t>
  </si>
  <si>
    <t>XIARA ANTONELLA INFANTE SANCHEZ</t>
  </si>
  <si>
    <t>LOS TEQUES, URB LA QUINTA</t>
  </si>
  <si>
    <t>XIONMAR SANCHEZ</t>
  </si>
  <si>
    <t>04123762145</t>
  </si>
  <si>
    <t>XIORU15@GMAIL.COM</t>
  </si>
  <si>
    <t>OE-CCLC209</t>
  </si>
  <si>
    <t>ASHLY NATAIA MOLINA</t>
  </si>
  <si>
    <t>MAIA ELENA VASQUEZ SANCHEZ</t>
  </si>
  <si>
    <t>04122100480</t>
  </si>
  <si>
    <t>MARIAELENAVASQUEZ217@GMAIL.COM</t>
  </si>
  <si>
    <t>20-09-24</t>
  </si>
  <si>
    <t>OE-CCLC210</t>
  </si>
  <si>
    <t>GABRIEL ALEXANDER DÍAZ BARRETO</t>
  </si>
  <si>
    <t>23/09/2024</t>
  </si>
  <si>
    <t>Carrizal, calle las Américas Subida Barola</t>
  </si>
  <si>
    <t>Irma Alexandra Díaz Barreto</t>
  </si>
  <si>
    <t>04149332272</t>
  </si>
  <si>
    <t>IRMADÍAZ0710@GMAIL.COM</t>
  </si>
  <si>
    <t>Sáb.8:00 A 11:30 AM</t>
  </si>
  <si>
    <t>23-09-24</t>
  </si>
  <si>
    <t>$300 ($100 DIV / $200 Zel.)</t>
  </si>
  <si>
    <t>OE-CCLC211</t>
  </si>
  <si>
    <t>JEREMÍAS JAUIER COLINA CARVAJAL</t>
  </si>
  <si>
    <t>25/09/2024</t>
  </si>
  <si>
    <t>JOLIANACARVAJAL@HOTMAIL.COM</t>
  </si>
  <si>
    <t>04141347955</t>
  </si>
  <si>
    <t>Av. El Lago. Qta. 26-D Aguanilé Colinas de Carrizal</t>
  </si>
  <si>
    <t>Yoliana Carolina Carvajal Dudamel</t>
  </si>
  <si>
    <t>OE-CCLC212</t>
  </si>
  <si>
    <t>JONAS JAVIER COLINA CARVAJAL</t>
  </si>
  <si>
    <t>02123835838</t>
  </si>
  <si>
    <t>OE-CCLC213</t>
  </si>
  <si>
    <t xml:space="preserve">FABIO FAVRIN </t>
  </si>
  <si>
    <t>JFAVRIN@GMAIL.COM</t>
  </si>
  <si>
    <t>0414 3898561</t>
  </si>
  <si>
    <t>Urb. llano Alto, Residencia Cocoli</t>
  </si>
  <si>
    <t xml:space="preserve">Javier Favrin </t>
  </si>
  <si>
    <t>04143083761</t>
  </si>
  <si>
    <t>25-09-24</t>
  </si>
  <si>
    <t>OE-CCLC214</t>
  </si>
  <si>
    <t xml:space="preserve">ALESSANDRA FAVRIN </t>
  </si>
  <si>
    <t>OE-CCLC215</t>
  </si>
  <si>
    <t>MARIAURY YOHANA DABOIN YUSTA</t>
  </si>
  <si>
    <t>30/09/2024</t>
  </si>
  <si>
    <t>GIORGINAZ12@GMAIL.COM</t>
  </si>
  <si>
    <t>04122196730</t>
  </si>
  <si>
    <t>Urb. Pozo de Rosa Sector Ventorrillo, San Pedro</t>
  </si>
  <si>
    <t>Clara Georgia Ziret</t>
  </si>
  <si>
    <t>LUNES Y MIÉRCOLES 5:40 a 7:10PM</t>
  </si>
  <si>
    <t>30-09-24</t>
  </si>
  <si>
    <t>$320 EFECTIVO/PAGO MOVIL</t>
  </si>
  <si>
    <t>OE-CCLC216</t>
  </si>
  <si>
    <t>JUAN PABLO RIVERO CARRILLO</t>
  </si>
  <si>
    <t>MAYCAR77@GMAIL.COM</t>
  </si>
  <si>
    <t>04123794786</t>
  </si>
  <si>
    <t>Colinas de Carrizal, Residencia Colinas de Carrizal</t>
  </si>
  <si>
    <t>MAIRIM DE LA ROSA CARRILLO GARCÍA</t>
  </si>
  <si>
    <t>MAICAR77@GMAIL.COM</t>
  </si>
  <si>
    <t>PRIMARY</t>
  </si>
  <si>
    <t>MARTES Y JUEVES 2:20-3:50PM</t>
  </si>
  <si>
    <t>ABONO $160/RESTANTE 160$</t>
  </si>
  <si>
    <t>OE-CCLC217</t>
  </si>
  <si>
    <t>CAMILA VALENTINA AVOLIO DE FARÍA</t>
  </si>
  <si>
    <t>LUDMILADEFARIA@GMAIL.COM</t>
  </si>
  <si>
    <t>04241164606</t>
  </si>
  <si>
    <t>SAN ANTONIO DE LOS ALTOS, URB. LA MORITA. RES. LAS TRINITARIAS</t>
  </si>
  <si>
    <t>LUDMILA DE FARÍA LABRADOR</t>
  </si>
  <si>
    <t>04120990788</t>
  </si>
  <si>
    <t>PENDIENTE POR DEFINIR</t>
  </si>
  <si>
    <t>PAGO CONTADO 360$</t>
  </si>
  <si>
    <t>OE-CCLC218</t>
  </si>
  <si>
    <t>ANA ISABELLA CARRASQUEL MOLINA</t>
  </si>
  <si>
    <t>ONATMOLINA@GMAIL.COM</t>
  </si>
  <si>
    <t>04149175115</t>
  </si>
  <si>
    <t>SAN ANTONIO</t>
  </si>
  <si>
    <t>ANA TERESA MOLINA</t>
  </si>
  <si>
    <t>ABONO $300/PENDIENTE $60</t>
  </si>
  <si>
    <t>OE-CCLC219</t>
  </si>
  <si>
    <t>SAMANTHA ALEXANDRA SANTIAGO MORA</t>
  </si>
  <si>
    <t>SILVIANA12.MORIN@GMAIL.COM</t>
  </si>
  <si>
    <t>04123704723</t>
  </si>
  <si>
    <t>CARRIZAL POTRERITO#1 SECTOR LA CANCHA</t>
  </si>
  <si>
    <t>SILVIANA MORIN BELLO</t>
  </si>
  <si>
    <t>PAGO FINANCIADO 140$/ ABONO 100$/ RESTO 55$ (40$, 15$ LIBRO) LO REALIZA POR PAGO MOVIL</t>
  </si>
  <si>
    <t>OE-CCLC220</t>
  </si>
  <si>
    <t>MÍA ISABELLA HERRERA</t>
  </si>
  <si>
    <t>RUTHSITAMIA28@GMAIL.COM</t>
  </si>
  <si>
    <t>04122407239</t>
  </si>
  <si>
    <t>MONTAÑA ALTA, RESIDENCIAS COLINAS DE CARRIZAL TORRE C</t>
  </si>
  <si>
    <t>RUTH DE TERREIRA</t>
  </si>
  <si>
    <t>MARTES-JUEVES 4:00 A 5:30 PM</t>
  </si>
  <si>
    <t>Carp N°3, Seccion 2</t>
  </si>
  <si>
    <t>OE-CCLC221</t>
  </si>
  <si>
    <t>AMAOA VICTORIA GALINDEZ MARTIN</t>
  </si>
  <si>
    <t>BRIGITTEMARTIN84@GMAIL.COM</t>
  </si>
  <si>
    <t>04241398749</t>
  </si>
  <si>
    <t>MONTAÑA ALTA EDF. J PISO 11 APT. 11-4</t>
  </si>
  <si>
    <t>BRIGITTE JOSLAY MARTIN SERNA</t>
  </si>
  <si>
    <t>140$ (1-3)</t>
  </si>
  <si>
    <t>OE-CCLC222</t>
  </si>
  <si>
    <t>ISABELLA VICTORIA GALINDEZ MARTIN</t>
  </si>
  <si>
    <t>OE-CCLC223</t>
  </si>
  <si>
    <t>SILVANA DI EUGENIO</t>
  </si>
  <si>
    <t>VALENTINA_LADO@YAHOO.COM</t>
  </si>
  <si>
    <t>04141255985</t>
  </si>
  <si>
    <t>URB. EL GOLF. CARRIZAL</t>
  </si>
  <si>
    <t>SARA VALENTINA LADO</t>
  </si>
  <si>
    <t>04129025119</t>
  </si>
  <si>
    <t>HIGH SCHOOL 1</t>
  </si>
  <si>
    <t>OE-CCLC224</t>
  </si>
  <si>
    <t>PAULA DI EUGENIO</t>
  </si>
  <si>
    <t>OE-CCLC225</t>
  </si>
  <si>
    <t xml:space="preserve">MARÍA CHIQUINQUIRA PETIT SÁCHEZ </t>
  </si>
  <si>
    <t>MESMORANTE20@GMAIL.COM</t>
  </si>
  <si>
    <t>04143072182</t>
  </si>
  <si>
    <t>URB. LOS NUEVOS TEQUES, RES. LOS SAMANES, PISO 5 APTO. 53</t>
  </si>
  <si>
    <t>MARÍA ELISA SÁNCHEZ</t>
  </si>
  <si>
    <t>0424 8941679</t>
  </si>
  <si>
    <t xml:space="preserve">PRE-PRIMARY </t>
  </si>
  <si>
    <t>OE-CCLC226</t>
  </si>
  <si>
    <t>SANTIAGO ALEXANDER ALARCÓN GOMÉZ</t>
  </si>
  <si>
    <t>VIVI_1403@HOTMAIL.COM</t>
  </si>
  <si>
    <t>04120134833</t>
  </si>
  <si>
    <t>EDIF. APURE LLANO ALTO CARRIZAL</t>
  </si>
  <si>
    <t>VIVIANA  ALICIA DEL VALLE GÓMEZ COVA</t>
  </si>
  <si>
    <t>OE-CCLC227</t>
  </si>
  <si>
    <t>VIVIANA ALICIA DEL VALLE GÓMEZ COVA</t>
  </si>
  <si>
    <t>LUNES Y MIERCOLES 5:40 7:10</t>
  </si>
  <si>
    <t xml:space="preserve">ABONO 100$/ 320$ </t>
  </si>
  <si>
    <t>OE-CCLC228</t>
  </si>
  <si>
    <t>JOSEPH EGIDIO DIAS FARINHA</t>
  </si>
  <si>
    <t>JOSEPHDIAS4299@GMAIL.COM</t>
  </si>
  <si>
    <t>04127111515</t>
  </si>
  <si>
    <t>SAN PEDRO DE LOS ALTOS, SECTOR LA FLORIDA, CASA N.1</t>
  </si>
  <si>
    <t>INDEPENT USER 3</t>
  </si>
  <si>
    <t>OE-CCLC229</t>
  </si>
  <si>
    <t>MARIANA LAURA GARCIA BLANCO</t>
  </si>
  <si>
    <t>14/10/2024</t>
  </si>
  <si>
    <t>EUDNY.BUN@GMAIL.COM</t>
  </si>
  <si>
    <t>04129716478</t>
  </si>
  <si>
    <t>COLINAS DE CARRIZAL, URB GOLF CASA 81</t>
  </si>
  <si>
    <t>EUDNY BLANCO</t>
  </si>
  <si>
    <t>04241536090</t>
  </si>
  <si>
    <t>OE-CCLC230</t>
  </si>
  <si>
    <t xml:space="preserve">DIEGO GUZMAN </t>
  </si>
  <si>
    <t>KELLYRAMIREZ80@GMAIL.COM</t>
  </si>
  <si>
    <t>04123917559</t>
  </si>
  <si>
    <t>URBANIZACIÓN QUENDA, EDIFICIO BELLORAL</t>
  </si>
  <si>
    <t xml:space="preserve">SÁBADO 8:00 AM @ 11:30 AM </t>
  </si>
  <si>
    <t>320$</t>
  </si>
  <si>
    <t>OE-CCLC231</t>
  </si>
  <si>
    <t>NERYMAR VALENTINA REQUENA DOS SANTOS</t>
  </si>
  <si>
    <t>REQUENANERY02@GMAIL.COM</t>
  </si>
  <si>
    <t>04242261736</t>
  </si>
  <si>
    <t>Los Teques, Solar de la Quinta.</t>
  </si>
  <si>
    <t>XIOMARA DOS SANTOS</t>
  </si>
  <si>
    <t>04141510078</t>
  </si>
  <si>
    <t>360$ PAGO CONTADO</t>
  </si>
  <si>
    <t>OE-CCLC232</t>
  </si>
  <si>
    <t>DIEGO FABRIZZIO GARUFI GIMENEZ</t>
  </si>
  <si>
    <t>04121989664</t>
  </si>
  <si>
    <t>URB EL RETIRO RES BUCARAL EDIF ANAUCO PISO 2 A-22</t>
  </si>
  <si>
    <t>YURAIMA GIMENEZ</t>
  </si>
  <si>
    <t>GIMENEZRYURAIMA@GMAIL.COM</t>
  </si>
  <si>
    <t>LUNES Y MIERCOLES 2:20PM A 3:50PM</t>
  </si>
  <si>
    <t>100$ 1 DE 3</t>
  </si>
  <si>
    <t>OE-CCLC233</t>
  </si>
  <si>
    <t>SEBASTIAN DAVID MOLINA ABREU</t>
  </si>
  <si>
    <t>MARIADANIELAABREU30@GMAIL.COM</t>
  </si>
  <si>
    <t>04241603010</t>
  </si>
  <si>
    <t>CARRIZAL SECTOR JOSE MANUEL ALVAREZ CALLE 8</t>
  </si>
  <si>
    <t>DANIELA ABREU</t>
  </si>
  <si>
    <t>FINANCIADO MONTO TOTAL 420$</t>
  </si>
  <si>
    <t>OE-CCLC234</t>
  </si>
  <si>
    <t>CARLOS GONZALEZ</t>
  </si>
  <si>
    <t>04242201104</t>
  </si>
  <si>
    <t>MARIA G. MARTINEZ</t>
  </si>
  <si>
    <t>LUNES Y MIERCOLES 5:40PM A 7:10PM</t>
  </si>
  <si>
    <t>CONTADO 360$</t>
  </si>
  <si>
    <t>OE-CCLC235</t>
  </si>
  <si>
    <t>MIA CARRIZO</t>
  </si>
  <si>
    <t>TEQUEFRENOS@HOTMAIL.COM</t>
  </si>
  <si>
    <t>04141874104</t>
  </si>
  <si>
    <t>AV LA COLINA RES PARQUE LOS CHAGUARAMOS</t>
  </si>
  <si>
    <t>JOSELIN MARCANO</t>
  </si>
  <si>
    <t>MERCADOJK@HOTMAIL.COM</t>
  </si>
  <si>
    <t>MARTES Y JUEVES 4:00PM A 5:30PM</t>
  </si>
  <si>
    <t>OE-CCLC236</t>
  </si>
  <si>
    <t>ARLIX FARIAS AGUILAR</t>
  </si>
  <si>
    <t>04143466992</t>
  </si>
  <si>
    <t>URB MONTAÑA ALTA TORRE 4  PISO 7 APTO 72</t>
  </si>
  <si>
    <t>LIXMAR  AGUILAR</t>
  </si>
  <si>
    <t>OE-CCLC237</t>
  </si>
  <si>
    <t>CHARLOTTE ANDRADE</t>
  </si>
  <si>
    <t>YOSELINANDRADE99@GMAIL.COM</t>
  </si>
  <si>
    <t>0424-4978793</t>
  </si>
  <si>
    <t>URB LA HONDONADA CASA Nº 7 AV PRINCIPAL LOS MONTES VERDES , LOS TEQUES</t>
  </si>
  <si>
    <t>YOSELIN ANDRADE</t>
  </si>
  <si>
    <t>MARTES Y JUEVES 2:20PM A 3:50PM</t>
  </si>
  <si>
    <t>CONTADO 320$ ZELLE</t>
  </si>
  <si>
    <t>OE-CCLC238</t>
  </si>
  <si>
    <t>VICTORIA ANTONELLA MOGOLLON</t>
  </si>
  <si>
    <t>CARRETERA PANAMERICANA KILOMETRO 21 CASCADA MAGICA</t>
  </si>
  <si>
    <t>YARIBIC NATALI BENITES ANTEQUERA</t>
  </si>
  <si>
    <t>YARIBICBENITES@GMAIL.COM</t>
  </si>
  <si>
    <t>LUNES Y MIERCOLES 4:00PM A 5:30 PM</t>
  </si>
  <si>
    <t>110$ COUTAS 1 DE 3 (PAGO MOVIL)</t>
  </si>
  <si>
    <t>OE-CCLC239</t>
  </si>
  <si>
    <t>MATTHEA BEHNA</t>
  </si>
  <si>
    <t>0414-9272839</t>
  </si>
  <si>
    <t>YALILA DAHHAN</t>
  </si>
  <si>
    <t>YALIDM@HOTMAIL.COM</t>
  </si>
  <si>
    <t>CONTADO 270$</t>
  </si>
  <si>
    <t>Carp Nº 3  Seccion 3</t>
  </si>
  <si>
    <t>OE-CCLC240</t>
  </si>
  <si>
    <t>JEAN PAUL BEHNA</t>
  </si>
  <si>
    <t xml:space="preserve">SAN ANTONIO DE LOS ALTOS </t>
  </si>
  <si>
    <t>OE-CCLC241</t>
  </si>
  <si>
    <t>MOISES EDUARDO RODRIGUEZ IBARRA</t>
  </si>
  <si>
    <t>IBARRAELISMIR9@GMAIL.COM</t>
  </si>
  <si>
    <t>0414-2399062</t>
  </si>
  <si>
    <t>URB ROSALEDA SUR  EDIF ORITUCO APTO 3A</t>
  </si>
  <si>
    <t>ELISMIR DEL CARMEN IBARRA LUGO</t>
  </si>
  <si>
    <t>0424-2399062</t>
  </si>
  <si>
    <t>VIERNESS 2:30 A 5:40</t>
  </si>
  <si>
    <t>OE-CCLC242</t>
  </si>
  <si>
    <t>ARCADIO FARIAS AGUILAR</t>
  </si>
  <si>
    <t>dra.lixmaraguilar@gmail.com</t>
  </si>
  <si>
    <t>0414-3466992</t>
  </si>
  <si>
    <t>0424-1040732</t>
  </si>
  <si>
    <t>LUNES Y MIERCOLES 4.00PM A 5.30PM</t>
  </si>
  <si>
    <t>OE-CCLC243</t>
  </si>
  <si>
    <t>HENDRYKA SEIJAS</t>
  </si>
  <si>
    <t>LLANO ALTO URB SAN FRANCISCO</t>
  </si>
  <si>
    <t>HENDRIKA GARCIA</t>
  </si>
  <si>
    <t>0414-3257737</t>
  </si>
  <si>
    <t>HENDRIKA17GARCIA05@GMAIL.COM</t>
  </si>
  <si>
    <t>70$ FALTAN 250$</t>
  </si>
  <si>
    <t>OE-CCLC244</t>
  </si>
  <si>
    <t>MARTIN ALMONETTI</t>
  </si>
  <si>
    <t>almonettimartin@gmail.com</t>
  </si>
  <si>
    <t>0414-2541819</t>
  </si>
  <si>
    <t>OE-CCLC245</t>
  </si>
  <si>
    <t>NUSKARY MUJICA</t>
  </si>
  <si>
    <t>nuskarymujica05@gmail.com</t>
  </si>
  <si>
    <t>0424-2109694</t>
  </si>
  <si>
    <t>AV EL LAGO URB MONTAÑA ALTA TORRE 6 PISO 12 APTO 3</t>
  </si>
  <si>
    <t>CARLOS ENRIQUE MUJICA DAZA</t>
  </si>
  <si>
    <t>0414-3386699</t>
  </si>
  <si>
    <t>HIGH SCHOOL BASIC</t>
  </si>
  <si>
    <t>SABADO 8.00AM A 11:30AM</t>
  </si>
  <si>
    <t>OE-CCLC246</t>
  </si>
  <si>
    <t>JUAN DIEGO ARROLLO BARROSO</t>
  </si>
  <si>
    <t>mariselabarroso260@gmail.com</t>
  </si>
  <si>
    <t>0424-2297850</t>
  </si>
  <si>
    <t>QUINTANA, SAN ANTONIO DE LOS ALTOS</t>
  </si>
  <si>
    <t>MARISELA BARROSO</t>
  </si>
  <si>
    <t>0424-2380894</t>
  </si>
  <si>
    <t>MARTES Y JUEVES 5.40PM A 7:10PM</t>
  </si>
  <si>
    <t>OE-CCLC247</t>
  </si>
  <si>
    <t>DIGNA LEONOR SALCEDO MEDINA</t>
  </si>
  <si>
    <t>salcedodigna7@gmail.com</t>
  </si>
  <si>
    <t>0416-6291528</t>
  </si>
  <si>
    <t>MONTAÑA ALTA EDIF 10</t>
  </si>
  <si>
    <t>LUNES Y MIERCOLES 5.40 A 7.10</t>
  </si>
  <si>
    <t>OE- CCLC248</t>
  </si>
  <si>
    <t>NESTOR SALVADOR CAVALIERI SIMOZA</t>
  </si>
  <si>
    <t>esnatlim@gmail.com</t>
  </si>
  <si>
    <t>0424-2347732</t>
  </si>
  <si>
    <t>URB PAN DE AZUCAR C/ EL BOSQUE N° 296 COLINAS DE CARRIZAL EDO MIRANDA</t>
  </si>
  <si>
    <t>ESNATLIM ELENA SIMOZA</t>
  </si>
  <si>
    <t>0424-3627990</t>
  </si>
  <si>
    <t>SABADO EN FORMACION</t>
  </si>
  <si>
    <t>OE-CCLC249</t>
  </si>
  <si>
    <t>ANDRES ENRIQUE ORDOÑEZ ESCALANTE</t>
  </si>
  <si>
    <t>andresores2004@gmail.com</t>
  </si>
  <si>
    <t>0424-1684896</t>
  </si>
  <si>
    <t>CLIB DE CAMPO CALLE EL MIRADOR</t>
  </si>
  <si>
    <t>IC3</t>
  </si>
  <si>
    <t>FINANCIADO (3) 140$</t>
  </si>
  <si>
    <t>OE-CCLC250</t>
  </si>
  <si>
    <t>MIRANDA SCIARRONE VILLANUEVA</t>
  </si>
  <si>
    <t>0424-2635911</t>
  </si>
  <si>
    <t>URB LA ROSALEDA EDIF META SAN ANTONIO DE LOS ALTOS</t>
  </si>
  <si>
    <t>0424-1050545</t>
  </si>
  <si>
    <t>pre primary 1</t>
  </si>
  <si>
    <t>lunes Y MIERCOLES 4.00 A 5.30pm</t>
  </si>
  <si>
    <t>OE-CCLC251</t>
  </si>
  <si>
    <t>ALESSIA LABASTIDAS</t>
  </si>
  <si>
    <t>rsotillo888@gmail.com</t>
  </si>
  <si>
    <t>0412-5845056</t>
  </si>
  <si>
    <t>SAN ANTONIO DE LOS ALTOS URB SAN JUAN</t>
  </si>
  <si>
    <t>REBECA SOTILLO DENIS</t>
  </si>
  <si>
    <t>RSOTILLO888@GMAIL.COM</t>
  </si>
  <si>
    <t>OE-CCLC252</t>
  </si>
  <si>
    <t>IGNACIO ANDRES DELGADO DELGADO</t>
  </si>
  <si>
    <t>alexandra_DDG@hotmail.com</t>
  </si>
  <si>
    <t>0412-6103831</t>
  </si>
  <si>
    <t>URB SOLAR DE LA QUINTA 4TA ETAPA</t>
  </si>
  <si>
    <t>ALEXANDRA DEL VALLE DELGADO GUERRERO</t>
  </si>
  <si>
    <t>0414-1200908</t>
  </si>
  <si>
    <t>MITAD Y MITAD 160$</t>
  </si>
  <si>
    <t>OE-CCLC253</t>
  </si>
  <si>
    <t>JOSUE SANCHEZ</t>
  </si>
  <si>
    <t>OE-CCLC254</t>
  </si>
  <si>
    <t>JOSIEL  CAMILO SANCHEZ</t>
  </si>
  <si>
    <t>OE-CCLC255</t>
  </si>
  <si>
    <t>SAMUEL DAVID VARGAS VARGAS</t>
  </si>
  <si>
    <t>KARLA FERNANDA VARGAS ARTEAGA</t>
  </si>
  <si>
    <t>0412-9548190</t>
  </si>
  <si>
    <t>KVARGAS2705@GMAIL.COM</t>
  </si>
  <si>
    <t xml:space="preserve">4 CUOTAS DE 115$ </t>
  </si>
  <si>
    <t>OE-CCLC256</t>
  </si>
  <si>
    <t>ANNARELLA MARIA CAPOTE SIERRA</t>
  </si>
  <si>
    <t>ROANNYSSIERRA@GMAIL.COM</t>
  </si>
  <si>
    <t>04127009320</t>
  </si>
  <si>
    <t>ROANNYS SIERRA</t>
  </si>
  <si>
    <t>0412-7009320</t>
  </si>
  <si>
    <t>360$</t>
  </si>
  <si>
    <t>OE-CCLC257</t>
  </si>
  <si>
    <t>GIANNA ANTONELLA CAPOTE SIERRA</t>
  </si>
  <si>
    <t>SABADO 8:00 A 11:30</t>
  </si>
  <si>
    <t>OE-CCLC258</t>
  </si>
  <si>
    <t>MARIA PAULA ALVAREZ DELUQUEZ</t>
  </si>
  <si>
    <t>Laura.Luquez10910@gmail.com</t>
  </si>
  <si>
    <t>0412-6230050</t>
  </si>
  <si>
    <t>LOS TEQUES EL VIGIA CALLE LIBERTADOR</t>
  </si>
  <si>
    <t>LAURA MARIA DELUQUEZ OROZCO</t>
  </si>
  <si>
    <t>0424-1534989</t>
  </si>
  <si>
    <t>Laura.Lueuqez10910@gmail.com</t>
  </si>
  <si>
    <t>4 COUTAS DE 140$</t>
  </si>
  <si>
    <t>OE-CCLC259</t>
  </si>
  <si>
    <t>ORLEMS DAVID GARCIA PRIETO</t>
  </si>
  <si>
    <t>orlemysgalilea82@gmail.com</t>
  </si>
  <si>
    <t>0412-2068698</t>
  </si>
  <si>
    <t>LOS TEQUES LA MATICA CALLE FEDERACION</t>
  </si>
  <si>
    <t>LUNES Y MIERCOLES 5.40PM A 7.10PM</t>
  </si>
  <si>
    <t>4 COUTAS 140$</t>
  </si>
  <si>
    <t>Carp Nº 3  Seccion 4</t>
  </si>
  <si>
    <t>OE-CCLC260</t>
  </si>
  <si>
    <t>JOSYBETH VALENTINA VELASQUEZ</t>
  </si>
  <si>
    <t>Josybeth.Velasquez@gmail.com</t>
  </si>
  <si>
    <t>0414-3656223</t>
  </si>
  <si>
    <t>pago paypal ( 260 + 120)</t>
  </si>
  <si>
    <t>OE-CCLC261</t>
  </si>
  <si>
    <t>MATHIAS RABBAT</t>
  </si>
  <si>
    <t>04241992230</t>
  </si>
  <si>
    <t>URB QUENDA RESIDENCIAS Q</t>
  </si>
  <si>
    <t>YISELL ABSALOW</t>
  </si>
  <si>
    <t>AYISELL@HOTMAIL.COM</t>
  </si>
  <si>
    <t>360$ CONTADO</t>
  </si>
  <si>
    <t>OE-CCLC262</t>
  </si>
  <si>
    <t>ALESSANDRA PIMENTEL</t>
  </si>
  <si>
    <t>ALESSVALE2609@GMAIL.COM</t>
  </si>
  <si>
    <t>0416-6229440</t>
  </si>
  <si>
    <t>LA CASCARITA EDIF 4</t>
  </si>
  <si>
    <t>ZULLYMAR MARTINEZ</t>
  </si>
  <si>
    <t>0416-4181629</t>
  </si>
  <si>
    <t>ZUMARTINEZ@GMAIL.COM</t>
  </si>
  <si>
    <t>LLUNES Y MIERCOLES 4.00PM A 5.30PM</t>
  </si>
  <si>
    <t>ABONO 60$ RESTAN 300</t>
  </si>
  <si>
    <t>OE-CCLC263</t>
  </si>
  <si>
    <t>LUCAS TREJO</t>
  </si>
  <si>
    <t>JESUSTREJO10@GMAIL.COM</t>
  </si>
  <si>
    <t>04125859264</t>
  </si>
  <si>
    <t>JESUS TREJO</t>
  </si>
  <si>
    <t>$360 DE CONTADO POR BINANCE</t>
  </si>
  <si>
    <t>OE-CCLC264</t>
  </si>
  <si>
    <t>ANA PÉREZ MATA</t>
  </si>
  <si>
    <t>ANDREA MATA</t>
  </si>
  <si>
    <t>MATAANDREA09@GMAIL.COM</t>
  </si>
  <si>
    <t>p1</t>
  </si>
  <si>
    <t>MARTES Y JUEVES 2:20 A 3:50</t>
  </si>
  <si>
    <t>$360 de contadop en efectivo</t>
  </si>
  <si>
    <t>OE-CCLC265</t>
  </si>
  <si>
    <t>DIEGO ANDRES RICO RODRIGUEZ</t>
  </si>
  <si>
    <t>DIEGORICO2809@GMAIL.COM</t>
  </si>
  <si>
    <t>04140271287</t>
  </si>
  <si>
    <t>SAN DIEGO DE LOS ALTOS, SECTOR LAS YEGUAS CALLE LAS PIEDRAS</t>
  </si>
  <si>
    <t>YORNELY RODRIGUEZ</t>
  </si>
  <si>
    <t>YORNELYRODRIGUEZ@GMAIL.COM</t>
  </si>
  <si>
    <t>OE-CCLC266</t>
  </si>
  <si>
    <t>PAOLLA GUEVARA</t>
  </si>
  <si>
    <t>PAOLLAGUEVARAAA11@GMAIL.COM</t>
  </si>
  <si>
    <t>04140271560</t>
  </si>
  <si>
    <t>LA MACARENA CALLE PRINCIPAL CASA N° 19</t>
  </si>
  <si>
    <t>CAROLINA HERRERA</t>
  </si>
  <si>
    <t>0424-2727957</t>
  </si>
  <si>
    <t>LESLYHB2211@GMAIL.COM</t>
  </si>
  <si>
    <t>LUNES Y MIERCOLES 5.40 A 7:10</t>
  </si>
  <si>
    <t>ABONO 100$</t>
  </si>
  <si>
    <t>OE-CCLC267</t>
  </si>
  <si>
    <t>WENDRY GARCIA</t>
  </si>
  <si>
    <t>GARCIAWENDRY2@GMAIL.COM</t>
  </si>
  <si>
    <t>0412-3365081</t>
  </si>
  <si>
    <t xml:space="preserve">COLINAS DE CARRIZAL CERRO GRANDE </t>
  </si>
  <si>
    <t>WENCESLAO GARCIA ORTEGA</t>
  </si>
  <si>
    <t>0412-0998907</t>
  </si>
  <si>
    <t>WENCESLAO_GARCIA@HOTMAIL.COM</t>
  </si>
  <si>
    <t>LUNES Y MIERCOLES 2.20 A 3.50</t>
  </si>
  <si>
    <t>OE-CCLC268</t>
  </si>
  <si>
    <t>JUAN DIEGO GONZALEZ YORK</t>
  </si>
  <si>
    <t>04241472552</t>
  </si>
  <si>
    <t>EL VIGIA CALLE LIBERTADOR CON FRANCESA</t>
  </si>
  <si>
    <t>MARIA DE LOIRDES YORK SANCHEZ</t>
  </si>
  <si>
    <t>0424-1472552</t>
  </si>
  <si>
    <t>VIERNES 2.30 A 5.40</t>
  </si>
  <si>
    <t>ABONO 200$</t>
  </si>
  <si>
    <t>OE-CCLC269</t>
  </si>
  <si>
    <t>ARIANNY ALEXANDRA SILVA</t>
  </si>
  <si>
    <t>18/08-2008</t>
  </si>
  <si>
    <t>SILVARIANNY777@GMAIL.COM</t>
  </si>
  <si>
    <t>0412-9237293</t>
  </si>
  <si>
    <t>URB SOLAR DE LA QUINTA TERRAZA 8A APTO 8A43 LOS TEQUES</t>
  </si>
  <si>
    <t>AURORA SEIJAS</t>
  </si>
  <si>
    <t>0424-1547186</t>
  </si>
  <si>
    <t>ASILVASEIJAS@YAHOO.COM</t>
  </si>
  <si>
    <t>HS3</t>
  </si>
  <si>
    <t>MARTES Y JUEVES 4.00 A 5.30</t>
  </si>
  <si>
    <t>HBS3</t>
  </si>
  <si>
    <t>PAGO 140$ 1 COUTA DE 3</t>
  </si>
  <si>
    <t>OE -CCLC270</t>
  </si>
  <si>
    <t>SANTIAGO ELIS MONIZ DIAZ</t>
  </si>
  <si>
    <t>GRACIELADIAZMOZ@GMAIL.COM</t>
  </si>
  <si>
    <t>0414-1014983</t>
  </si>
  <si>
    <t>SAN PEDRO DE LOS ALTOS VIA POZO DE ROSA</t>
  </si>
  <si>
    <t>JACQUELIS GRACIELA DIAZ LARA</t>
  </si>
  <si>
    <t>OE-CCLC271</t>
  </si>
  <si>
    <t>LISA ZHENG ZHONG</t>
  </si>
  <si>
    <t>0412-3703128</t>
  </si>
  <si>
    <t>HAIXIA ZHONG</t>
  </si>
  <si>
    <t>VIERNES 2.30 A5.40</t>
  </si>
  <si>
    <t>OE-CCLC272</t>
  </si>
  <si>
    <t>VICTORIA SANCHEZ</t>
  </si>
  <si>
    <t>0412-3386349</t>
  </si>
  <si>
    <t>URB LOS NUEVOS TEQUES EDIF ARAGUANEY PISO 5D</t>
  </si>
  <si>
    <t>PEDRO SANCHEZ</t>
  </si>
  <si>
    <t>0412-0224929</t>
  </si>
  <si>
    <t>SANCHEZPIX2023@GMAIL.COM</t>
  </si>
  <si>
    <t>SR JACKSON</t>
  </si>
  <si>
    <t xml:space="preserve">360$ </t>
  </si>
  <si>
    <t>OE-CCLC273</t>
  </si>
  <si>
    <t>NANCY MEDINA</t>
  </si>
  <si>
    <t>NM3_10@HOTMAIL.COM</t>
  </si>
  <si>
    <t>0414-3238647</t>
  </si>
  <si>
    <t>SAN ANTONIO URB VISTA AL VALLE</t>
  </si>
  <si>
    <t>ABONO 100$ RESTAN 260$</t>
  </si>
  <si>
    <t>OE-CCLC274</t>
  </si>
  <si>
    <t>SANTIAGO VELASQUEZ</t>
  </si>
  <si>
    <t>FRENANDO.V.2123@GMAIL.COM</t>
  </si>
  <si>
    <t>0412-7078132</t>
  </si>
  <si>
    <t>LOS TEQUES CALLE PAEZ CON CALLE JUNIN</t>
  </si>
  <si>
    <t>FERNANDO VELASQUEZ RODRIGUEZ</t>
  </si>
  <si>
    <t>0414-1361057</t>
  </si>
  <si>
    <t>FERNANDO.V.2123@GMAIL.COM</t>
  </si>
  <si>
    <t>MARTES Y JUEVES 2.20 A 3.50</t>
  </si>
  <si>
    <t>OE-CCLC275</t>
  </si>
  <si>
    <t>ANDREINA DEL VALLE PEREZ</t>
  </si>
  <si>
    <t>MJGR2030@GMAIL.COM</t>
  </si>
  <si>
    <t>0424-2468871</t>
  </si>
  <si>
    <t>LAGUNETICA URB SAN OMERO LOS TEQUES</t>
  </si>
  <si>
    <t>140$  1 COUTA DE 3</t>
  </si>
  <si>
    <t>OE-CCLC276</t>
  </si>
  <si>
    <t>BRYANT PAJARO</t>
  </si>
  <si>
    <t>RES LAS QUINTAS TERRAZA 8 APTO 8D-51</t>
  </si>
  <si>
    <t>GREISMAR ORIGEN</t>
  </si>
  <si>
    <t>CAMBIO DEL PICACHO</t>
  </si>
  <si>
    <t>OE-CCLC277</t>
  </si>
  <si>
    <t>ALANIS NIETO</t>
  </si>
  <si>
    <t>KARIN VILLAREAL</t>
  </si>
  <si>
    <t>0412-5759209</t>
  </si>
  <si>
    <t>ANDRESYALANIS1208@GMAIL.COM</t>
  </si>
  <si>
    <t>PAGA FINANCIADO 140$ 1 COUTA DE 3</t>
  </si>
  <si>
    <t>OE-CCLC278</t>
  </si>
  <si>
    <t>MARIANNY DOS SANTOS</t>
  </si>
  <si>
    <t>MARIANNYDOSSANTOS6@GMAIL.COM</t>
  </si>
  <si>
    <t>0424-2327536</t>
  </si>
  <si>
    <t>SAN PEDRO DE LOS ALTOS URB EL PORTALON</t>
  </si>
  <si>
    <t>ANNY ROQUELINA YANEZ NURIA</t>
  </si>
  <si>
    <t>YANEZANNY2@GMAIL.COM</t>
  </si>
  <si>
    <t>PAGO 320$</t>
  </si>
  <si>
    <t>OE-CCLC279</t>
  </si>
  <si>
    <t>MARIAM JIMENEZ</t>
  </si>
  <si>
    <t>MARIAMNATHALYJ@GMAIL.COM</t>
  </si>
  <si>
    <t>0424-1628191</t>
  </si>
  <si>
    <t>CARRIZAL YERBA BUENA</t>
  </si>
  <si>
    <t xml:space="preserve">PAGO CONTADO 360$ </t>
  </si>
  <si>
    <t>Carp N°3, Seccion5</t>
  </si>
  <si>
    <t>OE -CCLC280</t>
  </si>
  <si>
    <t>ISABELLA AGUILAR</t>
  </si>
  <si>
    <t>12/07/0207</t>
  </si>
  <si>
    <t>0424-2614723</t>
  </si>
  <si>
    <t>ASTRID MARIN</t>
  </si>
  <si>
    <t>OE-CCLC281</t>
  </si>
  <si>
    <t>AINHOA DOMINGUEZ</t>
  </si>
  <si>
    <t>0424-2745667</t>
  </si>
  <si>
    <t xml:space="preserve">LOS TEQUES </t>
  </si>
  <si>
    <t xml:space="preserve">ALEXANDRA INGRAFFIA </t>
  </si>
  <si>
    <t>COMPANY0808@GMAIL.COM</t>
  </si>
  <si>
    <t>OE-CCLC282</t>
  </si>
  <si>
    <t>ANDRE JOSE ARELLANO MONTERO</t>
  </si>
  <si>
    <t>ANDREJARELLANOM@GMAIL.COM</t>
  </si>
  <si>
    <t>0412-6167711</t>
  </si>
  <si>
    <t>URB CLUB DE CAMPO</t>
  </si>
  <si>
    <t>PROFICIENT USER 1</t>
  </si>
  <si>
    <t>MARTES Y JUEVES 5.40PM A 7.10PM</t>
  </si>
  <si>
    <t>OE-CCLC283</t>
  </si>
  <si>
    <t>DYLAN ESCALONA</t>
  </si>
  <si>
    <t>PEDUIMAR LOPEZ</t>
  </si>
  <si>
    <t>0412-7250433</t>
  </si>
  <si>
    <t>PEDUIMARLOPEZ@GMAIL.COM</t>
  </si>
  <si>
    <t>MARTES Y JUEVES 2:20 A 3.50</t>
  </si>
  <si>
    <t>OE-CCLC284</t>
  </si>
  <si>
    <t>THIAGO PEREZ</t>
  </si>
  <si>
    <t>DIANA LOPEZ</t>
  </si>
  <si>
    <t>DIANALOPEZ@GMAIL.COM</t>
  </si>
  <si>
    <t>OE-CCLC285</t>
  </si>
  <si>
    <t>CHRISTOFER ALEJANDRO ANDRADE</t>
  </si>
  <si>
    <t>CHRIS.7.13@HOTMAIL.COM</t>
  </si>
  <si>
    <t>0424-2674127</t>
  </si>
  <si>
    <t>MARTES Y JUEVES 5:40PM A 7.10PM</t>
  </si>
  <si>
    <t>OE-CCLC286</t>
  </si>
  <si>
    <t>EMMA FERNANDES</t>
  </si>
  <si>
    <t>0424-2204183</t>
  </si>
  <si>
    <t>LOS TEQUES RES NUEVOS TEQUES</t>
  </si>
  <si>
    <t>NORYELIG NAZARETH PERDOMO BRANDO</t>
  </si>
  <si>
    <t>LUNES Y MIERCOLES 4:00PM A 5.30PM</t>
  </si>
  <si>
    <t>OE-CCLC287</t>
  </si>
  <si>
    <t>JOHANA ALEJANDRA PATTI</t>
  </si>
  <si>
    <t>OORIANAYERENA@YAHOO.COM</t>
  </si>
  <si>
    <t>0424-1739396</t>
  </si>
  <si>
    <t>ORIANA YERENA</t>
  </si>
  <si>
    <t>0412-5912938</t>
  </si>
  <si>
    <t>ORIANAYERENA@YAHOO.COM</t>
  </si>
  <si>
    <t>OE-CCLC288</t>
  </si>
  <si>
    <t>AARON DIAZ</t>
  </si>
  <si>
    <t>0412-2720198</t>
  </si>
  <si>
    <t>ALEJANDRA BAQUERA</t>
  </si>
  <si>
    <t>0412-3868574</t>
  </si>
  <si>
    <t>MARTES Y JUEVES 2.20PM A 3.50PM</t>
  </si>
  <si>
    <t>OE-CCLC289</t>
  </si>
  <si>
    <t>ALAIA DIAZ</t>
  </si>
  <si>
    <t>OE-CCLC290</t>
  </si>
  <si>
    <t>MYLAN JESUS FLORES OROPEZA</t>
  </si>
  <si>
    <t>LIESKA_06@HOTMAIL.COM</t>
  </si>
  <si>
    <t>0424-2846036</t>
  </si>
  <si>
    <t>MONTAÑA ALTA</t>
  </si>
  <si>
    <t>LIESKA  OROPEZA</t>
  </si>
  <si>
    <t>OE-CCLC291</t>
  </si>
  <si>
    <t>ADAM MONTOYA</t>
  </si>
  <si>
    <t>AMIRAY33@HOTMAIL.COM</t>
  </si>
  <si>
    <t>OE-CCLC292</t>
  </si>
  <si>
    <t>RAMSES BALLESTEROS</t>
  </si>
  <si>
    <t>HARRYBALLESTEROS1981@HOTMAIL.COM</t>
  </si>
  <si>
    <t>0414-2693745</t>
  </si>
  <si>
    <t>COLINAS DE CARRIZAL CALLE BUCARE</t>
  </si>
  <si>
    <t>ANDRI ORTEGA</t>
  </si>
  <si>
    <t>MARTES Y JUEVES 4:00PM A 5.30PM</t>
  </si>
  <si>
    <t>OE-CCLC293</t>
  </si>
  <si>
    <t>DANIELA PEREIRA</t>
  </si>
  <si>
    <t>DANIELAPEREIRA52621@GMAIL.COM</t>
  </si>
  <si>
    <t>0412-7210072</t>
  </si>
  <si>
    <t>CALLE BAROLA CASA N° 4</t>
  </si>
  <si>
    <t>DANIELAPEREIRA</t>
  </si>
  <si>
    <t>LUNES Y MIERCOLES 5.40PM A 7:10PM</t>
  </si>
  <si>
    <t>OE-CCLC294</t>
  </si>
  <si>
    <t>MIA MORENO</t>
  </si>
  <si>
    <t>michaelmo310@gmail.com</t>
  </si>
  <si>
    <t>0414-0971624</t>
  </si>
  <si>
    <t>RES LOS HELECHOS TORREF APTO 141</t>
  </si>
  <si>
    <t>FRANKLIN MORENO</t>
  </si>
  <si>
    <t>0426-5902662</t>
  </si>
  <si>
    <t>OE-CCLC295</t>
  </si>
  <si>
    <t>MARTIN ROJAS</t>
  </si>
  <si>
    <t>0412-5605753</t>
  </si>
  <si>
    <t>EL TAMBOR URB QUENDA EDIF ALFA PISO 11</t>
  </si>
  <si>
    <t>HEIDY MILAGROS VERDU MUJICA</t>
  </si>
  <si>
    <t>VIERNES 2;30PM A 5:40PM</t>
  </si>
  <si>
    <t>OE-CCLC296</t>
  </si>
  <si>
    <t>FABIAN AVENDAÑO</t>
  </si>
  <si>
    <t>0412-2823142</t>
  </si>
  <si>
    <t>SAN DIEGO DE LOS ALTOS</t>
  </si>
  <si>
    <t>SANDRA LUGO</t>
  </si>
  <si>
    <t>LUNES Y MIERCOLES 2.20PM A 3.50PM</t>
  </si>
  <si>
    <t>OE-CCLC297</t>
  </si>
  <si>
    <t>AARON AVENDAÑO</t>
  </si>
  <si>
    <t>04121635117</t>
  </si>
  <si>
    <t>OE-CCLC298</t>
  </si>
  <si>
    <t>JUAN IGNACIO MONIZ DIAZ</t>
  </si>
  <si>
    <t>JAQUELI GRACIELA DIAZ MONIZ</t>
  </si>
  <si>
    <t>OE-CCLC299</t>
  </si>
  <si>
    <t>RICHELL MARTINEZ</t>
  </si>
  <si>
    <t>RICHELLV123@GMAIL.COM</t>
  </si>
  <si>
    <t>04125586217</t>
  </si>
  <si>
    <t>LOS TEQUES RAMO VERDE</t>
  </si>
  <si>
    <t>Carp N°4, Seccion 1</t>
  </si>
  <si>
    <t>OE-CCLC300</t>
  </si>
  <si>
    <t>CAROL ANDREA BARRADAS</t>
  </si>
  <si>
    <t>CAROLABM21@GMAIL.COM</t>
  </si>
  <si>
    <t>0414-0276560</t>
  </si>
  <si>
    <t>EL SOLAR DE LA QUINTA</t>
  </si>
  <si>
    <t>OE-CCLC301</t>
  </si>
  <si>
    <t>MARIA FERNANDA ALVAREZ PEREZ</t>
  </si>
  <si>
    <t>Maferalvprz@gmail.com</t>
  </si>
  <si>
    <t>04242212446</t>
  </si>
  <si>
    <t>LOS TEQUES , URB EL TRIGO EDIFICIO ESCORPION</t>
  </si>
  <si>
    <t>ORLANDO JOSE ALVAREZ REQUEZ</t>
  </si>
  <si>
    <t>0424-2458567</t>
  </si>
  <si>
    <t>alvarezsusana18@gmail.com</t>
  </si>
  <si>
    <t>OE-CCLC302</t>
  </si>
  <si>
    <t>YISEL VICTORIA ADRIAN GONZALEZ</t>
  </si>
  <si>
    <t>Gyelitza778@gmail.com</t>
  </si>
  <si>
    <t>04128039135</t>
  </si>
  <si>
    <t>KM 34 PUERTA MORADA  SECTOR PUINKI</t>
  </si>
  <si>
    <t>YELITZA GONZALEZ</t>
  </si>
  <si>
    <t>0412-8039135</t>
  </si>
  <si>
    <t>yelica-78@hotmail.com</t>
  </si>
  <si>
    <t>LUNES Y JUEVES 2.20PM A 3.50PM</t>
  </si>
  <si>
    <t>OE-CClC303</t>
  </si>
  <si>
    <t>SOFIA GUERRA</t>
  </si>
  <si>
    <t>annasqi0408@gmail.com</t>
  </si>
  <si>
    <t>04241958648</t>
  </si>
  <si>
    <t>LOS TEQUES- ALTO VERDE</t>
  </si>
  <si>
    <t>ANA CARDENAS</t>
  </si>
  <si>
    <t>carissma29@hotmail.com</t>
  </si>
  <si>
    <t>BASIC 1</t>
  </si>
  <si>
    <t>LUNES Y JUEVES 9:00PM A 10:30PM</t>
  </si>
  <si>
    <t>OE-CCLC304</t>
  </si>
  <si>
    <t>JULIANNA GUERRA</t>
  </si>
  <si>
    <t>carissima29@hotmail.com</t>
  </si>
  <si>
    <t>04241322789</t>
  </si>
  <si>
    <t>El PASO URB ALTO VERDE ETAPA I EDF 2 PISO 4D</t>
  </si>
  <si>
    <t xml:space="preserve">ANA KARINA CARDENAS </t>
  </si>
  <si>
    <t>MARTES Y JUEVES 2:20 PM A 3:50PM</t>
  </si>
  <si>
    <t>OE-CCLC305</t>
  </si>
  <si>
    <t>MARIA FERNANDA PALENCIA</t>
  </si>
  <si>
    <t>palencia.maria2012@gmail.com</t>
  </si>
  <si>
    <t>04126471008</t>
  </si>
  <si>
    <t>LOS TEQUES AV BOLIVAR CASA N4</t>
  </si>
  <si>
    <t>YURIBEL TORRES</t>
  </si>
  <si>
    <t>yuribeltorres@gmail.com</t>
  </si>
  <si>
    <t>OE-CCLC306</t>
  </si>
  <si>
    <t>ESTEFANIA RAMIREZ</t>
  </si>
  <si>
    <t>RJENNYFFER14@GMAIL.COM</t>
  </si>
  <si>
    <t>0414-1469178</t>
  </si>
  <si>
    <t>JENNYFFER RODRIGUEZ</t>
  </si>
  <si>
    <t>LOS TEQUES URB QUENDA</t>
  </si>
  <si>
    <t>OE-CCLC307</t>
  </si>
  <si>
    <t>CARLOS RAUL NORIEGA</t>
  </si>
  <si>
    <t>04126159191</t>
  </si>
  <si>
    <t>URB, BELLO MONTE, EDF ORINOCO AOT 32-C</t>
  </si>
  <si>
    <t>CARLA PEÑA</t>
  </si>
  <si>
    <t>OE-CCLC308</t>
  </si>
  <si>
    <t>ANDRES EDUARDO HERNANDEZ</t>
  </si>
  <si>
    <t>Luchitosonic21@gmail.com</t>
  </si>
  <si>
    <t>04125375779</t>
  </si>
  <si>
    <t>MONTAÑA ALTA, TORRE 10 APT 2-5</t>
  </si>
  <si>
    <t>KATHERINE DELGADO ARIAS</t>
  </si>
  <si>
    <t xml:space="preserve">Olkathe@hotmail.com </t>
  </si>
  <si>
    <t>OE-CCLC309</t>
  </si>
  <si>
    <t>BARBARA FLORES</t>
  </si>
  <si>
    <t>Familiayubaryo@gmail.com</t>
  </si>
  <si>
    <t>TIARA- ESTADO ARAGUA</t>
  </si>
  <si>
    <t>YULIXZA HERRERA</t>
  </si>
  <si>
    <t>Yulixzaherera@gmail.com</t>
  </si>
  <si>
    <t>HS</t>
  </si>
  <si>
    <t>OE-CCLC310</t>
  </si>
  <si>
    <t>HERIMAR PUCHI</t>
  </si>
  <si>
    <t>LOS CERRITOS, ZONA INDUSTRIAL</t>
  </si>
  <si>
    <t>MAARIELA QUEVEDO</t>
  </si>
  <si>
    <t>mariquevedo1987@gmail.com</t>
  </si>
  <si>
    <t>OE-CCLC311</t>
  </si>
  <si>
    <t>MAIKELIS PEREIRA</t>
  </si>
  <si>
    <t>Pereiramaikelis@gmail.com</t>
  </si>
  <si>
    <t>04126561603</t>
  </si>
  <si>
    <t>CARRIZAL CEDO MIRANDABRISAS DE ORIENTE</t>
  </si>
  <si>
    <t>LUISA LEON HERRERA</t>
  </si>
  <si>
    <t>OE-CCLC312</t>
  </si>
  <si>
    <t>GUSTAVO ALEXANDER BARRETO</t>
  </si>
  <si>
    <t>Gustavobarreto@hotmail.com</t>
  </si>
  <si>
    <t>04242182318</t>
  </si>
  <si>
    <t>OE-CCLC313</t>
  </si>
  <si>
    <t>YORGELIS VALLE GARCIA GONZALEZ</t>
  </si>
  <si>
    <t>Valleyorge2003@gmail.com</t>
  </si>
  <si>
    <t>041413091733</t>
  </si>
  <si>
    <t>MARBELY JOSEFINAN GOZALEZ</t>
  </si>
  <si>
    <t>imarbelyg32@gmail.com</t>
  </si>
  <si>
    <t>OE-CCLC314</t>
  </si>
  <si>
    <t>ELIZABETH RODRIGUEZ</t>
  </si>
  <si>
    <t>elianto1511@gmail.com</t>
  </si>
  <si>
    <t>0414-1170767</t>
  </si>
  <si>
    <t>ARELIS DE RODRIGUEZ</t>
  </si>
  <si>
    <t>0424-1552245</t>
  </si>
  <si>
    <t>Loswarrenr@gmail.com</t>
  </si>
  <si>
    <t>LUNES Y JUEVES 9:00AM A 10:30AM</t>
  </si>
  <si>
    <t>OE-CCLC315</t>
  </si>
  <si>
    <t>MILLER ADONNAY LINAREZ ARAUJO</t>
  </si>
  <si>
    <t>04129963201</t>
  </si>
  <si>
    <t>CARRIZAL JOSE MANUEL ALVAREZ CASA N 32</t>
  </si>
  <si>
    <t>MARVELIZ NATALIA ARAUJO SALCEDO</t>
  </si>
  <si>
    <t>Marvelizaraujo@gmail.com</t>
  </si>
  <si>
    <t>OE-CCLC316</t>
  </si>
  <si>
    <t>ALEJANDRO JOSE MUÑOZ FERNANDEZ</t>
  </si>
  <si>
    <t>0412-5906158</t>
  </si>
  <si>
    <t>MONTAÑA ALTA TORRE 7 APTO 10-6</t>
  </si>
  <si>
    <t>OE-CCLC317</t>
  </si>
  <si>
    <t>CAMILA ESTEFANIA SANCHEZ DIAZ</t>
  </si>
  <si>
    <t>MIRTAYANETHDIAZOROZCO</t>
  </si>
  <si>
    <t>0414-2695541</t>
  </si>
  <si>
    <t>CARRIZAL SANTA EDUVIGIS CALLE RAUL LEONI</t>
  </si>
  <si>
    <t>MIRTHA YANETH DIAZ OROZCO</t>
  </si>
  <si>
    <t>LUNES Y MIERCOLES 2.20PM A 3:50PM</t>
  </si>
  <si>
    <t>OE-CCLC318</t>
  </si>
  <si>
    <t>ARIADNA STEPHANIA GIRALDO DUQUE</t>
  </si>
  <si>
    <t>Ariadnastepania@gmail.com</t>
  </si>
  <si>
    <t>04129127527</t>
  </si>
  <si>
    <t>LINA MARIA DUQUE</t>
  </si>
  <si>
    <t>Yosoylinamaria@gmail.com</t>
  </si>
  <si>
    <t>OE-CCLC319</t>
  </si>
  <si>
    <t>HUMBERTO JAVIER TAVERA</t>
  </si>
  <si>
    <t xml:space="preserve">COLINAS DE CARRIZAL </t>
  </si>
  <si>
    <t>FRANCISCO TAVERA</t>
  </si>
  <si>
    <t>TAVERAFRANCISCO9@GMAIL.COM</t>
  </si>
  <si>
    <t>Carp N°4, Seccion 2</t>
  </si>
  <si>
    <t>OE-CCLC320</t>
  </si>
  <si>
    <t>FRANCESCA KATHERINE TAVERA</t>
  </si>
  <si>
    <t>OE-CCLC321</t>
  </si>
  <si>
    <t>ALEXANDRA DURAN</t>
  </si>
  <si>
    <t>alexandraduran906@gmail.com</t>
  </si>
  <si>
    <t>CARRIZAL LOS BUDARES</t>
  </si>
  <si>
    <t>SANTOS DURAN</t>
  </si>
  <si>
    <t>0412-8494715</t>
  </si>
  <si>
    <t>OE-CCLC322</t>
  </si>
  <si>
    <t>ADRIANA VISVAL</t>
  </si>
  <si>
    <t>adriana.visval@gmail.com</t>
  </si>
  <si>
    <t>04128668731</t>
  </si>
  <si>
    <t>URB SOLAR DE LA QUINTA</t>
  </si>
  <si>
    <t>ARYMAR SIERRA</t>
  </si>
  <si>
    <t>0414-3387009</t>
  </si>
  <si>
    <t>OE-CCLC323</t>
  </si>
  <si>
    <t>PATRICIA MOLINA</t>
  </si>
  <si>
    <t>patricia.amg19@gmail.com</t>
  </si>
  <si>
    <t>0424-1556477</t>
  </si>
  <si>
    <t xml:space="preserve">Urb. Quenda Res. Q Torre 2 Piso 6 </t>
  </si>
  <si>
    <t>OE-CCLC324</t>
  </si>
  <si>
    <t>LOREDANA CASTREJON</t>
  </si>
  <si>
    <t>loredanacastrejon21@gmail.com</t>
  </si>
  <si>
    <t>0424-2928545</t>
  </si>
  <si>
    <t xml:space="preserve">Calle Principal de Guaremal </t>
  </si>
  <si>
    <t>ZUYIN OLIVARES</t>
  </si>
  <si>
    <t>0424-2161400</t>
  </si>
  <si>
    <t>OE-CCLC325</t>
  </si>
  <si>
    <t>NICOLE ANDREINA MACHADO</t>
  </si>
  <si>
    <t>nicolemachadoac@gmail.com</t>
  </si>
  <si>
    <t>0412-8995280</t>
  </si>
  <si>
    <t>Calle Guaicaipuro Residencia Paez</t>
  </si>
  <si>
    <t>OE-CCLC326</t>
  </si>
  <si>
    <t>DIANA MARIA LOPEZ</t>
  </si>
  <si>
    <t>0412-9219633</t>
  </si>
  <si>
    <t>El Jarillo</t>
  </si>
  <si>
    <t xml:space="preserve">Fatima Ferreira </t>
  </si>
  <si>
    <t>fatimaferg27@gmail.com</t>
  </si>
  <si>
    <t>OE-CCLC327</t>
  </si>
  <si>
    <t>AMANDA MUÑOZ</t>
  </si>
  <si>
    <t>amandagatos@gmail.com</t>
  </si>
  <si>
    <t>0412-5304032</t>
  </si>
  <si>
    <t>Marianela Gonzalez</t>
  </si>
  <si>
    <t>0424-1420059</t>
  </si>
  <si>
    <t>gonzalezmarianela@gmail.com</t>
  </si>
  <si>
    <t>OE-CCLC328</t>
  </si>
  <si>
    <t>MARIA FERNANDA DA SILVA</t>
  </si>
  <si>
    <t>mafermaferds07@gmail.com</t>
  </si>
  <si>
    <t>0414-9282574</t>
  </si>
  <si>
    <t>AV LA HOYADA RES EL PARQUE</t>
  </si>
  <si>
    <t>OE-CCLC329</t>
  </si>
  <si>
    <t>ANGEL VERGARA</t>
  </si>
  <si>
    <t>ANGELDVERGARA@GMAIL.COM</t>
  </si>
  <si>
    <t>0414-2797396</t>
  </si>
  <si>
    <t>LLANO ALTO CARRIZAL</t>
  </si>
  <si>
    <t>OE-CCLC330</t>
  </si>
  <si>
    <t>BRIANNA QUILES</t>
  </si>
  <si>
    <t xml:space="preserve">BAJADA DEL TAMBOR URB SIMON BOLIVAR </t>
  </si>
  <si>
    <t>ERIKA DANIELS</t>
  </si>
  <si>
    <t>0412-6355477</t>
  </si>
  <si>
    <t>EDANIELS689@GMAIL.COM</t>
  </si>
  <si>
    <t>OE-CCLC331</t>
  </si>
  <si>
    <t>SANTIAGO PEREZ</t>
  </si>
  <si>
    <t>0414-2321787</t>
  </si>
  <si>
    <t>ADRIANA MACHADO</t>
  </si>
  <si>
    <t>OE-CCLC332</t>
  </si>
  <si>
    <t>SEBASTIAN PEREZ</t>
  </si>
  <si>
    <t>OE- CCLC333</t>
  </si>
  <si>
    <t>JEREMIAS PEREZ</t>
  </si>
  <si>
    <t>YEIOSOS@GMAIL.COM</t>
  </si>
  <si>
    <t>0412-3860414</t>
  </si>
  <si>
    <t>RES ALBORADA SAN ANTONIO DE LOS ALTOS</t>
  </si>
  <si>
    <t>YEISI DOS SANTOS</t>
  </si>
  <si>
    <t>412-3860414</t>
  </si>
  <si>
    <t>OE-CCLC334</t>
  </si>
  <si>
    <t>MAXIMILIANO PEREZ</t>
  </si>
  <si>
    <t>OE-CCLC335</t>
  </si>
  <si>
    <t>Pedrojsanchezp2510@gmail.com</t>
  </si>
  <si>
    <t>0412-7102906</t>
  </si>
  <si>
    <t>LOS TEQUES CALLE REAL LA MATA</t>
  </si>
  <si>
    <t>JOSE SANCHEZ</t>
  </si>
  <si>
    <t>Jramon1875@gmail.com</t>
  </si>
  <si>
    <t>OE-CCLC336</t>
  </si>
  <si>
    <t>ELIAS MARDINI</t>
  </si>
  <si>
    <t>allusse08102011@gmail.com</t>
  </si>
  <si>
    <t>0412-8674992</t>
  </si>
  <si>
    <t>URB LLANO ALTO CONJ SAN FRANCISCO CASA 132</t>
  </si>
  <si>
    <t>MARIA TERESA DIAZ</t>
  </si>
  <si>
    <t>0416-6292111</t>
  </si>
  <si>
    <t>mariadiaz0902@gmail.com</t>
  </si>
  <si>
    <t>OE-CCLC337</t>
  </si>
  <si>
    <t>ANGELINE DE SOUSA</t>
  </si>
  <si>
    <t>DESPUSAANGELINE7@GMAIL.COM</t>
  </si>
  <si>
    <t>04242135727</t>
  </si>
  <si>
    <t>SAN ANTONIO EL PICACHO</t>
  </si>
  <si>
    <t>GRETTY GARCIA</t>
  </si>
  <si>
    <t>0424-1798509</t>
  </si>
  <si>
    <t>OE-CCLC338</t>
  </si>
  <si>
    <t>ZOE ORTIZ</t>
  </si>
  <si>
    <t>ZOEO94254@GMAIL.COM</t>
  </si>
  <si>
    <t>0414-2903886</t>
  </si>
  <si>
    <t>KARLA BRITO</t>
  </si>
  <si>
    <t>0424-1239833</t>
  </si>
  <si>
    <t>OE-CCLC339</t>
  </si>
  <si>
    <t>BARBARA TOVAR</t>
  </si>
  <si>
    <t>MERLYNG2430@GMAIL.COM</t>
  </si>
  <si>
    <t>0414-5704977</t>
  </si>
  <si>
    <t>MARLYN GARCIA</t>
  </si>
  <si>
    <t>Carp N°4, Seccion 3</t>
  </si>
  <si>
    <t>OE-CCLC340</t>
  </si>
  <si>
    <t>AARON JAEN DIAZ</t>
  </si>
  <si>
    <t>0412-5968070</t>
  </si>
  <si>
    <t>MARIA JOSE DIAZ</t>
  </si>
  <si>
    <t>0412-6172371</t>
  </si>
  <si>
    <t>OE-CCLC341</t>
  </si>
  <si>
    <t>ERNESTO JOSE JAEN</t>
  </si>
  <si>
    <t>CARRIZAL CALLE CECILIO ACOSTA</t>
  </si>
  <si>
    <t>OE-CCLC342</t>
  </si>
  <si>
    <t>NATALIA PEREZ</t>
  </si>
  <si>
    <t>0412-1542479</t>
  </si>
  <si>
    <t>ADRIANA ROJAS</t>
  </si>
  <si>
    <t>JONASNATALIA3Z@GMAIL.COM</t>
  </si>
  <si>
    <t>OE-CCLC343</t>
  </si>
  <si>
    <t>LUIS CARLOS CAMARGO</t>
  </si>
  <si>
    <t>LUISCAMARGO@GMAIL.COM</t>
  </si>
  <si>
    <t>0424-1143983</t>
  </si>
  <si>
    <t>AV BOLIVAR RES EL PARAMO</t>
  </si>
  <si>
    <t>LUIS ENRIQUE CAMARGO</t>
  </si>
  <si>
    <t>OE-CCLC344</t>
  </si>
  <si>
    <t>RAHIZA ROJAS</t>
  </si>
  <si>
    <t>RRDOCUMENTOS2017@GMAIL.COM</t>
  </si>
  <si>
    <t>0412-3757259</t>
  </si>
  <si>
    <t>OE-CCLC345</t>
  </si>
  <si>
    <t>MARIANELLA MUÑOZ</t>
  </si>
  <si>
    <t>MARIANELLAM081@GMAIL.COM</t>
  </si>
  <si>
    <t>0414-4680941</t>
  </si>
  <si>
    <t>URB MONTAÑA ALTA</t>
  </si>
  <si>
    <t>OE-CCLC346</t>
  </si>
  <si>
    <t>ANDREINA ROJAS</t>
  </si>
  <si>
    <t>0412-2564956</t>
  </si>
  <si>
    <t>URB CLUB HIPICO</t>
  </si>
  <si>
    <t>CAROLINA DE JESUS GUTIERREZ</t>
  </si>
  <si>
    <t>0412-8221476</t>
  </si>
  <si>
    <t>dejesusc2014@gmail.com</t>
  </si>
  <si>
    <t>OE-CCLC347</t>
  </si>
  <si>
    <t>YARELIS CAROLINA RODRIGUEZ LOPEZ</t>
  </si>
  <si>
    <t>0424-2635346</t>
  </si>
  <si>
    <t>CARRIZAL BARRIO BOLIVAR</t>
  </si>
  <si>
    <t>0424-1774453</t>
  </si>
  <si>
    <t>OE-CCLC348</t>
  </si>
  <si>
    <t xml:space="preserve">ANA MARGARITA CARRASQUEL </t>
  </si>
  <si>
    <t>ANATMEDINA20@GMAIL.COM</t>
  </si>
  <si>
    <t>0414-9175115</t>
  </si>
  <si>
    <t>ANA MEDINA</t>
  </si>
  <si>
    <t>OE-CCLC349</t>
  </si>
  <si>
    <t>GISELLE ABRIL VELARDE</t>
  </si>
  <si>
    <t>MAYEVELARDE@GMAIL.COM</t>
  </si>
  <si>
    <t>0424-2346168</t>
  </si>
  <si>
    <t>AV PRINCIPAL SANTA ROSA</t>
  </si>
  <si>
    <t>MARYELY VELARDE</t>
  </si>
  <si>
    <t>OE-CCLC350</t>
  </si>
  <si>
    <t>SAMUEL EDUARDO ZAPATA</t>
  </si>
  <si>
    <t>ZULIMARM3003@GMAIL.COM</t>
  </si>
  <si>
    <t>0412-0777013</t>
  </si>
  <si>
    <t>URB PAN DE AZUCAR</t>
  </si>
  <si>
    <t>ZULIMAR MORIN</t>
  </si>
  <si>
    <t>OE- CCLC351</t>
  </si>
  <si>
    <t>JESUS MELENDEZ</t>
  </si>
  <si>
    <t>04244455631</t>
  </si>
  <si>
    <t>JENNY NUÑEZ</t>
  </si>
  <si>
    <t>OE-CCLC352</t>
  </si>
  <si>
    <t>JULIETA ISABEL GALBAN BENITEZ</t>
  </si>
  <si>
    <t>JULIETAGALBAN18@GMAIL.COM</t>
  </si>
  <si>
    <t>04241716322</t>
  </si>
  <si>
    <t>OE-CCLC353</t>
  </si>
  <si>
    <t>MAIA RAMIREZ</t>
  </si>
  <si>
    <t>RITA OTAYEK</t>
  </si>
  <si>
    <t>OE-CCLC354</t>
  </si>
  <si>
    <t>LUIS EDUARDO DE ANDRADE</t>
  </si>
  <si>
    <t>04142354868</t>
  </si>
  <si>
    <t>SAN ANTONIO DE LOS ALTOS URB CLUB DE CAMPO</t>
  </si>
  <si>
    <t>ROSEMARY IGLESIAS RANGEL</t>
  </si>
  <si>
    <t>ROSEMARYIGLESIAS19@GMAIL.COM</t>
  </si>
  <si>
    <t>OE-CCLC355</t>
  </si>
  <si>
    <t>MIRANDA MENDEZ MONTENEGRO</t>
  </si>
  <si>
    <t>mirandamendeole@gmail.com</t>
  </si>
  <si>
    <t>04140320804</t>
  </si>
  <si>
    <t>CARRETERA PANAMERICANA KM 21</t>
  </si>
  <si>
    <t>VANESSA MONTENEGRO</t>
  </si>
  <si>
    <t>0414-0320804</t>
  </si>
  <si>
    <t>OE-CCLC356</t>
  </si>
  <si>
    <t>ALEJANDRO DUDEC</t>
  </si>
  <si>
    <t>YANIRARAGA@HOTMAIL.COM</t>
  </si>
  <si>
    <t>0414-9308748</t>
  </si>
  <si>
    <t>YANIRA RAGA</t>
  </si>
  <si>
    <t>OE-CCLC357</t>
  </si>
  <si>
    <t>AUSTIN MARQUEZ</t>
  </si>
  <si>
    <t>hARYANA.PUMA5@GMAIL.COM</t>
  </si>
  <si>
    <t>0412-7211919</t>
  </si>
  <si>
    <t>SAN ANTONIO DE LOS ALTOS PARQUE EL RETIRO</t>
  </si>
  <si>
    <t>HARYANA PUMA</t>
  </si>
  <si>
    <t>OE-CCLC358</t>
  </si>
  <si>
    <t>ASHLEY MARQUEZ</t>
  </si>
  <si>
    <t>OE-CCLC359</t>
  </si>
  <si>
    <t>SANTIAGO CARABALLO</t>
  </si>
  <si>
    <t>SANTIAGOANDRESCM@GMAIL.COM</t>
  </si>
  <si>
    <t>0424-2859466</t>
  </si>
  <si>
    <t>LOS NUEVOS TEQUES</t>
  </si>
  <si>
    <t>OE-CCLC360</t>
  </si>
  <si>
    <t>AARON SANTIAGO SOTO VASQUEZ</t>
  </si>
  <si>
    <t>YUDELISVASQUEZB@GMAIL.COM</t>
  </si>
  <si>
    <t>0412-9820226</t>
  </si>
  <si>
    <t>YUDELIS DEL CARMEN VASQUEZ BERNAL</t>
  </si>
  <si>
    <t>OE-CCLC361</t>
  </si>
  <si>
    <t>MARIANNE OROPEZA</t>
  </si>
  <si>
    <t>OE-CCLC362</t>
  </si>
  <si>
    <t>BRIANNA MORA</t>
  </si>
  <si>
    <t>AMELITMORA2013@GMAIL.COM</t>
  </si>
  <si>
    <t>0422-6423967</t>
  </si>
  <si>
    <t>JOSE MORA</t>
  </si>
  <si>
    <t>0414-1028222</t>
  </si>
  <si>
    <t>OE-CCLC363</t>
  </si>
  <si>
    <t>ESTEBAN SASTOQUE</t>
  </si>
  <si>
    <t>ANAPETROLEO@GMAIL.COM</t>
  </si>
  <si>
    <t>0412-6204663</t>
  </si>
  <si>
    <t>ANA GONZALEZ</t>
  </si>
  <si>
    <t>0412-2282022</t>
  </si>
  <si>
    <t>OE-CCLC364</t>
  </si>
  <si>
    <t>SAMANTHA CASIQUE</t>
  </si>
  <si>
    <t>36.744.515.</t>
  </si>
  <si>
    <t>CMTA.2701@GMAIL.COM</t>
  </si>
  <si>
    <t>0424-1281864</t>
  </si>
  <si>
    <t>CARMEN TORREALBA</t>
  </si>
  <si>
    <t>OE-CCLC365</t>
  </si>
  <si>
    <t>DENIKARIT PEREZ</t>
  </si>
  <si>
    <t>PEREZDERIKARIT.AP4@GMAIL.COM</t>
  </si>
  <si>
    <t>0412-3155040</t>
  </si>
  <si>
    <t>LOS TEQUES, LA MATICA</t>
  </si>
  <si>
    <t>OE-CCLC366</t>
  </si>
  <si>
    <t>ALEXAVIER SILVA</t>
  </si>
  <si>
    <t>SILVALEXAVIER777@GMAIL.COM</t>
  </si>
  <si>
    <t>0424-2049578</t>
  </si>
  <si>
    <t>OE-CCLC367</t>
  </si>
  <si>
    <t>WILLIAMS MARCANO</t>
  </si>
  <si>
    <t>MORTY8013@GMAIL.COM</t>
  </si>
  <si>
    <t>0412-8024663</t>
  </si>
  <si>
    <t>OE-CCLC368</t>
  </si>
  <si>
    <t>ESTEFANIA CAMPOS</t>
  </si>
  <si>
    <t>ESTEFANIACAMPOSVASQUEZ@GMAIL.COM</t>
  </si>
  <si>
    <t>0424-2944312</t>
  </si>
  <si>
    <t>OE-CCLC369</t>
  </si>
  <si>
    <t>JAVIER ENRIQUE MENDEZ</t>
  </si>
  <si>
    <t>JAVIERBMX0623@GMAIL.COM</t>
  </si>
  <si>
    <t>0412-7181414</t>
  </si>
  <si>
    <t>AMMERYS VERA DE MENDEZ</t>
  </si>
  <si>
    <t>0412-8096291</t>
  </si>
  <si>
    <t>OE-CCLC370</t>
  </si>
  <si>
    <t>KEVIN ZAID CAÑATE</t>
  </si>
  <si>
    <t>ZCARDIER@GMAIL.COM</t>
  </si>
  <si>
    <t>0412-3883040</t>
  </si>
  <si>
    <t>FANNY CARDIER</t>
  </si>
  <si>
    <t>OE-CCLC371</t>
  </si>
  <si>
    <t>OSWALDO CELIS</t>
  </si>
  <si>
    <t>OSWALDO.CELIS75@GMAIL.COM</t>
  </si>
  <si>
    <t>0412-9276310</t>
  </si>
  <si>
    <t>LOS TEQUES URB SIMON BOLIVAR</t>
  </si>
  <si>
    <t>OE-CCLC372</t>
  </si>
  <si>
    <t>ELIZABETH MENDOZA</t>
  </si>
  <si>
    <t>ELIZAMENDO29119@GMAIL.COM</t>
  </si>
  <si>
    <t>0412-5553872</t>
  </si>
  <si>
    <t>LOS TEQUES EL PASO BLOQUE 20</t>
  </si>
  <si>
    <t>OE-CCLC373</t>
  </si>
  <si>
    <t>INGRID NAYIBE PAEZ</t>
  </si>
  <si>
    <t>NAYIPAEZ31@GMAIL.COM</t>
  </si>
  <si>
    <t>0424-2829820</t>
  </si>
  <si>
    <t>LOS TEQUES AV PRINCIPAL SANTA EULALIA</t>
  </si>
  <si>
    <t>OE-CCLC374</t>
  </si>
  <si>
    <t>KARIN CAMPOS</t>
  </si>
  <si>
    <t>KARINCAMPO913@GMAIL.COM</t>
  </si>
  <si>
    <t>0412-9702608</t>
  </si>
  <si>
    <t>SECTOR LOMA DE URQUIA CALLE BERTHA MUJICA</t>
  </si>
  <si>
    <t>OE-CCLC375</t>
  </si>
  <si>
    <t>DIANA DEL VALLE ALVAREZ</t>
  </si>
  <si>
    <t>04241673491</t>
  </si>
  <si>
    <t>OE-CCLC376</t>
  </si>
  <si>
    <t>IRENE ANDREINA ACEVEDO</t>
  </si>
  <si>
    <t>IRENEACEVEDO012@GMAIL.COM</t>
  </si>
  <si>
    <t>0414-1824609</t>
  </si>
  <si>
    <t>KM 22 PANAMERICANA CASCADA MAGICA</t>
  </si>
  <si>
    <t>OE-CCLC377</t>
  </si>
  <si>
    <t>MONICA ZELENNYS PEREZ CHUSMITA</t>
  </si>
  <si>
    <t>ZELENNYS24@GMAIL.COM</t>
  </si>
  <si>
    <t>0412-2703903</t>
  </si>
  <si>
    <t>CARRIZAL, LAS AMERICAS CASA 42</t>
  </si>
  <si>
    <t>OE-CCLC378</t>
  </si>
  <si>
    <t>EVEDY YOLEIDA MENDEZ</t>
  </si>
  <si>
    <t>EVEDYYMENDEZG@GMAIL.COM</t>
  </si>
  <si>
    <t>0412-9823736</t>
  </si>
  <si>
    <t xml:space="preserve">CARRIZAL SECTOR LOS POZOTES </t>
  </si>
  <si>
    <t>OE-CCLC379</t>
  </si>
  <si>
    <t>ZURY GONZALEZ PLAZA</t>
  </si>
  <si>
    <t>ZULYGON207@GMAIL.COM</t>
  </si>
  <si>
    <t>0424-1530533</t>
  </si>
  <si>
    <t>CARRIZAL VIA SAN DIEGO COMUNIDAD LOS POZOTES</t>
  </si>
  <si>
    <t>OE-CCLC380</t>
  </si>
  <si>
    <t>GABRIEL ALEJANDRO GONZALEZ RAMIREZ</t>
  </si>
  <si>
    <t>GABRIEL20070404@GMAIL.COM</t>
  </si>
  <si>
    <t>0412-3297148</t>
  </si>
  <si>
    <t>CARRIZAL SECTOR LAS AGUADITAS</t>
  </si>
  <si>
    <t>OE-CCLC381</t>
  </si>
  <si>
    <t>VALENTINA GARCIA</t>
  </si>
  <si>
    <t>0416-4046991</t>
  </si>
  <si>
    <t>COMUNIDAD FRANCISCO DE MIRANDA KM 18</t>
  </si>
  <si>
    <t>OE-CCLC382</t>
  </si>
  <si>
    <t>CARMEN HERNANDEZ</t>
  </si>
  <si>
    <t>CARMENBURBUJA180@GMAIL.COM</t>
  </si>
  <si>
    <t>0424-1356320</t>
  </si>
  <si>
    <t>OE-CCLC383</t>
  </si>
  <si>
    <t xml:space="preserve">IRMA BETANCOURT </t>
  </si>
  <si>
    <t>BETAIRBE@GMAIL.COM</t>
  </si>
  <si>
    <t>0412-8890057</t>
  </si>
  <si>
    <t>OE-CCLC384</t>
  </si>
  <si>
    <t>PETRA CAROLINA BRACA</t>
  </si>
  <si>
    <t>CAROKORA18@GMAIL.COM</t>
  </si>
  <si>
    <t>0414-3278184</t>
  </si>
  <si>
    <t>COMUNIDAD LA LADERA</t>
  </si>
  <si>
    <t>OE-CCLC385</t>
  </si>
  <si>
    <t>DAISURI ESCALONA</t>
  </si>
  <si>
    <t>VANEBELLOESC@GMAIL.COM</t>
  </si>
  <si>
    <t>0412-0227625</t>
  </si>
  <si>
    <t>CARRIZAL SECTOR POTRERITO</t>
  </si>
  <si>
    <t>OE-CCLC386</t>
  </si>
  <si>
    <t>DEISY LOPEZ ASCANIO</t>
  </si>
  <si>
    <t>DEISYLOPEZ4115@GMAIL.COM</t>
  </si>
  <si>
    <t>0414-2250047</t>
  </si>
  <si>
    <t>CARRIZAL LOS HIDALGOS PARTE ALTA</t>
  </si>
  <si>
    <t>OE-CCLC387</t>
  </si>
  <si>
    <t>YESENIA ORTIZ</t>
  </si>
  <si>
    <t>YESI9SH25912@GMAIL.COM</t>
  </si>
  <si>
    <t>0424-1669006</t>
  </si>
  <si>
    <t>JOSE MANUEL ALVAREZ CALLE EL CARMEN</t>
  </si>
  <si>
    <t>OE-CCLC388</t>
  </si>
  <si>
    <t>YIPZALY PIREZ ROJAS</t>
  </si>
  <si>
    <t>YIPZELYPIREZ@GMAIL.COM</t>
  </si>
  <si>
    <t>0426-2618256</t>
  </si>
  <si>
    <t>CARRIZAL SANTA EDUVIGES SECTOR MARRERO</t>
  </si>
  <si>
    <t>OE-CCLC389</t>
  </si>
  <si>
    <t>YORGELIS PEREZ</t>
  </si>
  <si>
    <t>YORGELISPEREZ29@GMAIL.COM</t>
  </si>
  <si>
    <t>0424-252-6473</t>
  </si>
  <si>
    <t xml:space="preserve">CARRIZAL COMUNIDAD JOSE MANUEL ALVAREZ </t>
  </si>
  <si>
    <t>OE-CCLC390</t>
  </si>
  <si>
    <t>ELPIDIA ZAMORA</t>
  </si>
  <si>
    <t>ZAMORAFLORESELPIDIAGRISEIDA@GMAIL.COM</t>
  </si>
  <si>
    <t>0426-4625590</t>
  </si>
  <si>
    <t>COLINAS DE CARRIZAL SECTOR EL MIRADOR</t>
  </si>
  <si>
    <t>OE-CCLC391</t>
  </si>
  <si>
    <t>MAYORLIN SOLORZANO</t>
  </si>
  <si>
    <t>MAYORLINSOLORZANO@GMAIL.COM</t>
  </si>
  <si>
    <t>0412-3936040</t>
  </si>
  <si>
    <t xml:space="preserve">VIA SAN DIEGO URB VILLA FRESCA </t>
  </si>
  <si>
    <t>OE-CCLC392</t>
  </si>
  <si>
    <t>ARLIANNY CORREIA</t>
  </si>
  <si>
    <t>0412-3143972</t>
  </si>
  <si>
    <t>NORAIMA DELGADO</t>
  </si>
  <si>
    <t>0412-099-0975</t>
  </si>
  <si>
    <t>OE-CCLC393</t>
  </si>
  <si>
    <t>VERONICA VASQUEZ</t>
  </si>
  <si>
    <t>0412-9967713</t>
  </si>
  <si>
    <t>SAMUEL VASQUEZ</t>
  </si>
  <si>
    <t>0424-1010392</t>
  </si>
  <si>
    <t>OE-CCLC394</t>
  </si>
  <si>
    <t>MIRANDA RON</t>
  </si>
  <si>
    <t>0424-1232702</t>
  </si>
  <si>
    <t>RES EL ENCANTO</t>
  </si>
  <si>
    <t>CARMEN CARRASQUERO</t>
  </si>
  <si>
    <t>Carp N°3, Seccion6</t>
  </si>
  <si>
    <t>Carp N°4, Seccion1</t>
  </si>
  <si>
    <t>Carp N°4, Seccion2</t>
  </si>
  <si>
    <t>CNC: Con nuevo contrato</t>
  </si>
  <si>
    <t>Cuentas por Cobrar</t>
  </si>
  <si>
    <t>CP: Con planilla</t>
  </si>
  <si>
    <t>SC: Sin contrato</t>
  </si>
  <si>
    <t>SP: Sin Planilla</t>
  </si>
  <si>
    <t>Datos del Representante</t>
  </si>
  <si>
    <t>Datos Academicos 2023-2024</t>
  </si>
  <si>
    <t>CCV: Con contrato viejo</t>
  </si>
  <si>
    <t>N°</t>
  </si>
  <si>
    <t xml:space="preserve"> NNN </t>
  </si>
  <si>
    <t>ROXANA ISABEL MENDEZ CARRILLO</t>
  </si>
  <si>
    <t>GABRIELA CRISTINA MUÑOZ CASTAÑO</t>
  </si>
  <si>
    <t>El Vigia, callelibertador</t>
  </si>
  <si>
    <t>PRE PAIMARY</t>
  </si>
  <si>
    <t>oriananavas2811@gmail.com</t>
  </si>
  <si>
    <t>CI E. 1049660667</t>
  </si>
  <si>
    <t>Carp N°2, Seccion3</t>
  </si>
  <si>
    <t>Carp N°2, Seccion4</t>
  </si>
  <si>
    <t>04120817665</t>
  </si>
  <si>
    <t>Carp N°3, Seccion1</t>
  </si>
  <si>
    <t>Carp N°3, Seccion2</t>
  </si>
  <si>
    <t>Carp N°3, Seccion3</t>
  </si>
  <si>
    <t>EUGENIO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</si>
</sst>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$-540A]#,##0.00"/>
    <numFmt numFmtId="165" formatCode="#,##0;[Red]#,##0"/>
    <numFmt numFmtId="166" formatCode="d/mm/yyyy"/>
    <numFmt numFmtId="167" formatCode="d\-m\-yyyy"/>
    <numFmt numFmtId="168" formatCode="d/m/yyyy"/>
    <numFmt numFmtId="169" formatCode="dd/mm/yy"/>
    <numFmt numFmtId="170" formatCode="d/m/yy"/>
    <numFmt numFmtId="171" formatCode="d\-m\-yy"/>
    <numFmt numFmtId="172" formatCode="dd\-mm\-yyyy"/>
    <numFmt numFmtId="173" formatCode="dd\-mm\-yy"/>
  </numFmts>
  <fonts count="103">
    <font>
      <sz val="11"/>
      <color rgb="FF000000"/>
      <name val="Calibri"/>
      <scheme val="minor"/>
    </font>
    <font>
      <sz val="10"/>
      <color rgb="FF000000"/>
      <name val="Calibri"/>
    </font>
    <font>
      <b/>
      <sz val="16"/>
      <color rgb="FF000000"/>
      <name val="Calibri"/>
    </font>
    <font>
      <sz val="11"/>
      <name val="Calibri"/>
    </font>
    <font>
      <b/>
      <sz val="20"/>
      <color rgb="FF000000"/>
      <name val="Calibri"/>
    </font>
    <font>
      <sz val="11"/>
      <color rgb="FF000000"/>
      <name val="Calibri"/>
    </font>
    <font>
      <sz val="12"/>
      <color rgb="FFFFFFFF"/>
      <name val="Calibri"/>
    </font>
    <font>
      <b/>
      <sz val="16"/>
      <color theme="1"/>
      <name val="Calibri"/>
    </font>
    <font>
      <b/>
      <sz val="12"/>
      <color theme="1"/>
      <name val="Calibri"/>
    </font>
    <font>
      <b/>
      <sz val="12"/>
      <color rgb="FFFF0066"/>
      <name val="Calibri"/>
    </font>
    <font>
      <b/>
      <sz val="12"/>
      <color rgb="FFFFFFFF"/>
      <name val="Calibri"/>
    </font>
    <font>
      <sz val="12"/>
      <color theme="1"/>
      <name val="Calibri"/>
    </font>
    <font>
      <sz val="14"/>
      <color theme="1"/>
      <name val="Calibri"/>
    </font>
    <font>
      <b/>
      <sz val="18"/>
      <color theme="1"/>
      <name val="Calibri"/>
    </font>
    <font>
      <b/>
      <sz val="14"/>
      <color theme="1"/>
      <name val="Calibri"/>
    </font>
    <font>
      <sz val="12"/>
      <color rgb="FF000000"/>
      <name val="Calibri"/>
    </font>
    <font>
      <b/>
      <sz val="24"/>
      <color rgb="FF000000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b/>
      <sz val="12"/>
      <color rgb="FF000000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sz val="12"/>
      <color rgb="FF0563C1"/>
      <name val="Calibri"/>
    </font>
    <font>
      <i/>
      <sz val="15"/>
      <color rgb="FF000000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2"/>
      <color rgb="FF0563C1"/>
      <name val="Calibri"/>
    </font>
    <font>
      <u/>
      <sz val="11"/>
      <color rgb="FF800080"/>
      <name val="Calibri"/>
    </font>
    <font>
      <u/>
      <sz val="11"/>
      <color rgb="FF800080"/>
      <name val="Calibri"/>
    </font>
    <font>
      <sz val="11"/>
      <color theme="1"/>
      <name val="Calibri"/>
    </font>
    <font>
      <sz val="10"/>
      <color rgb="FFFFFFFF"/>
      <name val="Calibri"/>
    </font>
    <font>
      <b/>
      <sz val="10"/>
      <color theme="0"/>
      <name val="Calibri"/>
    </font>
    <font>
      <b/>
      <sz val="10"/>
      <color rgb="FFFFFFFF"/>
      <name val="Calibri"/>
    </font>
    <font>
      <b/>
      <sz val="10"/>
      <color rgb="FFFF0066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color theme="1"/>
      <name val="Calibri"/>
    </font>
    <font>
      <u/>
      <sz val="11"/>
      <color rgb="FF0563C1"/>
      <name val="Calibri"/>
    </font>
    <font>
      <sz val="11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0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0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0"/>
      <color theme="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BE5D5"/>
        <bgColor rgb="FFFBE5D5"/>
      </patternFill>
    </fill>
    <fill>
      <patternFill patternType="solid">
        <fgColor rgb="FFB4C6E7"/>
        <bgColor rgb="FFB4C6E7"/>
      </patternFill>
    </fill>
    <fill>
      <patternFill patternType="solid">
        <fgColor rgb="FFFFF2CB"/>
        <bgColor rgb="FFFFF2CB"/>
      </patternFill>
    </fill>
    <fill>
      <patternFill patternType="solid">
        <fgColor rgb="FFD9D9D9"/>
        <bgColor rgb="FFD9D9D9"/>
      </patternFill>
    </fill>
    <fill>
      <patternFill patternType="solid">
        <fgColor rgb="FFF7CBAC"/>
        <bgColor rgb="FFF7CBAC"/>
      </patternFill>
    </fill>
    <fill>
      <patternFill patternType="solid">
        <fgColor rgb="FFCCFFCC"/>
        <bgColor rgb="FFCCFFCC"/>
      </patternFill>
    </fill>
    <fill>
      <patternFill patternType="solid">
        <fgColor rgb="FFFF0066"/>
        <bgColor rgb="FFFF0066"/>
      </patternFill>
    </fill>
    <fill>
      <patternFill patternType="solid">
        <fgColor rgb="FF00FFFF"/>
        <bgColor rgb="FF00FFFF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385623"/>
        <bgColor rgb="FF385623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EC70DD"/>
        <bgColor rgb="FFEC70DD"/>
      </patternFill>
    </fill>
    <fill>
      <patternFill patternType="solid">
        <fgColor theme="4"/>
        <bgColor theme="4"/>
      </patternFill>
    </fill>
    <fill>
      <patternFill patternType="solid">
        <fgColor rgb="FFCC66FF"/>
        <bgColor rgb="FFCC66FF"/>
      </patternFill>
    </fill>
    <fill>
      <patternFill patternType="solid">
        <fgColor rgb="FFFFD965"/>
        <bgColor rgb="FFFFD965"/>
      </patternFill>
    </fill>
  </fills>
  <borders count="10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FFC000"/>
      </right>
      <top style="medium">
        <color rgb="FF000000"/>
      </top>
      <bottom/>
      <diagonal/>
    </border>
    <border>
      <left style="thin">
        <color rgb="FF000000"/>
      </left>
      <right style="medium">
        <color rgb="FFFFC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19">
    <xf numFmtId="0" fontId="0" fillId="0" borderId="0" xfId="0" applyFont="1" applyAlignment="1"/>
    <xf numFmtId="49" fontId="1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49" fontId="5" fillId="0" borderId="0" xfId="0" applyNumberFormat="1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49" fontId="5" fillId="0" borderId="4" xfId="0" applyNumberFormat="1" applyFont="1" applyBorder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/>
    <xf numFmtId="0" fontId="5" fillId="0" borderId="4" xfId="0" applyFont="1" applyBorder="1"/>
    <xf numFmtId="0" fontId="6" fillId="0" borderId="0" xfId="0" applyFont="1" applyAlignment="1">
      <alignment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6" fillId="0" borderId="0" xfId="0" applyFont="1"/>
    <xf numFmtId="0" fontId="7" fillId="4" borderId="19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vertical="center" wrapText="1"/>
    </xf>
    <xf numFmtId="0" fontId="14" fillId="8" borderId="25" xfId="0" applyFont="1" applyFill="1" applyBorder="1" applyAlignment="1">
      <alignment horizontal="center" vertical="center" wrapText="1"/>
    </xf>
    <xf numFmtId="49" fontId="14" fillId="8" borderId="25" xfId="0" applyNumberFormat="1" applyFont="1" applyFill="1" applyBorder="1" applyAlignment="1">
      <alignment horizontal="center" vertical="center" wrapText="1"/>
    </xf>
    <xf numFmtId="0" fontId="14" fillId="8" borderId="26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 wrapText="1"/>
    </xf>
    <xf numFmtId="0" fontId="14" fillId="8" borderId="27" xfId="0" applyFont="1" applyFill="1" applyBorder="1" applyAlignment="1">
      <alignment horizontal="center" vertical="center" wrapText="1"/>
    </xf>
    <xf numFmtId="164" fontId="14" fillId="8" borderId="26" xfId="0" applyNumberFormat="1" applyFont="1" applyFill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14" fillId="9" borderId="29" xfId="0" applyFont="1" applyFill="1" applyBorder="1" applyAlignment="1">
      <alignment horizontal="center" vertical="center" wrapText="1"/>
    </xf>
    <xf numFmtId="164" fontId="14" fillId="9" borderId="30" xfId="0" applyNumberFormat="1" applyFont="1" applyFill="1" applyBorder="1" applyAlignment="1">
      <alignment horizontal="center" vertical="center" wrapText="1"/>
    </xf>
    <xf numFmtId="0" fontId="14" fillId="9" borderId="27" xfId="0" applyFont="1" applyFill="1" applyBorder="1" applyAlignment="1">
      <alignment horizontal="center" vertical="center" wrapText="1"/>
    </xf>
    <xf numFmtId="0" fontId="14" fillId="9" borderId="25" xfId="0" applyFont="1" applyFill="1" applyBorder="1" applyAlignment="1">
      <alignment horizontal="center" vertical="center" wrapText="1"/>
    </xf>
    <xf numFmtId="0" fontId="14" fillId="9" borderId="2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/>
    <xf numFmtId="0" fontId="15" fillId="2" borderId="32" xfId="0" applyFont="1" applyFill="1" applyBorder="1" applyAlignment="1">
      <alignment vertical="center"/>
    </xf>
    <xf numFmtId="0" fontId="15" fillId="10" borderId="33" xfId="0" applyFont="1" applyFill="1" applyBorder="1" applyAlignment="1">
      <alignment vertical="center"/>
    </xf>
    <xf numFmtId="0" fontId="15" fillId="0" borderId="33" xfId="0" applyFont="1" applyBorder="1" applyAlignment="1">
      <alignment vertical="center"/>
    </xf>
    <xf numFmtId="3" fontId="15" fillId="0" borderId="33" xfId="0" applyNumberFormat="1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49" fontId="15" fillId="0" borderId="33" xfId="0" applyNumberFormat="1" applyFont="1" applyBorder="1" applyAlignment="1">
      <alignment vertical="center" wrapText="1"/>
    </xf>
    <xf numFmtId="0" fontId="15" fillId="0" borderId="34" xfId="0" applyFont="1" applyBorder="1" applyAlignment="1">
      <alignment vertical="center" wrapText="1"/>
    </xf>
    <xf numFmtId="0" fontId="15" fillId="0" borderId="35" xfId="0" applyFont="1" applyBorder="1" applyAlignment="1">
      <alignment vertical="center"/>
    </xf>
    <xf numFmtId="165" fontId="15" fillId="0" borderId="33" xfId="0" applyNumberFormat="1" applyFont="1" applyBorder="1" applyAlignment="1">
      <alignment vertical="center"/>
    </xf>
    <xf numFmtId="0" fontId="18" fillId="0" borderId="34" xfId="0" applyFont="1" applyBorder="1" applyAlignment="1">
      <alignment vertical="center"/>
    </xf>
    <xf numFmtId="0" fontId="15" fillId="0" borderId="35" xfId="0" applyFont="1" applyBorder="1" applyAlignment="1">
      <alignment vertical="center" wrapText="1"/>
    </xf>
    <xf numFmtId="0" fontId="15" fillId="0" borderId="33" xfId="0" applyFont="1" applyBorder="1" applyAlignment="1">
      <alignment vertical="center" wrapText="1"/>
    </xf>
    <xf numFmtId="164" fontId="15" fillId="0" borderId="34" xfId="0" applyNumberFormat="1" applyFont="1" applyBorder="1" applyAlignment="1">
      <alignment vertical="center" wrapText="1"/>
    </xf>
    <xf numFmtId="164" fontId="19" fillId="0" borderId="36" xfId="0" applyNumberFormat="1" applyFont="1" applyBorder="1" applyAlignment="1">
      <alignment vertical="center"/>
    </xf>
    <xf numFmtId="164" fontId="19" fillId="0" borderId="33" xfId="0" applyNumberFormat="1" applyFont="1" applyBorder="1" applyAlignment="1">
      <alignment vertical="center"/>
    </xf>
    <xf numFmtId="0" fontId="15" fillId="0" borderId="33" xfId="0" applyFont="1" applyBorder="1"/>
    <xf numFmtId="164" fontId="19" fillId="0" borderId="34" xfId="0" applyNumberFormat="1" applyFont="1" applyBorder="1" applyAlignment="1">
      <alignment vertical="center"/>
    </xf>
    <xf numFmtId="0" fontId="15" fillId="2" borderId="38" xfId="0" applyFont="1" applyFill="1" applyBorder="1" applyAlignment="1">
      <alignment vertical="center"/>
    </xf>
    <xf numFmtId="0" fontId="15" fillId="0" borderId="39" xfId="0" applyFont="1" applyBorder="1" applyAlignment="1">
      <alignment vertical="center"/>
    </xf>
    <xf numFmtId="0" fontId="15" fillId="11" borderId="39" xfId="0" applyFont="1" applyFill="1" applyBorder="1" applyAlignment="1">
      <alignment vertical="center"/>
    </xf>
    <xf numFmtId="3" fontId="15" fillId="0" borderId="39" xfId="0" applyNumberFormat="1" applyFont="1" applyBorder="1" applyAlignment="1">
      <alignment vertical="center"/>
    </xf>
    <xf numFmtId="0" fontId="20" fillId="0" borderId="39" xfId="0" applyFont="1" applyBorder="1" applyAlignment="1">
      <alignment vertical="center"/>
    </xf>
    <xf numFmtId="49" fontId="15" fillId="0" borderId="39" xfId="0" applyNumberFormat="1" applyFont="1" applyBorder="1" applyAlignment="1">
      <alignment vertical="center" wrapText="1"/>
    </xf>
    <xf numFmtId="0" fontId="15" fillId="0" borderId="40" xfId="0" applyFont="1" applyBorder="1" applyAlignment="1">
      <alignment vertical="center" wrapText="1"/>
    </xf>
    <xf numFmtId="0" fontId="15" fillId="0" borderId="41" xfId="0" applyFont="1" applyBorder="1" applyAlignment="1">
      <alignment vertical="center"/>
    </xf>
    <xf numFmtId="0" fontId="21" fillId="0" borderId="40" xfId="0" applyFont="1" applyBorder="1" applyAlignment="1">
      <alignment vertical="center"/>
    </xf>
    <xf numFmtId="0" fontId="15" fillId="0" borderId="41" xfId="0" applyFont="1" applyBorder="1" applyAlignment="1">
      <alignment vertical="center" wrapText="1"/>
    </xf>
    <xf numFmtId="0" fontId="15" fillId="0" borderId="39" xfId="0" applyFont="1" applyBorder="1" applyAlignment="1">
      <alignment vertical="center" wrapText="1"/>
    </xf>
    <xf numFmtId="164" fontId="15" fillId="0" borderId="40" xfId="0" applyNumberFormat="1" applyFont="1" applyBorder="1" applyAlignment="1">
      <alignment vertical="center" wrapText="1"/>
    </xf>
    <xf numFmtId="164" fontId="19" fillId="0" borderId="42" xfId="0" applyNumberFormat="1" applyFont="1" applyBorder="1"/>
    <xf numFmtId="0" fontId="15" fillId="0" borderId="41" xfId="0" applyFont="1" applyBorder="1"/>
    <xf numFmtId="164" fontId="19" fillId="0" borderId="39" xfId="0" applyNumberFormat="1" applyFont="1" applyBorder="1"/>
    <xf numFmtId="0" fontId="15" fillId="0" borderId="39" xfId="0" applyFont="1" applyBorder="1"/>
    <xf numFmtId="164" fontId="19" fillId="0" borderId="39" xfId="0" applyNumberFormat="1" applyFont="1" applyBorder="1" applyAlignment="1">
      <alignment vertical="center"/>
    </xf>
    <xf numFmtId="164" fontId="19" fillId="0" borderId="40" xfId="0" applyNumberFormat="1" applyFont="1" applyBorder="1" applyAlignment="1">
      <alignment vertical="center"/>
    </xf>
    <xf numFmtId="165" fontId="15" fillId="0" borderId="39" xfId="0" applyNumberFormat="1" applyFont="1" applyBorder="1" applyAlignment="1">
      <alignment vertical="center"/>
    </xf>
    <xf numFmtId="0" fontId="22" fillId="0" borderId="40" xfId="0" applyFont="1" applyBorder="1"/>
    <xf numFmtId="164" fontId="19" fillId="0" borderId="42" xfId="0" applyNumberFormat="1" applyFont="1" applyBorder="1" applyAlignment="1">
      <alignment vertical="center"/>
    </xf>
    <xf numFmtId="0" fontId="15" fillId="0" borderId="40" xfId="0" applyFont="1" applyBorder="1"/>
    <xf numFmtId="0" fontId="15" fillId="0" borderId="40" xfId="0" applyFont="1" applyBorder="1" applyAlignment="1">
      <alignment wrapText="1"/>
    </xf>
    <xf numFmtId="0" fontId="11" fillId="0" borderId="39" xfId="0" applyFont="1" applyBorder="1" applyAlignment="1">
      <alignment vertical="center"/>
    </xf>
    <xf numFmtId="0" fontId="15" fillId="2" borderId="44" xfId="0" applyFont="1" applyFill="1" applyBorder="1" applyAlignment="1">
      <alignment vertical="center"/>
    </xf>
    <xf numFmtId="0" fontId="15" fillId="0" borderId="45" xfId="0" applyFont="1" applyBorder="1" applyAlignment="1">
      <alignment vertical="center"/>
    </xf>
    <xf numFmtId="3" fontId="15" fillId="0" borderId="45" xfId="0" applyNumberFormat="1" applyFont="1" applyBorder="1" applyAlignment="1">
      <alignment vertical="center"/>
    </xf>
    <xf numFmtId="0" fontId="23" fillId="0" borderId="45" xfId="0" applyFont="1" applyBorder="1" applyAlignment="1">
      <alignment vertical="center"/>
    </xf>
    <xf numFmtId="49" fontId="15" fillId="0" borderId="45" xfId="0" applyNumberFormat="1" applyFont="1" applyBorder="1" applyAlignment="1">
      <alignment vertical="center" wrapText="1"/>
    </xf>
    <xf numFmtId="0" fontId="15" fillId="0" borderId="46" xfId="0" applyFont="1" applyBorder="1" applyAlignment="1">
      <alignment vertical="center" wrapText="1"/>
    </xf>
    <xf numFmtId="0" fontId="15" fillId="0" borderId="47" xfId="0" applyFont="1" applyBorder="1" applyAlignment="1">
      <alignment vertical="center"/>
    </xf>
    <xf numFmtId="165" fontId="15" fillId="0" borderId="45" xfId="0" applyNumberFormat="1" applyFont="1" applyBorder="1" applyAlignment="1">
      <alignment vertical="center"/>
    </xf>
    <xf numFmtId="0" fontId="24" fillId="0" borderId="46" xfId="0" applyFont="1" applyBorder="1" applyAlignment="1">
      <alignment vertical="center"/>
    </xf>
    <xf numFmtId="0" fontId="15" fillId="0" borderId="47" xfId="0" applyFont="1" applyBorder="1" applyAlignment="1">
      <alignment vertical="center" wrapText="1"/>
    </xf>
    <xf numFmtId="0" fontId="15" fillId="0" borderId="45" xfId="0" applyFont="1" applyBorder="1" applyAlignment="1">
      <alignment vertical="center" wrapText="1"/>
    </xf>
    <xf numFmtId="164" fontId="15" fillId="0" borderId="46" xfId="0" applyNumberFormat="1" applyFont="1" applyBorder="1" applyAlignment="1">
      <alignment vertical="center" wrapText="1"/>
    </xf>
    <xf numFmtId="164" fontId="19" fillId="0" borderId="48" xfId="0" applyNumberFormat="1" applyFont="1" applyBorder="1" applyAlignment="1">
      <alignment vertical="center"/>
    </xf>
    <xf numFmtId="164" fontId="19" fillId="0" borderId="45" xfId="0" applyNumberFormat="1" applyFont="1" applyBorder="1" applyAlignment="1">
      <alignment vertical="center"/>
    </xf>
    <xf numFmtId="0" fontId="15" fillId="0" borderId="45" xfId="0" applyFont="1" applyBorder="1"/>
    <xf numFmtId="0" fontId="15" fillId="0" borderId="46" xfId="0" applyFont="1" applyBorder="1"/>
    <xf numFmtId="0" fontId="15" fillId="0" borderId="35" xfId="0" applyFont="1" applyBorder="1" applyAlignment="1">
      <alignment wrapText="1"/>
    </xf>
    <xf numFmtId="0" fontId="15" fillId="0" borderId="35" xfId="0" applyFont="1" applyBorder="1"/>
    <xf numFmtId="164" fontId="15" fillId="0" borderId="33" xfId="0" applyNumberFormat="1" applyFont="1" applyBorder="1"/>
    <xf numFmtId="0" fontId="15" fillId="0" borderId="34" xfId="0" applyFont="1" applyBorder="1"/>
    <xf numFmtId="0" fontId="15" fillId="0" borderId="41" xfId="0" applyFont="1" applyBorder="1" applyAlignment="1">
      <alignment wrapText="1"/>
    </xf>
    <xf numFmtId="164" fontId="15" fillId="0" borderId="39" xfId="0" applyNumberFormat="1" applyFont="1" applyBorder="1"/>
    <xf numFmtId="14" fontId="15" fillId="0" borderId="39" xfId="0" applyNumberFormat="1" applyFont="1" applyBorder="1"/>
    <xf numFmtId="0" fontId="15" fillId="0" borderId="40" xfId="0" applyFont="1" applyBorder="1" applyAlignment="1">
      <alignment vertical="center"/>
    </xf>
    <xf numFmtId="164" fontId="15" fillId="0" borderId="39" xfId="0" applyNumberFormat="1" applyFont="1" applyBorder="1" applyAlignment="1">
      <alignment vertical="center"/>
    </xf>
    <xf numFmtId="0" fontId="15" fillId="0" borderId="34" xfId="0" applyFont="1" applyBorder="1" applyAlignment="1">
      <alignment wrapText="1"/>
    </xf>
    <xf numFmtId="0" fontId="25" fillId="0" borderId="34" xfId="0" applyFont="1" applyBorder="1"/>
    <xf numFmtId="0" fontId="15" fillId="0" borderId="47" xfId="0" applyFont="1" applyBorder="1"/>
    <xf numFmtId="164" fontId="15" fillId="0" borderId="45" xfId="0" applyNumberFormat="1" applyFont="1" applyBorder="1"/>
    <xf numFmtId="164" fontId="15" fillId="0" borderId="33" xfId="0" applyNumberFormat="1" applyFont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15" fillId="11" borderId="45" xfId="0" applyFont="1" applyFill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27" fillId="0" borderId="40" xfId="0" applyFont="1" applyBorder="1" applyAlignment="1">
      <alignment vertical="center" wrapText="1"/>
    </xf>
    <xf numFmtId="0" fontId="26" fillId="0" borderId="40" xfId="0" applyFont="1" applyBorder="1" applyAlignment="1">
      <alignment vertical="center"/>
    </xf>
    <xf numFmtId="14" fontId="15" fillId="0" borderId="39" xfId="0" applyNumberFormat="1" applyFont="1" applyBorder="1" applyAlignment="1">
      <alignment vertical="center"/>
    </xf>
    <xf numFmtId="0" fontId="15" fillId="0" borderId="46" xfId="0" applyFont="1" applyBorder="1" applyAlignment="1">
      <alignment vertical="center"/>
    </xf>
    <xf numFmtId="0" fontId="15" fillId="0" borderId="0" xfId="0" applyFont="1" applyAlignment="1">
      <alignment vertical="center"/>
    </xf>
    <xf numFmtId="166" fontId="15" fillId="0" borderId="39" xfId="0" applyNumberFormat="1" applyFont="1" applyBorder="1" applyAlignment="1">
      <alignment vertical="center"/>
    </xf>
    <xf numFmtId="0" fontId="15" fillId="2" borderId="49" xfId="0" applyFont="1" applyFill="1" applyBorder="1" applyAlignment="1">
      <alignment vertical="center"/>
    </xf>
    <xf numFmtId="0" fontId="15" fillId="2" borderId="50" xfId="0" applyFont="1" applyFill="1" applyBorder="1" applyAlignment="1">
      <alignment vertical="center"/>
    </xf>
    <xf numFmtId="0" fontId="15" fillId="0" borderId="7" xfId="0" applyFont="1" applyBorder="1"/>
    <xf numFmtId="0" fontId="19" fillId="0" borderId="39" xfId="0" applyFont="1" applyBorder="1" applyAlignment="1">
      <alignment vertical="center" wrapText="1"/>
    </xf>
    <xf numFmtId="0" fontId="15" fillId="2" borderId="52" xfId="0" applyFont="1" applyFill="1" applyBorder="1" applyAlignment="1">
      <alignment vertical="center"/>
    </xf>
    <xf numFmtId="0" fontId="19" fillId="0" borderId="45" xfId="0" applyFont="1" applyBorder="1" applyAlignment="1">
      <alignment vertical="center" wrapText="1"/>
    </xf>
    <xf numFmtId="164" fontId="19" fillId="0" borderId="46" xfId="0" applyNumberFormat="1" applyFont="1" applyBorder="1" applyAlignment="1">
      <alignment vertical="center"/>
    </xf>
    <xf numFmtId="0" fontId="15" fillId="2" borderId="54" xfId="0" applyFont="1" applyFill="1" applyBorder="1" applyAlignment="1">
      <alignment vertical="center"/>
    </xf>
    <xf numFmtId="0" fontId="15" fillId="0" borderId="55" xfId="0" applyFont="1" applyBorder="1" applyAlignment="1">
      <alignment vertical="center"/>
    </xf>
    <xf numFmtId="3" fontId="15" fillId="0" borderId="55" xfId="0" applyNumberFormat="1" applyFont="1" applyBorder="1" applyAlignment="1">
      <alignment vertical="center"/>
    </xf>
    <xf numFmtId="0" fontId="28" fillId="0" borderId="55" xfId="0" applyFont="1" applyBorder="1" applyAlignment="1">
      <alignment vertical="center"/>
    </xf>
    <xf numFmtId="49" fontId="15" fillId="0" borderId="55" xfId="0" applyNumberFormat="1" applyFont="1" applyBorder="1" applyAlignment="1">
      <alignment vertical="center" wrapText="1"/>
    </xf>
    <xf numFmtId="0" fontId="15" fillId="0" borderId="56" xfId="0" applyFont="1" applyBorder="1" applyAlignment="1">
      <alignment vertical="center" wrapText="1"/>
    </xf>
    <xf numFmtId="0" fontId="15" fillId="0" borderId="57" xfId="0" applyFont="1" applyBorder="1" applyAlignment="1">
      <alignment vertical="center"/>
    </xf>
    <xf numFmtId="165" fontId="15" fillId="0" borderId="55" xfId="0" applyNumberFormat="1" applyFont="1" applyBorder="1" applyAlignment="1">
      <alignment vertical="center"/>
    </xf>
    <xf numFmtId="0" fontId="29" fillId="0" borderId="56" xfId="0" applyFont="1" applyBorder="1" applyAlignment="1">
      <alignment vertical="center"/>
    </xf>
    <xf numFmtId="0" fontId="15" fillId="0" borderId="57" xfId="0" applyFont="1" applyBorder="1" applyAlignment="1">
      <alignment vertical="center" wrapText="1"/>
    </xf>
    <xf numFmtId="0" fontId="19" fillId="0" borderId="55" xfId="0" applyFont="1" applyBorder="1" applyAlignment="1">
      <alignment vertical="center" wrapText="1"/>
    </xf>
    <xf numFmtId="0" fontId="19" fillId="0" borderId="56" xfId="0" applyFont="1" applyBorder="1" applyAlignment="1">
      <alignment vertical="center" wrapText="1"/>
    </xf>
    <xf numFmtId="0" fontId="15" fillId="0" borderId="58" xfId="0" applyFont="1" applyBorder="1" applyAlignment="1">
      <alignment vertical="center" wrapText="1"/>
    </xf>
    <xf numFmtId="164" fontId="15" fillId="0" borderId="56" xfId="0" applyNumberFormat="1" applyFont="1" applyBorder="1" applyAlignment="1">
      <alignment vertical="center" wrapText="1"/>
    </xf>
    <xf numFmtId="164" fontId="19" fillId="0" borderId="59" xfId="0" applyNumberFormat="1" applyFont="1" applyBorder="1" applyAlignment="1">
      <alignment vertical="center"/>
    </xf>
    <xf numFmtId="0" fontId="15" fillId="0" borderId="55" xfId="0" applyFont="1" applyBorder="1" applyAlignment="1">
      <alignment vertical="center" wrapText="1"/>
    </xf>
    <xf numFmtId="164" fontId="19" fillId="0" borderId="55" xfId="0" applyNumberFormat="1" applyFont="1" applyBorder="1" applyAlignment="1">
      <alignment vertical="center"/>
    </xf>
    <xf numFmtId="164" fontId="19" fillId="0" borderId="56" xfId="0" applyNumberFormat="1" applyFont="1" applyBorder="1" applyAlignment="1">
      <alignment vertical="center"/>
    </xf>
    <xf numFmtId="0" fontId="15" fillId="2" borderId="60" xfId="0" applyFont="1" applyFill="1" applyBorder="1" applyAlignment="1">
      <alignment vertical="center"/>
    </xf>
    <xf numFmtId="0" fontId="15" fillId="0" borderId="61" xfId="0" applyFont="1" applyBorder="1" applyAlignment="1">
      <alignment vertical="center" wrapText="1"/>
    </xf>
    <xf numFmtId="0" fontId="15" fillId="0" borderId="7" xfId="0" applyFont="1" applyBorder="1" applyAlignment="1">
      <alignment vertical="center"/>
    </xf>
    <xf numFmtId="0" fontId="15" fillId="2" borderId="62" xfId="0" applyFont="1" applyFill="1" applyBorder="1" applyAlignment="1">
      <alignment vertical="center"/>
    </xf>
    <xf numFmtId="3" fontId="15" fillId="0" borderId="41" xfId="0" applyNumberFormat="1" applyFont="1" applyBorder="1" applyAlignment="1">
      <alignment vertical="center"/>
    </xf>
    <xf numFmtId="0" fontId="15" fillId="0" borderId="39" xfId="0" quotePrefix="1" applyFont="1" applyBorder="1" applyAlignment="1">
      <alignment vertical="center"/>
    </xf>
    <xf numFmtId="0" fontId="15" fillId="2" borderId="63" xfId="0" applyFont="1" applyFill="1" applyBorder="1" applyAlignment="1">
      <alignment vertical="center"/>
    </xf>
    <xf numFmtId="0" fontId="15" fillId="0" borderId="51" xfId="0" applyFont="1" applyBorder="1" applyAlignment="1">
      <alignment vertical="center"/>
    </xf>
    <xf numFmtId="3" fontId="15" fillId="0" borderId="51" xfId="0" applyNumberFormat="1" applyFont="1" applyBorder="1" applyAlignment="1">
      <alignment vertical="center"/>
    </xf>
    <xf numFmtId="0" fontId="30" fillId="0" borderId="51" xfId="0" applyFont="1" applyBorder="1" applyAlignment="1">
      <alignment vertical="center"/>
    </xf>
    <xf numFmtId="49" fontId="15" fillId="0" borderId="51" xfId="0" applyNumberFormat="1" applyFont="1" applyBorder="1" applyAlignment="1">
      <alignment vertical="center" wrapText="1"/>
    </xf>
    <xf numFmtId="0" fontId="15" fillId="0" borderId="64" xfId="0" applyFont="1" applyBorder="1" applyAlignment="1">
      <alignment vertical="center" wrapText="1"/>
    </xf>
    <xf numFmtId="0" fontId="15" fillId="0" borderId="45" xfId="0" quotePrefix="1" applyFont="1" applyBorder="1" applyAlignment="1">
      <alignment vertical="center"/>
    </xf>
    <xf numFmtId="0" fontId="15" fillId="2" borderId="65" xfId="0" applyFont="1" applyFill="1" applyBorder="1" applyAlignment="1">
      <alignment vertical="center"/>
    </xf>
    <xf numFmtId="0" fontId="15" fillId="12" borderId="39" xfId="0" applyFont="1" applyFill="1" applyBorder="1" applyAlignment="1">
      <alignment vertical="center" wrapText="1"/>
    </xf>
    <xf numFmtId="20" fontId="15" fillId="12" borderId="39" xfId="0" applyNumberFormat="1" applyFont="1" applyFill="1" applyBorder="1" applyAlignment="1">
      <alignment vertical="center" wrapText="1"/>
    </xf>
    <xf numFmtId="0" fontId="31" fillId="0" borderId="40" xfId="0" applyFont="1" applyBorder="1" applyAlignment="1">
      <alignment vertical="center"/>
    </xf>
    <xf numFmtId="0" fontId="15" fillId="0" borderId="61" xfId="0" applyFont="1" applyBorder="1"/>
    <xf numFmtId="0" fontId="15" fillId="2" borderId="66" xfId="0" applyFont="1" applyFill="1" applyBorder="1" applyAlignment="1">
      <alignment vertical="center"/>
    </xf>
    <xf numFmtId="0" fontId="32" fillId="0" borderId="45" xfId="0" applyFont="1" applyBorder="1" applyAlignment="1">
      <alignment vertical="center"/>
    </xf>
    <xf numFmtId="0" fontId="33" fillId="0" borderId="46" xfId="0" applyFont="1" applyBorder="1" applyAlignment="1">
      <alignment vertical="center"/>
    </xf>
    <xf numFmtId="0" fontId="15" fillId="2" borderId="67" xfId="0" applyFont="1" applyFill="1" applyBorder="1" applyAlignment="1">
      <alignment vertical="center"/>
    </xf>
    <xf numFmtId="0" fontId="15" fillId="0" borderId="55" xfId="0" quotePrefix="1" applyFont="1" applyBorder="1" applyAlignment="1">
      <alignment vertical="center"/>
    </xf>
    <xf numFmtId="0" fontId="15" fillId="0" borderId="55" xfId="0" applyFont="1" applyBorder="1"/>
    <xf numFmtId="0" fontId="15" fillId="0" borderId="56" xfId="0" applyFont="1" applyBorder="1"/>
    <xf numFmtId="0" fontId="15" fillId="2" borderId="68" xfId="0" applyFont="1" applyFill="1" applyBorder="1" applyAlignment="1">
      <alignment vertical="center"/>
    </xf>
    <xf numFmtId="0" fontId="34" fillId="0" borderId="39" xfId="0" applyFont="1" applyBorder="1" applyAlignment="1">
      <alignment vertical="center"/>
    </xf>
    <xf numFmtId="0" fontId="15" fillId="2" borderId="41" xfId="0" applyFont="1" applyFill="1" applyBorder="1" applyAlignment="1">
      <alignment vertical="center"/>
    </xf>
    <xf numFmtId="165" fontId="15" fillId="2" borderId="39" xfId="0" applyNumberFormat="1" applyFont="1" applyFill="1" applyBorder="1" applyAlignment="1">
      <alignment vertical="center"/>
    </xf>
    <xf numFmtId="0" fontId="15" fillId="2" borderId="39" xfId="0" applyFont="1" applyFill="1" applyBorder="1" applyAlignment="1">
      <alignment vertical="center"/>
    </xf>
    <xf numFmtId="0" fontId="35" fillId="2" borderId="40" xfId="0" applyFont="1" applyFill="1" applyBorder="1" applyAlignment="1">
      <alignment vertical="center"/>
    </xf>
    <xf numFmtId="0" fontId="36" fillId="0" borderId="39" xfId="0" applyFont="1" applyBorder="1" applyAlignment="1">
      <alignment vertical="center"/>
    </xf>
    <xf numFmtId="0" fontId="37" fillId="0" borderId="40" xfId="0" applyFont="1" applyBorder="1" applyAlignment="1">
      <alignment vertical="center"/>
    </xf>
    <xf numFmtId="0" fontId="15" fillId="0" borderId="39" xfId="0" applyFont="1" applyBorder="1" applyAlignment="1">
      <alignment horizontal="center" vertical="center"/>
    </xf>
    <xf numFmtId="0" fontId="15" fillId="0" borderId="39" xfId="0" applyFont="1" applyBorder="1" applyAlignment="1">
      <alignment horizontal="left" vertical="center"/>
    </xf>
    <xf numFmtId="0" fontId="15" fillId="0" borderId="41" xfId="0" applyFont="1" applyBorder="1" applyAlignment="1">
      <alignment horizontal="left" vertical="center"/>
    </xf>
    <xf numFmtId="3" fontId="15" fillId="0" borderId="39" xfId="0" applyNumberFormat="1" applyFont="1" applyBorder="1"/>
    <xf numFmtId="0" fontId="15" fillId="0" borderId="39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167" fontId="15" fillId="0" borderId="39" xfId="0" applyNumberFormat="1" applyFont="1" applyBorder="1" applyAlignment="1">
      <alignment vertical="center"/>
    </xf>
    <xf numFmtId="168" fontId="15" fillId="0" borderId="41" xfId="0" applyNumberFormat="1" applyFont="1" applyBorder="1" applyAlignment="1">
      <alignment vertical="center"/>
    </xf>
    <xf numFmtId="169" fontId="15" fillId="0" borderId="39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170" fontId="15" fillId="0" borderId="39" xfId="0" applyNumberFormat="1" applyFont="1" applyBorder="1" applyAlignment="1">
      <alignment vertical="center"/>
    </xf>
    <xf numFmtId="14" fontId="15" fillId="0" borderId="41" xfId="0" applyNumberFormat="1" applyFont="1" applyBorder="1" applyAlignment="1">
      <alignment vertical="center"/>
    </xf>
    <xf numFmtId="171" fontId="15" fillId="0" borderId="39" xfId="0" applyNumberFormat="1" applyFont="1" applyBorder="1" applyAlignment="1">
      <alignment vertical="center"/>
    </xf>
    <xf numFmtId="168" fontId="15" fillId="0" borderId="39" xfId="0" applyNumberFormat="1" applyFont="1" applyBorder="1" applyAlignment="1">
      <alignment vertical="center"/>
    </xf>
    <xf numFmtId="172" fontId="15" fillId="0" borderId="41" xfId="0" applyNumberFormat="1" applyFont="1" applyBorder="1" applyAlignment="1">
      <alignment vertical="center"/>
    </xf>
    <xf numFmtId="172" fontId="15" fillId="0" borderId="39" xfId="0" applyNumberFormat="1" applyFont="1" applyBorder="1" applyAlignment="1">
      <alignment vertical="center"/>
    </xf>
    <xf numFmtId="164" fontId="19" fillId="0" borderId="39" xfId="0" applyNumberFormat="1" applyFont="1" applyBorder="1" applyAlignment="1">
      <alignment horizontal="left" vertical="center"/>
    </xf>
    <xf numFmtId="169" fontId="15" fillId="0" borderId="41" xfId="0" applyNumberFormat="1" applyFont="1" applyBorder="1" applyAlignment="1">
      <alignment vertical="center"/>
    </xf>
    <xf numFmtId="173" fontId="15" fillId="0" borderId="41" xfId="0" applyNumberFormat="1" applyFont="1" applyBorder="1" applyAlignment="1">
      <alignment vertical="center"/>
    </xf>
    <xf numFmtId="173" fontId="15" fillId="0" borderId="39" xfId="0" applyNumberFormat="1" applyFont="1" applyBorder="1" applyAlignment="1">
      <alignment vertical="center"/>
    </xf>
    <xf numFmtId="0" fontId="16" fillId="2" borderId="39" xfId="0" applyFont="1" applyFill="1" applyBorder="1" applyAlignment="1">
      <alignment vertical="center" wrapText="1"/>
    </xf>
    <xf numFmtId="49" fontId="1" fillId="12" borderId="69" xfId="0" applyNumberFormat="1" applyFont="1" applyFill="1" applyBorder="1" applyAlignment="1">
      <alignment vertical="center"/>
    </xf>
    <xf numFmtId="0" fontId="5" fillId="0" borderId="0" xfId="0" applyFont="1"/>
    <xf numFmtId="0" fontId="1" fillId="12" borderId="69" xfId="0" applyFont="1" applyFill="1" applyBorder="1" applyAlignment="1">
      <alignment vertical="center"/>
    </xf>
    <xf numFmtId="0" fontId="39" fillId="0" borderId="0" xfId="0" applyFont="1" applyAlignment="1">
      <alignment vertical="center"/>
    </xf>
    <xf numFmtId="0" fontId="42" fillId="6" borderId="19" xfId="0" applyFont="1" applyFill="1" applyBorder="1" applyAlignment="1">
      <alignment horizontal="center" vertical="center"/>
    </xf>
    <xf numFmtId="0" fontId="43" fillId="0" borderId="0" xfId="0" applyFont="1"/>
    <xf numFmtId="0" fontId="4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5" fillId="8" borderId="25" xfId="0" applyFont="1" applyFill="1" applyBorder="1" applyAlignment="1">
      <alignment horizontal="center" vertical="center" wrapText="1"/>
    </xf>
    <xf numFmtId="49" fontId="45" fillId="8" borderId="25" xfId="0" applyNumberFormat="1" applyFont="1" applyFill="1" applyBorder="1" applyAlignment="1">
      <alignment horizontal="center" vertical="center" wrapText="1"/>
    </xf>
    <xf numFmtId="0" fontId="45" fillId="8" borderId="26" xfId="0" applyFont="1" applyFill="1" applyBorder="1" applyAlignment="1">
      <alignment horizontal="left" vertical="center" wrapText="1"/>
    </xf>
    <xf numFmtId="0" fontId="45" fillId="8" borderId="27" xfId="0" applyFont="1" applyFill="1" applyBorder="1" applyAlignment="1">
      <alignment horizontal="center" vertical="center" wrapText="1"/>
    </xf>
    <xf numFmtId="0" fontId="46" fillId="8" borderId="25" xfId="0" applyFont="1" applyFill="1" applyBorder="1" applyAlignment="1">
      <alignment horizontal="center" vertical="center" wrapText="1"/>
    </xf>
    <xf numFmtId="0" fontId="45" fillId="8" borderId="26" xfId="0" applyFont="1" applyFill="1" applyBorder="1" applyAlignment="1">
      <alignment horizontal="center" vertical="center" wrapText="1"/>
    </xf>
    <xf numFmtId="164" fontId="45" fillId="8" borderId="24" xfId="0" applyNumberFormat="1" applyFont="1" applyFill="1" applyBorder="1" applyAlignment="1">
      <alignment horizontal="center" vertical="center" wrapText="1"/>
    </xf>
    <xf numFmtId="0" fontId="42" fillId="6" borderId="71" xfId="0" applyFont="1" applyFill="1" applyBorder="1" applyAlignment="1">
      <alignment horizontal="center" vertical="center"/>
    </xf>
    <xf numFmtId="0" fontId="46" fillId="9" borderId="28" xfId="0" applyFont="1" applyFill="1" applyBorder="1" applyAlignment="1">
      <alignment horizontal="center" vertical="center" wrapText="1"/>
    </xf>
    <xf numFmtId="0" fontId="45" fillId="9" borderId="29" xfId="0" applyFont="1" applyFill="1" applyBorder="1" applyAlignment="1">
      <alignment horizontal="center" vertical="center" wrapText="1"/>
    </xf>
    <xf numFmtId="164" fontId="45" fillId="9" borderId="30" xfId="0" applyNumberFormat="1" applyFont="1" applyFill="1" applyBorder="1" applyAlignment="1">
      <alignment horizontal="center" vertical="center" wrapText="1"/>
    </xf>
    <xf numFmtId="0" fontId="45" fillId="9" borderId="28" xfId="0" applyFont="1" applyFill="1" applyBorder="1" applyAlignment="1">
      <alignment horizontal="center" vertical="center" wrapText="1"/>
    </xf>
    <xf numFmtId="0" fontId="45" fillId="9" borderId="27" xfId="0" applyFont="1" applyFill="1" applyBorder="1" applyAlignment="1">
      <alignment horizontal="center" vertical="center" wrapText="1"/>
    </xf>
    <xf numFmtId="0" fontId="45" fillId="9" borderId="25" xfId="0" applyFont="1" applyFill="1" applyBorder="1" applyAlignment="1">
      <alignment horizontal="center" vertical="center" wrapText="1"/>
    </xf>
    <xf numFmtId="0" fontId="45" fillId="9" borderId="2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1" fillId="0" borderId="7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/>
    </xf>
    <xf numFmtId="3" fontId="1" fillId="0" borderId="33" xfId="0" applyNumberFormat="1" applyFont="1" applyBorder="1" applyAlignment="1">
      <alignment horizontal="center" vertical="center"/>
    </xf>
    <xf numFmtId="166" fontId="1" fillId="0" borderId="3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49" fontId="1" fillId="0" borderId="33" xfId="0" applyNumberFormat="1" applyFont="1" applyBorder="1" applyAlignment="1">
      <alignment horizontal="center" vertical="center" wrapText="1"/>
    </xf>
    <xf numFmtId="0" fontId="1" fillId="0" borderId="33" xfId="0" applyFont="1" applyBorder="1" applyAlignment="1">
      <alignment horizontal="left" vertical="center" wrapText="1"/>
    </xf>
    <xf numFmtId="165" fontId="1" fillId="0" borderId="33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164" fontId="1" fillId="0" borderId="33" xfId="0" applyNumberFormat="1" applyFont="1" applyBorder="1" applyAlignment="1">
      <alignment horizontal="center" vertical="center" wrapText="1"/>
    </xf>
    <xf numFmtId="164" fontId="45" fillId="0" borderId="33" xfId="0" applyNumberFormat="1" applyFont="1" applyBorder="1" applyAlignment="1">
      <alignment horizontal="center" vertical="center"/>
    </xf>
    <xf numFmtId="0" fontId="5" fillId="0" borderId="33" xfId="0" applyFont="1" applyBorder="1"/>
    <xf numFmtId="164" fontId="45" fillId="0" borderId="34" xfId="0" applyNumberFormat="1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horizontal="left" vertical="center"/>
    </xf>
    <xf numFmtId="49" fontId="1" fillId="0" borderId="39" xfId="0" applyNumberFormat="1" applyFont="1" applyBorder="1" applyAlignment="1">
      <alignment horizontal="center" vertical="center" wrapText="1"/>
    </xf>
    <xf numFmtId="0" fontId="1" fillId="0" borderId="39" xfId="0" applyFont="1" applyBorder="1" applyAlignment="1">
      <alignment horizontal="left" vertical="center" wrapText="1"/>
    </xf>
    <xf numFmtId="165" fontId="1" fillId="0" borderId="39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164" fontId="1" fillId="0" borderId="39" xfId="0" applyNumberFormat="1" applyFont="1" applyBorder="1" applyAlignment="1">
      <alignment horizontal="center" vertical="center" wrapText="1"/>
    </xf>
    <xf numFmtId="164" fontId="45" fillId="0" borderId="39" xfId="0" applyNumberFormat="1" applyFont="1" applyBorder="1" applyAlignment="1">
      <alignment horizontal="center" vertical="center"/>
    </xf>
    <xf numFmtId="0" fontId="5" fillId="0" borderId="39" xfId="0" applyFont="1" applyBorder="1"/>
    <xf numFmtId="164" fontId="45" fillId="0" borderId="40" xfId="0" applyNumberFormat="1" applyFont="1" applyBorder="1" applyAlignment="1">
      <alignment horizontal="center" vertical="center"/>
    </xf>
    <xf numFmtId="3" fontId="1" fillId="0" borderId="39" xfId="0" applyNumberFormat="1" applyFont="1" applyBorder="1" applyAlignment="1">
      <alignment horizontal="center" vertical="center"/>
    </xf>
    <xf numFmtId="0" fontId="48" fillId="0" borderId="3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 wrapText="1"/>
    </xf>
    <xf numFmtId="164" fontId="45" fillId="0" borderId="39" xfId="0" applyNumberFormat="1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49" fillId="0" borderId="39" xfId="0" applyFont="1" applyBorder="1" applyAlignment="1">
      <alignment horizontal="center"/>
    </xf>
    <xf numFmtId="0" fontId="5" fillId="0" borderId="40" xfId="0" applyFont="1" applyBorder="1"/>
    <xf numFmtId="0" fontId="1" fillId="0" borderId="39" xfId="0" applyFont="1" applyBorder="1" applyAlignment="1">
      <alignment horizontal="left" wrapText="1"/>
    </xf>
    <xf numFmtId="3" fontId="5" fillId="0" borderId="39" xfId="0" applyNumberFormat="1" applyFont="1" applyBorder="1" applyAlignment="1">
      <alignment horizontal="center" vertical="center"/>
    </xf>
    <xf numFmtId="0" fontId="50" fillId="0" borderId="3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1" xfId="0" applyFont="1" applyBorder="1" applyAlignment="1">
      <alignment horizontal="left" vertical="center"/>
    </xf>
    <xf numFmtId="3" fontId="1" fillId="0" borderId="51" xfId="0" applyNumberFormat="1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49" fontId="1" fillId="0" borderId="51" xfId="0" applyNumberFormat="1" applyFont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165" fontId="1" fillId="0" borderId="51" xfId="0" applyNumberFormat="1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164" fontId="1" fillId="0" borderId="51" xfId="0" applyNumberFormat="1" applyFont="1" applyBorder="1" applyAlignment="1">
      <alignment horizontal="center" vertical="center" wrapText="1"/>
    </xf>
    <xf numFmtId="164" fontId="45" fillId="0" borderId="51" xfId="0" applyNumberFormat="1" applyFont="1" applyBorder="1" applyAlignment="1">
      <alignment horizontal="center" vertical="center"/>
    </xf>
    <xf numFmtId="0" fontId="5" fillId="0" borderId="51" xfId="0" applyFont="1" applyBorder="1"/>
    <xf numFmtId="0" fontId="5" fillId="0" borderId="64" xfId="0" applyFont="1" applyBorder="1"/>
    <xf numFmtId="0" fontId="1" fillId="0" borderId="3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3" fontId="5" fillId="0" borderId="33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/>
    </xf>
    <xf numFmtId="164" fontId="5" fillId="0" borderId="33" xfId="0" applyNumberFormat="1" applyFont="1" applyBorder="1" applyAlignment="1">
      <alignment horizontal="center"/>
    </xf>
    <xf numFmtId="0" fontId="5" fillId="0" borderId="34" xfId="0" applyFont="1" applyBorder="1"/>
    <xf numFmtId="0" fontId="1" fillId="0" borderId="41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wrapText="1"/>
    </xf>
    <xf numFmtId="164" fontId="5" fillId="0" borderId="39" xfId="0" applyNumberFormat="1" applyFont="1" applyBorder="1" applyAlignment="1">
      <alignment horizontal="center" vertical="center" wrapText="1"/>
    </xf>
    <xf numFmtId="164" fontId="5" fillId="0" borderId="39" xfId="0" applyNumberFormat="1" applyFont="1" applyBorder="1" applyAlignment="1">
      <alignment horizontal="center"/>
    </xf>
    <xf numFmtId="0" fontId="5" fillId="0" borderId="39" xfId="0" applyFont="1" applyBorder="1" applyAlignment="1">
      <alignment vertical="center"/>
    </xf>
    <xf numFmtId="164" fontId="1" fillId="0" borderId="39" xfId="0" applyNumberFormat="1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left" wrapText="1"/>
    </xf>
    <xf numFmtId="0" fontId="51" fillId="0" borderId="33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164" fontId="5" fillId="0" borderId="51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164" fontId="5" fillId="0" borderId="39" xfId="0" applyNumberFormat="1" applyFont="1" applyBorder="1" applyAlignment="1">
      <alignment horizontal="center" vertical="center"/>
    </xf>
    <xf numFmtId="0" fontId="45" fillId="0" borderId="39" xfId="0" applyFont="1" applyBorder="1" applyAlignment="1">
      <alignment horizontal="left" vertical="center"/>
    </xf>
    <xf numFmtId="0" fontId="1" fillId="0" borderId="75" xfId="0" applyFont="1" applyBorder="1" applyAlignment="1">
      <alignment horizontal="center" vertical="center" wrapText="1"/>
    </xf>
    <xf numFmtId="0" fontId="52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1" fillId="0" borderId="0" xfId="0" applyFont="1"/>
    <xf numFmtId="0" fontId="1" fillId="0" borderId="39" xfId="0" applyFont="1" applyBorder="1"/>
    <xf numFmtId="0" fontId="1" fillId="0" borderId="40" xfId="0" applyFont="1" applyBorder="1"/>
    <xf numFmtId="0" fontId="45" fillId="0" borderId="3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54" fillId="0" borderId="51" xfId="0" applyFont="1" applyBorder="1" applyAlignment="1">
      <alignment horizontal="center" vertical="center"/>
    </xf>
    <xf numFmtId="0" fontId="1" fillId="0" borderId="64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45" fillId="0" borderId="39" xfId="0" applyFont="1" applyBorder="1" applyAlignment="1">
      <alignment horizontal="center" vertical="center"/>
    </xf>
    <xf numFmtId="0" fontId="5" fillId="0" borderId="7" xfId="0" applyFont="1" applyBorder="1"/>
    <xf numFmtId="0" fontId="45" fillId="0" borderId="39" xfId="0" applyFont="1" applyBorder="1" applyAlignment="1">
      <alignment horizontal="center" vertical="center" wrapText="1"/>
    </xf>
    <xf numFmtId="164" fontId="45" fillId="0" borderId="39" xfId="0" applyNumberFormat="1" applyFont="1" applyBorder="1" applyAlignment="1">
      <alignment vertical="center"/>
    </xf>
    <xf numFmtId="0" fontId="55" fillId="0" borderId="51" xfId="0" applyFont="1" applyBorder="1" applyAlignment="1">
      <alignment horizontal="center" vertical="center"/>
    </xf>
    <xf numFmtId="0" fontId="45" fillId="0" borderId="51" xfId="0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/>
    </xf>
    <xf numFmtId="0" fontId="1" fillId="0" borderId="45" xfId="0" applyFont="1" applyBorder="1" applyAlignment="1">
      <alignment vertical="center"/>
    </xf>
    <xf numFmtId="3" fontId="1" fillId="0" borderId="45" xfId="0" applyNumberFormat="1" applyFont="1" applyBorder="1" applyAlignment="1">
      <alignment horizontal="center" vertical="center"/>
    </xf>
    <xf numFmtId="0" fontId="56" fillId="0" borderId="45" xfId="0" applyFont="1" applyBorder="1" applyAlignment="1">
      <alignment horizontal="center" vertical="center"/>
    </xf>
    <xf numFmtId="49" fontId="1" fillId="0" borderId="45" xfId="0" applyNumberFormat="1" applyFont="1" applyBorder="1" applyAlignment="1">
      <alignment horizontal="center" vertical="center" wrapText="1"/>
    </xf>
    <xf numFmtId="0" fontId="1" fillId="0" borderId="45" xfId="0" applyFont="1" applyBorder="1" applyAlignment="1">
      <alignment horizontal="left" vertical="center" wrapText="1"/>
    </xf>
    <xf numFmtId="165" fontId="1" fillId="0" borderId="45" xfId="0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164" fontId="5" fillId="0" borderId="45" xfId="0" applyNumberFormat="1" applyFont="1" applyBorder="1" applyAlignment="1">
      <alignment horizontal="center" vertical="center" wrapText="1"/>
    </xf>
    <xf numFmtId="164" fontId="45" fillId="0" borderId="45" xfId="0" applyNumberFormat="1" applyFont="1" applyBorder="1" applyAlignment="1">
      <alignment horizontal="center" vertical="center"/>
    </xf>
    <xf numFmtId="0" fontId="5" fillId="0" borderId="45" xfId="0" applyFont="1" applyBorder="1"/>
    <xf numFmtId="0" fontId="5" fillId="0" borderId="46" xfId="0" applyFont="1" applyBorder="1"/>
    <xf numFmtId="0" fontId="1" fillId="14" borderId="69" xfId="0" applyFont="1" applyFill="1" applyBorder="1"/>
    <xf numFmtId="0" fontId="1" fillId="14" borderId="69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/>
    </xf>
    <xf numFmtId="0" fontId="5" fillId="14" borderId="69" xfId="0" applyFont="1" applyFill="1" applyBorder="1" applyAlignment="1">
      <alignment wrapText="1"/>
    </xf>
    <xf numFmtId="0" fontId="1" fillId="14" borderId="69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46" fillId="0" borderId="0" xfId="0" applyNumberFormat="1" applyFont="1" applyAlignment="1">
      <alignment horizontal="center"/>
    </xf>
    <xf numFmtId="0" fontId="45" fillId="8" borderId="73" xfId="0" applyFont="1" applyFill="1" applyBorder="1" applyAlignment="1">
      <alignment horizontal="center" vertical="center" wrapText="1"/>
    </xf>
    <xf numFmtId="49" fontId="45" fillId="8" borderId="73" xfId="0" applyNumberFormat="1" applyFont="1" applyFill="1" applyBorder="1" applyAlignment="1">
      <alignment horizontal="center" vertical="center" wrapText="1"/>
    </xf>
    <xf numFmtId="0" fontId="45" fillId="8" borderId="77" xfId="0" applyFont="1" applyFill="1" applyBorder="1" applyAlignment="1">
      <alignment horizontal="left" vertical="center" wrapText="1"/>
    </xf>
    <xf numFmtId="0" fontId="45" fillId="8" borderId="78" xfId="0" applyFont="1" applyFill="1" applyBorder="1" applyAlignment="1">
      <alignment horizontal="center" vertical="center" wrapText="1"/>
    </xf>
    <xf numFmtId="0" fontId="46" fillId="8" borderId="73" xfId="0" applyFont="1" applyFill="1" applyBorder="1" applyAlignment="1">
      <alignment horizontal="center" vertical="center" wrapText="1"/>
    </xf>
    <xf numFmtId="0" fontId="45" fillId="8" borderId="77" xfId="0" applyFont="1" applyFill="1" applyBorder="1" applyAlignment="1">
      <alignment horizontal="center" vertical="center" wrapText="1"/>
    </xf>
    <xf numFmtId="164" fontId="45" fillId="8" borderId="79" xfId="0" applyNumberFormat="1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3" xfId="0" applyFont="1" applyBorder="1" applyAlignment="1">
      <alignment horizontal="left" vertical="center"/>
    </xf>
    <xf numFmtId="0" fontId="1" fillId="0" borderId="80" xfId="0" applyFont="1" applyBorder="1" applyAlignment="1">
      <alignment horizontal="center" vertical="center"/>
    </xf>
    <xf numFmtId="3" fontId="1" fillId="0" borderId="73" xfId="0" applyNumberFormat="1" applyFont="1" applyBorder="1" applyAlignment="1">
      <alignment horizontal="center" vertical="center"/>
    </xf>
    <xf numFmtId="0" fontId="57" fillId="0" borderId="73" xfId="0" applyFont="1" applyBorder="1" applyAlignment="1">
      <alignment horizontal="center" vertical="center"/>
    </xf>
    <xf numFmtId="49" fontId="1" fillId="0" borderId="73" xfId="0" applyNumberFormat="1" applyFont="1" applyBorder="1" applyAlignment="1">
      <alignment horizontal="center" vertical="center" wrapText="1"/>
    </xf>
    <xf numFmtId="0" fontId="1" fillId="0" borderId="77" xfId="0" applyFont="1" applyBorder="1" applyAlignment="1">
      <alignment horizontal="left" vertical="center" wrapText="1"/>
    </xf>
    <xf numFmtId="0" fontId="1" fillId="0" borderId="78" xfId="0" applyFont="1" applyBorder="1" applyAlignment="1">
      <alignment horizontal="left" vertical="center"/>
    </xf>
    <xf numFmtId="165" fontId="1" fillId="0" borderId="73" xfId="0" applyNumberFormat="1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8" fillId="0" borderId="7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 wrapText="1"/>
    </xf>
    <xf numFmtId="164" fontId="1" fillId="0" borderId="81" xfId="0" applyNumberFormat="1" applyFont="1" applyBorder="1" applyAlignment="1">
      <alignment horizontal="center" vertical="center" wrapText="1"/>
    </xf>
    <xf numFmtId="164" fontId="45" fillId="0" borderId="3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 wrapText="1"/>
    </xf>
    <xf numFmtId="164" fontId="45" fillId="0" borderId="83" xfId="0" applyNumberFormat="1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5" fillId="0" borderId="82" xfId="0" applyFont="1" applyBorder="1"/>
    <xf numFmtId="0" fontId="5" fillId="0" borderId="83" xfId="0" applyFont="1" applyBorder="1"/>
    <xf numFmtId="164" fontId="45" fillId="0" borderId="77" xfId="0" applyNumberFormat="1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164" fontId="45" fillId="0" borderId="43" xfId="0" applyNumberFormat="1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 wrapText="1"/>
    </xf>
    <xf numFmtId="164" fontId="45" fillId="0" borderId="31" xfId="0" applyNumberFormat="1" applyFont="1" applyBorder="1" applyAlignment="1">
      <alignment horizontal="center"/>
    </xf>
    <xf numFmtId="0" fontId="5" fillId="0" borderId="72" xfId="0" applyFont="1" applyBorder="1" applyAlignment="1">
      <alignment horizontal="center"/>
    </xf>
    <xf numFmtId="0" fontId="1" fillId="0" borderId="80" xfId="0" applyFont="1" applyBorder="1" applyAlignment="1">
      <alignment horizontal="center" vertical="center" wrapText="1"/>
    </xf>
    <xf numFmtId="164" fontId="45" fillId="0" borderId="84" xfId="0" applyNumberFormat="1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" fillId="0" borderId="77" xfId="0" applyFont="1" applyBorder="1" applyAlignment="1">
      <alignment horizontal="center" vertical="center"/>
    </xf>
    <xf numFmtId="164" fontId="45" fillId="0" borderId="85" xfId="0" applyNumberFormat="1" applyFont="1" applyBorder="1" applyAlignment="1">
      <alignment horizontal="center"/>
    </xf>
    <xf numFmtId="0" fontId="5" fillId="0" borderId="76" xfId="0" applyFont="1" applyBorder="1" applyAlignment="1">
      <alignment horizontal="center"/>
    </xf>
    <xf numFmtId="164" fontId="45" fillId="0" borderId="83" xfId="0" applyNumberFormat="1" applyFont="1" applyBorder="1" applyAlignment="1">
      <alignment horizontal="center"/>
    </xf>
    <xf numFmtId="0" fontId="1" fillId="0" borderId="76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59" fillId="0" borderId="73" xfId="0" applyFont="1" applyBorder="1" applyAlignment="1">
      <alignment horizontal="center"/>
    </xf>
    <xf numFmtId="164" fontId="45" fillId="0" borderId="86" xfId="0" applyNumberFormat="1" applyFont="1" applyBorder="1" applyAlignment="1">
      <alignment horizontal="center" vertical="center"/>
    </xf>
    <xf numFmtId="0" fontId="5" fillId="0" borderId="73" xfId="0" applyFont="1" applyBorder="1" applyAlignment="1">
      <alignment horizontal="center"/>
    </xf>
    <xf numFmtId="164" fontId="45" fillId="0" borderId="85" xfId="0" applyNumberFormat="1" applyFont="1" applyBorder="1" applyAlignment="1">
      <alignment horizontal="center" vertical="center"/>
    </xf>
    <xf numFmtId="0" fontId="5" fillId="0" borderId="77" xfId="0" applyFont="1" applyBorder="1"/>
    <xf numFmtId="0" fontId="5" fillId="0" borderId="78" xfId="0" applyFont="1" applyBorder="1"/>
    <xf numFmtId="0" fontId="5" fillId="0" borderId="73" xfId="0" applyFont="1" applyBorder="1"/>
    <xf numFmtId="0" fontId="5" fillId="0" borderId="78" xfId="0" applyFont="1" applyBorder="1" applyAlignment="1">
      <alignment horizontal="center" vertical="center"/>
    </xf>
    <xf numFmtId="0" fontId="1" fillId="0" borderId="77" xfId="0" applyFont="1" applyBorder="1" applyAlignment="1">
      <alignment horizontal="left" wrapText="1"/>
    </xf>
    <xf numFmtId="0" fontId="60" fillId="0" borderId="77" xfId="0" applyFont="1" applyBorder="1" applyAlignment="1">
      <alignment horizontal="center"/>
    </xf>
    <xf numFmtId="0" fontId="1" fillId="0" borderId="77" xfId="0" applyFont="1" applyBorder="1" applyAlignment="1">
      <alignment horizontal="center" vertical="center" wrapText="1"/>
    </xf>
    <xf numFmtId="0" fontId="5" fillId="0" borderId="77" xfId="0" applyFont="1" applyBorder="1" applyAlignment="1">
      <alignment horizontal="center"/>
    </xf>
    <xf numFmtId="0" fontId="1" fillId="0" borderId="72" xfId="0" applyFont="1" applyBorder="1" applyAlignment="1">
      <alignment horizontal="left" vertical="center"/>
    </xf>
    <xf numFmtId="3" fontId="1" fillId="0" borderId="53" xfId="0" applyNumberFormat="1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61" fillId="0" borderId="53" xfId="0" applyFont="1" applyBorder="1" applyAlignment="1">
      <alignment horizontal="center" vertical="center"/>
    </xf>
    <xf numFmtId="49" fontId="1" fillId="0" borderId="53" xfId="0" applyNumberFormat="1" applyFont="1" applyBorder="1" applyAlignment="1">
      <alignment horizontal="center" vertical="center" wrapText="1"/>
    </xf>
    <xf numFmtId="0" fontId="1" fillId="0" borderId="87" xfId="0" applyFont="1" applyBorder="1" applyAlignment="1">
      <alignment horizontal="left" vertical="center" wrapText="1"/>
    </xf>
    <xf numFmtId="0" fontId="1" fillId="0" borderId="74" xfId="0" applyFont="1" applyBorder="1" applyAlignment="1">
      <alignment horizontal="left" vertical="center"/>
    </xf>
    <xf numFmtId="3" fontId="5" fillId="0" borderId="53" xfId="0" applyNumberFormat="1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 wrapText="1"/>
    </xf>
    <xf numFmtId="164" fontId="1" fillId="0" borderId="84" xfId="0" applyNumberFormat="1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/>
    </xf>
    <xf numFmtId="0" fontId="1" fillId="0" borderId="76" xfId="0" applyFont="1" applyBorder="1" applyAlignment="1">
      <alignment horizontal="left" vertical="center"/>
    </xf>
    <xf numFmtId="3" fontId="1" fillId="0" borderId="82" xfId="0" applyNumberFormat="1" applyFont="1" applyBorder="1" applyAlignment="1">
      <alignment horizontal="center" vertical="center"/>
    </xf>
    <xf numFmtId="49" fontId="1" fillId="0" borderId="82" xfId="0" applyNumberFormat="1" applyFont="1" applyBorder="1" applyAlignment="1">
      <alignment horizontal="center" vertical="center" wrapText="1"/>
    </xf>
    <xf numFmtId="0" fontId="1" fillId="0" borderId="89" xfId="0" applyFont="1" applyBorder="1" applyAlignment="1">
      <alignment horizontal="left" vertical="center" wrapText="1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164" fontId="1" fillId="0" borderId="83" xfId="0" applyNumberFormat="1" applyFont="1" applyBorder="1" applyAlignment="1">
      <alignment horizontal="center" vertical="center" wrapText="1"/>
    </xf>
    <xf numFmtId="0" fontId="1" fillId="0" borderId="82" xfId="0" applyFont="1" applyBorder="1" applyAlignment="1">
      <alignment horizontal="left" vertical="center"/>
    </xf>
    <xf numFmtId="0" fontId="63" fillId="0" borderId="82" xfId="0" applyFont="1" applyBorder="1" applyAlignment="1">
      <alignment horizontal="center" vertical="center"/>
    </xf>
    <xf numFmtId="0" fontId="1" fillId="0" borderId="83" xfId="0" applyFont="1" applyBorder="1" applyAlignment="1">
      <alignment horizontal="left" vertical="center" wrapText="1"/>
    </xf>
    <xf numFmtId="165" fontId="1" fillId="0" borderId="82" xfId="0" applyNumberFormat="1" applyFont="1" applyBorder="1" applyAlignment="1">
      <alignment horizontal="center" vertical="center"/>
    </xf>
    <xf numFmtId="0" fontId="50" fillId="0" borderId="82" xfId="0" applyFont="1" applyBorder="1" applyAlignment="1">
      <alignment horizontal="center" vertical="center"/>
    </xf>
    <xf numFmtId="0" fontId="64" fillId="0" borderId="83" xfId="0" applyFont="1" applyBorder="1" applyAlignment="1">
      <alignment horizontal="center" vertical="center"/>
    </xf>
    <xf numFmtId="3" fontId="5" fillId="0" borderId="73" xfId="0" applyNumberFormat="1" applyFont="1" applyBorder="1" applyAlignment="1">
      <alignment horizontal="center" vertical="center"/>
    </xf>
    <xf numFmtId="164" fontId="46" fillId="0" borderId="77" xfId="0" applyNumberFormat="1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65" fillId="0" borderId="90" xfId="0" applyFont="1" applyBorder="1" applyAlignment="1">
      <alignment horizontal="center" vertical="center"/>
    </xf>
    <xf numFmtId="0" fontId="1" fillId="0" borderId="80" xfId="0" applyFont="1" applyBorder="1" applyAlignment="1">
      <alignment horizontal="left" vertical="center"/>
    </xf>
    <xf numFmtId="0" fontId="1" fillId="0" borderId="9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49" fontId="1" fillId="0" borderId="80" xfId="0" applyNumberFormat="1" applyFont="1" applyBorder="1" applyAlignment="1">
      <alignment horizontal="center" vertical="center" wrapText="1"/>
    </xf>
    <xf numFmtId="0" fontId="1" fillId="0" borderId="84" xfId="0" applyFont="1" applyBorder="1" applyAlignment="1">
      <alignment horizontal="left" vertical="center" wrapText="1"/>
    </xf>
    <xf numFmtId="165" fontId="1" fillId="0" borderId="80" xfId="0" applyNumberFormat="1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164" fontId="1" fillId="0" borderId="91" xfId="0" applyNumberFormat="1" applyFont="1" applyBorder="1" applyAlignment="1">
      <alignment horizontal="center" vertical="center" wrapText="1"/>
    </xf>
    <xf numFmtId="164" fontId="46" fillId="0" borderId="8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left" vertical="center"/>
    </xf>
    <xf numFmtId="0" fontId="1" fillId="0" borderId="3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66" fillId="0" borderId="31" xfId="0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3" fontId="5" fillId="0" borderId="31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wrapText="1"/>
    </xf>
    <xf numFmtId="0" fontId="5" fillId="0" borderId="31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164" fontId="5" fillId="0" borderId="31" xfId="0" applyNumberFormat="1" applyFont="1" applyBorder="1" applyAlignment="1">
      <alignment horizontal="center"/>
    </xf>
    <xf numFmtId="0" fontId="5" fillId="0" borderId="90" xfId="0" applyFont="1" applyBorder="1"/>
    <xf numFmtId="0" fontId="1" fillId="0" borderId="43" xfId="0" applyFont="1" applyBorder="1" applyAlignment="1">
      <alignment horizontal="center" vertical="center"/>
    </xf>
    <xf numFmtId="0" fontId="1" fillId="0" borderId="37" xfId="0" applyFont="1" applyBorder="1" applyAlignment="1">
      <alignment horizontal="left" vertical="center"/>
    </xf>
    <xf numFmtId="0" fontId="1" fillId="0" borderId="43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43" xfId="0" applyFont="1" applyBorder="1" applyAlignment="1">
      <alignment horizontal="center" vertical="center"/>
    </xf>
    <xf numFmtId="49" fontId="1" fillId="0" borderId="43" xfId="0" applyNumberFormat="1" applyFont="1" applyBorder="1" applyAlignment="1">
      <alignment horizontal="center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center" wrapText="1"/>
    </xf>
    <xf numFmtId="0" fontId="5" fillId="0" borderId="43" xfId="0" applyFont="1" applyBorder="1" applyAlignment="1">
      <alignment horizontal="center" vertical="center" wrapText="1"/>
    </xf>
    <xf numFmtId="164" fontId="5" fillId="0" borderId="17" xfId="0" applyNumberFormat="1" applyFont="1" applyBorder="1" applyAlignment="1">
      <alignment horizontal="center" vertical="center" wrapText="1"/>
    </xf>
    <xf numFmtId="164" fontId="5" fillId="0" borderId="43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3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left" wrapText="1"/>
    </xf>
    <xf numFmtId="0" fontId="67" fillId="0" borderId="31" xfId="0" applyFont="1" applyBorder="1" applyAlignment="1">
      <alignment horizontal="center"/>
    </xf>
    <xf numFmtId="164" fontId="5" fillId="0" borderId="84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3" fontId="1" fillId="0" borderId="43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left" wrapText="1"/>
    </xf>
    <xf numFmtId="164" fontId="5" fillId="0" borderId="83" xfId="0" applyNumberFormat="1" applyFont="1" applyBorder="1" applyAlignment="1">
      <alignment horizontal="center" vertical="center" wrapText="1"/>
    </xf>
    <xf numFmtId="165" fontId="1" fillId="0" borderId="31" xfId="0" applyNumberFormat="1" applyFont="1" applyBorder="1" applyAlignment="1">
      <alignment horizontal="center" vertical="center"/>
    </xf>
    <xf numFmtId="164" fontId="1" fillId="0" borderId="88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/>
    </xf>
    <xf numFmtId="165" fontId="1" fillId="0" borderId="43" xfId="0" applyNumberFormat="1" applyFont="1" applyBorder="1" applyAlignment="1">
      <alignment horizontal="center" vertical="center"/>
    </xf>
    <xf numFmtId="0" fontId="5" fillId="0" borderId="78" xfId="0" applyFont="1" applyBorder="1" applyAlignment="1">
      <alignment vertical="center"/>
    </xf>
    <xf numFmtId="0" fontId="68" fillId="0" borderId="81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164" fontId="1" fillId="0" borderId="77" xfId="0" applyNumberFormat="1" applyFont="1" applyBorder="1" applyAlignment="1">
      <alignment horizontal="center" vertical="center"/>
    </xf>
    <xf numFmtId="49" fontId="1" fillId="0" borderId="81" xfId="0" applyNumberFormat="1" applyFont="1" applyBorder="1" applyAlignment="1">
      <alignment horizontal="center" vertical="center" wrapText="1"/>
    </xf>
    <xf numFmtId="0" fontId="1" fillId="0" borderId="92" xfId="0" applyFont="1" applyBorder="1" applyAlignment="1">
      <alignment horizontal="left" vertical="center"/>
    </xf>
    <xf numFmtId="0" fontId="69" fillId="0" borderId="84" xfId="0" applyFont="1" applyBorder="1" applyAlignment="1">
      <alignment horizontal="center" vertical="center"/>
    </xf>
    <xf numFmtId="0" fontId="1" fillId="0" borderId="55" xfId="0" applyFont="1" applyBorder="1" applyAlignment="1">
      <alignment horizontal="left" vertical="center" wrapText="1"/>
    </xf>
    <xf numFmtId="0" fontId="1" fillId="0" borderId="93" xfId="0" applyFont="1" applyBorder="1" applyAlignment="1">
      <alignment horizontal="left" vertical="center"/>
    </xf>
    <xf numFmtId="0" fontId="5" fillId="0" borderId="56" xfId="0" applyFont="1" applyBorder="1" applyAlignment="1">
      <alignment horizontal="center" vertical="center"/>
    </xf>
    <xf numFmtId="0" fontId="70" fillId="0" borderId="64" xfId="0" applyFont="1" applyBorder="1" applyAlignment="1">
      <alignment horizontal="center" vertical="center"/>
    </xf>
    <xf numFmtId="0" fontId="5" fillId="0" borderId="83" xfId="0" applyFont="1" applyBorder="1" applyAlignment="1">
      <alignment horizontal="left" vertical="center"/>
    </xf>
    <xf numFmtId="0" fontId="1" fillId="0" borderId="73" xfId="0" applyFont="1" applyBorder="1" applyAlignment="1">
      <alignment horizontal="center"/>
    </xf>
    <xf numFmtId="0" fontId="5" fillId="0" borderId="34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/>
    </xf>
    <xf numFmtId="164" fontId="5" fillId="0" borderId="77" xfId="0" applyNumberFormat="1" applyFont="1" applyBorder="1" applyAlignment="1">
      <alignment horizontal="center"/>
    </xf>
    <xf numFmtId="164" fontId="5" fillId="0" borderId="77" xfId="0" applyNumberFormat="1" applyFont="1" applyBorder="1" applyAlignment="1">
      <alignment horizontal="center" vertical="center"/>
    </xf>
    <xf numFmtId="164" fontId="5" fillId="0" borderId="81" xfId="0" applyNumberFormat="1" applyFont="1" applyBorder="1" applyAlignment="1">
      <alignment horizontal="center" vertical="center" wrapText="1"/>
    </xf>
    <xf numFmtId="0" fontId="45" fillId="0" borderId="73" xfId="0" applyFont="1" applyBorder="1" applyAlignment="1">
      <alignment horizontal="left" vertical="center"/>
    </xf>
    <xf numFmtId="0" fontId="52" fillId="0" borderId="73" xfId="0" applyFont="1" applyBorder="1" applyAlignment="1">
      <alignment horizontal="center" vertical="center"/>
    </xf>
    <xf numFmtId="0" fontId="52" fillId="0" borderId="77" xfId="0" applyFont="1" applyBorder="1" applyAlignment="1">
      <alignment horizontal="center" vertical="center"/>
    </xf>
    <xf numFmtId="0" fontId="1" fillId="0" borderId="81" xfId="0" applyFont="1" applyBorder="1" applyAlignment="1">
      <alignment horizontal="left" vertical="center" wrapText="1"/>
    </xf>
    <xf numFmtId="0" fontId="5" fillId="0" borderId="77" xfId="0" applyFont="1" applyBorder="1" applyAlignment="1">
      <alignment horizontal="left"/>
    </xf>
    <xf numFmtId="0" fontId="1" fillId="0" borderId="55" xfId="0" applyFont="1" applyBorder="1" applyAlignment="1">
      <alignment horizontal="center" vertical="center"/>
    </xf>
    <xf numFmtId="0" fontId="5" fillId="0" borderId="77" xfId="0" applyFont="1" applyBorder="1" applyAlignment="1">
      <alignment horizontal="left" vertical="center"/>
    </xf>
    <xf numFmtId="3" fontId="1" fillId="0" borderId="90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vertical="center"/>
    </xf>
    <xf numFmtId="0" fontId="71" fillId="0" borderId="0" xfId="0" applyFont="1" applyAlignment="1">
      <alignment horizontal="center" vertical="center"/>
    </xf>
    <xf numFmtId="0" fontId="5" fillId="0" borderId="72" xfId="0" applyFont="1" applyBorder="1"/>
    <xf numFmtId="0" fontId="5" fillId="0" borderId="80" xfId="0" applyFont="1" applyBorder="1"/>
    <xf numFmtId="0" fontId="5" fillId="0" borderId="84" xfId="0" applyFont="1" applyBorder="1"/>
    <xf numFmtId="0" fontId="5" fillId="0" borderId="7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0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164" fontId="45" fillId="0" borderId="84" xfId="0" applyNumberFormat="1" applyFont="1" applyBorder="1" applyAlignment="1">
      <alignment horizontal="center" vertical="center"/>
    </xf>
    <xf numFmtId="0" fontId="1" fillId="0" borderId="4" xfId="0" applyFont="1" applyBorder="1"/>
    <xf numFmtId="0" fontId="1" fillId="0" borderId="77" xfId="0" applyFont="1" applyBorder="1" applyAlignment="1">
      <alignment horizontal="center"/>
    </xf>
    <xf numFmtId="0" fontId="1" fillId="0" borderId="78" xfId="0" applyFont="1" applyBorder="1"/>
    <xf numFmtId="0" fontId="1" fillId="0" borderId="73" xfId="0" applyFont="1" applyBorder="1"/>
    <xf numFmtId="0" fontId="1" fillId="0" borderId="77" xfId="0" applyFont="1" applyBorder="1"/>
    <xf numFmtId="0" fontId="5" fillId="0" borderId="4" xfId="0" applyFont="1" applyBorder="1" applyAlignment="1">
      <alignment vertical="center"/>
    </xf>
    <xf numFmtId="0" fontId="5" fillId="0" borderId="73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72" fillId="0" borderId="73" xfId="0" applyFont="1" applyBorder="1" applyAlignment="1">
      <alignment horizontal="center" vertical="center"/>
    </xf>
    <xf numFmtId="0" fontId="1" fillId="0" borderId="72" xfId="0" applyFont="1" applyBorder="1" applyAlignment="1">
      <alignment vertical="center"/>
    </xf>
    <xf numFmtId="0" fontId="1" fillId="0" borderId="80" xfId="0" applyFont="1" applyBorder="1" applyAlignment="1">
      <alignment vertical="center"/>
    </xf>
    <xf numFmtId="0" fontId="1" fillId="0" borderId="84" xfId="0" applyFont="1" applyBorder="1" applyAlignment="1">
      <alignment vertical="center"/>
    </xf>
    <xf numFmtId="0" fontId="1" fillId="0" borderId="78" xfId="0" applyFont="1" applyBorder="1" applyAlignment="1">
      <alignment vertical="center"/>
    </xf>
    <xf numFmtId="0" fontId="1" fillId="0" borderId="77" xfId="0" applyFont="1" applyBorder="1" applyAlignment="1">
      <alignment vertical="center"/>
    </xf>
    <xf numFmtId="0" fontId="1" fillId="0" borderId="76" xfId="0" applyFont="1" applyBorder="1" applyAlignment="1">
      <alignment vertical="center"/>
    </xf>
    <xf numFmtId="0" fontId="1" fillId="0" borderId="82" xfId="0" applyFont="1" applyBorder="1" applyAlignment="1">
      <alignment vertical="center"/>
    </xf>
    <xf numFmtId="0" fontId="1" fillId="0" borderId="83" xfId="0" applyFont="1" applyBorder="1" applyAlignment="1">
      <alignment vertical="center"/>
    </xf>
    <xf numFmtId="0" fontId="45" fillId="0" borderId="8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45" fillId="0" borderId="82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73" fillId="0" borderId="43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74" fillId="0" borderId="9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3" fontId="1" fillId="0" borderId="80" xfId="0" applyNumberFormat="1" applyFont="1" applyBorder="1" applyAlignment="1">
      <alignment horizontal="center" vertical="center"/>
    </xf>
    <xf numFmtId="0" fontId="75" fillId="0" borderId="88" xfId="0" applyFont="1" applyBorder="1" applyAlignment="1">
      <alignment horizontal="center" vertical="center"/>
    </xf>
    <xf numFmtId="0" fontId="5" fillId="0" borderId="72" xfId="0" applyFont="1" applyBorder="1" applyAlignment="1">
      <alignment vertical="center"/>
    </xf>
    <xf numFmtId="0" fontId="5" fillId="0" borderId="80" xfId="0" applyFont="1" applyBorder="1" applyAlignment="1">
      <alignment vertical="center"/>
    </xf>
    <xf numFmtId="0" fontId="5" fillId="0" borderId="84" xfId="0" applyFont="1" applyBorder="1" applyAlignment="1">
      <alignment vertical="center"/>
    </xf>
    <xf numFmtId="0" fontId="5" fillId="0" borderId="76" xfId="0" applyFont="1" applyBorder="1" applyAlignment="1">
      <alignment vertical="center"/>
    </xf>
    <xf numFmtId="0" fontId="5" fillId="0" borderId="82" xfId="0" applyFont="1" applyBorder="1" applyAlignment="1">
      <alignment vertical="center"/>
    </xf>
    <xf numFmtId="0" fontId="5" fillId="0" borderId="83" xfId="0" applyFont="1" applyBorder="1" applyAlignment="1">
      <alignment vertical="center"/>
    </xf>
    <xf numFmtId="0" fontId="1" fillId="0" borderId="72" xfId="0" applyFont="1" applyBorder="1"/>
    <xf numFmtId="0" fontId="1" fillId="0" borderId="80" xfId="0" applyFont="1" applyBorder="1"/>
    <xf numFmtId="0" fontId="1" fillId="0" borderId="84" xfId="0" applyFont="1" applyBorder="1"/>
    <xf numFmtId="0" fontId="1" fillId="0" borderId="76" xfId="0" applyFont="1" applyBorder="1"/>
    <xf numFmtId="0" fontId="1" fillId="0" borderId="82" xfId="0" applyFont="1" applyBorder="1"/>
    <xf numFmtId="0" fontId="1" fillId="0" borderId="83" xfId="0" applyFont="1" applyBorder="1"/>
    <xf numFmtId="0" fontId="76" fillId="0" borderId="77" xfId="0" applyFont="1" applyBorder="1" applyAlignment="1">
      <alignment horizontal="center" vertical="center"/>
    </xf>
    <xf numFmtId="164" fontId="45" fillId="0" borderId="88" xfId="0" applyNumberFormat="1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 wrapText="1"/>
    </xf>
    <xf numFmtId="0" fontId="45" fillId="0" borderId="72" xfId="0" applyFont="1" applyBorder="1" applyAlignment="1">
      <alignment horizontal="center" vertical="center" wrapText="1"/>
    </xf>
    <xf numFmtId="165" fontId="1" fillId="0" borderId="53" xfId="0" applyNumberFormat="1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45" fillId="0" borderId="74" xfId="0" applyFont="1" applyBorder="1" applyAlignment="1">
      <alignment horizontal="center" vertical="center" wrapText="1"/>
    </xf>
    <xf numFmtId="164" fontId="45" fillId="0" borderId="31" xfId="0" applyNumberFormat="1" applyFont="1" applyBorder="1" applyAlignment="1">
      <alignment vertical="center"/>
    </xf>
    <xf numFmtId="164" fontId="45" fillId="0" borderId="37" xfId="0" applyNumberFormat="1" applyFont="1" applyBorder="1" applyAlignment="1">
      <alignment vertical="center"/>
    </xf>
    <xf numFmtId="0" fontId="45" fillId="0" borderId="76" xfId="0" applyFont="1" applyBorder="1" applyAlignment="1">
      <alignment horizontal="center" vertical="center" wrapText="1"/>
    </xf>
    <xf numFmtId="0" fontId="77" fillId="0" borderId="77" xfId="0" applyFont="1" applyBorder="1" applyAlignment="1">
      <alignment horizontal="left" vertical="center"/>
    </xf>
    <xf numFmtId="0" fontId="45" fillId="0" borderId="78" xfId="0" applyFont="1" applyBorder="1" applyAlignment="1">
      <alignment horizontal="center" vertical="center" wrapText="1"/>
    </xf>
    <xf numFmtId="0" fontId="78" fillId="0" borderId="73" xfId="0" applyFont="1" applyBorder="1" applyAlignment="1">
      <alignment horizontal="left" vertical="center"/>
    </xf>
    <xf numFmtId="0" fontId="1" fillId="0" borderId="19" xfId="0" applyFont="1" applyBorder="1" applyAlignment="1">
      <alignment vertical="center" wrapText="1"/>
    </xf>
    <xf numFmtId="3" fontId="5" fillId="0" borderId="80" xfId="0" applyNumberFormat="1" applyFont="1" applyBorder="1" applyAlignment="1">
      <alignment horizontal="center" vertical="center"/>
    </xf>
    <xf numFmtId="0" fontId="79" fillId="0" borderId="84" xfId="0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80" fillId="0" borderId="19" xfId="0" applyFont="1" applyBorder="1" applyAlignment="1">
      <alignment horizontal="center" vertical="center"/>
    </xf>
    <xf numFmtId="0" fontId="81" fillId="0" borderId="22" xfId="0" applyFont="1" applyBorder="1" applyAlignment="1">
      <alignment horizontal="left" vertical="center"/>
    </xf>
    <xf numFmtId="0" fontId="82" fillId="0" borderId="22" xfId="0" applyFont="1" applyBorder="1" applyAlignment="1">
      <alignment horizontal="center" vertical="center"/>
    </xf>
    <xf numFmtId="0" fontId="83" fillId="0" borderId="80" xfId="0" applyFont="1" applyBorder="1" applyAlignment="1">
      <alignment horizontal="center" vertical="center"/>
    </xf>
    <xf numFmtId="3" fontId="1" fillId="0" borderId="78" xfId="0" applyNumberFormat="1" applyFont="1" applyBorder="1" applyAlignment="1">
      <alignment horizontal="left" vertical="center"/>
    </xf>
    <xf numFmtId="0" fontId="1" fillId="0" borderId="92" xfId="0" applyFont="1" applyBorder="1" applyAlignment="1">
      <alignment horizontal="center" vertical="center" wrapText="1"/>
    </xf>
    <xf numFmtId="0" fontId="1" fillId="0" borderId="96" xfId="0" applyFont="1" applyBorder="1" applyAlignment="1">
      <alignment horizontal="center" vertical="center" wrapText="1"/>
    </xf>
    <xf numFmtId="164" fontId="1" fillId="0" borderId="87" xfId="0" applyNumberFormat="1" applyFont="1" applyBorder="1" applyAlignment="1">
      <alignment horizontal="center" vertical="center" wrapText="1"/>
    </xf>
    <xf numFmtId="0" fontId="1" fillId="0" borderId="93" xfId="0" applyFont="1" applyBorder="1" applyAlignment="1">
      <alignment horizontal="center" vertical="center" wrapText="1"/>
    </xf>
    <xf numFmtId="164" fontId="1" fillId="0" borderId="89" xfId="0" applyNumberFormat="1" applyFont="1" applyBorder="1" applyAlignment="1">
      <alignment horizontal="center" vertical="center" wrapText="1"/>
    </xf>
    <xf numFmtId="0" fontId="1" fillId="0" borderId="88" xfId="0" applyFont="1" applyBorder="1" applyAlignment="1">
      <alignment horizontal="left" vertical="center" wrapText="1"/>
    </xf>
    <xf numFmtId="0" fontId="5" fillId="0" borderId="19" xfId="0" applyFont="1" applyBorder="1" applyAlignment="1">
      <alignment wrapText="1"/>
    </xf>
    <xf numFmtId="0" fontId="1" fillId="0" borderId="74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84" fillId="0" borderId="88" xfId="0" applyFont="1" applyBorder="1" applyAlignment="1">
      <alignment horizontal="left" vertical="center"/>
    </xf>
    <xf numFmtId="0" fontId="85" fillId="0" borderId="83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0" borderId="84" xfId="0" applyFont="1" applyBorder="1" applyAlignment="1">
      <alignment horizontal="left" vertical="center"/>
    </xf>
    <xf numFmtId="0" fontId="1" fillId="0" borderId="84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 wrapText="1"/>
    </xf>
    <xf numFmtId="0" fontId="1" fillId="0" borderId="88" xfId="0" applyFont="1" applyBorder="1" applyAlignment="1">
      <alignment horizontal="left" vertical="center"/>
    </xf>
    <xf numFmtId="0" fontId="1" fillId="0" borderId="88" xfId="0" applyFont="1" applyBorder="1" applyAlignment="1">
      <alignment horizontal="center" vertical="center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left" vertical="center"/>
    </xf>
    <xf numFmtId="0" fontId="1" fillId="0" borderId="83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86" fillId="0" borderId="72" xfId="0" applyFont="1" applyBorder="1" applyAlignment="1">
      <alignment horizontal="left" vertical="center"/>
    </xf>
    <xf numFmtId="0" fontId="5" fillId="0" borderId="74" xfId="0" applyFont="1" applyBorder="1" applyAlignment="1">
      <alignment horizontal="center" vertical="center"/>
    </xf>
    <xf numFmtId="0" fontId="87" fillId="0" borderId="73" xfId="0" applyFont="1" applyBorder="1" applyAlignment="1">
      <alignment horizontal="left" vertical="center"/>
    </xf>
    <xf numFmtId="164" fontId="1" fillId="0" borderId="77" xfId="0" applyNumberFormat="1" applyFont="1" applyBorder="1" applyAlignment="1">
      <alignment horizontal="center" vertical="center" wrapText="1"/>
    </xf>
    <xf numFmtId="164" fontId="45" fillId="0" borderId="97" xfId="0" applyNumberFormat="1" applyFont="1" applyBorder="1" applyAlignment="1">
      <alignment horizontal="center" vertical="center"/>
    </xf>
    <xf numFmtId="0" fontId="88" fillId="0" borderId="19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left" vertical="center" wrapText="1"/>
    </xf>
    <xf numFmtId="0" fontId="1" fillId="15" borderId="19" xfId="0" applyFont="1" applyFill="1" applyBorder="1" applyAlignment="1">
      <alignment horizontal="center" vertical="center"/>
    </xf>
    <xf numFmtId="0" fontId="1" fillId="14" borderId="78" xfId="0" applyFont="1" applyFill="1" applyBorder="1" applyAlignment="1">
      <alignment horizontal="center" vertical="center"/>
    </xf>
    <xf numFmtId="0" fontId="1" fillId="8" borderId="73" xfId="0" applyFont="1" applyFill="1" applyBorder="1" applyAlignment="1">
      <alignment horizontal="left" vertical="center"/>
    </xf>
    <xf numFmtId="165" fontId="1" fillId="14" borderId="73" xfId="0" applyNumberFormat="1" applyFont="1" applyFill="1" applyBorder="1" applyAlignment="1">
      <alignment horizontal="center" vertical="center"/>
    </xf>
    <xf numFmtId="0" fontId="1" fillId="14" borderId="19" xfId="0" applyFont="1" applyFill="1" applyBorder="1" applyAlignment="1">
      <alignment horizontal="center" vertical="center" wrapText="1"/>
    </xf>
    <xf numFmtId="164" fontId="45" fillId="6" borderId="98" xfId="0" applyNumberFormat="1" applyFont="1" applyFill="1" applyBorder="1" applyAlignment="1">
      <alignment horizontal="center" vertical="center"/>
    </xf>
    <xf numFmtId="0" fontId="1" fillId="0" borderId="72" xfId="0" applyFont="1" applyBorder="1" applyAlignment="1">
      <alignment horizontal="left" vertical="center" wrapText="1"/>
    </xf>
    <xf numFmtId="165" fontId="1" fillId="14" borderId="25" xfId="0" applyNumberFormat="1" applyFont="1" applyFill="1" applyBorder="1" applyAlignment="1">
      <alignment horizontal="center" vertical="center"/>
    </xf>
    <xf numFmtId="0" fontId="1" fillId="14" borderId="71" xfId="0" applyFont="1" applyFill="1" applyBorder="1" applyAlignment="1">
      <alignment horizontal="center" vertical="center" wrapText="1"/>
    </xf>
    <xf numFmtId="164" fontId="45" fillId="6" borderId="71" xfId="0" applyNumberFormat="1" applyFont="1" applyFill="1" applyBorder="1" applyAlignment="1">
      <alignment horizontal="center" vertical="center"/>
    </xf>
    <xf numFmtId="0" fontId="1" fillId="0" borderId="74" xfId="0" applyFont="1" applyBorder="1" applyAlignment="1">
      <alignment horizontal="left" vertical="center" wrapText="1"/>
    </xf>
    <xf numFmtId="165" fontId="1" fillId="14" borderId="29" xfId="0" applyNumberFormat="1" applyFont="1" applyFill="1" applyBorder="1" applyAlignment="1">
      <alignment horizontal="center" vertical="center"/>
    </xf>
    <xf numFmtId="0" fontId="1" fillId="14" borderId="99" xfId="0" applyFont="1" applyFill="1" applyBorder="1" applyAlignment="1">
      <alignment horizontal="center" vertical="center" wrapText="1"/>
    </xf>
    <xf numFmtId="0" fontId="1" fillId="0" borderId="76" xfId="0" applyFont="1" applyBorder="1" applyAlignment="1">
      <alignment horizontal="left" vertical="center" wrapText="1"/>
    </xf>
    <xf numFmtId="165" fontId="1" fillId="14" borderId="100" xfId="0" applyNumberFormat="1" applyFont="1" applyFill="1" applyBorder="1" applyAlignment="1">
      <alignment horizontal="center" vertical="center"/>
    </xf>
    <xf numFmtId="0" fontId="1" fillId="14" borderId="101" xfId="0" applyFont="1" applyFill="1" applyBorder="1" applyAlignment="1">
      <alignment horizontal="center" vertical="center" wrapText="1"/>
    </xf>
    <xf numFmtId="0" fontId="1" fillId="16" borderId="19" xfId="0" applyFont="1" applyFill="1" applyBorder="1" applyAlignment="1">
      <alignment horizontal="center" vertical="center"/>
    </xf>
    <xf numFmtId="164" fontId="1" fillId="0" borderId="102" xfId="0" applyNumberFormat="1" applyFont="1" applyBorder="1" applyAlignment="1">
      <alignment horizontal="center" vertical="center" wrapText="1"/>
    </xf>
    <xf numFmtId="164" fontId="1" fillId="0" borderId="103" xfId="0" applyNumberFormat="1" applyFont="1" applyBorder="1" applyAlignment="1">
      <alignment horizontal="center" vertical="center" wrapText="1"/>
    </xf>
    <xf numFmtId="0" fontId="89" fillId="0" borderId="31" xfId="0" applyFont="1" applyBorder="1" applyAlignment="1">
      <alignment horizontal="center" vertical="center" wrapText="1"/>
    </xf>
    <xf numFmtId="0" fontId="90" fillId="0" borderId="37" xfId="0" applyFont="1" applyBorder="1" applyAlignment="1">
      <alignment horizontal="center" vertical="center" wrapText="1"/>
    </xf>
    <xf numFmtId="0" fontId="91" fillId="0" borderId="43" xfId="0" applyFont="1" applyBorder="1" applyAlignment="1">
      <alignment horizontal="center" vertical="center" wrapText="1"/>
    </xf>
    <xf numFmtId="0" fontId="1" fillId="17" borderId="73" xfId="0" applyFont="1" applyFill="1" applyBorder="1" applyAlignment="1">
      <alignment horizontal="left" vertical="center"/>
    </xf>
    <xf numFmtId="0" fontId="92" fillId="0" borderId="84" xfId="0" applyFont="1" applyBorder="1" applyAlignment="1">
      <alignment horizontal="left" vertical="center" wrapText="1"/>
    </xf>
    <xf numFmtId="0" fontId="93" fillId="0" borderId="83" xfId="0" applyFont="1" applyBorder="1" applyAlignment="1">
      <alignment horizontal="left" vertical="center" wrapText="1"/>
    </xf>
    <xf numFmtId="0" fontId="87" fillId="18" borderId="19" xfId="0" applyFont="1" applyFill="1" applyBorder="1" applyAlignment="1">
      <alignment horizontal="center" vertical="center"/>
    </xf>
    <xf numFmtId="0" fontId="87" fillId="18" borderId="71" xfId="0" applyFont="1" applyFill="1" applyBorder="1" applyAlignment="1">
      <alignment horizontal="center" vertical="center"/>
    </xf>
    <xf numFmtId="0" fontId="1" fillId="14" borderId="71" xfId="0" applyFont="1" applyFill="1" applyBorder="1" applyAlignment="1">
      <alignment horizontal="center" vertical="center"/>
    </xf>
    <xf numFmtId="0" fontId="1" fillId="14" borderId="27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left" vertical="center"/>
    </xf>
    <xf numFmtId="0" fontId="87" fillId="18" borderId="101" xfId="0" applyFont="1" applyFill="1" applyBorder="1" applyAlignment="1">
      <alignment horizontal="center" vertical="center"/>
    </xf>
    <xf numFmtId="0" fontId="1" fillId="14" borderId="101" xfId="0" applyFont="1" applyFill="1" applyBorder="1" applyAlignment="1">
      <alignment horizontal="center" vertical="center"/>
    </xf>
    <xf numFmtId="0" fontId="1" fillId="14" borderId="104" xfId="0" applyFont="1" applyFill="1" applyBorder="1" applyAlignment="1">
      <alignment horizontal="center" vertical="center"/>
    </xf>
    <xf numFmtId="0" fontId="1" fillId="8" borderId="100" xfId="0" applyFont="1" applyFill="1" applyBorder="1" applyAlignment="1">
      <alignment horizontal="left" vertical="center"/>
    </xf>
    <xf numFmtId="0" fontId="94" fillId="0" borderId="88" xfId="0" applyFont="1" applyBorder="1" applyAlignment="1">
      <alignment horizontal="left" vertical="center" wrapText="1"/>
    </xf>
    <xf numFmtId="0" fontId="87" fillId="19" borderId="19" xfId="0" applyFont="1" applyFill="1" applyBorder="1" applyAlignment="1">
      <alignment horizontal="center" vertical="center"/>
    </xf>
    <xf numFmtId="0" fontId="95" fillId="12" borderId="26" xfId="0" applyFont="1" applyFill="1" applyBorder="1" applyAlignment="1">
      <alignment horizontal="left" vertical="center"/>
    </xf>
    <xf numFmtId="0" fontId="96" fillId="12" borderId="105" xfId="0" applyFont="1" applyFill="1" applyBorder="1" applyAlignment="1">
      <alignment horizontal="left" vertical="center"/>
    </xf>
    <xf numFmtId="0" fontId="87" fillId="15" borderId="19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7" fillId="0" borderId="72" xfId="0" applyFont="1" applyBorder="1" applyAlignment="1">
      <alignment horizontal="center" vertical="center"/>
    </xf>
    <xf numFmtId="0" fontId="98" fillId="0" borderId="84" xfId="0" applyFont="1" applyBorder="1" applyAlignment="1">
      <alignment horizontal="center" vertical="center" wrapText="1"/>
    </xf>
    <xf numFmtId="0" fontId="99" fillId="0" borderId="83" xfId="0" applyFont="1" applyBorder="1" applyAlignment="1">
      <alignment horizontal="center" vertical="center" wrapText="1"/>
    </xf>
    <xf numFmtId="0" fontId="100" fillId="0" borderId="88" xfId="0" applyFont="1" applyBorder="1" applyAlignment="1">
      <alignment horizontal="center" vertical="center" wrapText="1"/>
    </xf>
    <xf numFmtId="0" fontId="101" fillId="12" borderId="26" xfId="0" applyFont="1" applyFill="1" applyBorder="1" applyAlignment="1">
      <alignment horizontal="center" vertical="center"/>
    </xf>
    <xf numFmtId="0" fontId="102" fillId="12" borderId="105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22" xfId="0" applyFont="1" applyBorder="1"/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5" xfId="0" applyFont="1" applyBorder="1"/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3" fillId="0" borderId="3" xfId="0" applyFont="1" applyBorder="1"/>
    <xf numFmtId="0" fontId="7" fillId="3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0" borderId="17" xfId="0" applyFont="1" applyBorder="1"/>
    <xf numFmtId="0" fontId="3" fillId="0" borderId="18" xfId="0" applyFont="1" applyBorder="1"/>
    <xf numFmtId="0" fontId="7" fillId="4" borderId="9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/>
    </xf>
    <xf numFmtId="0" fontId="3" fillId="0" borderId="21" xfId="0" applyFont="1" applyBorder="1"/>
    <xf numFmtId="0" fontId="10" fillId="7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16" fillId="2" borderId="31" xfId="0" applyFont="1" applyFill="1" applyBorder="1" applyAlignment="1">
      <alignment horizontal="center" vertical="center" wrapText="1"/>
    </xf>
    <xf numFmtId="0" fontId="3" fillId="0" borderId="37" xfId="0" applyFont="1" applyBorder="1"/>
    <xf numFmtId="0" fontId="3" fillId="0" borderId="43" xfId="0" applyFont="1" applyBorder="1"/>
    <xf numFmtId="0" fontId="16" fillId="2" borderId="51" xfId="0" applyFont="1" applyFill="1" applyBorder="1" applyAlignment="1">
      <alignment vertical="center" wrapText="1"/>
    </xf>
    <xf numFmtId="0" fontId="3" fillId="0" borderId="53" xfId="0" applyFont="1" applyBorder="1"/>
    <xf numFmtId="0" fontId="3" fillId="0" borderId="55" xfId="0" applyFont="1" applyBorder="1"/>
    <xf numFmtId="0" fontId="16" fillId="2" borderId="51" xfId="0" applyFont="1" applyFill="1" applyBorder="1" applyAlignment="1">
      <alignment horizontal="center" vertical="center" wrapText="1"/>
    </xf>
    <xf numFmtId="0" fontId="16" fillId="2" borderId="53" xfId="0" applyFont="1" applyFill="1" applyBorder="1" applyAlignment="1">
      <alignment vertical="center" wrapText="1"/>
    </xf>
    <xf numFmtId="0" fontId="44" fillId="9" borderId="9" xfId="0" applyFont="1" applyFill="1" applyBorder="1" applyAlignment="1">
      <alignment horizontal="center"/>
    </xf>
    <xf numFmtId="0" fontId="41" fillId="9" borderId="9" xfId="0" applyFont="1" applyFill="1" applyBorder="1" applyAlignment="1">
      <alignment horizontal="center" vertical="center" wrapText="1"/>
    </xf>
    <xf numFmtId="0" fontId="39" fillId="9" borderId="9" xfId="0" applyFont="1" applyFill="1" applyBorder="1" applyAlignment="1">
      <alignment horizontal="center" vertical="center"/>
    </xf>
    <xf numFmtId="0" fontId="1" fillId="0" borderId="70" xfId="0" applyFont="1" applyBorder="1"/>
    <xf numFmtId="0" fontId="3" fillId="0" borderId="70" xfId="0" applyFont="1" applyBorder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40" fillId="9" borderId="6" xfId="0" applyFont="1" applyFill="1" applyBorder="1" applyAlignment="1">
      <alignment horizontal="center" vertical="center"/>
    </xf>
    <xf numFmtId="0" fontId="41" fillId="13" borderId="6" xfId="0" applyFont="1" applyFill="1" applyBorder="1" applyAlignment="1">
      <alignment horizontal="center" vertical="center"/>
    </xf>
    <xf numFmtId="0" fontId="41" fillId="9" borderId="9" xfId="0" applyFont="1" applyFill="1" applyBorder="1" applyAlignment="1">
      <alignment horizontal="center" vertical="center"/>
    </xf>
    <xf numFmtId="0" fontId="41" fillId="9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450"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  <dxf>
      <font>
        <b/>
        <color rgb="FF92D050"/>
      </font>
      <fill>
        <patternFill patternType="solid">
          <fgColor rgb="FFFF00FF"/>
          <bgColor rgb="FFFF00FF"/>
        </patternFill>
      </fill>
    </dxf>
    <dxf>
      <font>
        <b/>
        <color rgb="FFFFFFFF"/>
      </font>
      <fill>
        <patternFill patternType="solid">
          <fgColor rgb="FFFF0066"/>
          <bgColor rgb="FFFF00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0</xdr:rowOff>
    </xdr:from>
    <xdr:ext cx="1323975" cy="8858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142875</xdr:colOff>
      <xdr:row>0</xdr:row>
      <xdr:rowOff>28575</xdr:rowOff>
    </xdr:from>
    <xdr:ext cx="704850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142875</xdr:colOff>
      <xdr:row>0</xdr:row>
      <xdr:rowOff>28575</xdr:rowOff>
    </xdr:from>
    <xdr:ext cx="704850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142875</xdr:colOff>
      <xdr:row>0</xdr:row>
      <xdr:rowOff>28575</xdr:rowOff>
    </xdr:from>
    <xdr:ext cx="704850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oxana.mendes15@gmail.com" TargetMode="External"/><Relationship Id="rId299" Type="http://schemas.openxmlformats.org/officeDocument/2006/relationships/hyperlink" Target="mailto:JESUSREGLADO@GMAIL.COM" TargetMode="External"/><Relationship Id="rId303" Type="http://schemas.openxmlformats.org/officeDocument/2006/relationships/hyperlink" Target="mailto:JOLIANACARVAJAL@HOTMAIL.COM" TargetMode="External"/><Relationship Id="rId21" Type="http://schemas.openxmlformats.org/officeDocument/2006/relationships/hyperlink" Target="mailto:slicceth@gmail.cm" TargetMode="External"/><Relationship Id="rId42" Type="http://schemas.openxmlformats.org/officeDocument/2006/relationships/hyperlink" Target="mailto:eiderly@hotmail.com" TargetMode="External"/><Relationship Id="rId63" Type="http://schemas.openxmlformats.org/officeDocument/2006/relationships/hyperlink" Target="mailto:JHN1835@hotmail.com" TargetMode="External"/><Relationship Id="rId84" Type="http://schemas.openxmlformats.org/officeDocument/2006/relationships/hyperlink" Target="mailto:jennydads270484@hotmail.com" TargetMode="External"/><Relationship Id="rId138" Type="http://schemas.openxmlformats.org/officeDocument/2006/relationships/hyperlink" Target="mailto:fabioladuran123@icloud.com" TargetMode="External"/><Relationship Id="rId159" Type="http://schemas.openxmlformats.org/officeDocument/2006/relationships/hyperlink" Target="mailto:deleonjuanpedro@gmail.com" TargetMode="External"/><Relationship Id="rId324" Type="http://schemas.openxmlformats.org/officeDocument/2006/relationships/hyperlink" Target="mailto:VALENTINA_LADO@YAHOO.COM" TargetMode="External"/><Relationship Id="rId170" Type="http://schemas.openxmlformats.org/officeDocument/2006/relationships/hyperlink" Target="mailto:jcisneros.camesca@gmail.com" TargetMode="External"/><Relationship Id="rId191" Type="http://schemas.openxmlformats.org/officeDocument/2006/relationships/hyperlink" Target="mailto:eleanne19@gmail.com" TargetMode="External"/><Relationship Id="rId205" Type="http://schemas.openxmlformats.org/officeDocument/2006/relationships/hyperlink" Target="mailto:escalonabriggy@gmail.com" TargetMode="External"/><Relationship Id="rId226" Type="http://schemas.openxmlformats.org/officeDocument/2006/relationships/hyperlink" Target="mailto:berbesivanessa0@gmail.com" TargetMode="External"/><Relationship Id="rId247" Type="http://schemas.openxmlformats.org/officeDocument/2006/relationships/hyperlink" Target="mailto:rabihbayrouti@gmail.com" TargetMode="External"/><Relationship Id="rId107" Type="http://schemas.openxmlformats.org/officeDocument/2006/relationships/hyperlink" Target="mailto:karinag2204@gmail.com" TargetMode="External"/><Relationship Id="rId268" Type="http://schemas.openxmlformats.org/officeDocument/2006/relationships/hyperlink" Target="mailto:ANDRYMAR.CARRASQUEL@GMAIL.COM" TargetMode="External"/><Relationship Id="rId289" Type="http://schemas.openxmlformats.org/officeDocument/2006/relationships/hyperlink" Target="mailto:griannygriman@gmail.com" TargetMode="External"/><Relationship Id="rId11" Type="http://schemas.openxmlformats.org/officeDocument/2006/relationships/hyperlink" Target="mailto:enriquerassi@gnail.com" TargetMode="External"/><Relationship Id="rId32" Type="http://schemas.openxmlformats.org/officeDocument/2006/relationships/hyperlink" Target="mailto:kathenavas79@gmail.com" TargetMode="External"/><Relationship Id="rId53" Type="http://schemas.openxmlformats.org/officeDocument/2006/relationships/hyperlink" Target="mailto:alissonherreraz86@gmail.com" TargetMode="External"/><Relationship Id="rId74" Type="http://schemas.openxmlformats.org/officeDocument/2006/relationships/hyperlink" Target="mailto:goncalvesmathias691@gmail.com" TargetMode="External"/><Relationship Id="rId128" Type="http://schemas.openxmlformats.org/officeDocument/2006/relationships/hyperlink" Target="mailto:samanthadacosta.m@gmail.com" TargetMode="External"/><Relationship Id="rId149" Type="http://schemas.openxmlformats.org/officeDocument/2006/relationships/hyperlink" Target="mailto:Valengrimann@gmail.com" TargetMode="External"/><Relationship Id="rId314" Type="http://schemas.openxmlformats.org/officeDocument/2006/relationships/hyperlink" Target="mailto:MAICAR77@GMAIL.COM" TargetMode="External"/><Relationship Id="rId335" Type="http://schemas.openxmlformats.org/officeDocument/2006/relationships/comments" Target="../comments1.xml"/><Relationship Id="rId5" Type="http://schemas.openxmlformats.org/officeDocument/2006/relationships/hyperlink" Target="mailto:fernando.v.2123@gmail.com" TargetMode="External"/><Relationship Id="rId95" Type="http://schemas.openxmlformats.org/officeDocument/2006/relationships/hyperlink" Target="mailto:umderlas@gmail.com" TargetMode="External"/><Relationship Id="rId160" Type="http://schemas.openxmlformats.org/officeDocument/2006/relationships/hyperlink" Target="mailto:arnaldourquidi@gmail.com" TargetMode="External"/><Relationship Id="rId181" Type="http://schemas.openxmlformats.org/officeDocument/2006/relationships/hyperlink" Target="mailto:Kellnimargonzalza@hotmail.com" TargetMode="External"/><Relationship Id="rId216" Type="http://schemas.openxmlformats.org/officeDocument/2006/relationships/hyperlink" Target="mailto:yoriov842@gmail.com" TargetMode="External"/><Relationship Id="rId237" Type="http://schemas.openxmlformats.org/officeDocument/2006/relationships/hyperlink" Target="mailto:yeimicardenasherrera@gmail.com" TargetMode="External"/><Relationship Id="rId258" Type="http://schemas.openxmlformats.org/officeDocument/2006/relationships/hyperlink" Target="mailto:DAYANABAEZDIAZ@GMAIL.COM" TargetMode="External"/><Relationship Id="rId279" Type="http://schemas.openxmlformats.org/officeDocument/2006/relationships/hyperlink" Target="mailto:GOMEZSANCHEZRACHAEL6@GMAIL.COM" TargetMode="External"/><Relationship Id="rId22" Type="http://schemas.openxmlformats.org/officeDocument/2006/relationships/hyperlink" Target="mailto:slicceth@gmail.com" TargetMode="External"/><Relationship Id="rId43" Type="http://schemas.openxmlformats.org/officeDocument/2006/relationships/hyperlink" Target="mailto:luzgoncalvesv@gmail.com" TargetMode="External"/><Relationship Id="rId64" Type="http://schemas.openxmlformats.org/officeDocument/2006/relationships/hyperlink" Target="mailto:JHN1835@gmail.com" TargetMode="External"/><Relationship Id="rId118" Type="http://schemas.openxmlformats.org/officeDocument/2006/relationships/hyperlink" Target="mailto:maderlin_19@hotmail.com" TargetMode="External"/><Relationship Id="rId139" Type="http://schemas.openxmlformats.org/officeDocument/2006/relationships/hyperlink" Target="mailto:gracielagonzalez1474@hotmail.com" TargetMode="External"/><Relationship Id="rId290" Type="http://schemas.openxmlformats.org/officeDocument/2006/relationships/hyperlink" Target="mailto:DUSAYDELAC@GMAIL.COM" TargetMode="External"/><Relationship Id="rId304" Type="http://schemas.openxmlformats.org/officeDocument/2006/relationships/hyperlink" Target="mailto:JOLIANACARVAJAL@HOTMAIL.COM" TargetMode="External"/><Relationship Id="rId325" Type="http://schemas.openxmlformats.org/officeDocument/2006/relationships/hyperlink" Target="mailto:VALENTINA_LADO@YAHOO.COM" TargetMode="External"/><Relationship Id="rId85" Type="http://schemas.openxmlformats.org/officeDocument/2006/relationships/hyperlink" Target="mailto:joymargarcia22@gmail.com" TargetMode="External"/><Relationship Id="rId150" Type="http://schemas.openxmlformats.org/officeDocument/2006/relationships/hyperlink" Target="mailto:Valengrimann@gmail.com" TargetMode="External"/><Relationship Id="rId171" Type="http://schemas.openxmlformats.org/officeDocument/2006/relationships/hyperlink" Target="mailto:jcisneros.camesca@gmail.com" TargetMode="External"/><Relationship Id="rId192" Type="http://schemas.openxmlformats.org/officeDocument/2006/relationships/hyperlink" Target="mailto:eleanne19@gmail.com" TargetMode="External"/><Relationship Id="rId206" Type="http://schemas.openxmlformats.org/officeDocument/2006/relationships/hyperlink" Target="mailto:Camila.9.hernandez.barrios@gmail.com" TargetMode="External"/><Relationship Id="rId227" Type="http://schemas.openxmlformats.org/officeDocument/2006/relationships/hyperlink" Target="mailto:berbesivanessa0@gmail.com" TargetMode="External"/><Relationship Id="rId248" Type="http://schemas.openxmlformats.org/officeDocument/2006/relationships/hyperlink" Target="mailto:rabihbayrouti@gmail.com" TargetMode="External"/><Relationship Id="rId269" Type="http://schemas.openxmlformats.org/officeDocument/2006/relationships/hyperlink" Target="mailto:ANDRYMAR.CARRASQUEL@GMAIL.COM" TargetMode="External"/><Relationship Id="rId12" Type="http://schemas.openxmlformats.org/officeDocument/2006/relationships/hyperlink" Target="mailto:daphnerassi@gmail.com" TargetMode="External"/><Relationship Id="rId33" Type="http://schemas.openxmlformats.org/officeDocument/2006/relationships/hyperlink" Target="mailto:valeriagraterol4@gmail.com" TargetMode="External"/><Relationship Id="rId108" Type="http://schemas.openxmlformats.org/officeDocument/2006/relationships/hyperlink" Target="mailto:karinag2204@gmail.com" TargetMode="External"/><Relationship Id="rId129" Type="http://schemas.openxmlformats.org/officeDocument/2006/relationships/hyperlink" Target="mailto:yolimarmujica@gmail.com" TargetMode="External"/><Relationship Id="rId280" Type="http://schemas.openxmlformats.org/officeDocument/2006/relationships/hyperlink" Target="mailto:LUCYSANCHEZSEPULVEDA@GMAIL.COM" TargetMode="External"/><Relationship Id="rId315" Type="http://schemas.openxmlformats.org/officeDocument/2006/relationships/hyperlink" Target="mailto:LUDMILADEFARIA@GMAIL.COM" TargetMode="External"/><Relationship Id="rId54" Type="http://schemas.openxmlformats.org/officeDocument/2006/relationships/hyperlink" Target="mailto:alissonherreraz86@gmail.com" TargetMode="External"/><Relationship Id="rId75" Type="http://schemas.openxmlformats.org/officeDocument/2006/relationships/hyperlink" Target="mailto:schernandez20@gmail.com" TargetMode="External"/><Relationship Id="rId96" Type="http://schemas.openxmlformats.org/officeDocument/2006/relationships/hyperlink" Target="mailto:canelonbarraezdaniela@gmail.com" TargetMode="External"/><Relationship Id="rId140" Type="http://schemas.openxmlformats.org/officeDocument/2006/relationships/hyperlink" Target="mailto:valedieing@hotmail.com" TargetMode="External"/><Relationship Id="rId161" Type="http://schemas.openxmlformats.org/officeDocument/2006/relationships/hyperlink" Target="mailto:jessy.marquez@gmail.com" TargetMode="External"/><Relationship Id="rId182" Type="http://schemas.openxmlformats.org/officeDocument/2006/relationships/hyperlink" Target="mailto:beiker@gmail.com" TargetMode="External"/><Relationship Id="rId217" Type="http://schemas.openxmlformats.org/officeDocument/2006/relationships/hyperlink" Target="mailto:yoviou842@gmail.com" TargetMode="External"/><Relationship Id="rId6" Type="http://schemas.openxmlformats.org/officeDocument/2006/relationships/hyperlink" Target="mailto:fernando.v.2123@gmail.com" TargetMode="External"/><Relationship Id="rId238" Type="http://schemas.openxmlformats.org/officeDocument/2006/relationships/hyperlink" Target="mailto:zoraida.luna@gmail.com" TargetMode="External"/><Relationship Id="rId259" Type="http://schemas.openxmlformats.org/officeDocument/2006/relationships/hyperlink" Target="mailto:ELEJEMD@2014GMAIL.COM" TargetMode="External"/><Relationship Id="rId23" Type="http://schemas.openxmlformats.org/officeDocument/2006/relationships/hyperlink" Target="mailto:dereneliangelvr@gnail.com" TargetMode="External"/><Relationship Id="rId119" Type="http://schemas.openxmlformats.org/officeDocument/2006/relationships/hyperlink" Target="mailto:lcrepsac@hotmail.com" TargetMode="External"/><Relationship Id="rId270" Type="http://schemas.openxmlformats.org/officeDocument/2006/relationships/hyperlink" Target="mailto:KRISBELMARTINEZ12@GMAIL.COM" TargetMode="External"/><Relationship Id="rId291" Type="http://schemas.openxmlformats.org/officeDocument/2006/relationships/hyperlink" Target="mailto:STEPHANIA.SALMERAN@GMAIL.COM" TargetMode="External"/><Relationship Id="rId305" Type="http://schemas.openxmlformats.org/officeDocument/2006/relationships/hyperlink" Target="mailto:JOLIANACARVAJAL@HOTMAIL.COM" TargetMode="External"/><Relationship Id="rId326" Type="http://schemas.openxmlformats.org/officeDocument/2006/relationships/hyperlink" Target="mailto:MESMORANTE20@GMAIL.COM" TargetMode="External"/><Relationship Id="rId44" Type="http://schemas.openxmlformats.org/officeDocument/2006/relationships/hyperlink" Target="mailto:luzgoncalvesv@gmail.com" TargetMode="External"/><Relationship Id="rId65" Type="http://schemas.openxmlformats.org/officeDocument/2006/relationships/hyperlink" Target="mailto:caropezado@gmail.com" TargetMode="External"/><Relationship Id="rId86" Type="http://schemas.openxmlformats.org/officeDocument/2006/relationships/hyperlink" Target="mailto:hermosodanielaz@gmail.com" TargetMode="External"/><Relationship Id="rId130" Type="http://schemas.openxmlformats.org/officeDocument/2006/relationships/hyperlink" Target="mailto:penalfredo83@gmail.com" TargetMode="External"/><Relationship Id="rId151" Type="http://schemas.openxmlformats.org/officeDocument/2006/relationships/hyperlink" Target="mailto:isoraimi@gmail.com" TargetMode="External"/><Relationship Id="rId172" Type="http://schemas.openxmlformats.org/officeDocument/2006/relationships/hyperlink" Target="mailto:jcisneros.camesca@gmail.com" TargetMode="External"/><Relationship Id="rId193" Type="http://schemas.openxmlformats.org/officeDocument/2006/relationships/hyperlink" Target="mailto:jeimy_alexandra@hotmail.com" TargetMode="External"/><Relationship Id="rId207" Type="http://schemas.openxmlformats.org/officeDocument/2006/relationships/hyperlink" Target="mailto:angelamayrinb@gmail.com" TargetMode="External"/><Relationship Id="rId228" Type="http://schemas.openxmlformats.org/officeDocument/2006/relationships/hyperlink" Target="mailto:iguaranmaria60@gmail.com" TargetMode="External"/><Relationship Id="rId249" Type="http://schemas.openxmlformats.org/officeDocument/2006/relationships/hyperlink" Target="mailto:marioummnsalv2@gmail.com" TargetMode="External"/><Relationship Id="rId13" Type="http://schemas.openxmlformats.org/officeDocument/2006/relationships/hyperlink" Target="mailto:jennydads270484@hotmail.com" TargetMode="External"/><Relationship Id="rId109" Type="http://schemas.openxmlformats.org/officeDocument/2006/relationships/hyperlink" Target="mailto:rubmaryg@gmail.com" TargetMode="External"/><Relationship Id="rId260" Type="http://schemas.openxmlformats.org/officeDocument/2006/relationships/hyperlink" Target="mailto:HORA3017@GMAIL.COM" TargetMode="External"/><Relationship Id="rId281" Type="http://schemas.openxmlformats.org/officeDocument/2006/relationships/hyperlink" Target="mailto:HERRERAARACELIS@GMAIL.COM" TargetMode="External"/><Relationship Id="rId316" Type="http://schemas.openxmlformats.org/officeDocument/2006/relationships/hyperlink" Target="mailto:LUDMILADEFARIA@GMAIL.COM" TargetMode="External"/><Relationship Id="rId34" Type="http://schemas.openxmlformats.org/officeDocument/2006/relationships/hyperlink" Target="mailto:sonrisasok@gmail.com" TargetMode="External"/><Relationship Id="rId55" Type="http://schemas.openxmlformats.org/officeDocument/2006/relationships/hyperlink" Target="mailto:jdsmk2010@gnail.com" TargetMode="External"/><Relationship Id="rId76" Type="http://schemas.openxmlformats.org/officeDocument/2006/relationships/hyperlink" Target="mailto:anthonygoncalves2506@gmail.com" TargetMode="External"/><Relationship Id="rId97" Type="http://schemas.openxmlformats.org/officeDocument/2006/relationships/hyperlink" Target="mailto:gabrielajeres1539@gmail.com" TargetMode="External"/><Relationship Id="rId120" Type="http://schemas.openxmlformats.org/officeDocument/2006/relationships/hyperlink" Target="mailto:lcrepsac@hotmail.com" TargetMode="External"/><Relationship Id="rId141" Type="http://schemas.openxmlformats.org/officeDocument/2006/relationships/hyperlink" Target="mailto:mfrv1986@gmail.com" TargetMode="External"/><Relationship Id="rId7" Type="http://schemas.openxmlformats.org/officeDocument/2006/relationships/hyperlink" Target="mailto:nadiagarciavi@gmail.com" TargetMode="External"/><Relationship Id="rId162" Type="http://schemas.openxmlformats.org/officeDocument/2006/relationships/hyperlink" Target="mailto:jessy.marquez@gmail.com" TargetMode="External"/><Relationship Id="rId183" Type="http://schemas.openxmlformats.org/officeDocument/2006/relationships/hyperlink" Target="mailto:gladysguanin@gmail.com" TargetMode="External"/><Relationship Id="rId218" Type="http://schemas.openxmlformats.org/officeDocument/2006/relationships/hyperlink" Target="mailto:mayerlinbautista2023@gmail.com" TargetMode="External"/><Relationship Id="rId239" Type="http://schemas.openxmlformats.org/officeDocument/2006/relationships/hyperlink" Target="mailto:dileyrojas@gmail.com" TargetMode="External"/><Relationship Id="rId250" Type="http://schemas.openxmlformats.org/officeDocument/2006/relationships/hyperlink" Target="mailto:wildergabrielmonsalve@gmail.com" TargetMode="External"/><Relationship Id="rId271" Type="http://schemas.openxmlformats.org/officeDocument/2006/relationships/hyperlink" Target="mailto:AMWRY.AMARO@GMAIL.COM" TargetMode="External"/><Relationship Id="rId292" Type="http://schemas.openxmlformats.org/officeDocument/2006/relationships/hyperlink" Target="mailto:MARISELAGUERRAS@GMAIL.COM" TargetMode="External"/><Relationship Id="rId306" Type="http://schemas.openxmlformats.org/officeDocument/2006/relationships/hyperlink" Target="mailto:JOLIANACARVAJAL@HOTMAIL.COM" TargetMode="External"/><Relationship Id="rId24" Type="http://schemas.openxmlformats.org/officeDocument/2006/relationships/hyperlink" Target="mailto:angiyoselyrodriguez@gmail.cm" TargetMode="External"/><Relationship Id="rId45" Type="http://schemas.openxmlformats.org/officeDocument/2006/relationships/hyperlink" Target="mailto:luzgoncalvesv@gmail.com" TargetMode="External"/><Relationship Id="rId66" Type="http://schemas.openxmlformats.org/officeDocument/2006/relationships/hyperlink" Target="mailto:caropezado@gmail.com" TargetMode="External"/><Relationship Id="rId87" Type="http://schemas.openxmlformats.org/officeDocument/2006/relationships/hyperlink" Target="mailto:hermosodanielaz@gmail.com" TargetMode="External"/><Relationship Id="rId110" Type="http://schemas.openxmlformats.org/officeDocument/2006/relationships/hyperlink" Target="mailto:tilsiadaza14@gmail.com" TargetMode="External"/><Relationship Id="rId131" Type="http://schemas.openxmlformats.org/officeDocument/2006/relationships/hyperlink" Target="mailto:nata.vega.31@gmail.com" TargetMode="External"/><Relationship Id="rId327" Type="http://schemas.openxmlformats.org/officeDocument/2006/relationships/hyperlink" Target="mailto:VIVI_1403@HOTMAIL.COM" TargetMode="External"/><Relationship Id="rId152" Type="http://schemas.openxmlformats.org/officeDocument/2006/relationships/hyperlink" Target="mailto:isoraimi.23@gmail.com" TargetMode="External"/><Relationship Id="rId173" Type="http://schemas.openxmlformats.org/officeDocument/2006/relationships/hyperlink" Target="mailto:eduard.19diaz@gmail.com" TargetMode="External"/><Relationship Id="rId194" Type="http://schemas.openxmlformats.org/officeDocument/2006/relationships/hyperlink" Target="mailto:jeimy_alexandra@hotmail.com" TargetMode="External"/><Relationship Id="rId208" Type="http://schemas.openxmlformats.org/officeDocument/2006/relationships/hyperlink" Target="mailto:bodour17@hotmail.com" TargetMode="External"/><Relationship Id="rId229" Type="http://schemas.openxmlformats.org/officeDocument/2006/relationships/hyperlink" Target="mailto:maru_04@hotmail.com" TargetMode="External"/><Relationship Id="rId240" Type="http://schemas.openxmlformats.org/officeDocument/2006/relationships/hyperlink" Target="mailto:brusmelishernandez41@gmail.com" TargetMode="External"/><Relationship Id="rId261" Type="http://schemas.openxmlformats.org/officeDocument/2006/relationships/hyperlink" Target="mailto:ODONTO3DCA@GMAIL.COM" TargetMode="External"/><Relationship Id="rId14" Type="http://schemas.openxmlformats.org/officeDocument/2006/relationships/hyperlink" Target="mailto:jennydads270484@hotmail.com" TargetMode="External"/><Relationship Id="rId35" Type="http://schemas.openxmlformats.org/officeDocument/2006/relationships/hyperlink" Target="mailto:cindyor123@gmail.com" TargetMode="External"/><Relationship Id="rId56" Type="http://schemas.openxmlformats.org/officeDocument/2006/relationships/hyperlink" Target="mailto:mairimk@gmail.com" TargetMode="External"/><Relationship Id="rId77" Type="http://schemas.openxmlformats.org/officeDocument/2006/relationships/hyperlink" Target="mailto:yuli1287@yahoo.com" TargetMode="External"/><Relationship Id="rId100" Type="http://schemas.openxmlformats.org/officeDocument/2006/relationships/hyperlink" Target="mailto:gabrielajeres1539@gmail.com" TargetMode="External"/><Relationship Id="rId282" Type="http://schemas.openxmlformats.org/officeDocument/2006/relationships/hyperlink" Target="mailto:ANGELBEST1703@GMAIL.COM" TargetMode="External"/><Relationship Id="rId317" Type="http://schemas.openxmlformats.org/officeDocument/2006/relationships/hyperlink" Target="mailto:ONATMOLINA@GMAIL.COM" TargetMode="External"/><Relationship Id="rId8" Type="http://schemas.openxmlformats.org/officeDocument/2006/relationships/hyperlink" Target="mailto:nadiagarciavi@gmail.com" TargetMode="External"/><Relationship Id="rId51" Type="http://schemas.openxmlformats.org/officeDocument/2006/relationships/hyperlink" Target="mailto:cabrerapaula15@gmail.com" TargetMode="External"/><Relationship Id="rId72" Type="http://schemas.openxmlformats.org/officeDocument/2006/relationships/hyperlink" Target="mailto:solnc79@hotmail.com" TargetMode="External"/><Relationship Id="rId93" Type="http://schemas.openxmlformats.org/officeDocument/2006/relationships/hyperlink" Target="mailto:eimy.giselle@gmail.com" TargetMode="External"/><Relationship Id="rId98" Type="http://schemas.openxmlformats.org/officeDocument/2006/relationships/hyperlink" Target="mailto:gabrielajeres1539@gmail.com" TargetMode="External"/><Relationship Id="rId121" Type="http://schemas.openxmlformats.org/officeDocument/2006/relationships/hyperlink" Target="mailto:valeriaerodoa@gmail.com" TargetMode="External"/><Relationship Id="rId142" Type="http://schemas.openxmlformats.org/officeDocument/2006/relationships/hyperlink" Target="mailto:johelinojosa@gmail.com" TargetMode="External"/><Relationship Id="rId163" Type="http://schemas.openxmlformats.org/officeDocument/2006/relationships/hyperlink" Target="mailto:erikaquintero1099@gmail.com" TargetMode="External"/><Relationship Id="rId184" Type="http://schemas.openxmlformats.org/officeDocument/2006/relationships/hyperlink" Target="mailto:gladys.guanin@gmail.com" TargetMode="External"/><Relationship Id="rId189" Type="http://schemas.openxmlformats.org/officeDocument/2006/relationships/hyperlink" Target="mailto:razhiellandaetab58@gmail.com" TargetMode="External"/><Relationship Id="rId219" Type="http://schemas.openxmlformats.org/officeDocument/2006/relationships/hyperlink" Target="mailto:mayerlinbautista2023@gmail.com" TargetMode="External"/><Relationship Id="rId3" Type="http://schemas.openxmlformats.org/officeDocument/2006/relationships/hyperlink" Target="mailto:sidney.inojosa@gmail.com" TargetMode="External"/><Relationship Id="rId214" Type="http://schemas.openxmlformats.org/officeDocument/2006/relationships/hyperlink" Target="mailto:loandryst7@gmail.com" TargetMode="External"/><Relationship Id="rId230" Type="http://schemas.openxmlformats.org/officeDocument/2006/relationships/hyperlink" Target="mailto:ayarit09@hotmail.com" TargetMode="External"/><Relationship Id="rId235" Type="http://schemas.openxmlformats.org/officeDocument/2006/relationships/hyperlink" Target="mailto:jeimy_alexandra@hotmail.com" TargetMode="External"/><Relationship Id="rId251" Type="http://schemas.openxmlformats.org/officeDocument/2006/relationships/hyperlink" Target="mailto:gonzalezdaniel2015@gmail.com" TargetMode="External"/><Relationship Id="rId256" Type="http://schemas.openxmlformats.org/officeDocument/2006/relationships/hyperlink" Target="mailto:rveliz2806@gmail.com" TargetMode="External"/><Relationship Id="rId277" Type="http://schemas.openxmlformats.org/officeDocument/2006/relationships/hyperlink" Target="mailto:yasmin.ssl302@gmail.com" TargetMode="External"/><Relationship Id="rId298" Type="http://schemas.openxmlformats.org/officeDocument/2006/relationships/hyperlink" Target="mailto:BELKIX_36@HOTMAIL.COM" TargetMode="External"/><Relationship Id="rId25" Type="http://schemas.openxmlformats.org/officeDocument/2006/relationships/hyperlink" Target="mailto:solnc79@hotmail.com" TargetMode="External"/><Relationship Id="rId46" Type="http://schemas.openxmlformats.org/officeDocument/2006/relationships/hyperlink" Target="mailto:luzgoncalvesv@gmail.com" TargetMode="External"/><Relationship Id="rId67" Type="http://schemas.openxmlformats.org/officeDocument/2006/relationships/hyperlink" Target="mailto:crisbel81@hotmail.com" TargetMode="External"/><Relationship Id="rId116" Type="http://schemas.openxmlformats.org/officeDocument/2006/relationships/hyperlink" Target="mailto:roxana.mendez15@gmail.com" TargetMode="External"/><Relationship Id="rId137" Type="http://schemas.openxmlformats.org/officeDocument/2006/relationships/hyperlink" Target="mailto:mariacastano433@gmail.com" TargetMode="External"/><Relationship Id="rId158" Type="http://schemas.openxmlformats.org/officeDocument/2006/relationships/hyperlink" Target="mailto:deleonjuanpedro@gmail.com" TargetMode="External"/><Relationship Id="rId272" Type="http://schemas.openxmlformats.org/officeDocument/2006/relationships/hyperlink" Target="mailto:AXXIELP5@GMAIL.COM" TargetMode="External"/><Relationship Id="rId293" Type="http://schemas.openxmlformats.org/officeDocument/2006/relationships/hyperlink" Target="mailto:SUAREZSOFIX@MAIL.COM" TargetMode="External"/><Relationship Id="rId302" Type="http://schemas.openxmlformats.org/officeDocument/2006/relationships/hyperlink" Target="mailto:MARIAELENAVASQUEZ217@GMAIL.COM" TargetMode="External"/><Relationship Id="rId307" Type="http://schemas.openxmlformats.org/officeDocument/2006/relationships/hyperlink" Target="mailto:JFAVRIN@GMAIL.COM" TargetMode="External"/><Relationship Id="rId323" Type="http://schemas.openxmlformats.org/officeDocument/2006/relationships/hyperlink" Target="mailto:BRIGITTEMARTIN84@GMAIL.COM" TargetMode="External"/><Relationship Id="rId328" Type="http://schemas.openxmlformats.org/officeDocument/2006/relationships/hyperlink" Target="mailto:VIVI_1403@HOTMAIL.COM" TargetMode="External"/><Relationship Id="rId20" Type="http://schemas.openxmlformats.org/officeDocument/2006/relationships/hyperlink" Target="mailto:angelimerz@gmail.com" TargetMode="External"/><Relationship Id="rId41" Type="http://schemas.openxmlformats.org/officeDocument/2006/relationships/hyperlink" Target="mailto:eiderly@hotmail.com" TargetMode="External"/><Relationship Id="rId62" Type="http://schemas.openxmlformats.org/officeDocument/2006/relationships/hyperlink" Target="mailto:estellanarvaez@gmail.com" TargetMode="External"/><Relationship Id="rId83" Type="http://schemas.openxmlformats.org/officeDocument/2006/relationships/hyperlink" Target="mailto:joymargarcia22@gmail.com" TargetMode="External"/><Relationship Id="rId88" Type="http://schemas.openxmlformats.org/officeDocument/2006/relationships/hyperlink" Target="mailto:igmar1026@gmail.com" TargetMode="External"/><Relationship Id="rId111" Type="http://schemas.openxmlformats.org/officeDocument/2006/relationships/hyperlink" Target="mailto:zuri2303@gmail.com" TargetMode="External"/><Relationship Id="rId132" Type="http://schemas.openxmlformats.org/officeDocument/2006/relationships/hyperlink" Target="mailto:nata.vega.31@gmail.com" TargetMode="External"/><Relationship Id="rId153" Type="http://schemas.openxmlformats.org/officeDocument/2006/relationships/hyperlink" Target="mailto:adelinadiaz133@gmail.com" TargetMode="External"/><Relationship Id="rId174" Type="http://schemas.openxmlformats.org/officeDocument/2006/relationships/hyperlink" Target="mailto:renzimar.66@gmail.com" TargetMode="External"/><Relationship Id="rId179" Type="http://schemas.openxmlformats.org/officeDocument/2006/relationships/hyperlink" Target="mailto:jvg_25@hotmail.com" TargetMode="External"/><Relationship Id="rId195" Type="http://schemas.openxmlformats.org/officeDocument/2006/relationships/hyperlink" Target="mailto:gabrielreyes0160@gmail.com" TargetMode="External"/><Relationship Id="rId209" Type="http://schemas.openxmlformats.org/officeDocument/2006/relationships/hyperlink" Target="mailto:bodour17@hotmail.com" TargetMode="External"/><Relationship Id="rId190" Type="http://schemas.openxmlformats.org/officeDocument/2006/relationships/hyperlink" Target="mailto:razhiellandaetab58@gmail.com" TargetMode="External"/><Relationship Id="rId204" Type="http://schemas.openxmlformats.org/officeDocument/2006/relationships/hyperlink" Target="mailto:greciadelmaribarracarmona@gmail.com" TargetMode="External"/><Relationship Id="rId220" Type="http://schemas.openxmlformats.org/officeDocument/2006/relationships/hyperlink" Target="mailto:origuengregory@gmail.com" TargetMode="External"/><Relationship Id="rId225" Type="http://schemas.openxmlformats.org/officeDocument/2006/relationships/hyperlink" Target="mailto:diagnangeles@hotmail.com" TargetMode="External"/><Relationship Id="rId241" Type="http://schemas.openxmlformats.org/officeDocument/2006/relationships/hyperlink" Target="mailto:brusmelihernandez41@gmail.com" TargetMode="External"/><Relationship Id="rId246" Type="http://schemas.openxmlformats.org/officeDocument/2006/relationships/hyperlink" Target="mailto:mgmatheusa@gmail.com" TargetMode="External"/><Relationship Id="rId267" Type="http://schemas.openxmlformats.org/officeDocument/2006/relationships/hyperlink" Target="mailto:JERRYARZO@GMAIL.COM" TargetMode="External"/><Relationship Id="rId288" Type="http://schemas.openxmlformats.org/officeDocument/2006/relationships/hyperlink" Target="mailto:ROSAELVIRAGOMEZSANCHEZ@GMAIL.COM" TargetMode="External"/><Relationship Id="rId15" Type="http://schemas.openxmlformats.org/officeDocument/2006/relationships/hyperlink" Target="mailto:enricorassi.jr@gmail.com" TargetMode="External"/><Relationship Id="rId36" Type="http://schemas.openxmlformats.org/officeDocument/2006/relationships/hyperlink" Target="mailto:cindyor123@gmail.com" TargetMode="External"/><Relationship Id="rId57" Type="http://schemas.openxmlformats.org/officeDocument/2006/relationships/hyperlink" Target="mailto:paolasanmartin0106@gmail.com" TargetMode="External"/><Relationship Id="rId106" Type="http://schemas.openxmlformats.org/officeDocument/2006/relationships/hyperlink" Target="mailto:dabelism@gmail.com" TargetMode="External"/><Relationship Id="rId127" Type="http://schemas.openxmlformats.org/officeDocument/2006/relationships/hyperlink" Target="mailto:lotayek@gmail.com" TargetMode="External"/><Relationship Id="rId262" Type="http://schemas.openxmlformats.org/officeDocument/2006/relationships/hyperlink" Target="mailto:LURISMARPEREZ@GMAIL.COM" TargetMode="External"/><Relationship Id="rId283" Type="http://schemas.openxmlformats.org/officeDocument/2006/relationships/hyperlink" Target="mailto:STEPHANYMARYANGEL1703@GMAIL.COM" TargetMode="External"/><Relationship Id="rId313" Type="http://schemas.openxmlformats.org/officeDocument/2006/relationships/hyperlink" Target="mailto:MAYCAR77@GMAIL.COM" TargetMode="External"/><Relationship Id="rId318" Type="http://schemas.openxmlformats.org/officeDocument/2006/relationships/hyperlink" Target="mailto:ONATMOLINA@GMAIL.COM" TargetMode="External"/><Relationship Id="rId10" Type="http://schemas.openxmlformats.org/officeDocument/2006/relationships/hyperlink" Target="mailto:dana2416@hotmail.com" TargetMode="External"/><Relationship Id="rId31" Type="http://schemas.openxmlformats.org/officeDocument/2006/relationships/hyperlink" Target="mailto:kathenavas79@gmail.com" TargetMode="External"/><Relationship Id="rId52" Type="http://schemas.openxmlformats.org/officeDocument/2006/relationships/hyperlink" Target="mailto:ingrid_mattar@gmail.com" TargetMode="External"/><Relationship Id="rId73" Type="http://schemas.openxmlformats.org/officeDocument/2006/relationships/hyperlink" Target="mailto:solnc79@hotmal.com" TargetMode="External"/><Relationship Id="rId78" Type="http://schemas.openxmlformats.org/officeDocument/2006/relationships/hyperlink" Target="mailto:villegas.armco@gmail.com" TargetMode="External"/><Relationship Id="rId94" Type="http://schemas.openxmlformats.org/officeDocument/2006/relationships/hyperlink" Target="mailto:diegoandresdelgado@gmail.com" TargetMode="External"/><Relationship Id="rId99" Type="http://schemas.openxmlformats.org/officeDocument/2006/relationships/hyperlink" Target="mailto:gabrielajeres1539@gmail.com" TargetMode="External"/><Relationship Id="rId101" Type="http://schemas.openxmlformats.org/officeDocument/2006/relationships/hyperlink" Target="mailto:yessneyda@gmail.com" TargetMode="External"/><Relationship Id="rId122" Type="http://schemas.openxmlformats.org/officeDocument/2006/relationships/hyperlink" Target="mailto:yarraiz@banesco.com" TargetMode="External"/><Relationship Id="rId143" Type="http://schemas.openxmlformats.org/officeDocument/2006/relationships/hyperlink" Target="mailto:rossygonzalez1995@gmail.com" TargetMode="External"/><Relationship Id="rId148" Type="http://schemas.openxmlformats.org/officeDocument/2006/relationships/hyperlink" Target="mailto:marleijurado@gmail.com" TargetMode="External"/><Relationship Id="rId164" Type="http://schemas.openxmlformats.org/officeDocument/2006/relationships/hyperlink" Target="mailto:ragavila15@gmai.com" TargetMode="External"/><Relationship Id="rId169" Type="http://schemas.openxmlformats.org/officeDocument/2006/relationships/hyperlink" Target="mailto:sthaellcastilloq@gmail.com" TargetMode="External"/><Relationship Id="rId185" Type="http://schemas.openxmlformats.org/officeDocument/2006/relationships/hyperlink" Target="mailto:stefanysvictoriaovalles@gmail.com" TargetMode="External"/><Relationship Id="rId334" Type="http://schemas.openxmlformats.org/officeDocument/2006/relationships/vmlDrawing" Target="../drawings/vmlDrawing1.vml"/><Relationship Id="rId4" Type="http://schemas.openxmlformats.org/officeDocument/2006/relationships/hyperlink" Target="mailto:aurisela@gmail.com" TargetMode="External"/><Relationship Id="rId9" Type="http://schemas.openxmlformats.org/officeDocument/2006/relationships/hyperlink" Target="mailto:gabrielagomez6354@gmail.com" TargetMode="External"/><Relationship Id="rId180" Type="http://schemas.openxmlformats.org/officeDocument/2006/relationships/hyperlink" Target="mailto:kellnimargonzalez@gmail.com" TargetMode="External"/><Relationship Id="rId210" Type="http://schemas.openxmlformats.org/officeDocument/2006/relationships/hyperlink" Target="mailto:bodour17@hotmail.com" TargetMode="External"/><Relationship Id="rId215" Type="http://schemas.openxmlformats.org/officeDocument/2006/relationships/hyperlink" Target="mailto:loandrys7@gmail.com" TargetMode="External"/><Relationship Id="rId236" Type="http://schemas.openxmlformats.org/officeDocument/2006/relationships/hyperlink" Target="mailto:yeimicardenasherrera@gmail.com" TargetMode="External"/><Relationship Id="rId257" Type="http://schemas.openxmlformats.org/officeDocument/2006/relationships/hyperlink" Target="mailto:SOFIA.BAEZ021110@GMAIL.COM" TargetMode="External"/><Relationship Id="rId278" Type="http://schemas.openxmlformats.org/officeDocument/2006/relationships/hyperlink" Target="mailto:ANA197840@GMAIL.COM" TargetMode="External"/><Relationship Id="rId26" Type="http://schemas.openxmlformats.org/officeDocument/2006/relationships/hyperlink" Target="mailto:solnc79@hotmal.com" TargetMode="External"/><Relationship Id="rId231" Type="http://schemas.openxmlformats.org/officeDocument/2006/relationships/hyperlink" Target="mailto:luisfervento2007@gmail.com" TargetMode="External"/><Relationship Id="rId252" Type="http://schemas.openxmlformats.org/officeDocument/2006/relationships/hyperlink" Target="mailto:adelyascanio@gmail.com" TargetMode="External"/><Relationship Id="rId273" Type="http://schemas.openxmlformats.org/officeDocument/2006/relationships/hyperlink" Target="mailto:CSKILR32@GMAIL.COM" TargetMode="External"/><Relationship Id="rId294" Type="http://schemas.openxmlformats.org/officeDocument/2006/relationships/hyperlink" Target="mailto:LUISGONZALEZ16591436@GMAIL.COM" TargetMode="External"/><Relationship Id="rId308" Type="http://schemas.openxmlformats.org/officeDocument/2006/relationships/hyperlink" Target="mailto:JFAVRIN@GMAIL.COM" TargetMode="External"/><Relationship Id="rId329" Type="http://schemas.openxmlformats.org/officeDocument/2006/relationships/hyperlink" Target="mailto:JOSEPHDIAS4299@GMAIL.COM" TargetMode="External"/><Relationship Id="rId47" Type="http://schemas.openxmlformats.org/officeDocument/2006/relationships/hyperlink" Target="mailto:dr.vivascadiz@outlook.com" TargetMode="External"/><Relationship Id="rId68" Type="http://schemas.openxmlformats.org/officeDocument/2006/relationships/hyperlink" Target="mailto:crisbel81@hotmail.com" TargetMode="External"/><Relationship Id="rId89" Type="http://schemas.openxmlformats.org/officeDocument/2006/relationships/hyperlink" Target="mailto:keniasequera123@gmail.com" TargetMode="External"/><Relationship Id="rId112" Type="http://schemas.openxmlformats.org/officeDocument/2006/relationships/hyperlink" Target="mailto:luismiguelr_18@hotmail.com" TargetMode="External"/><Relationship Id="rId133" Type="http://schemas.openxmlformats.org/officeDocument/2006/relationships/hyperlink" Target="mailto:fmcartaya@gmail.com" TargetMode="External"/><Relationship Id="rId154" Type="http://schemas.openxmlformats.org/officeDocument/2006/relationships/hyperlink" Target="mailto:navascamila26@gmail.com" TargetMode="External"/><Relationship Id="rId175" Type="http://schemas.openxmlformats.org/officeDocument/2006/relationships/hyperlink" Target="mailto:vasquezmarisela70@gmail.com" TargetMode="External"/><Relationship Id="rId196" Type="http://schemas.openxmlformats.org/officeDocument/2006/relationships/hyperlink" Target="mailto:ricoherly@gmail.com" TargetMode="External"/><Relationship Id="rId200" Type="http://schemas.openxmlformats.org/officeDocument/2006/relationships/hyperlink" Target="mailto:orianarr2005@gmail.com" TargetMode="External"/><Relationship Id="rId16" Type="http://schemas.openxmlformats.org/officeDocument/2006/relationships/hyperlink" Target="mailto:daphnerassi@gmail.com" TargetMode="External"/><Relationship Id="rId221" Type="http://schemas.openxmlformats.org/officeDocument/2006/relationships/hyperlink" Target="mailto:equipopistonoa@gmail.com" TargetMode="External"/><Relationship Id="rId242" Type="http://schemas.openxmlformats.org/officeDocument/2006/relationships/hyperlink" Target="mailto:vermig09@gmail.com" TargetMode="External"/><Relationship Id="rId263" Type="http://schemas.openxmlformats.org/officeDocument/2006/relationships/hyperlink" Target="mailto:GIANCARLOCIAV@GMAIL.COM" TargetMode="External"/><Relationship Id="rId284" Type="http://schemas.openxmlformats.org/officeDocument/2006/relationships/hyperlink" Target="mailto:YORLIANYS.LOPEZ03@GMAIL.COM" TargetMode="External"/><Relationship Id="rId319" Type="http://schemas.openxmlformats.org/officeDocument/2006/relationships/hyperlink" Target="mailto:SILVIANA12.MORIN@GMAIL.COM" TargetMode="External"/><Relationship Id="rId37" Type="http://schemas.openxmlformats.org/officeDocument/2006/relationships/hyperlink" Target="mailto:deilyn9bergolla@gmail.com" TargetMode="External"/><Relationship Id="rId58" Type="http://schemas.openxmlformats.org/officeDocument/2006/relationships/hyperlink" Target="mailto:mairimk@gmail.com" TargetMode="External"/><Relationship Id="rId79" Type="http://schemas.openxmlformats.org/officeDocument/2006/relationships/hyperlink" Target="mailto:acevedovalevero@gmail.com" TargetMode="External"/><Relationship Id="rId102" Type="http://schemas.openxmlformats.org/officeDocument/2006/relationships/hyperlink" Target="mailto:mfrv1986@gmail.com" TargetMode="External"/><Relationship Id="rId123" Type="http://schemas.openxmlformats.org/officeDocument/2006/relationships/hyperlink" Target="mailto:noblesancho@gmail.com" TargetMode="External"/><Relationship Id="rId144" Type="http://schemas.openxmlformats.org/officeDocument/2006/relationships/hyperlink" Target="mailto:umc2016aguilar@gmail.com" TargetMode="External"/><Relationship Id="rId330" Type="http://schemas.openxmlformats.org/officeDocument/2006/relationships/hyperlink" Target="mailto:EUDNY.BUN@GMAIL.COM" TargetMode="External"/><Relationship Id="rId90" Type="http://schemas.openxmlformats.org/officeDocument/2006/relationships/hyperlink" Target="mailto:amella.diazponce@gmail.com" TargetMode="External"/><Relationship Id="rId165" Type="http://schemas.openxmlformats.org/officeDocument/2006/relationships/hyperlink" Target="mailto:ragavila15@gmail.com" TargetMode="External"/><Relationship Id="rId186" Type="http://schemas.openxmlformats.org/officeDocument/2006/relationships/hyperlink" Target="mailto:drondon.dpd@gmail.com" TargetMode="External"/><Relationship Id="rId211" Type="http://schemas.openxmlformats.org/officeDocument/2006/relationships/hyperlink" Target="mailto:bodour17@hotmail.com" TargetMode="External"/><Relationship Id="rId232" Type="http://schemas.openxmlformats.org/officeDocument/2006/relationships/hyperlink" Target="mailto:natalymonasterios19@gmail.com" TargetMode="External"/><Relationship Id="rId253" Type="http://schemas.openxmlformats.org/officeDocument/2006/relationships/hyperlink" Target="mailto:isturizjovana@gmail.com" TargetMode="External"/><Relationship Id="rId274" Type="http://schemas.openxmlformats.org/officeDocument/2006/relationships/hyperlink" Target="mailto:asuajer@gmail.com" TargetMode="External"/><Relationship Id="rId295" Type="http://schemas.openxmlformats.org/officeDocument/2006/relationships/hyperlink" Target="mailto:ISAVICAG@GMAIL.COM" TargetMode="External"/><Relationship Id="rId309" Type="http://schemas.openxmlformats.org/officeDocument/2006/relationships/hyperlink" Target="mailto:JFAVRIN@GMAIL.COM" TargetMode="External"/><Relationship Id="rId27" Type="http://schemas.openxmlformats.org/officeDocument/2006/relationships/hyperlink" Target="mailto:elena.esqueda@gmail.com" TargetMode="External"/><Relationship Id="rId48" Type="http://schemas.openxmlformats.org/officeDocument/2006/relationships/hyperlink" Target="mailto:dr.vivascadiz@outlook.com" TargetMode="External"/><Relationship Id="rId69" Type="http://schemas.openxmlformats.org/officeDocument/2006/relationships/hyperlink" Target="mailto:crisbel81@hotmail.com" TargetMode="External"/><Relationship Id="rId113" Type="http://schemas.openxmlformats.org/officeDocument/2006/relationships/hyperlink" Target="mailto:angelly.gutierrez.r@gmail.com" TargetMode="External"/><Relationship Id="rId134" Type="http://schemas.openxmlformats.org/officeDocument/2006/relationships/hyperlink" Target="mailto:fmcartaya@gmail.com" TargetMode="External"/><Relationship Id="rId320" Type="http://schemas.openxmlformats.org/officeDocument/2006/relationships/hyperlink" Target="mailto:SILVIANA12.MORIN@GMAIL.COM" TargetMode="External"/><Relationship Id="rId80" Type="http://schemas.openxmlformats.org/officeDocument/2006/relationships/hyperlink" Target="mailto:arturoandresacevedo@gmail.com" TargetMode="External"/><Relationship Id="rId155" Type="http://schemas.openxmlformats.org/officeDocument/2006/relationships/hyperlink" Target="mailto:adelinadiaz133@gmail.com" TargetMode="External"/><Relationship Id="rId176" Type="http://schemas.openxmlformats.org/officeDocument/2006/relationships/hyperlink" Target="mailto:Rmeysh@gmail.com" TargetMode="External"/><Relationship Id="rId197" Type="http://schemas.openxmlformats.org/officeDocument/2006/relationships/hyperlink" Target="mailto:Alvarodiazawo@gmail.com" TargetMode="External"/><Relationship Id="rId201" Type="http://schemas.openxmlformats.org/officeDocument/2006/relationships/hyperlink" Target="mailto:tisay2529@gmail.com" TargetMode="External"/><Relationship Id="rId222" Type="http://schemas.openxmlformats.org/officeDocument/2006/relationships/hyperlink" Target="mailto:diagnangeles@hotmail.com" TargetMode="External"/><Relationship Id="rId243" Type="http://schemas.openxmlformats.org/officeDocument/2006/relationships/hyperlink" Target="mailto:navaveronica074@gmail.com" TargetMode="External"/><Relationship Id="rId264" Type="http://schemas.openxmlformats.org/officeDocument/2006/relationships/hyperlink" Target="mailto:JOSUEPHRIVAS@GMAIL.COM" TargetMode="External"/><Relationship Id="rId285" Type="http://schemas.openxmlformats.org/officeDocument/2006/relationships/hyperlink" Target="mailto:ARLENYSESPINOZA234@GMAIL.COM" TargetMode="External"/><Relationship Id="rId17" Type="http://schemas.openxmlformats.org/officeDocument/2006/relationships/hyperlink" Target="mailto:conridani76@gmail.com" TargetMode="External"/><Relationship Id="rId38" Type="http://schemas.openxmlformats.org/officeDocument/2006/relationships/hyperlink" Target="mailto:deilyn9bergolla@gmail.com" TargetMode="External"/><Relationship Id="rId59" Type="http://schemas.openxmlformats.org/officeDocument/2006/relationships/hyperlink" Target="mailto:maria7isabel@gmail.com" TargetMode="External"/><Relationship Id="rId103" Type="http://schemas.openxmlformats.org/officeDocument/2006/relationships/hyperlink" Target="mailto:maria_angelicapb13@gmail.com" TargetMode="External"/><Relationship Id="rId124" Type="http://schemas.openxmlformats.org/officeDocument/2006/relationships/hyperlink" Target="mailto:anamary1969@yahoo.es" TargetMode="External"/><Relationship Id="rId310" Type="http://schemas.openxmlformats.org/officeDocument/2006/relationships/hyperlink" Target="mailto:JFAVRIN@GMAIL.COM" TargetMode="External"/><Relationship Id="rId70" Type="http://schemas.openxmlformats.org/officeDocument/2006/relationships/hyperlink" Target="mailto:crisbel81@hotmail.com" TargetMode="External"/><Relationship Id="rId91" Type="http://schemas.openxmlformats.org/officeDocument/2006/relationships/hyperlink" Target="mailto:amella.diazponce@gmail.com" TargetMode="External"/><Relationship Id="rId145" Type="http://schemas.openxmlformats.org/officeDocument/2006/relationships/hyperlink" Target="mailto:aaronnavas@icloud.com" TargetMode="External"/><Relationship Id="rId166" Type="http://schemas.openxmlformats.org/officeDocument/2006/relationships/hyperlink" Target="mailto:crisbel81@hotmail.com" TargetMode="External"/><Relationship Id="rId187" Type="http://schemas.openxmlformats.org/officeDocument/2006/relationships/hyperlink" Target="mailto:yetzhenia@hotmail.com" TargetMode="External"/><Relationship Id="rId331" Type="http://schemas.openxmlformats.org/officeDocument/2006/relationships/hyperlink" Target="mailto:KELLYRAMIREZ80@GMAIL.COM" TargetMode="External"/><Relationship Id="rId1" Type="http://schemas.openxmlformats.org/officeDocument/2006/relationships/hyperlink" Target="mailto:garethtezak@gmail.com" TargetMode="External"/><Relationship Id="rId212" Type="http://schemas.openxmlformats.org/officeDocument/2006/relationships/hyperlink" Target="mailto:mariajosefuentesrodriguez31@gmai.com" TargetMode="External"/><Relationship Id="rId233" Type="http://schemas.openxmlformats.org/officeDocument/2006/relationships/hyperlink" Target="mailto:salvatore.ilardo@gmail.com" TargetMode="External"/><Relationship Id="rId254" Type="http://schemas.openxmlformats.org/officeDocument/2006/relationships/hyperlink" Target="mailto:paulopg656@gmail.com" TargetMode="External"/><Relationship Id="rId28" Type="http://schemas.openxmlformats.org/officeDocument/2006/relationships/hyperlink" Target="mailto:elena.esqueda@telefonica.com" TargetMode="External"/><Relationship Id="rId49" Type="http://schemas.openxmlformats.org/officeDocument/2006/relationships/hyperlink" Target="mailto:dr.vivascadiz@outlook.com" TargetMode="External"/><Relationship Id="rId114" Type="http://schemas.openxmlformats.org/officeDocument/2006/relationships/hyperlink" Target="mailto:valentinadiaz1908@gmail.com" TargetMode="External"/><Relationship Id="rId275" Type="http://schemas.openxmlformats.org/officeDocument/2006/relationships/hyperlink" Target="mailto:JENIFFERPARE@GMAIL.COM" TargetMode="External"/><Relationship Id="rId296" Type="http://schemas.openxmlformats.org/officeDocument/2006/relationships/hyperlink" Target="mailto:ROSSVIRG13@GMAIL.COM" TargetMode="External"/><Relationship Id="rId300" Type="http://schemas.openxmlformats.org/officeDocument/2006/relationships/hyperlink" Target="mailto:MARIAJPQ2016@GMAIL.COM" TargetMode="External"/><Relationship Id="rId60" Type="http://schemas.openxmlformats.org/officeDocument/2006/relationships/hyperlink" Target="mailto:maria7isabel@gmail.com" TargetMode="External"/><Relationship Id="rId81" Type="http://schemas.openxmlformats.org/officeDocument/2006/relationships/hyperlink" Target="mailto:isorami.23@gmail.com" TargetMode="External"/><Relationship Id="rId135" Type="http://schemas.openxmlformats.org/officeDocument/2006/relationships/hyperlink" Target="mailto:mariavillanuevaa@gmail.com" TargetMode="External"/><Relationship Id="rId156" Type="http://schemas.openxmlformats.org/officeDocument/2006/relationships/hyperlink" Target="mailto:deleonjuanpedro@gmail.com" TargetMode="External"/><Relationship Id="rId177" Type="http://schemas.openxmlformats.org/officeDocument/2006/relationships/hyperlink" Target="mailto:Dinorathgalindez1@gmail.com" TargetMode="External"/><Relationship Id="rId198" Type="http://schemas.openxmlformats.org/officeDocument/2006/relationships/hyperlink" Target="mailto:mari1711pv@gmail.com" TargetMode="External"/><Relationship Id="rId321" Type="http://schemas.openxmlformats.org/officeDocument/2006/relationships/hyperlink" Target="mailto:RUTHSITAMIA28@GMAIL.COM" TargetMode="External"/><Relationship Id="rId202" Type="http://schemas.openxmlformats.org/officeDocument/2006/relationships/hyperlink" Target="mailto:greciadelmaribarracarmona@gmail.com" TargetMode="External"/><Relationship Id="rId223" Type="http://schemas.openxmlformats.org/officeDocument/2006/relationships/hyperlink" Target="mailto:diagnangeles@hotmail.com" TargetMode="External"/><Relationship Id="rId244" Type="http://schemas.openxmlformats.org/officeDocument/2006/relationships/hyperlink" Target="mailto:gianfrancodominguez30@gmail.com" TargetMode="External"/><Relationship Id="rId18" Type="http://schemas.openxmlformats.org/officeDocument/2006/relationships/hyperlink" Target="mailto:conridani76@gmail.com" TargetMode="External"/><Relationship Id="rId39" Type="http://schemas.openxmlformats.org/officeDocument/2006/relationships/hyperlink" Target="mailto:inescarolina17@gmail.com" TargetMode="External"/><Relationship Id="rId265" Type="http://schemas.openxmlformats.org/officeDocument/2006/relationships/hyperlink" Target="mailto:MARIUGUERRA24@GMAIL.COM" TargetMode="External"/><Relationship Id="rId286" Type="http://schemas.openxmlformats.org/officeDocument/2006/relationships/hyperlink" Target="mailto:ANGELIJA21@HOTMAIL.COM" TargetMode="External"/><Relationship Id="rId50" Type="http://schemas.openxmlformats.org/officeDocument/2006/relationships/hyperlink" Target="mailto:dr.vivascadiz@outlook.com" TargetMode="External"/><Relationship Id="rId104" Type="http://schemas.openxmlformats.org/officeDocument/2006/relationships/hyperlink" Target="mailto:maria_angelicapb13@gmail.com" TargetMode="External"/><Relationship Id="rId125" Type="http://schemas.openxmlformats.org/officeDocument/2006/relationships/hyperlink" Target="mailto:mileynevalera17@gmail.com" TargetMode="External"/><Relationship Id="rId146" Type="http://schemas.openxmlformats.org/officeDocument/2006/relationships/hyperlink" Target="mailto:adamra1405@icloud.com" TargetMode="External"/><Relationship Id="rId167" Type="http://schemas.openxmlformats.org/officeDocument/2006/relationships/hyperlink" Target="mailto:crisbel81@hotmail.com" TargetMode="External"/><Relationship Id="rId188" Type="http://schemas.openxmlformats.org/officeDocument/2006/relationships/hyperlink" Target="mailto:Yetzhenia87@gmail.com" TargetMode="External"/><Relationship Id="rId311" Type="http://schemas.openxmlformats.org/officeDocument/2006/relationships/hyperlink" Target="mailto:GIORGINAZ12@GMAIL.COM" TargetMode="External"/><Relationship Id="rId332" Type="http://schemas.openxmlformats.org/officeDocument/2006/relationships/hyperlink" Target="mailto:REQUENANERY02@GMAIL.COM" TargetMode="External"/><Relationship Id="rId71" Type="http://schemas.openxmlformats.org/officeDocument/2006/relationships/hyperlink" Target="mailto:edw.alex.gm@gmail.com" TargetMode="External"/><Relationship Id="rId92" Type="http://schemas.openxmlformats.org/officeDocument/2006/relationships/hyperlink" Target="mailto:pau.diazponce@gmail.com" TargetMode="External"/><Relationship Id="rId213" Type="http://schemas.openxmlformats.org/officeDocument/2006/relationships/hyperlink" Target="mailto:resthervy@gmail.com" TargetMode="External"/><Relationship Id="rId234" Type="http://schemas.openxmlformats.org/officeDocument/2006/relationships/hyperlink" Target="mailto:sandra.liliana@gmail.com" TargetMode="External"/><Relationship Id="rId2" Type="http://schemas.openxmlformats.org/officeDocument/2006/relationships/hyperlink" Target="mailto:gabrielamalpicaseijas@gmail.com" TargetMode="External"/><Relationship Id="rId29" Type="http://schemas.openxmlformats.org/officeDocument/2006/relationships/hyperlink" Target="mailto:derby.porras@gmail.com" TargetMode="External"/><Relationship Id="rId255" Type="http://schemas.openxmlformats.org/officeDocument/2006/relationships/hyperlink" Target="mailto:fabiandrev28@gmail.com" TargetMode="External"/><Relationship Id="rId276" Type="http://schemas.openxmlformats.org/officeDocument/2006/relationships/hyperlink" Target="mailto:MLANDAETAPINTO@GMAIL.COM" TargetMode="External"/><Relationship Id="rId297" Type="http://schemas.openxmlformats.org/officeDocument/2006/relationships/hyperlink" Target="mailto:KLLRMRZ@GMIL.COM" TargetMode="External"/><Relationship Id="rId40" Type="http://schemas.openxmlformats.org/officeDocument/2006/relationships/hyperlink" Target="mailto:inescarolina17@gmail.com" TargetMode="External"/><Relationship Id="rId115" Type="http://schemas.openxmlformats.org/officeDocument/2006/relationships/hyperlink" Target="mailto:TRINA1955@HOTMAIL.COM" TargetMode="External"/><Relationship Id="rId136" Type="http://schemas.openxmlformats.org/officeDocument/2006/relationships/hyperlink" Target="mailto:mariavillanuevaa@gmail.com" TargetMode="External"/><Relationship Id="rId157" Type="http://schemas.openxmlformats.org/officeDocument/2006/relationships/hyperlink" Target="mailto:deleonjuanpedro@gmail.com" TargetMode="External"/><Relationship Id="rId178" Type="http://schemas.openxmlformats.org/officeDocument/2006/relationships/hyperlink" Target="mailto:gabrielavalenzuelagivliano@gmail.com" TargetMode="External"/><Relationship Id="rId301" Type="http://schemas.openxmlformats.org/officeDocument/2006/relationships/hyperlink" Target="mailto:XIORU15@GMAIL.COM" TargetMode="External"/><Relationship Id="rId322" Type="http://schemas.openxmlformats.org/officeDocument/2006/relationships/hyperlink" Target="mailto:BRIGITTEMARTIN84@GMAIL.COM" TargetMode="External"/><Relationship Id="rId61" Type="http://schemas.openxmlformats.org/officeDocument/2006/relationships/hyperlink" Target="mailto:estellanarvaez@gmail.com" TargetMode="External"/><Relationship Id="rId82" Type="http://schemas.openxmlformats.org/officeDocument/2006/relationships/hyperlink" Target="mailto:joymargarcia22@gmail.com" TargetMode="External"/><Relationship Id="rId199" Type="http://schemas.openxmlformats.org/officeDocument/2006/relationships/hyperlink" Target="mailto:mari1711pv@gmail.com" TargetMode="External"/><Relationship Id="rId203" Type="http://schemas.openxmlformats.org/officeDocument/2006/relationships/hyperlink" Target="mailto:greciadelmaribarracarmona@gmail.com" TargetMode="External"/><Relationship Id="rId19" Type="http://schemas.openxmlformats.org/officeDocument/2006/relationships/hyperlink" Target="mailto:angelimerz@gmail.com" TargetMode="External"/><Relationship Id="rId224" Type="http://schemas.openxmlformats.org/officeDocument/2006/relationships/hyperlink" Target="mailto:diagnangeles@hotmail.com" TargetMode="External"/><Relationship Id="rId245" Type="http://schemas.openxmlformats.org/officeDocument/2006/relationships/hyperlink" Target="mailto:fortega@fclaboratorios.com" TargetMode="External"/><Relationship Id="rId266" Type="http://schemas.openxmlformats.org/officeDocument/2006/relationships/hyperlink" Target="mailto:ANDRYMAR.CARRASQUEL@GMAIL.COM" TargetMode="External"/><Relationship Id="rId287" Type="http://schemas.openxmlformats.org/officeDocument/2006/relationships/hyperlink" Target="mailto:YESNAC@HOTMAIL.COM" TargetMode="External"/><Relationship Id="rId30" Type="http://schemas.openxmlformats.org/officeDocument/2006/relationships/hyperlink" Target="mailto:derby.porras@gmail.com" TargetMode="External"/><Relationship Id="rId105" Type="http://schemas.openxmlformats.org/officeDocument/2006/relationships/hyperlink" Target="mailto:ricardodavidmm@gmail.com" TargetMode="External"/><Relationship Id="rId126" Type="http://schemas.openxmlformats.org/officeDocument/2006/relationships/hyperlink" Target="mailto:monicalbritog@gmail.com" TargetMode="External"/><Relationship Id="rId147" Type="http://schemas.openxmlformats.org/officeDocument/2006/relationships/hyperlink" Target="mailto:MARIAYORKS.13@GMAIL.COM" TargetMode="External"/><Relationship Id="rId168" Type="http://schemas.openxmlformats.org/officeDocument/2006/relationships/hyperlink" Target="mailto:sthaellcastilloq@gmail.com" TargetMode="External"/><Relationship Id="rId312" Type="http://schemas.openxmlformats.org/officeDocument/2006/relationships/hyperlink" Target="mailto:GIORGINAZ12@GMAIL.COM" TargetMode="External"/><Relationship Id="rId33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roxana.mendes15@gmail.com" TargetMode="External"/><Relationship Id="rId21" Type="http://schemas.openxmlformats.org/officeDocument/2006/relationships/hyperlink" Target="mailto:slicceth@gmail.cm" TargetMode="External"/><Relationship Id="rId42" Type="http://schemas.openxmlformats.org/officeDocument/2006/relationships/hyperlink" Target="mailto:eiderly@hotmail.com" TargetMode="External"/><Relationship Id="rId63" Type="http://schemas.openxmlformats.org/officeDocument/2006/relationships/hyperlink" Target="mailto:JHN1835@hotmail.com" TargetMode="External"/><Relationship Id="rId84" Type="http://schemas.openxmlformats.org/officeDocument/2006/relationships/hyperlink" Target="mailto:jennydads270484@hotmail.com" TargetMode="External"/><Relationship Id="rId138" Type="http://schemas.openxmlformats.org/officeDocument/2006/relationships/hyperlink" Target="mailto:fabioladuran123@icloud.com" TargetMode="External"/><Relationship Id="rId159" Type="http://schemas.openxmlformats.org/officeDocument/2006/relationships/hyperlink" Target="mailto:deleonjuanpedro@gmail.com" TargetMode="External"/><Relationship Id="rId170" Type="http://schemas.openxmlformats.org/officeDocument/2006/relationships/hyperlink" Target="mailto:sthaellcastilloq@gmail.com" TargetMode="External"/><Relationship Id="rId191" Type="http://schemas.openxmlformats.org/officeDocument/2006/relationships/hyperlink" Target="mailto:razhiellandaetab58@gmail.com" TargetMode="External"/><Relationship Id="rId205" Type="http://schemas.openxmlformats.org/officeDocument/2006/relationships/hyperlink" Target="mailto:greciadelmaribarracarmona@gmail.com" TargetMode="External"/><Relationship Id="rId226" Type="http://schemas.openxmlformats.org/officeDocument/2006/relationships/hyperlink" Target="mailto:diagnangeles@hotmail.com" TargetMode="External"/><Relationship Id="rId247" Type="http://schemas.openxmlformats.org/officeDocument/2006/relationships/hyperlink" Target="mailto:rabihbayrouti@gmail.com" TargetMode="External"/><Relationship Id="rId107" Type="http://schemas.openxmlformats.org/officeDocument/2006/relationships/hyperlink" Target="mailto:karinag2204@gmail.com" TargetMode="External"/><Relationship Id="rId11" Type="http://schemas.openxmlformats.org/officeDocument/2006/relationships/hyperlink" Target="mailto:enriquerassi@gnail.com" TargetMode="External"/><Relationship Id="rId32" Type="http://schemas.openxmlformats.org/officeDocument/2006/relationships/hyperlink" Target="mailto:kathenavas79@gmail.com" TargetMode="External"/><Relationship Id="rId53" Type="http://schemas.openxmlformats.org/officeDocument/2006/relationships/hyperlink" Target="mailto:alissonherreraz86@gmail.com" TargetMode="External"/><Relationship Id="rId74" Type="http://schemas.openxmlformats.org/officeDocument/2006/relationships/hyperlink" Target="mailto:goncalvesmathias691@gmail.com" TargetMode="External"/><Relationship Id="rId128" Type="http://schemas.openxmlformats.org/officeDocument/2006/relationships/hyperlink" Target="mailto:samanthadacosta.m@gmail.com" TargetMode="External"/><Relationship Id="rId149" Type="http://schemas.openxmlformats.org/officeDocument/2006/relationships/hyperlink" Target="mailto:Valengrimann@gmail.com" TargetMode="External"/><Relationship Id="rId5" Type="http://schemas.openxmlformats.org/officeDocument/2006/relationships/hyperlink" Target="mailto:fernando.v.2123@gmail.com" TargetMode="External"/><Relationship Id="rId95" Type="http://schemas.openxmlformats.org/officeDocument/2006/relationships/hyperlink" Target="mailto:umderlas@gmail.com" TargetMode="External"/><Relationship Id="rId160" Type="http://schemas.openxmlformats.org/officeDocument/2006/relationships/hyperlink" Target="mailto:deleonjuanpedro@gmail.com" TargetMode="External"/><Relationship Id="rId181" Type="http://schemas.openxmlformats.org/officeDocument/2006/relationships/hyperlink" Target="mailto:kellnimargonzalez@gmail.com" TargetMode="External"/><Relationship Id="rId216" Type="http://schemas.openxmlformats.org/officeDocument/2006/relationships/hyperlink" Target="mailto:loandrys7@gmail.com" TargetMode="External"/><Relationship Id="rId237" Type="http://schemas.openxmlformats.org/officeDocument/2006/relationships/hyperlink" Target="mailto:yeimicardenasherrera@gmail.com" TargetMode="External"/><Relationship Id="rId258" Type="http://schemas.openxmlformats.org/officeDocument/2006/relationships/vmlDrawing" Target="../drawings/vmlDrawing2.vml"/><Relationship Id="rId22" Type="http://schemas.openxmlformats.org/officeDocument/2006/relationships/hyperlink" Target="mailto:slicceth@gmail.com" TargetMode="External"/><Relationship Id="rId43" Type="http://schemas.openxmlformats.org/officeDocument/2006/relationships/hyperlink" Target="mailto:luzgoncalvesv@gmail.com" TargetMode="External"/><Relationship Id="rId64" Type="http://schemas.openxmlformats.org/officeDocument/2006/relationships/hyperlink" Target="mailto:JHN1835@gmail.com" TargetMode="External"/><Relationship Id="rId118" Type="http://schemas.openxmlformats.org/officeDocument/2006/relationships/hyperlink" Target="mailto:maderlin_19@hotmail.com" TargetMode="External"/><Relationship Id="rId139" Type="http://schemas.openxmlformats.org/officeDocument/2006/relationships/hyperlink" Target="mailto:gracielagonzalez1474@hotmail.com" TargetMode="External"/><Relationship Id="rId85" Type="http://schemas.openxmlformats.org/officeDocument/2006/relationships/hyperlink" Target="mailto:joymargarcia22@gmail.com" TargetMode="External"/><Relationship Id="rId150" Type="http://schemas.openxmlformats.org/officeDocument/2006/relationships/hyperlink" Target="mailto:Valengrimann@gmail.com" TargetMode="External"/><Relationship Id="rId171" Type="http://schemas.openxmlformats.org/officeDocument/2006/relationships/hyperlink" Target="mailto:jcisneros.camesca@gmail.com" TargetMode="External"/><Relationship Id="rId192" Type="http://schemas.openxmlformats.org/officeDocument/2006/relationships/hyperlink" Target="mailto:eleanne19@gmail.com" TargetMode="External"/><Relationship Id="rId206" Type="http://schemas.openxmlformats.org/officeDocument/2006/relationships/hyperlink" Target="mailto:escalonabriggy@gmail.com" TargetMode="External"/><Relationship Id="rId227" Type="http://schemas.openxmlformats.org/officeDocument/2006/relationships/hyperlink" Target="mailto:berbesivanessa0@gmail.com" TargetMode="External"/><Relationship Id="rId248" Type="http://schemas.openxmlformats.org/officeDocument/2006/relationships/hyperlink" Target="mailto:rabihbayrouti@gmail.com" TargetMode="External"/><Relationship Id="rId12" Type="http://schemas.openxmlformats.org/officeDocument/2006/relationships/hyperlink" Target="mailto:daphnerassi@gmail.com" TargetMode="External"/><Relationship Id="rId33" Type="http://schemas.openxmlformats.org/officeDocument/2006/relationships/hyperlink" Target="mailto:valeriagraterol4@gmail.com" TargetMode="External"/><Relationship Id="rId108" Type="http://schemas.openxmlformats.org/officeDocument/2006/relationships/hyperlink" Target="mailto:karinag2204@gmail.com" TargetMode="External"/><Relationship Id="rId129" Type="http://schemas.openxmlformats.org/officeDocument/2006/relationships/hyperlink" Target="mailto:yolimarmujica@gmail.com" TargetMode="External"/><Relationship Id="rId54" Type="http://schemas.openxmlformats.org/officeDocument/2006/relationships/hyperlink" Target="mailto:alissonherreraz86@gmail.com" TargetMode="External"/><Relationship Id="rId75" Type="http://schemas.openxmlformats.org/officeDocument/2006/relationships/hyperlink" Target="mailto:schernandez20@gmail.com" TargetMode="External"/><Relationship Id="rId96" Type="http://schemas.openxmlformats.org/officeDocument/2006/relationships/hyperlink" Target="mailto:canelonbarraezdaniela@gmail.com" TargetMode="External"/><Relationship Id="rId140" Type="http://schemas.openxmlformats.org/officeDocument/2006/relationships/hyperlink" Target="mailto:valedieing@hotmail.com" TargetMode="External"/><Relationship Id="rId161" Type="http://schemas.openxmlformats.org/officeDocument/2006/relationships/hyperlink" Target="mailto:arnaldourquidi@gmail.com" TargetMode="External"/><Relationship Id="rId182" Type="http://schemas.openxmlformats.org/officeDocument/2006/relationships/hyperlink" Target="mailto:Kellnimargonzalza@hotmail.com" TargetMode="External"/><Relationship Id="rId217" Type="http://schemas.openxmlformats.org/officeDocument/2006/relationships/hyperlink" Target="mailto:yoriov842@gmail.com" TargetMode="External"/><Relationship Id="rId1" Type="http://schemas.openxmlformats.org/officeDocument/2006/relationships/hyperlink" Target="mailto:garethtezak@gmail.com" TargetMode="External"/><Relationship Id="rId6" Type="http://schemas.openxmlformats.org/officeDocument/2006/relationships/hyperlink" Target="mailto:fernando.v.2123@gmail.com" TargetMode="External"/><Relationship Id="rId212" Type="http://schemas.openxmlformats.org/officeDocument/2006/relationships/hyperlink" Target="mailto:bodour17@hotmail.com" TargetMode="External"/><Relationship Id="rId233" Type="http://schemas.openxmlformats.org/officeDocument/2006/relationships/hyperlink" Target="mailto:natalymonasterios19@gmail.com" TargetMode="External"/><Relationship Id="rId238" Type="http://schemas.openxmlformats.org/officeDocument/2006/relationships/hyperlink" Target="mailto:yeimicardenasherrera@gmail.com" TargetMode="External"/><Relationship Id="rId254" Type="http://schemas.openxmlformats.org/officeDocument/2006/relationships/hyperlink" Target="mailto:paulopg656@gmail.com" TargetMode="External"/><Relationship Id="rId259" Type="http://schemas.openxmlformats.org/officeDocument/2006/relationships/comments" Target="../comments2.xml"/><Relationship Id="rId23" Type="http://schemas.openxmlformats.org/officeDocument/2006/relationships/hyperlink" Target="mailto:dereneliangelvr@gnail.com" TargetMode="External"/><Relationship Id="rId28" Type="http://schemas.openxmlformats.org/officeDocument/2006/relationships/hyperlink" Target="mailto:elena.esqueda@telefonica.com" TargetMode="External"/><Relationship Id="rId49" Type="http://schemas.openxmlformats.org/officeDocument/2006/relationships/hyperlink" Target="mailto:dr.vivascadiz@outlook.com" TargetMode="External"/><Relationship Id="rId114" Type="http://schemas.openxmlformats.org/officeDocument/2006/relationships/hyperlink" Target="mailto:valentinadiaz1908@gmail.com" TargetMode="External"/><Relationship Id="rId119" Type="http://schemas.openxmlformats.org/officeDocument/2006/relationships/hyperlink" Target="mailto:lcrepsac@hotmail.com" TargetMode="External"/><Relationship Id="rId44" Type="http://schemas.openxmlformats.org/officeDocument/2006/relationships/hyperlink" Target="mailto:luzgoncalvesv@gmail.com" TargetMode="External"/><Relationship Id="rId60" Type="http://schemas.openxmlformats.org/officeDocument/2006/relationships/hyperlink" Target="mailto:maria7isabel@gmail.com" TargetMode="External"/><Relationship Id="rId65" Type="http://schemas.openxmlformats.org/officeDocument/2006/relationships/hyperlink" Target="mailto:caropezado@gmail.com" TargetMode="External"/><Relationship Id="rId81" Type="http://schemas.openxmlformats.org/officeDocument/2006/relationships/hyperlink" Target="mailto:isorami.23@gmail.com" TargetMode="External"/><Relationship Id="rId86" Type="http://schemas.openxmlformats.org/officeDocument/2006/relationships/hyperlink" Target="mailto:hermosodanielaz@gmail.com" TargetMode="External"/><Relationship Id="rId130" Type="http://schemas.openxmlformats.org/officeDocument/2006/relationships/hyperlink" Target="mailto:penalfredo83@gmail.com" TargetMode="External"/><Relationship Id="rId135" Type="http://schemas.openxmlformats.org/officeDocument/2006/relationships/hyperlink" Target="mailto:mariavillanuevaa@gmail.com" TargetMode="External"/><Relationship Id="rId151" Type="http://schemas.openxmlformats.org/officeDocument/2006/relationships/hyperlink" Target="mailto:isoraimi@gmail.com" TargetMode="External"/><Relationship Id="rId156" Type="http://schemas.openxmlformats.org/officeDocument/2006/relationships/hyperlink" Target="mailto:adelinadiaz133@gmail.com" TargetMode="External"/><Relationship Id="rId177" Type="http://schemas.openxmlformats.org/officeDocument/2006/relationships/hyperlink" Target="mailto:Rmeysh@gmail.com" TargetMode="External"/><Relationship Id="rId198" Type="http://schemas.openxmlformats.org/officeDocument/2006/relationships/hyperlink" Target="mailto:Alvarodiazawo@gmail.com" TargetMode="External"/><Relationship Id="rId172" Type="http://schemas.openxmlformats.org/officeDocument/2006/relationships/hyperlink" Target="mailto:jcisneros.camesca@gmail.com" TargetMode="External"/><Relationship Id="rId193" Type="http://schemas.openxmlformats.org/officeDocument/2006/relationships/hyperlink" Target="mailto:eleanne19@gmail.com" TargetMode="External"/><Relationship Id="rId202" Type="http://schemas.openxmlformats.org/officeDocument/2006/relationships/hyperlink" Target="mailto:tisay2529@gmail.com" TargetMode="External"/><Relationship Id="rId207" Type="http://schemas.openxmlformats.org/officeDocument/2006/relationships/hyperlink" Target="mailto:Camila.9.hernandez.barrios@gmail.com" TargetMode="External"/><Relationship Id="rId223" Type="http://schemas.openxmlformats.org/officeDocument/2006/relationships/hyperlink" Target="mailto:diagnangeles@hotmail.com" TargetMode="External"/><Relationship Id="rId228" Type="http://schemas.openxmlformats.org/officeDocument/2006/relationships/hyperlink" Target="mailto:berbesivanessa0@gmail.com" TargetMode="External"/><Relationship Id="rId244" Type="http://schemas.openxmlformats.org/officeDocument/2006/relationships/hyperlink" Target="mailto:navaveronica074@gmail.com" TargetMode="External"/><Relationship Id="rId249" Type="http://schemas.openxmlformats.org/officeDocument/2006/relationships/hyperlink" Target="mailto:marioummnsalv2@gmail.com" TargetMode="External"/><Relationship Id="rId13" Type="http://schemas.openxmlformats.org/officeDocument/2006/relationships/hyperlink" Target="mailto:jennydads270484@hotmail.com" TargetMode="External"/><Relationship Id="rId18" Type="http://schemas.openxmlformats.org/officeDocument/2006/relationships/hyperlink" Target="mailto:conridani76@gmail.com" TargetMode="External"/><Relationship Id="rId39" Type="http://schemas.openxmlformats.org/officeDocument/2006/relationships/hyperlink" Target="mailto:inescarolina17@gmail.com" TargetMode="External"/><Relationship Id="rId109" Type="http://schemas.openxmlformats.org/officeDocument/2006/relationships/hyperlink" Target="mailto:rubmaryg@gmail.com" TargetMode="External"/><Relationship Id="rId34" Type="http://schemas.openxmlformats.org/officeDocument/2006/relationships/hyperlink" Target="mailto:sonrisasok@gmail.com" TargetMode="External"/><Relationship Id="rId50" Type="http://schemas.openxmlformats.org/officeDocument/2006/relationships/hyperlink" Target="mailto:dr.vivascadiz@outlook.com" TargetMode="External"/><Relationship Id="rId55" Type="http://schemas.openxmlformats.org/officeDocument/2006/relationships/hyperlink" Target="mailto:jdsmk2010@gnail.com" TargetMode="External"/><Relationship Id="rId76" Type="http://schemas.openxmlformats.org/officeDocument/2006/relationships/hyperlink" Target="mailto:anthonygoncalves2506@gmail.com" TargetMode="External"/><Relationship Id="rId97" Type="http://schemas.openxmlformats.org/officeDocument/2006/relationships/hyperlink" Target="mailto:gabrielajeres1539@gmail.com" TargetMode="External"/><Relationship Id="rId104" Type="http://schemas.openxmlformats.org/officeDocument/2006/relationships/hyperlink" Target="mailto:maria_angelicapb13@gmail.com" TargetMode="External"/><Relationship Id="rId120" Type="http://schemas.openxmlformats.org/officeDocument/2006/relationships/hyperlink" Target="mailto:lcrepsac@hotmail.com" TargetMode="External"/><Relationship Id="rId125" Type="http://schemas.openxmlformats.org/officeDocument/2006/relationships/hyperlink" Target="mailto:mileynevalera17@gmail.com" TargetMode="External"/><Relationship Id="rId141" Type="http://schemas.openxmlformats.org/officeDocument/2006/relationships/hyperlink" Target="mailto:mfrv1986@gmail.com" TargetMode="External"/><Relationship Id="rId146" Type="http://schemas.openxmlformats.org/officeDocument/2006/relationships/hyperlink" Target="mailto:adamra1405@icloud.com" TargetMode="External"/><Relationship Id="rId167" Type="http://schemas.openxmlformats.org/officeDocument/2006/relationships/hyperlink" Target="mailto:crisbel81@hotmail.com" TargetMode="External"/><Relationship Id="rId188" Type="http://schemas.openxmlformats.org/officeDocument/2006/relationships/hyperlink" Target="mailto:yetzhenia@hotmail.com" TargetMode="External"/><Relationship Id="rId7" Type="http://schemas.openxmlformats.org/officeDocument/2006/relationships/hyperlink" Target="mailto:nadiagarciavi@gmail.com" TargetMode="External"/><Relationship Id="rId71" Type="http://schemas.openxmlformats.org/officeDocument/2006/relationships/hyperlink" Target="mailto:edw.alex.gm@gmail.com" TargetMode="External"/><Relationship Id="rId92" Type="http://schemas.openxmlformats.org/officeDocument/2006/relationships/hyperlink" Target="mailto:pau.diazponce@gmail.com" TargetMode="External"/><Relationship Id="rId162" Type="http://schemas.openxmlformats.org/officeDocument/2006/relationships/hyperlink" Target="mailto:jessy.marquez@gmail.com" TargetMode="External"/><Relationship Id="rId183" Type="http://schemas.openxmlformats.org/officeDocument/2006/relationships/hyperlink" Target="mailto:beiker@gmail.com" TargetMode="External"/><Relationship Id="rId213" Type="http://schemas.openxmlformats.org/officeDocument/2006/relationships/hyperlink" Target="mailto:mariajosefuentesrodriguez31@gmai.com" TargetMode="External"/><Relationship Id="rId218" Type="http://schemas.openxmlformats.org/officeDocument/2006/relationships/hyperlink" Target="mailto:yoviou842@gmail.com" TargetMode="External"/><Relationship Id="rId234" Type="http://schemas.openxmlformats.org/officeDocument/2006/relationships/hyperlink" Target="mailto:salvatore.ilardo@gmail.com" TargetMode="External"/><Relationship Id="rId239" Type="http://schemas.openxmlformats.org/officeDocument/2006/relationships/hyperlink" Target="mailto:zoraida.luna@gmail.com" TargetMode="External"/><Relationship Id="rId2" Type="http://schemas.openxmlformats.org/officeDocument/2006/relationships/hyperlink" Target="mailto:gabrielamalpicaseijas@gmail.com" TargetMode="External"/><Relationship Id="rId29" Type="http://schemas.openxmlformats.org/officeDocument/2006/relationships/hyperlink" Target="mailto:derby.porras@gmail.com" TargetMode="External"/><Relationship Id="rId250" Type="http://schemas.openxmlformats.org/officeDocument/2006/relationships/hyperlink" Target="mailto:wildergabrielmonsalve@gmail.com" TargetMode="External"/><Relationship Id="rId255" Type="http://schemas.openxmlformats.org/officeDocument/2006/relationships/hyperlink" Target="mailto:fabiandrev28@gmail.com" TargetMode="External"/><Relationship Id="rId24" Type="http://schemas.openxmlformats.org/officeDocument/2006/relationships/hyperlink" Target="mailto:angiyoselyrodriguez@gmail.cm" TargetMode="External"/><Relationship Id="rId40" Type="http://schemas.openxmlformats.org/officeDocument/2006/relationships/hyperlink" Target="mailto:inescarolina17@gmail.com" TargetMode="External"/><Relationship Id="rId45" Type="http://schemas.openxmlformats.org/officeDocument/2006/relationships/hyperlink" Target="mailto:luzgoncalvesv@gmail.com" TargetMode="External"/><Relationship Id="rId66" Type="http://schemas.openxmlformats.org/officeDocument/2006/relationships/hyperlink" Target="mailto:caropezado@gmail.com" TargetMode="External"/><Relationship Id="rId87" Type="http://schemas.openxmlformats.org/officeDocument/2006/relationships/hyperlink" Target="mailto:hermosodanielaz@gmail.com" TargetMode="External"/><Relationship Id="rId110" Type="http://schemas.openxmlformats.org/officeDocument/2006/relationships/hyperlink" Target="mailto:tilsiadaza14@gmail.com" TargetMode="External"/><Relationship Id="rId115" Type="http://schemas.openxmlformats.org/officeDocument/2006/relationships/hyperlink" Target="mailto:TRINA1955@HOTMAIL.COM" TargetMode="External"/><Relationship Id="rId131" Type="http://schemas.openxmlformats.org/officeDocument/2006/relationships/hyperlink" Target="mailto:nata.vega.31@gmail.com" TargetMode="External"/><Relationship Id="rId136" Type="http://schemas.openxmlformats.org/officeDocument/2006/relationships/hyperlink" Target="mailto:mariavillanuevaa@gmail.com" TargetMode="External"/><Relationship Id="rId157" Type="http://schemas.openxmlformats.org/officeDocument/2006/relationships/hyperlink" Target="mailto:deleonjuanpedro@gmail.com" TargetMode="External"/><Relationship Id="rId178" Type="http://schemas.openxmlformats.org/officeDocument/2006/relationships/hyperlink" Target="mailto:Dinorathgalindez1@gmail.com" TargetMode="External"/><Relationship Id="rId61" Type="http://schemas.openxmlformats.org/officeDocument/2006/relationships/hyperlink" Target="mailto:estellanarvaez@gmail.com" TargetMode="External"/><Relationship Id="rId82" Type="http://schemas.openxmlformats.org/officeDocument/2006/relationships/hyperlink" Target="mailto:joymargarcia22@gmail.com" TargetMode="External"/><Relationship Id="rId152" Type="http://schemas.openxmlformats.org/officeDocument/2006/relationships/hyperlink" Target="mailto:isoraimi.23@gmail.com" TargetMode="External"/><Relationship Id="rId173" Type="http://schemas.openxmlformats.org/officeDocument/2006/relationships/hyperlink" Target="mailto:jcisneros.camesca@gmail.com" TargetMode="External"/><Relationship Id="rId194" Type="http://schemas.openxmlformats.org/officeDocument/2006/relationships/hyperlink" Target="mailto:jeimy_alexandra@hotmail.com" TargetMode="External"/><Relationship Id="rId199" Type="http://schemas.openxmlformats.org/officeDocument/2006/relationships/hyperlink" Target="mailto:mari1711pv@gmail.com" TargetMode="External"/><Relationship Id="rId203" Type="http://schemas.openxmlformats.org/officeDocument/2006/relationships/hyperlink" Target="mailto:greciadelmaribarracarmona@gmail.com" TargetMode="External"/><Relationship Id="rId208" Type="http://schemas.openxmlformats.org/officeDocument/2006/relationships/hyperlink" Target="mailto:angelamayrinb@gmail.com" TargetMode="External"/><Relationship Id="rId229" Type="http://schemas.openxmlformats.org/officeDocument/2006/relationships/hyperlink" Target="mailto:iguaranmaria60@gmail.com" TargetMode="External"/><Relationship Id="rId19" Type="http://schemas.openxmlformats.org/officeDocument/2006/relationships/hyperlink" Target="mailto:angelimerz@gmail.com" TargetMode="External"/><Relationship Id="rId224" Type="http://schemas.openxmlformats.org/officeDocument/2006/relationships/hyperlink" Target="mailto:diagnangeles@hotmail.com" TargetMode="External"/><Relationship Id="rId240" Type="http://schemas.openxmlformats.org/officeDocument/2006/relationships/hyperlink" Target="mailto:dileyrojas@gmail.com" TargetMode="External"/><Relationship Id="rId245" Type="http://schemas.openxmlformats.org/officeDocument/2006/relationships/hyperlink" Target="mailto:gianfrancodominguez30@gmail.com" TargetMode="External"/><Relationship Id="rId14" Type="http://schemas.openxmlformats.org/officeDocument/2006/relationships/hyperlink" Target="mailto:jennydads270484@hotmail.com" TargetMode="External"/><Relationship Id="rId30" Type="http://schemas.openxmlformats.org/officeDocument/2006/relationships/hyperlink" Target="mailto:derby.porras@gmail.com" TargetMode="External"/><Relationship Id="rId35" Type="http://schemas.openxmlformats.org/officeDocument/2006/relationships/hyperlink" Target="mailto:cindyor123@gmail.com" TargetMode="External"/><Relationship Id="rId56" Type="http://schemas.openxmlformats.org/officeDocument/2006/relationships/hyperlink" Target="mailto:mairimk@gmail.com" TargetMode="External"/><Relationship Id="rId77" Type="http://schemas.openxmlformats.org/officeDocument/2006/relationships/hyperlink" Target="mailto:yuli1287@yahoo.com" TargetMode="External"/><Relationship Id="rId100" Type="http://schemas.openxmlformats.org/officeDocument/2006/relationships/hyperlink" Target="mailto:gabrielajeres1539@gmail.com" TargetMode="External"/><Relationship Id="rId105" Type="http://schemas.openxmlformats.org/officeDocument/2006/relationships/hyperlink" Target="mailto:ricardodavidmm@gmail.com" TargetMode="External"/><Relationship Id="rId126" Type="http://schemas.openxmlformats.org/officeDocument/2006/relationships/hyperlink" Target="mailto:monicalbritog@gmail.com" TargetMode="External"/><Relationship Id="rId147" Type="http://schemas.openxmlformats.org/officeDocument/2006/relationships/hyperlink" Target="mailto:MARIAYORKS.13@GMAIL.COM" TargetMode="External"/><Relationship Id="rId168" Type="http://schemas.openxmlformats.org/officeDocument/2006/relationships/hyperlink" Target="mailto:crisbel81@hotmail.com" TargetMode="External"/><Relationship Id="rId8" Type="http://schemas.openxmlformats.org/officeDocument/2006/relationships/hyperlink" Target="mailto:nadiagarciavi@gmail.com" TargetMode="External"/><Relationship Id="rId51" Type="http://schemas.openxmlformats.org/officeDocument/2006/relationships/hyperlink" Target="mailto:cabrerapaula15@gmail.com" TargetMode="External"/><Relationship Id="rId72" Type="http://schemas.openxmlformats.org/officeDocument/2006/relationships/hyperlink" Target="mailto:solnc79@hotmail.com" TargetMode="External"/><Relationship Id="rId93" Type="http://schemas.openxmlformats.org/officeDocument/2006/relationships/hyperlink" Target="mailto:eimy.giselle@gmail.com" TargetMode="External"/><Relationship Id="rId98" Type="http://schemas.openxmlformats.org/officeDocument/2006/relationships/hyperlink" Target="mailto:gabrielajeres1539@gmail.com" TargetMode="External"/><Relationship Id="rId121" Type="http://schemas.openxmlformats.org/officeDocument/2006/relationships/hyperlink" Target="mailto:valeriaerodoa@gmail.com" TargetMode="External"/><Relationship Id="rId142" Type="http://schemas.openxmlformats.org/officeDocument/2006/relationships/hyperlink" Target="mailto:johelinojosa@gmail.com" TargetMode="External"/><Relationship Id="rId163" Type="http://schemas.openxmlformats.org/officeDocument/2006/relationships/hyperlink" Target="mailto:jessy.marquez@gmail.com" TargetMode="External"/><Relationship Id="rId184" Type="http://schemas.openxmlformats.org/officeDocument/2006/relationships/hyperlink" Target="mailto:gladysguanin@gmail.com" TargetMode="External"/><Relationship Id="rId189" Type="http://schemas.openxmlformats.org/officeDocument/2006/relationships/hyperlink" Target="mailto:Yetzhenia87@gmail.com" TargetMode="External"/><Relationship Id="rId219" Type="http://schemas.openxmlformats.org/officeDocument/2006/relationships/hyperlink" Target="mailto:mayerlinbautista2023@gmail.com" TargetMode="External"/><Relationship Id="rId3" Type="http://schemas.openxmlformats.org/officeDocument/2006/relationships/hyperlink" Target="mailto:sidney.inojosa@gmail.com" TargetMode="External"/><Relationship Id="rId214" Type="http://schemas.openxmlformats.org/officeDocument/2006/relationships/hyperlink" Target="mailto:resthervy@gmail.com" TargetMode="External"/><Relationship Id="rId230" Type="http://schemas.openxmlformats.org/officeDocument/2006/relationships/hyperlink" Target="mailto:maru_04@hotmail.com" TargetMode="External"/><Relationship Id="rId235" Type="http://schemas.openxmlformats.org/officeDocument/2006/relationships/hyperlink" Target="mailto:sandra.liliana@gmail.com" TargetMode="External"/><Relationship Id="rId251" Type="http://schemas.openxmlformats.org/officeDocument/2006/relationships/hyperlink" Target="mailto:gonzalezdaniel2015@gmail.com" TargetMode="External"/><Relationship Id="rId256" Type="http://schemas.openxmlformats.org/officeDocument/2006/relationships/hyperlink" Target="mailto:rveliz2806@gmail.com" TargetMode="External"/><Relationship Id="rId25" Type="http://schemas.openxmlformats.org/officeDocument/2006/relationships/hyperlink" Target="mailto:solnc79@hotmail.com" TargetMode="External"/><Relationship Id="rId46" Type="http://schemas.openxmlformats.org/officeDocument/2006/relationships/hyperlink" Target="mailto:luzgoncalvesv@gmail.com" TargetMode="External"/><Relationship Id="rId67" Type="http://schemas.openxmlformats.org/officeDocument/2006/relationships/hyperlink" Target="mailto:crisbel81@hotmail.com" TargetMode="External"/><Relationship Id="rId116" Type="http://schemas.openxmlformats.org/officeDocument/2006/relationships/hyperlink" Target="mailto:roxana.mendez15@gmail.com" TargetMode="External"/><Relationship Id="rId137" Type="http://schemas.openxmlformats.org/officeDocument/2006/relationships/hyperlink" Target="mailto:mariacastano433@gmail.com" TargetMode="External"/><Relationship Id="rId158" Type="http://schemas.openxmlformats.org/officeDocument/2006/relationships/hyperlink" Target="mailto:deleonjuanpedro@gmail.com" TargetMode="External"/><Relationship Id="rId20" Type="http://schemas.openxmlformats.org/officeDocument/2006/relationships/hyperlink" Target="mailto:angelimerz@gmail.com" TargetMode="External"/><Relationship Id="rId41" Type="http://schemas.openxmlformats.org/officeDocument/2006/relationships/hyperlink" Target="mailto:eiderly@hotmail.com" TargetMode="External"/><Relationship Id="rId62" Type="http://schemas.openxmlformats.org/officeDocument/2006/relationships/hyperlink" Target="mailto:estellanarvaez@gmail.com" TargetMode="External"/><Relationship Id="rId83" Type="http://schemas.openxmlformats.org/officeDocument/2006/relationships/hyperlink" Target="mailto:joymargarcia22@gmail.com" TargetMode="External"/><Relationship Id="rId88" Type="http://schemas.openxmlformats.org/officeDocument/2006/relationships/hyperlink" Target="mailto:igmar1026@gmail.com" TargetMode="External"/><Relationship Id="rId111" Type="http://schemas.openxmlformats.org/officeDocument/2006/relationships/hyperlink" Target="mailto:zuri2303@gmail.com" TargetMode="External"/><Relationship Id="rId132" Type="http://schemas.openxmlformats.org/officeDocument/2006/relationships/hyperlink" Target="mailto:nata.vega.31@gmail.com" TargetMode="External"/><Relationship Id="rId153" Type="http://schemas.openxmlformats.org/officeDocument/2006/relationships/hyperlink" Target="mailto:adelinadiaz133@gmail.com" TargetMode="External"/><Relationship Id="rId174" Type="http://schemas.openxmlformats.org/officeDocument/2006/relationships/hyperlink" Target="mailto:eduard.19diaz@gmail.com" TargetMode="External"/><Relationship Id="rId179" Type="http://schemas.openxmlformats.org/officeDocument/2006/relationships/hyperlink" Target="mailto:gabrielavalenzuelagivliano@gmail.com" TargetMode="External"/><Relationship Id="rId195" Type="http://schemas.openxmlformats.org/officeDocument/2006/relationships/hyperlink" Target="mailto:jeimy_alexandra@hotmail.com" TargetMode="External"/><Relationship Id="rId209" Type="http://schemas.openxmlformats.org/officeDocument/2006/relationships/hyperlink" Target="mailto:bodour17@hotmail.com" TargetMode="External"/><Relationship Id="rId190" Type="http://schemas.openxmlformats.org/officeDocument/2006/relationships/hyperlink" Target="mailto:razhiellandaetab58@gmail.com" TargetMode="External"/><Relationship Id="rId204" Type="http://schemas.openxmlformats.org/officeDocument/2006/relationships/hyperlink" Target="mailto:greciadelmaribarracarmona@gmail.com" TargetMode="External"/><Relationship Id="rId220" Type="http://schemas.openxmlformats.org/officeDocument/2006/relationships/hyperlink" Target="mailto:mayerlinbautista2023@gmail.com" TargetMode="External"/><Relationship Id="rId225" Type="http://schemas.openxmlformats.org/officeDocument/2006/relationships/hyperlink" Target="mailto:diagnangeles@hotmail.com" TargetMode="External"/><Relationship Id="rId241" Type="http://schemas.openxmlformats.org/officeDocument/2006/relationships/hyperlink" Target="mailto:brusmelishernandez41@gmail.com" TargetMode="External"/><Relationship Id="rId246" Type="http://schemas.openxmlformats.org/officeDocument/2006/relationships/hyperlink" Target="mailto:fortega@fclaboratorios.com" TargetMode="External"/><Relationship Id="rId15" Type="http://schemas.openxmlformats.org/officeDocument/2006/relationships/hyperlink" Target="mailto:enricorassi.jr@gmail.com" TargetMode="External"/><Relationship Id="rId36" Type="http://schemas.openxmlformats.org/officeDocument/2006/relationships/hyperlink" Target="mailto:cindyor123@gmail.com" TargetMode="External"/><Relationship Id="rId57" Type="http://schemas.openxmlformats.org/officeDocument/2006/relationships/hyperlink" Target="mailto:paolasanmartin0106@gmail.com" TargetMode="External"/><Relationship Id="rId106" Type="http://schemas.openxmlformats.org/officeDocument/2006/relationships/hyperlink" Target="mailto:dabelism@gmail.com" TargetMode="External"/><Relationship Id="rId127" Type="http://schemas.openxmlformats.org/officeDocument/2006/relationships/hyperlink" Target="mailto:lotayek@gmail.com" TargetMode="External"/><Relationship Id="rId10" Type="http://schemas.openxmlformats.org/officeDocument/2006/relationships/hyperlink" Target="mailto:dana2416@hotmail.com" TargetMode="External"/><Relationship Id="rId31" Type="http://schemas.openxmlformats.org/officeDocument/2006/relationships/hyperlink" Target="mailto:kathenavas79@gmail.com" TargetMode="External"/><Relationship Id="rId52" Type="http://schemas.openxmlformats.org/officeDocument/2006/relationships/hyperlink" Target="mailto:ingrid_mattar@gmail.com" TargetMode="External"/><Relationship Id="rId73" Type="http://schemas.openxmlformats.org/officeDocument/2006/relationships/hyperlink" Target="mailto:solnc79@hotmal.com" TargetMode="External"/><Relationship Id="rId78" Type="http://schemas.openxmlformats.org/officeDocument/2006/relationships/hyperlink" Target="mailto:villegas.armco@gmail.com" TargetMode="External"/><Relationship Id="rId94" Type="http://schemas.openxmlformats.org/officeDocument/2006/relationships/hyperlink" Target="mailto:diegoandresdelgado@gmail.com" TargetMode="External"/><Relationship Id="rId99" Type="http://schemas.openxmlformats.org/officeDocument/2006/relationships/hyperlink" Target="mailto:gabrielajeres1539@gmail.com" TargetMode="External"/><Relationship Id="rId101" Type="http://schemas.openxmlformats.org/officeDocument/2006/relationships/hyperlink" Target="mailto:yessneyda@gmail.com" TargetMode="External"/><Relationship Id="rId122" Type="http://schemas.openxmlformats.org/officeDocument/2006/relationships/hyperlink" Target="mailto:yarraiz@banesco.com" TargetMode="External"/><Relationship Id="rId143" Type="http://schemas.openxmlformats.org/officeDocument/2006/relationships/hyperlink" Target="mailto:rossygonzalez1995@gmail.com" TargetMode="External"/><Relationship Id="rId148" Type="http://schemas.openxmlformats.org/officeDocument/2006/relationships/hyperlink" Target="mailto:marleijurado@gmail.com" TargetMode="External"/><Relationship Id="rId164" Type="http://schemas.openxmlformats.org/officeDocument/2006/relationships/hyperlink" Target="mailto:erikaquintero1099@gmail.com" TargetMode="External"/><Relationship Id="rId169" Type="http://schemas.openxmlformats.org/officeDocument/2006/relationships/hyperlink" Target="mailto:sthaellcastilloq@gmail.com" TargetMode="External"/><Relationship Id="rId185" Type="http://schemas.openxmlformats.org/officeDocument/2006/relationships/hyperlink" Target="mailto:gladys.guanin@gmail.com" TargetMode="External"/><Relationship Id="rId4" Type="http://schemas.openxmlformats.org/officeDocument/2006/relationships/hyperlink" Target="mailto:aurisela@gmail.com" TargetMode="External"/><Relationship Id="rId9" Type="http://schemas.openxmlformats.org/officeDocument/2006/relationships/hyperlink" Target="mailto:gabrielagomez6354@gmail.com" TargetMode="External"/><Relationship Id="rId180" Type="http://schemas.openxmlformats.org/officeDocument/2006/relationships/hyperlink" Target="mailto:jvg_25@hotmail.com" TargetMode="External"/><Relationship Id="rId210" Type="http://schemas.openxmlformats.org/officeDocument/2006/relationships/hyperlink" Target="mailto:bodour17@hotmail.com" TargetMode="External"/><Relationship Id="rId215" Type="http://schemas.openxmlformats.org/officeDocument/2006/relationships/hyperlink" Target="mailto:loandryst7@gmail.com" TargetMode="External"/><Relationship Id="rId236" Type="http://schemas.openxmlformats.org/officeDocument/2006/relationships/hyperlink" Target="mailto:jeimy_alexandra@hotmail.com" TargetMode="External"/><Relationship Id="rId257" Type="http://schemas.openxmlformats.org/officeDocument/2006/relationships/drawing" Target="../drawings/drawing2.xml"/><Relationship Id="rId26" Type="http://schemas.openxmlformats.org/officeDocument/2006/relationships/hyperlink" Target="mailto:solnc79@hotmal.com" TargetMode="External"/><Relationship Id="rId231" Type="http://schemas.openxmlformats.org/officeDocument/2006/relationships/hyperlink" Target="mailto:ayarit09@hotmail.com" TargetMode="External"/><Relationship Id="rId252" Type="http://schemas.openxmlformats.org/officeDocument/2006/relationships/hyperlink" Target="mailto:adelyascanio@gmail.com" TargetMode="External"/><Relationship Id="rId47" Type="http://schemas.openxmlformats.org/officeDocument/2006/relationships/hyperlink" Target="mailto:dr.vivascadiz@outlook.com" TargetMode="External"/><Relationship Id="rId68" Type="http://schemas.openxmlformats.org/officeDocument/2006/relationships/hyperlink" Target="mailto:crisbel81@hotmail.com" TargetMode="External"/><Relationship Id="rId89" Type="http://schemas.openxmlformats.org/officeDocument/2006/relationships/hyperlink" Target="mailto:keniasequera123@gmail.com" TargetMode="External"/><Relationship Id="rId112" Type="http://schemas.openxmlformats.org/officeDocument/2006/relationships/hyperlink" Target="mailto:luismiguelr_18@hotmail.com" TargetMode="External"/><Relationship Id="rId133" Type="http://schemas.openxmlformats.org/officeDocument/2006/relationships/hyperlink" Target="mailto:fmcartaya@gmail.com" TargetMode="External"/><Relationship Id="rId154" Type="http://schemas.openxmlformats.org/officeDocument/2006/relationships/hyperlink" Target="mailto:oriananavas2811@gmail.com" TargetMode="External"/><Relationship Id="rId175" Type="http://schemas.openxmlformats.org/officeDocument/2006/relationships/hyperlink" Target="mailto:renzimar.66@gmail.com" TargetMode="External"/><Relationship Id="rId196" Type="http://schemas.openxmlformats.org/officeDocument/2006/relationships/hyperlink" Target="mailto:gabrielreyes0160@gmail.com" TargetMode="External"/><Relationship Id="rId200" Type="http://schemas.openxmlformats.org/officeDocument/2006/relationships/hyperlink" Target="mailto:mari1711pv@gmail.com" TargetMode="External"/><Relationship Id="rId16" Type="http://schemas.openxmlformats.org/officeDocument/2006/relationships/hyperlink" Target="mailto:daphnerassi@gmail.com" TargetMode="External"/><Relationship Id="rId221" Type="http://schemas.openxmlformats.org/officeDocument/2006/relationships/hyperlink" Target="mailto:origuengregory@gmail.com" TargetMode="External"/><Relationship Id="rId242" Type="http://schemas.openxmlformats.org/officeDocument/2006/relationships/hyperlink" Target="mailto:brusmelihernandez41@gmail.com" TargetMode="External"/><Relationship Id="rId37" Type="http://schemas.openxmlformats.org/officeDocument/2006/relationships/hyperlink" Target="mailto:deilyn9bergolla@gmail.com" TargetMode="External"/><Relationship Id="rId58" Type="http://schemas.openxmlformats.org/officeDocument/2006/relationships/hyperlink" Target="mailto:mairimk@gmail.com" TargetMode="External"/><Relationship Id="rId79" Type="http://schemas.openxmlformats.org/officeDocument/2006/relationships/hyperlink" Target="mailto:acevedovalevero@gmail.com" TargetMode="External"/><Relationship Id="rId102" Type="http://schemas.openxmlformats.org/officeDocument/2006/relationships/hyperlink" Target="mailto:mfrv1986@gmail.com" TargetMode="External"/><Relationship Id="rId123" Type="http://schemas.openxmlformats.org/officeDocument/2006/relationships/hyperlink" Target="mailto:noblesancho@gmail.com" TargetMode="External"/><Relationship Id="rId144" Type="http://schemas.openxmlformats.org/officeDocument/2006/relationships/hyperlink" Target="mailto:umc2016aguilar@gmail.com" TargetMode="External"/><Relationship Id="rId90" Type="http://schemas.openxmlformats.org/officeDocument/2006/relationships/hyperlink" Target="mailto:amella.diazponce@gmail.com" TargetMode="External"/><Relationship Id="rId165" Type="http://schemas.openxmlformats.org/officeDocument/2006/relationships/hyperlink" Target="mailto:ragavila15@gmai.com" TargetMode="External"/><Relationship Id="rId186" Type="http://schemas.openxmlformats.org/officeDocument/2006/relationships/hyperlink" Target="mailto:stefanysvictoriaovalles@gmail.com" TargetMode="External"/><Relationship Id="rId211" Type="http://schemas.openxmlformats.org/officeDocument/2006/relationships/hyperlink" Target="mailto:bodour17@hotmail.com" TargetMode="External"/><Relationship Id="rId232" Type="http://schemas.openxmlformats.org/officeDocument/2006/relationships/hyperlink" Target="mailto:luisfervento2007@gmail.com" TargetMode="External"/><Relationship Id="rId253" Type="http://schemas.openxmlformats.org/officeDocument/2006/relationships/hyperlink" Target="mailto:isturizjovana@gmail.com" TargetMode="External"/><Relationship Id="rId27" Type="http://schemas.openxmlformats.org/officeDocument/2006/relationships/hyperlink" Target="mailto:elena.esqueda@gmail.com" TargetMode="External"/><Relationship Id="rId48" Type="http://schemas.openxmlformats.org/officeDocument/2006/relationships/hyperlink" Target="mailto:dr.vivascadiz@outlook.com" TargetMode="External"/><Relationship Id="rId69" Type="http://schemas.openxmlformats.org/officeDocument/2006/relationships/hyperlink" Target="mailto:crisbel81@hotmail.com" TargetMode="External"/><Relationship Id="rId113" Type="http://schemas.openxmlformats.org/officeDocument/2006/relationships/hyperlink" Target="mailto:angelly.gutierrez.r@gmail.com" TargetMode="External"/><Relationship Id="rId134" Type="http://schemas.openxmlformats.org/officeDocument/2006/relationships/hyperlink" Target="mailto:fmcartaya@gmail.com" TargetMode="External"/><Relationship Id="rId80" Type="http://schemas.openxmlformats.org/officeDocument/2006/relationships/hyperlink" Target="mailto:arturoandresacevedo@gmail.com" TargetMode="External"/><Relationship Id="rId155" Type="http://schemas.openxmlformats.org/officeDocument/2006/relationships/hyperlink" Target="mailto:navascamila26@gmail.com" TargetMode="External"/><Relationship Id="rId176" Type="http://schemas.openxmlformats.org/officeDocument/2006/relationships/hyperlink" Target="mailto:vasquezmarisela70@gmail.com" TargetMode="External"/><Relationship Id="rId197" Type="http://schemas.openxmlformats.org/officeDocument/2006/relationships/hyperlink" Target="mailto:ricoherly@gmail.com" TargetMode="External"/><Relationship Id="rId201" Type="http://schemas.openxmlformats.org/officeDocument/2006/relationships/hyperlink" Target="mailto:orianarr2005@gmail.com" TargetMode="External"/><Relationship Id="rId222" Type="http://schemas.openxmlformats.org/officeDocument/2006/relationships/hyperlink" Target="mailto:equipopistonoa@gmail.com" TargetMode="External"/><Relationship Id="rId243" Type="http://schemas.openxmlformats.org/officeDocument/2006/relationships/hyperlink" Target="mailto:vermig09@gmail.com" TargetMode="External"/><Relationship Id="rId17" Type="http://schemas.openxmlformats.org/officeDocument/2006/relationships/hyperlink" Target="mailto:conridani76@gmail.com" TargetMode="External"/><Relationship Id="rId38" Type="http://schemas.openxmlformats.org/officeDocument/2006/relationships/hyperlink" Target="mailto:deilyn9bergolla@gmail.com" TargetMode="External"/><Relationship Id="rId59" Type="http://schemas.openxmlformats.org/officeDocument/2006/relationships/hyperlink" Target="mailto:maria7isabel@gmail.com" TargetMode="External"/><Relationship Id="rId103" Type="http://schemas.openxmlformats.org/officeDocument/2006/relationships/hyperlink" Target="mailto:maria_angelicapb13@gmail.com" TargetMode="External"/><Relationship Id="rId124" Type="http://schemas.openxmlformats.org/officeDocument/2006/relationships/hyperlink" Target="mailto:anamary1969@yahoo.es" TargetMode="External"/><Relationship Id="rId70" Type="http://schemas.openxmlformats.org/officeDocument/2006/relationships/hyperlink" Target="mailto:crisbel81@hotmail.com" TargetMode="External"/><Relationship Id="rId91" Type="http://schemas.openxmlformats.org/officeDocument/2006/relationships/hyperlink" Target="mailto:amella.diazponce@gmail.com" TargetMode="External"/><Relationship Id="rId145" Type="http://schemas.openxmlformats.org/officeDocument/2006/relationships/hyperlink" Target="mailto:aaronnavas@icloud.com" TargetMode="External"/><Relationship Id="rId166" Type="http://schemas.openxmlformats.org/officeDocument/2006/relationships/hyperlink" Target="mailto:ragavila15@gmail.com" TargetMode="External"/><Relationship Id="rId187" Type="http://schemas.openxmlformats.org/officeDocument/2006/relationships/hyperlink" Target="mailto:drondon.dpd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roxana.mendes15@gmail.com" TargetMode="External"/><Relationship Id="rId21" Type="http://schemas.openxmlformats.org/officeDocument/2006/relationships/hyperlink" Target="mailto:slicceth@gmail.cm" TargetMode="External"/><Relationship Id="rId42" Type="http://schemas.openxmlformats.org/officeDocument/2006/relationships/hyperlink" Target="mailto:eiderly@hotmail.com" TargetMode="External"/><Relationship Id="rId63" Type="http://schemas.openxmlformats.org/officeDocument/2006/relationships/hyperlink" Target="mailto:JHN1835@hotmail.com" TargetMode="External"/><Relationship Id="rId84" Type="http://schemas.openxmlformats.org/officeDocument/2006/relationships/hyperlink" Target="mailto:jennydads270484@hotmail.com" TargetMode="External"/><Relationship Id="rId138" Type="http://schemas.openxmlformats.org/officeDocument/2006/relationships/hyperlink" Target="mailto:fabioladuran123@icloud.com" TargetMode="External"/><Relationship Id="rId159" Type="http://schemas.openxmlformats.org/officeDocument/2006/relationships/hyperlink" Target="mailto:deleonjuanpedro@gmail.com" TargetMode="External"/><Relationship Id="rId170" Type="http://schemas.openxmlformats.org/officeDocument/2006/relationships/hyperlink" Target="mailto:sthaellcastilloq@gmail.com" TargetMode="External"/><Relationship Id="rId191" Type="http://schemas.openxmlformats.org/officeDocument/2006/relationships/hyperlink" Target="mailto:razhiellandaetab58@gmail.com" TargetMode="External"/><Relationship Id="rId205" Type="http://schemas.openxmlformats.org/officeDocument/2006/relationships/hyperlink" Target="mailto:greciadelmaribarracarmona@gmail.com" TargetMode="External"/><Relationship Id="rId226" Type="http://schemas.openxmlformats.org/officeDocument/2006/relationships/hyperlink" Target="mailto:diagnangeles@hotmail.com" TargetMode="External"/><Relationship Id="rId247" Type="http://schemas.openxmlformats.org/officeDocument/2006/relationships/hyperlink" Target="mailto:mgmatheusa@gmail.com" TargetMode="External"/><Relationship Id="rId107" Type="http://schemas.openxmlformats.org/officeDocument/2006/relationships/hyperlink" Target="mailto:karinag2204@gmail.com" TargetMode="External"/><Relationship Id="rId11" Type="http://schemas.openxmlformats.org/officeDocument/2006/relationships/hyperlink" Target="mailto:enriquerassi@gnail.com" TargetMode="External"/><Relationship Id="rId32" Type="http://schemas.openxmlformats.org/officeDocument/2006/relationships/hyperlink" Target="mailto:kathenavas79@gmail.com" TargetMode="External"/><Relationship Id="rId53" Type="http://schemas.openxmlformats.org/officeDocument/2006/relationships/hyperlink" Target="mailto:alissonherreraz86@gmail.com" TargetMode="External"/><Relationship Id="rId74" Type="http://schemas.openxmlformats.org/officeDocument/2006/relationships/hyperlink" Target="mailto:goncalvesmathias691@gmail.com" TargetMode="External"/><Relationship Id="rId128" Type="http://schemas.openxmlformats.org/officeDocument/2006/relationships/hyperlink" Target="mailto:samanthadacosta.m@gmail.com" TargetMode="External"/><Relationship Id="rId149" Type="http://schemas.openxmlformats.org/officeDocument/2006/relationships/hyperlink" Target="mailto:Valengrimann@gmail.com" TargetMode="External"/><Relationship Id="rId5" Type="http://schemas.openxmlformats.org/officeDocument/2006/relationships/hyperlink" Target="mailto:fernando.v.2123@gmail.com" TargetMode="External"/><Relationship Id="rId95" Type="http://schemas.openxmlformats.org/officeDocument/2006/relationships/hyperlink" Target="mailto:umderlas@gmail.com" TargetMode="External"/><Relationship Id="rId160" Type="http://schemas.openxmlformats.org/officeDocument/2006/relationships/hyperlink" Target="mailto:deleonjuanpedro@gmail.com" TargetMode="External"/><Relationship Id="rId181" Type="http://schemas.openxmlformats.org/officeDocument/2006/relationships/hyperlink" Target="mailto:kellnimargonzalez@gmail.com" TargetMode="External"/><Relationship Id="rId216" Type="http://schemas.openxmlformats.org/officeDocument/2006/relationships/hyperlink" Target="mailto:loandrys7@gmail.com" TargetMode="External"/><Relationship Id="rId237" Type="http://schemas.openxmlformats.org/officeDocument/2006/relationships/hyperlink" Target="mailto:yeimicardenasherrera@gmail.com" TargetMode="External"/><Relationship Id="rId258" Type="http://schemas.openxmlformats.org/officeDocument/2006/relationships/drawing" Target="../drawings/drawing3.xml"/><Relationship Id="rId22" Type="http://schemas.openxmlformats.org/officeDocument/2006/relationships/hyperlink" Target="mailto:slicceth@gmail.com" TargetMode="External"/><Relationship Id="rId43" Type="http://schemas.openxmlformats.org/officeDocument/2006/relationships/hyperlink" Target="mailto:luzgoncalvesv@gmail.com" TargetMode="External"/><Relationship Id="rId64" Type="http://schemas.openxmlformats.org/officeDocument/2006/relationships/hyperlink" Target="mailto:JHN1835@gmail.com" TargetMode="External"/><Relationship Id="rId118" Type="http://schemas.openxmlformats.org/officeDocument/2006/relationships/hyperlink" Target="mailto:maderlin_19@hotmail.com" TargetMode="External"/><Relationship Id="rId139" Type="http://schemas.openxmlformats.org/officeDocument/2006/relationships/hyperlink" Target="mailto:gracielagonzalez1474@hotmail.com" TargetMode="External"/><Relationship Id="rId85" Type="http://schemas.openxmlformats.org/officeDocument/2006/relationships/hyperlink" Target="mailto:joymargarcia22@gmail.com" TargetMode="External"/><Relationship Id="rId150" Type="http://schemas.openxmlformats.org/officeDocument/2006/relationships/hyperlink" Target="mailto:Valengrimann@gmail.com" TargetMode="External"/><Relationship Id="rId171" Type="http://schemas.openxmlformats.org/officeDocument/2006/relationships/hyperlink" Target="mailto:jcisneros.camesca@gmail.com" TargetMode="External"/><Relationship Id="rId192" Type="http://schemas.openxmlformats.org/officeDocument/2006/relationships/hyperlink" Target="mailto:eleanne19@gmail.com" TargetMode="External"/><Relationship Id="rId206" Type="http://schemas.openxmlformats.org/officeDocument/2006/relationships/hyperlink" Target="mailto:escalonabriggy@gmail.com" TargetMode="External"/><Relationship Id="rId227" Type="http://schemas.openxmlformats.org/officeDocument/2006/relationships/hyperlink" Target="mailto:berbesivanessa0@gmail.com" TargetMode="External"/><Relationship Id="rId248" Type="http://schemas.openxmlformats.org/officeDocument/2006/relationships/hyperlink" Target="mailto:rabihbayrouti@gmail.com" TargetMode="External"/><Relationship Id="rId12" Type="http://schemas.openxmlformats.org/officeDocument/2006/relationships/hyperlink" Target="mailto:daphnerassi@gmail.com" TargetMode="External"/><Relationship Id="rId33" Type="http://schemas.openxmlformats.org/officeDocument/2006/relationships/hyperlink" Target="mailto:valeriagraterol4@gmail.com" TargetMode="External"/><Relationship Id="rId108" Type="http://schemas.openxmlformats.org/officeDocument/2006/relationships/hyperlink" Target="mailto:karinag2204@gmail.com" TargetMode="External"/><Relationship Id="rId129" Type="http://schemas.openxmlformats.org/officeDocument/2006/relationships/hyperlink" Target="mailto:yolimarmujica@gmail.com" TargetMode="External"/><Relationship Id="rId54" Type="http://schemas.openxmlformats.org/officeDocument/2006/relationships/hyperlink" Target="mailto:alissonherreraz86@gmail.com" TargetMode="External"/><Relationship Id="rId75" Type="http://schemas.openxmlformats.org/officeDocument/2006/relationships/hyperlink" Target="mailto:schernandez20@gmail.com" TargetMode="External"/><Relationship Id="rId96" Type="http://schemas.openxmlformats.org/officeDocument/2006/relationships/hyperlink" Target="mailto:canelonbarraezdaniela@gmail.com" TargetMode="External"/><Relationship Id="rId140" Type="http://schemas.openxmlformats.org/officeDocument/2006/relationships/hyperlink" Target="mailto:valedieing@hotmail.com" TargetMode="External"/><Relationship Id="rId161" Type="http://schemas.openxmlformats.org/officeDocument/2006/relationships/hyperlink" Target="mailto:arnaldourquidi@gmail.com" TargetMode="External"/><Relationship Id="rId182" Type="http://schemas.openxmlformats.org/officeDocument/2006/relationships/hyperlink" Target="mailto:Kellnimargonzalza@hotmail.com" TargetMode="External"/><Relationship Id="rId217" Type="http://schemas.openxmlformats.org/officeDocument/2006/relationships/hyperlink" Target="mailto:yoriov842@gmail.com" TargetMode="External"/><Relationship Id="rId1" Type="http://schemas.openxmlformats.org/officeDocument/2006/relationships/hyperlink" Target="mailto:garethtezak@gmail.com" TargetMode="External"/><Relationship Id="rId6" Type="http://schemas.openxmlformats.org/officeDocument/2006/relationships/hyperlink" Target="mailto:fernando.v.2123@gmail.com" TargetMode="External"/><Relationship Id="rId212" Type="http://schemas.openxmlformats.org/officeDocument/2006/relationships/hyperlink" Target="mailto:bodour17@hotmail.com" TargetMode="External"/><Relationship Id="rId233" Type="http://schemas.openxmlformats.org/officeDocument/2006/relationships/hyperlink" Target="mailto:natalymonasterios19@gmail.com" TargetMode="External"/><Relationship Id="rId238" Type="http://schemas.openxmlformats.org/officeDocument/2006/relationships/hyperlink" Target="mailto:yeimicardenasherrera@gmail.com" TargetMode="External"/><Relationship Id="rId254" Type="http://schemas.openxmlformats.org/officeDocument/2006/relationships/hyperlink" Target="mailto:isturizjovana@gmail.com" TargetMode="External"/><Relationship Id="rId259" Type="http://schemas.openxmlformats.org/officeDocument/2006/relationships/vmlDrawing" Target="../drawings/vmlDrawing3.vml"/><Relationship Id="rId23" Type="http://schemas.openxmlformats.org/officeDocument/2006/relationships/hyperlink" Target="mailto:dereneliangelvr@gnail.com" TargetMode="External"/><Relationship Id="rId28" Type="http://schemas.openxmlformats.org/officeDocument/2006/relationships/hyperlink" Target="mailto:elena.esqueda@telefonica.com" TargetMode="External"/><Relationship Id="rId49" Type="http://schemas.openxmlformats.org/officeDocument/2006/relationships/hyperlink" Target="mailto:dr.vivascadiz@outlook.com" TargetMode="External"/><Relationship Id="rId114" Type="http://schemas.openxmlformats.org/officeDocument/2006/relationships/hyperlink" Target="mailto:valentinadiaz1908@gmail.com" TargetMode="External"/><Relationship Id="rId119" Type="http://schemas.openxmlformats.org/officeDocument/2006/relationships/hyperlink" Target="mailto:lcrepsac@hotmail.com" TargetMode="External"/><Relationship Id="rId44" Type="http://schemas.openxmlformats.org/officeDocument/2006/relationships/hyperlink" Target="mailto:luzgoncalvesv@gmail.com" TargetMode="External"/><Relationship Id="rId60" Type="http://schemas.openxmlformats.org/officeDocument/2006/relationships/hyperlink" Target="mailto:maria7isabel@gmail.com" TargetMode="External"/><Relationship Id="rId65" Type="http://schemas.openxmlformats.org/officeDocument/2006/relationships/hyperlink" Target="mailto:caropezado@gmail.com" TargetMode="External"/><Relationship Id="rId81" Type="http://schemas.openxmlformats.org/officeDocument/2006/relationships/hyperlink" Target="mailto:isorami.23@gmail.com" TargetMode="External"/><Relationship Id="rId86" Type="http://schemas.openxmlformats.org/officeDocument/2006/relationships/hyperlink" Target="mailto:hermosodanielaz@gmail.com" TargetMode="External"/><Relationship Id="rId130" Type="http://schemas.openxmlformats.org/officeDocument/2006/relationships/hyperlink" Target="mailto:penalfredo83@gmail.com" TargetMode="External"/><Relationship Id="rId135" Type="http://schemas.openxmlformats.org/officeDocument/2006/relationships/hyperlink" Target="mailto:mariavillanuevaa@gmail.com" TargetMode="External"/><Relationship Id="rId151" Type="http://schemas.openxmlformats.org/officeDocument/2006/relationships/hyperlink" Target="mailto:isoraimi@gmail.com" TargetMode="External"/><Relationship Id="rId156" Type="http://schemas.openxmlformats.org/officeDocument/2006/relationships/hyperlink" Target="mailto:adelinadiaz133@gmail.com" TargetMode="External"/><Relationship Id="rId177" Type="http://schemas.openxmlformats.org/officeDocument/2006/relationships/hyperlink" Target="mailto:Rmeysh@gmail.com" TargetMode="External"/><Relationship Id="rId198" Type="http://schemas.openxmlformats.org/officeDocument/2006/relationships/hyperlink" Target="mailto:Alvarodiazawo@gmail.com" TargetMode="External"/><Relationship Id="rId172" Type="http://schemas.openxmlformats.org/officeDocument/2006/relationships/hyperlink" Target="mailto:jcisneros.camesca@gmail.com" TargetMode="External"/><Relationship Id="rId193" Type="http://schemas.openxmlformats.org/officeDocument/2006/relationships/hyperlink" Target="mailto:eleanne19@gmail.com" TargetMode="External"/><Relationship Id="rId202" Type="http://schemas.openxmlformats.org/officeDocument/2006/relationships/hyperlink" Target="mailto:tisay2529@gmail.com" TargetMode="External"/><Relationship Id="rId207" Type="http://schemas.openxmlformats.org/officeDocument/2006/relationships/hyperlink" Target="mailto:Camila.9.hernandez.barrios@gmail.com" TargetMode="External"/><Relationship Id="rId223" Type="http://schemas.openxmlformats.org/officeDocument/2006/relationships/hyperlink" Target="mailto:diagnangeles@hotmail.com" TargetMode="External"/><Relationship Id="rId228" Type="http://schemas.openxmlformats.org/officeDocument/2006/relationships/hyperlink" Target="mailto:berbesivanessa0@gmail.com" TargetMode="External"/><Relationship Id="rId244" Type="http://schemas.openxmlformats.org/officeDocument/2006/relationships/hyperlink" Target="mailto:navaveronica074@gmail.com" TargetMode="External"/><Relationship Id="rId249" Type="http://schemas.openxmlformats.org/officeDocument/2006/relationships/hyperlink" Target="mailto:rabihbayrouti@gmail.com" TargetMode="External"/><Relationship Id="rId13" Type="http://schemas.openxmlformats.org/officeDocument/2006/relationships/hyperlink" Target="mailto:jennydads270484@hotmail.com" TargetMode="External"/><Relationship Id="rId18" Type="http://schemas.openxmlformats.org/officeDocument/2006/relationships/hyperlink" Target="mailto:conridani76@gmail.com" TargetMode="External"/><Relationship Id="rId39" Type="http://schemas.openxmlformats.org/officeDocument/2006/relationships/hyperlink" Target="mailto:inescarolina17@gmail.com" TargetMode="External"/><Relationship Id="rId109" Type="http://schemas.openxmlformats.org/officeDocument/2006/relationships/hyperlink" Target="mailto:rubmaryg@gmail.com" TargetMode="External"/><Relationship Id="rId260" Type="http://schemas.openxmlformats.org/officeDocument/2006/relationships/comments" Target="../comments3.xml"/><Relationship Id="rId34" Type="http://schemas.openxmlformats.org/officeDocument/2006/relationships/hyperlink" Target="mailto:sonrisasok@gmail.com" TargetMode="External"/><Relationship Id="rId50" Type="http://schemas.openxmlformats.org/officeDocument/2006/relationships/hyperlink" Target="mailto:dr.vivascadiz@outlook.com" TargetMode="External"/><Relationship Id="rId55" Type="http://schemas.openxmlformats.org/officeDocument/2006/relationships/hyperlink" Target="mailto:jdsmk2010@gnail.com" TargetMode="External"/><Relationship Id="rId76" Type="http://schemas.openxmlformats.org/officeDocument/2006/relationships/hyperlink" Target="mailto:anthonygoncalves2506@gmail.com" TargetMode="External"/><Relationship Id="rId97" Type="http://schemas.openxmlformats.org/officeDocument/2006/relationships/hyperlink" Target="mailto:gabrielajeres1539@gmail.com" TargetMode="External"/><Relationship Id="rId104" Type="http://schemas.openxmlformats.org/officeDocument/2006/relationships/hyperlink" Target="mailto:maria_angelicapb13@gmail.com" TargetMode="External"/><Relationship Id="rId120" Type="http://schemas.openxmlformats.org/officeDocument/2006/relationships/hyperlink" Target="mailto:lcrepsac@hotmail.com" TargetMode="External"/><Relationship Id="rId125" Type="http://schemas.openxmlformats.org/officeDocument/2006/relationships/hyperlink" Target="mailto:mileynevalera17@gmail.com" TargetMode="External"/><Relationship Id="rId141" Type="http://schemas.openxmlformats.org/officeDocument/2006/relationships/hyperlink" Target="mailto:mfrv1986@gmail.com" TargetMode="External"/><Relationship Id="rId146" Type="http://schemas.openxmlformats.org/officeDocument/2006/relationships/hyperlink" Target="mailto:adamra1405@icloud.com" TargetMode="External"/><Relationship Id="rId167" Type="http://schemas.openxmlformats.org/officeDocument/2006/relationships/hyperlink" Target="mailto:crisbel81@hotmail.com" TargetMode="External"/><Relationship Id="rId188" Type="http://schemas.openxmlformats.org/officeDocument/2006/relationships/hyperlink" Target="mailto:yetzhenia@hotmail.com" TargetMode="External"/><Relationship Id="rId7" Type="http://schemas.openxmlformats.org/officeDocument/2006/relationships/hyperlink" Target="mailto:nadiagarciavi@gmail.com" TargetMode="External"/><Relationship Id="rId71" Type="http://schemas.openxmlformats.org/officeDocument/2006/relationships/hyperlink" Target="mailto:edw.alex.gm@gmail.com" TargetMode="External"/><Relationship Id="rId92" Type="http://schemas.openxmlformats.org/officeDocument/2006/relationships/hyperlink" Target="mailto:pau.diazponce@gmail.com" TargetMode="External"/><Relationship Id="rId162" Type="http://schemas.openxmlformats.org/officeDocument/2006/relationships/hyperlink" Target="mailto:jessy.marquez@gmail.com" TargetMode="External"/><Relationship Id="rId183" Type="http://schemas.openxmlformats.org/officeDocument/2006/relationships/hyperlink" Target="mailto:beiker@gmail.com" TargetMode="External"/><Relationship Id="rId213" Type="http://schemas.openxmlformats.org/officeDocument/2006/relationships/hyperlink" Target="mailto:mariajosefuentesrodriguez31@gmai.com" TargetMode="External"/><Relationship Id="rId218" Type="http://schemas.openxmlformats.org/officeDocument/2006/relationships/hyperlink" Target="mailto:yoviou842@gmail.com" TargetMode="External"/><Relationship Id="rId234" Type="http://schemas.openxmlformats.org/officeDocument/2006/relationships/hyperlink" Target="mailto:salvatore.ilardo@gmail.com" TargetMode="External"/><Relationship Id="rId239" Type="http://schemas.openxmlformats.org/officeDocument/2006/relationships/hyperlink" Target="mailto:zoraida.luna@gmail.com" TargetMode="External"/><Relationship Id="rId2" Type="http://schemas.openxmlformats.org/officeDocument/2006/relationships/hyperlink" Target="mailto:gabrielamalpicaseijas@gmail.com" TargetMode="External"/><Relationship Id="rId29" Type="http://schemas.openxmlformats.org/officeDocument/2006/relationships/hyperlink" Target="mailto:derby.porras@gmail.com" TargetMode="External"/><Relationship Id="rId250" Type="http://schemas.openxmlformats.org/officeDocument/2006/relationships/hyperlink" Target="mailto:marioummnsalv2@gmail.com" TargetMode="External"/><Relationship Id="rId255" Type="http://schemas.openxmlformats.org/officeDocument/2006/relationships/hyperlink" Target="mailto:paulopg656@gmail.com" TargetMode="External"/><Relationship Id="rId24" Type="http://schemas.openxmlformats.org/officeDocument/2006/relationships/hyperlink" Target="mailto:angiyoselyrodriguez@gmail.cm" TargetMode="External"/><Relationship Id="rId40" Type="http://schemas.openxmlformats.org/officeDocument/2006/relationships/hyperlink" Target="mailto:inescarolina17@gmail.com" TargetMode="External"/><Relationship Id="rId45" Type="http://schemas.openxmlformats.org/officeDocument/2006/relationships/hyperlink" Target="mailto:luzgoncalvesv@gmail.com" TargetMode="External"/><Relationship Id="rId66" Type="http://schemas.openxmlformats.org/officeDocument/2006/relationships/hyperlink" Target="mailto:caropezado@gmail.com" TargetMode="External"/><Relationship Id="rId87" Type="http://schemas.openxmlformats.org/officeDocument/2006/relationships/hyperlink" Target="mailto:hermosodanielaz@gmail.com" TargetMode="External"/><Relationship Id="rId110" Type="http://schemas.openxmlformats.org/officeDocument/2006/relationships/hyperlink" Target="mailto:tilsiadaza14@gmail.com" TargetMode="External"/><Relationship Id="rId115" Type="http://schemas.openxmlformats.org/officeDocument/2006/relationships/hyperlink" Target="mailto:TRINA1955@HOTMAIL.COM" TargetMode="External"/><Relationship Id="rId131" Type="http://schemas.openxmlformats.org/officeDocument/2006/relationships/hyperlink" Target="mailto:nata.vega.31@gmail.com" TargetMode="External"/><Relationship Id="rId136" Type="http://schemas.openxmlformats.org/officeDocument/2006/relationships/hyperlink" Target="mailto:mariavillanuevaa@gmail.com" TargetMode="External"/><Relationship Id="rId157" Type="http://schemas.openxmlformats.org/officeDocument/2006/relationships/hyperlink" Target="mailto:deleonjuanpedro@gmail.com" TargetMode="External"/><Relationship Id="rId178" Type="http://schemas.openxmlformats.org/officeDocument/2006/relationships/hyperlink" Target="mailto:Dinorathgalindez1@gmail.com" TargetMode="External"/><Relationship Id="rId61" Type="http://schemas.openxmlformats.org/officeDocument/2006/relationships/hyperlink" Target="mailto:estellanarvaez@gmail.com" TargetMode="External"/><Relationship Id="rId82" Type="http://schemas.openxmlformats.org/officeDocument/2006/relationships/hyperlink" Target="mailto:joymargarcia22@gmail.com" TargetMode="External"/><Relationship Id="rId152" Type="http://schemas.openxmlformats.org/officeDocument/2006/relationships/hyperlink" Target="mailto:isoraimi.23@gmail.com" TargetMode="External"/><Relationship Id="rId173" Type="http://schemas.openxmlformats.org/officeDocument/2006/relationships/hyperlink" Target="mailto:jcisneros.camesca@gmail.com" TargetMode="External"/><Relationship Id="rId194" Type="http://schemas.openxmlformats.org/officeDocument/2006/relationships/hyperlink" Target="mailto:jeimy_alexandra@hotmail.com" TargetMode="External"/><Relationship Id="rId199" Type="http://schemas.openxmlformats.org/officeDocument/2006/relationships/hyperlink" Target="mailto:mari1711pv@gmail.com" TargetMode="External"/><Relationship Id="rId203" Type="http://schemas.openxmlformats.org/officeDocument/2006/relationships/hyperlink" Target="mailto:greciadelmaribarracarmona@gmail.com" TargetMode="External"/><Relationship Id="rId208" Type="http://schemas.openxmlformats.org/officeDocument/2006/relationships/hyperlink" Target="mailto:angelamayrinb@gmail.com" TargetMode="External"/><Relationship Id="rId229" Type="http://schemas.openxmlformats.org/officeDocument/2006/relationships/hyperlink" Target="mailto:iguaranmaria60@gmail.com" TargetMode="External"/><Relationship Id="rId19" Type="http://schemas.openxmlformats.org/officeDocument/2006/relationships/hyperlink" Target="mailto:angelimerz@gmail.com" TargetMode="External"/><Relationship Id="rId224" Type="http://schemas.openxmlformats.org/officeDocument/2006/relationships/hyperlink" Target="mailto:diagnangeles@hotmail.com" TargetMode="External"/><Relationship Id="rId240" Type="http://schemas.openxmlformats.org/officeDocument/2006/relationships/hyperlink" Target="mailto:dileyrojas@gmail.com" TargetMode="External"/><Relationship Id="rId245" Type="http://schemas.openxmlformats.org/officeDocument/2006/relationships/hyperlink" Target="mailto:gianfrancodominguez30@gmail.com" TargetMode="External"/><Relationship Id="rId14" Type="http://schemas.openxmlformats.org/officeDocument/2006/relationships/hyperlink" Target="mailto:jennydads270484@hotmail.com" TargetMode="External"/><Relationship Id="rId30" Type="http://schemas.openxmlformats.org/officeDocument/2006/relationships/hyperlink" Target="mailto:derby.porras@gmail.com" TargetMode="External"/><Relationship Id="rId35" Type="http://schemas.openxmlformats.org/officeDocument/2006/relationships/hyperlink" Target="mailto:cindyor123@gmail.com" TargetMode="External"/><Relationship Id="rId56" Type="http://schemas.openxmlformats.org/officeDocument/2006/relationships/hyperlink" Target="mailto:mairimk@gmail.com" TargetMode="External"/><Relationship Id="rId77" Type="http://schemas.openxmlformats.org/officeDocument/2006/relationships/hyperlink" Target="mailto:yuli1287@yahoo.com" TargetMode="External"/><Relationship Id="rId100" Type="http://schemas.openxmlformats.org/officeDocument/2006/relationships/hyperlink" Target="mailto:gabrielajeres1539@gmail.com" TargetMode="External"/><Relationship Id="rId105" Type="http://schemas.openxmlformats.org/officeDocument/2006/relationships/hyperlink" Target="mailto:ricardodavidmm@gmail.com" TargetMode="External"/><Relationship Id="rId126" Type="http://schemas.openxmlformats.org/officeDocument/2006/relationships/hyperlink" Target="mailto:monicalbritog@gmail.com" TargetMode="External"/><Relationship Id="rId147" Type="http://schemas.openxmlformats.org/officeDocument/2006/relationships/hyperlink" Target="mailto:MARIAYORKS.13@GMAIL.COM" TargetMode="External"/><Relationship Id="rId168" Type="http://schemas.openxmlformats.org/officeDocument/2006/relationships/hyperlink" Target="mailto:crisbel81@hotmail.com" TargetMode="External"/><Relationship Id="rId8" Type="http://schemas.openxmlformats.org/officeDocument/2006/relationships/hyperlink" Target="mailto:nadiagarciavi@gmail.com" TargetMode="External"/><Relationship Id="rId51" Type="http://schemas.openxmlformats.org/officeDocument/2006/relationships/hyperlink" Target="mailto:cabrerapaula15@gmail.com" TargetMode="External"/><Relationship Id="rId72" Type="http://schemas.openxmlformats.org/officeDocument/2006/relationships/hyperlink" Target="mailto:solnc79@hotmail.com" TargetMode="External"/><Relationship Id="rId93" Type="http://schemas.openxmlformats.org/officeDocument/2006/relationships/hyperlink" Target="mailto:eimy.giselle@gmail.com" TargetMode="External"/><Relationship Id="rId98" Type="http://schemas.openxmlformats.org/officeDocument/2006/relationships/hyperlink" Target="mailto:gabrielajeres1539@gmail.com" TargetMode="External"/><Relationship Id="rId121" Type="http://schemas.openxmlformats.org/officeDocument/2006/relationships/hyperlink" Target="mailto:valeriaerodoa@gmail.com" TargetMode="External"/><Relationship Id="rId142" Type="http://schemas.openxmlformats.org/officeDocument/2006/relationships/hyperlink" Target="mailto:johelinojosa@gmail.com" TargetMode="External"/><Relationship Id="rId163" Type="http://schemas.openxmlformats.org/officeDocument/2006/relationships/hyperlink" Target="mailto:jessy.marquez@gmail.com" TargetMode="External"/><Relationship Id="rId184" Type="http://schemas.openxmlformats.org/officeDocument/2006/relationships/hyperlink" Target="mailto:gladysguanin@gmail.com" TargetMode="External"/><Relationship Id="rId189" Type="http://schemas.openxmlformats.org/officeDocument/2006/relationships/hyperlink" Target="mailto:Yetzhenia87@gmail.com" TargetMode="External"/><Relationship Id="rId219" Type="http://schemas.openxmlformats.org/officeDocument/2006/relationships/hyperlink" Target="mailto:mayerlinbautista2023@gmail.com" TargetMode="External"/><Relationship Id="rId3" Type="http://schemas.openxmlformats.org/officeDocument/2006/relationships/hyperlink" Target="mailto:sidney.inojosa@gmail.com" TargetMode="External"/><Relationship Id="rId214" Type="http://schemas.openxmlformats.org/officeDocument/2006/relationships/hyperlink" Target="mailto:resthervy@gmail.com" TargetMode="External"/><Relationship Id="rId230" Type="http://schemas.openxmlformats.org/officeDocument/2006/relationships/hyperlink" Target="mailto:maru_04@hotmail.com" TargetMode="External"/><Relationship Id="rId235" Type="http://schemas.openxmlformats.org/officeDocument/2006/relationships/hyperlink" Target="mailto:sandra.liliana@gmail.com" TargetMode="External"/><Relationship Id="rId251" Type="http://schemas.openxmlformats.org/officeDocument/2006/relationships/hyperlink" Target="mailto:wildergabrielmonsalve@gmail.com" TargetMode="External"/><Relationship Id="rId256" Type="http://schemas.openxmlformats.org/officeDocument/2006/relationships/hyperlink" Target="mailto:fabiandrev28@gmail.com" TargetMode="External"/><Relationship Id="rId25" Type="http://schemas.openxmlformats.org/officeDocument/2006/relationships/hyperlink" Target="mailto:solnc79@hotmail.com" TargetMode="External"/><Relationship Id="rId46" Type="http://schemas.openxmlformats.org/officeDocument/2006/relationships/hyperlink" Target="mailto:luzgoncalvesv@gmail.com" TargetMode="External"/><Relationship Id="rId67" Type="http://schemas.openxmlformats.org/officeDocument/2006/relationships/hyperlink" Target="mailto:crisbel81@hotmail.com" TargetMode="External"/><Relationship Id="rId116" Type="http://schemas.openxmlformats.org/officeDocument/2006/relationships/hyperlink" Target="mailto:roxana.mendez15@gmail.com" TargetMode="External"/><Relationship Id="rId137" Type="http://schemas.openxmlformats.org/officeDocument/2006/relationships/hyperlink" Target="mailto:mariacastano433@gmail.com" TargetMode="External"/><Relationship Id="rId158" Type="http://schemas.openxmlformats.org/officeDocument/2006/relationships/hyperlink" Target="mailto:deleonjuanpedro@gmail.com" TargetMode="External"/><Relationship Id="rId20" Type="http://schemas.openxmlformats.org/officeDocument/2006/relationships/hyperlink" Target="mailto:angelimerz@gmail.com" TargetMode="External"/><Relationship Id="rId41" Type="http://schemas.openxmlformats.org/officeDocument/2006/relationships/hyperlink" Target="mailto:eiderly@hotmail.com" TargetMode="External"/><Relationship Id="rId62" Type="http://schemas.openxmlformats.org/officeDocument/2006/relationships/hyperlink" Target="mailto:estellanarvaez@gmail.com" TargetMode="External"/><Relationship Id="rId83" Type="http://schemas.openxmlformats.org/officeDocument/2006/relationships/hyperlink" Target="mailto:joymargarcia22@gmail.com" TargetMode="External"/><Relationship Id="rId88" Type="http://schemas.openxmlformats.org/officeDocument/2006/relationships/hyperlink" Target="mailto:igmar1026@gmail.com" TargetMode="External"/><Relationship Id="rId111" Type="http://schemas.openxmlformats.org/officeDocument/2006/relationships/hyperlink" Target="mailto:zuri2303@gmail.com" TargetMode="External"/><Relationship Id="rId132" Type="http://schemas.openxmlformats.org/officeDocument/2006/relationships/hyperlink" Target="mailto:nata.vega.31@gmail.com" TargetMode="External"/><Relationship Id="rId153" Type="http://schemas.openxmlformats.org/officeDocument/2006/relationships/hyperlink" Target="mailto:adelinadiaz133@gmail.com" TargetMode="External"/><Relationship Id="rId174" Type="http://schemas.openxmlformats.org/officeDocument/2006/relationships/hyperlink" Target="mailto:eduard.19diaz@gmail.com" TargetMode="External"/><Relationship Id="rId179" Type="http://schemas.openxmlformats.org/officeDocument/2006/relationships/hyperlink" Target="mailto:gabrielavalenzuelagivliano@gmail.com" TargetMode="External"/><Relationship Id="rId195" Type="http://schemas.openxmlformats.org/officeDocument/2006/relationships/hyperlink" Target="mailto:jeimy_alexandra@hotmail.com" TargetMode="External"/><Relationship Id="rId209" Type="http://schemas.openxmlformats.org/officeDocument/2006/relationships/hyperlink" Target="mailto:bodour17@hotmail.com" TargetMode="External"/><Relationship Id="rId190" Type="http://schemas.openxmlformats.org/officeDocument/2006/relationships/hyperlink" Target="mailto:razhiellandaetab58@gmail.com" TargetMode="External"/><Relationship Id="rId204" Type="http://schemas.openxmlformats.org/officeDocument/2006/relationships/hyperlink" Target="mailto:greciadelmaribarracarmona@gmail.com" TargetMode="External"/><Relationship Id="rId220" Type="http://schemas.openxmlformats.org/officeDocument/2006/relationships/hyperlink" Target="mailto:mayerlinbautista2023@gmail.com" TargetMode="External"/><Relationship Id="rId225" Type="http://schemas.openxmlformats.org/officeDocument/2006/relationships/hyperlink" Target="mailto:diagnangeles@hotmail.com" TargetMode="External"/><Relationship Id="rId241" Type="http://schemas.openxmlformats.org/officeDocument/2006/relationships/hyperlink" Target="mailto:brusmelishernandez41@gmail.com" TargetMode="External"/><Relationship Id="rId246" Type="http://schemas.openxmlformats.org/officeDocument/2006/relationships/hyperlink" Target="mailto:fortega@fclaboratorios.com" TargetMode="External"/><Relationship Id="rId15" Type="http://schemas.openxmlformats.org/officeDocument/2006/relationships/hyperlink" Target="mailto:enricorassi.jr@gmail.com" TargetMode="External"/><Relationship Id="rId36" Type="http://schemas.openxmlformats.org/officeDocument/2006/relationships/hyperlink" Target="mailto:cindyor123@gmail.com" TargetMode="External"/><Relationship Id="rId57" Type="http://schemas.openxmlformats.org/officeDocument/2006/relationships/hyperlink" Target="mailto:paolasanmartin0106@gmail.com" TargetMode="External"/><Relationship Id="rId106" Type="http://schemas.openxmlformats.org/officeDocument/2006/relationships/hyperlink" Target="mailto:dabelism@gmail.com" TargetMode="External"/><Relationship Id="rId127" Type="http://schemas.openxmlformats.org/officeDocument/2006/relationships/hyperlink" Target="mailto:lotayek@gmail.com" TargetMode="External"/><Relationship Id="rId10" Type="http://schemas.openxmlformats.org/officeDocument/2006/relationships/hyperlink" Target="mailto:dana2416@hotmail.com" TargetMode="External"/><Relationship Id="rId31" Type="http://schemas.openxmlformats.org/officeDocument/2006/relationships/hyperlink" Target="mailto:kathenavas79@gmail.com" TargetMode="External"/><Relationship Id="rId52" Type="http://schemas.openxmlformats.org/officeDocument/2006/relationships/hyperlink" Target="mailto:ingrid_mattar@gmail.com" TargetMode="External"/><Relationship Id="rId73" Type="http://schemas.openxmlformats.org/officeDocument/2006/relationships/hyperlink" Target="mailto:solnc79@hotmal.com" TargetMode="External"/><Relationship Id="rId78" Type="http://schemas.openxmlformats.org/officeDocument/2006/relationships/hyperlink" Target="mailto:villegas.armco@gmail.com" TargetMode="External"/><Relationship Id="rId94" Type="http://schemas.openxmlformats.org/officeDocument/2006/relationships/hyperlink" Target="mailto:diegoandresdelgado@gmail.com" TargetMode="External"/><Relationship Id="rId99" Type="http://schemas.openxmlformats.org/officeDocument/2006/relationships/hyperlink" Target="mailto:gabrielajeres1539@gmail.com" TargetMode="External"/><Relationship Id="rId101" Type="http://schemas.openxmlformats.org/officeDocument/2006/relationships/hyperlink" Target="mailto:yessneyda@gmail.com" TargetMode="External"/><Relationship Id="rId122" Type="http://schemas.openxmlformats.org/officeDocument/2006/relationships/hyperlink" Target="mailto:yarraiz@banesco.com" TargetMode="External"/><Relationship Id="rId143" Type="http://schemas.openxmlformats.org/officeDocument/2006/relationships/hyperlink" Target="mailto:rossygonzalez1995@gmail.com" TargetMode="External"/><Relationship Id="rId148" Type="http://schemas.openxmlformats.org/officeDocument/2006/relationships/hyperlink" Target="mailto:marleijurado@gmail.com" TargetMode="External"/><Relationship Id="rId164" Type="http://schemas.openxmlformats.org/officeDocument/2006/relationships/hyperlink" Target="mailto:erikaquintero1099@gmail.com" TargetMode="External"/><Relationship Id="rId169" Type="http://schemas.openxmlformats.org/officeDocument/2006/relationships/hyperlink" Target="mailto:sthaellcastilloq@gmail.com" TargetMode="External"/><Relationship Id="rId185" Type="http://schemas.openxmlformats.org/officeDocument/2006/relationships/hyperlink" Target="mailto:gladys.guanin@gmail.com" TargetMode="External"/><Relationship Id="rId4" Type="http://schemas.openxmlformats.org/officeDocument/2006/relationships/hyperlink" Target="mailto:aurisela@gmail.com" TargetMode="External"/><Relationship Id="rId9" Type="http://schemas.openxmlformats.org/officeDocument/2006/relationships/hyperlink" Target="mailto:gabrielagomez6354@gmail.com" TargetMode="External"/><Relationship Id="rId180" Type="http://schemas.openxmlformats.org/officeDocument/2006/relationships/hyperlink" Target="mailto:jvg_25@hotmail.com" TargetMode="External"/><Relationship Id="rId210" Type="http://schemas.openxmlformats.org/officeDocument/2006/relationships/hyperlink" Target="mailto:bodour17@hotmail.com" TargetMode="External"/><Relationship Id="rId215" Type="http://schemas.openxmlformats.org/officeDocument/2006/relationships/hyperlink" Target="mailto:loandryst7@gmail.com" TargetMode="External"/><Relationship Id="rId236" Type="http://schemas.openxmlformats.org/officeDocument/2006/relationships/hyperlink" Target="mailto:jeimy_alexandra@hotmail.com" TargetMode="External"/><Relationship Id="rId257" Type="http://schemas.openxmlformats.org/officeDocument/2006/relationships/hyperlink" Target="mailto:rveliz2806@gmail.com" TargetMode="External"/><Relationship Id="rId26" Type="http://schemas.openxmlformats.org/officeDocument/2006/relationships/hyperlink" Target="mailto:solnc79@hotmal.com" TargetMode="External"/><Relationship Id="rId231" Type="http://schemas.openxmlformats.org/officeDocument/2006/relationships/hyperlink" Target="mailto:ayarit09@hotmail.com" TargetMode="External"/><Relationship Id="rId252" Type="http://schemas.openxmlformats.org/officeDocument/2006/relationships/hyperlink" Target="mailto:gonzalezdaniel2015@gmail.com" TargetMode="External"/><Relationship Id="rId47" Type="http://schemas.openxmlformats.org/officeDocument/2006/relationships/hyperlink" Target="mailto:dr.vivascadiz@outlook.com" TargetMode="External"/><Relationship Id="rId68" Type="http://schemas.openxmlformats.org/officeDocument/2006/relationships/hyperlink" Target="mailto:crisbel81@hotmail.com" TargetMode="External"/><Relationship Id="rId89" Type="http://schemas.openxmlformats.org/officeDocument/2006/relationships/hyperlink" Target="mailto:keniasequera123@gmail.com" TargetMode="External"/><Relationship Id="rId112" Type="http://schemas.openxmlformats.org/officeDocument/2006/relationships/hyperlink" Target="mailto:luismiguelr_18@hotmail.com" TargetMode="External"/><Relationship Id="rId133" Type="http://schemas.openxmlformats.org/officeDocument/2006/relationships/hyperlink" Target="mailto:fmcartaya@gmail.com" TargetMode="External"/><Relationship Id="rId154" Type="http://schemas.openxmlformats.org/officeDocument/2006/relationships/hyperlink" Target="mailto:oriananavas2811@gmail.com" TargetMode="External"/><Relationship Id="rId175" Type="http://schemas.openxmlformats.org/officeDocument/2006/relationships/hyperlink" Target="mailto:renzimar.66@gmail.com" TargetMode="External"/><Relationship Id="rId196" Type="http://schemas.openxmlformats.org/officeDocument/2006/relationships/hyperlink" Target="mailto:gabrielreyes0160@gmail.com" TargetMode="External"/><Relationship Id="rId200" Type="http://schemas.openxmlformats.org/officeDocument/2006/relationships/hyperlink" Target="mailto:mari1711pv@gmail.com" TargetMode="External"/><Relationship Id="rId16" Type="http://schemas.openxmlformats.org/officeDocument/2006/relationships/hyperlink" Target="mailto:daphnerassi@gmail.com" TargetMode="External"/><Relationship Id="rId221" Type="http://schemas.openxmlformats.org/officeDocument/2006/relationships/hyperlink" Target="mailto:origuengregory@gmail.com" TargetMode="External"/><Relationship Id="rId242" Type="http://schemas.openxmlformats.org/officeDocument/2006/relationships/hyperlink" Target="mailto:brusmelihernandez41@gmail.com" TargetMode="External"/><Relationship Id="rId37" Type="http://schemas.openxmlformats.org/officeDocument/2006/relationships/hyperlink" Target="mailto:deilyn9bergolla@gmail.com" TargetMode="External"/><Relationship Id="rId58" Type="http://schemas.openxmlformats.org/officeDocument/2006/relationships/hyperlink" Target="mailto:mairimk@gmail.com" TargetMode="External"/><Relationship Id="rId79" Type="http://schemas.openxmlformats.org/officeDocument/2006/relationships/hyperlink" Target="mailto:acevedovalevero@gmail.com" TargetMode="External"/><Relationship Id="rId102" Type="http://schemas.openxmlformats.org/officeDocument/2006/relationships/hyperlink" Target="mailto:mfrv1986@gmail.com" TargetMode="External"/><Relationship Id="rId123" Type="http://schemas.openxmlformats.org/officeDocument/2006/relationships/hyperlink" Target="mailto:noblesancho@gmail.com" TargetMode="External"/><Relationship Id="rId144" Type="http://schemas.openxmlformats.org/officeDocument/2006/relationships/hyperlink" Target="mailto:umc2016aguilar@gmail.com" TargetMode="External"/><Relationship Id="rId90" Type="http://schemas.openxmlformats.org/officeDocument/2006/relationships/hyperlink" Target="mailto:amella.diazponce@gmail.com" TargetMode="External"/><Relationship Id="rId165" Type="http://schemas.openxmlformats.org/officeDocument/2006/relationships/hyperlink" Target="mailto:ragavila15@gmai.com" TargetMode="External"/><Relationship Id="rId186" Type="http://schemas.openxmlformats.org/officeDocument/2006/relationships/hyperlink" Target="mailto:stefanysvictoriaovalles@gmail.com" TargetMode="External"/><Relationship Id="rId211" Type="http://schemas.openxmlformats.org/officeDocument/2006/relationships/hyperlink" Target="mailto:bodour17@hotmail.com" TargetMode="External"/><Relationship Id="rId232" Type="http://schemas.openxmlformats.org/officeDocument/2006/relationships/hyperlink" Target="mailto:luisfervento2007@gmail.com" TargetMode="External"/><Relationship Id="rId253" Type="http://schemas.openxmlformats.org/officeDocument/2006/relationships/hyperlink" Target="mailto:adelyascanio@gmail.com" TargetMode="External"/><Relationship Id="rId27" Type="http://schemas.openxmlformats.org/officeDocument/2006/relationships/hyperlink" Target="mailto:elena.esqueda@gmail.com" TargetMode="External"/><Relationship Id="rId48" Type="http://schemas.openxmlformats.org/officeDocument/2006/relationships/hyperlink" Target="mailto:dr.vivascadiz@outlook.com" TargetMode="External"/><Relationship Id="rId69" Type="http://schemas.openxmlformats.org/officeDocument/2006/relationships/hyperlink" Target="mailto:crisbel81@hotmail.com" TargetMode="External"/><Relationship Id="rId113" Type="http://schemas.openxmlformats.org/officeDocument/2006/relationships/hyperlink" Target="mailto:angelly.gutierrez.r@gmail.com" TargetMode="External"/><Relationship Id="rId134" Type="http://schemas.openxmlformats.org/officeDocument/2006/relationships/hyperlink" Target="mailto:fmcartaya@gmail.com" TargetMode="External"/><Relationship Id="rId80" Type="http://schemas.openxmlformats.org/officeDocument/2006/relationships/hyperlink" Target="mailto:arturoandresacevedo@gmail.com" TargetMode="External"/><Relationship Id="rId155" Type="http://schemas.openxmlformats.org/officeDocument/2006/relationships/hyperlink" Target="mailto:navascamila26@gmail.com" TargetMode="External"/><Relationship Id="rId176" Type="http://schemas.openxmlformats.org/officeDocument/2006/relationships/hyperlink" Target="mailto:vasquezmarisela70@gmail.com" TargetMode="External"/><Relationship Id="rId197" Type="http://schemas.openxmlformats.org/officeDocument/2006/relationships/hyperlink" Target="mailto:ricoherly@gmail.com" TargetMode="External"/><Relationship Id="rId201" Type="http://schemas.openxmlformats.org/officeDocument/2006/relationships/hyperlink" Target="mailto:orianarr2005@gmail.com" TargetMode="External"/><Relationship Id="rId222" Type="http://schemas.openxmlformats.org/officeDocument/2006/relationships/hyperlink" Target="mailto:equipopistonoa@gmail.com" TargetMode="External"/><Relationship Id="rId243" Type="http://schemas.openxmlformats.org/officeDocument/2006/relationships/hyperlink" Target="mailto:vermig09@gmail.com" TargetMode="External"/><Relationship Id="rId17" Type="http://schemas.openxmlformats.org/officeDocument/2006/relationships/hyperlink" Target="mailto:conridani76@gmail.com" TargetMode="External"/><Relationship Id="rId38" Type="http://schemas.openxmlformats.org/officeDocument/2006/relationships/hyperlink" Target="mailto:deilyn9bergolla@gmail.com" TargetMode="External"/><Relationship Id="rId59" Type="http://schemas.openxmlformats.org/officeDocument/2006/relationships/hyperlink" Target="mailto:maria7isabel@gmail.com" TargetMode="External"/><Relationship Id="rId103" Type="http://schemas.openxmlformats.org/officeDocument/2006/relationships/hyperlink" Target="mailto:maria_angelicapb13@gmail.com" TargetMode="External"/><Relationship Id="rId124" Type="http://schemas.openxmlformats.org/officeDocument/2006/relationships/hyperlink" Target="mailto:anamary1969@yahoo.es" TargetMode="External"/><Relationship Id="rId70" Type="http://schemas.openxmlformats.org/officeDocument/2006/relationships/hyperlink" Target="mailto:crisbel81@hotmail.com" TargetMode="External"/><Relationship Id="rId91" Type="http://schemas.openxmlformats.org/officeDocument/2006/relationships/hyperlink" Target="mailto:amella.diazponce@gmail.com" TargetMode="External"/><Relationship Id="rId145" Type="http://schemas.openxmlformats.org/officeDocument/2006/relationships/hyperlink" Target="mailto:aaronnavas@icloud.com" TargetMode="External"/><Relationship Id="rId166" Type="http://schemas.openxmlformats.org/officeDocument/2006/relationships/hyperlink" Target="mailto:ragavila15@gmail.com" TargetMode="External"/><Relationship Id="rId187" Type="http://schemas.openxmlformats.org/officeDocument/2006/relationships/hyperlink" Target="mailto:drondon.dpd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roxana.mendes15@gmail.com" TargetMode="External"/><Relationship Id="rId21" Type="http://schemas.openxmlformats.org/officeDocument/2006/relationships/hyperlink" Target="mailto:slicceth@gmail.cm" TargetMode="External"/><Relationship Id="rId42" Type="http://schemas.openxmlformats.org/officeDocument/2006/relationships/hyperlink" Target="mailto:eiderly@hotmail.com" TargetMode="External"/><Relationship Id="rId63" Type="http://schemas.openxmlformats.org/officeDocument/2006/relationships/hyperlink" Target="mailto:JHN1835@hotmail.com" TargetMode="External"/><Relationship Id="rId84" Type="http://schemas.openxmlformats.org/officeDocument/2006/relationships/hyperlink" Target="mailto:jennydads270484@hotmail.com" TargetMode="External"/><Relationship Id="rId138" Type="http://schemas.openxmlformats.org/officeDocument/2006/relationships/hyperlink" Target="mailto:fabioladuran123@icloud.com" TargetMode="External"/><Relationship Id="rId159" Type="http://schemas.openxmlformats.org/officeDocument/2006/relationships/hyperlink" Target="mailto:deleonjuanpedro@gmail.com" TargetMode="External"/><Relationship Id="rId170" Type="http://schemas.openxmlformats.org/officeDocument/2006/relationships/hyperlink" Target="mailto:sthaellcastilloq@gmail.com" TargetMode="External"/><Relationship Id="rId191" Type="http://schemas.openxmlformats.org/officeDocument/2006/relationships/hyperlink" Target="mailto:razhiellandaetab58@gmail.com" TargetMode="External"/><Relationship Id="rId205" Type="http://schemas.openxmlformats.org/officeDocument/2006/relationships/hyperlink" Target="mailto:greciadelmaribarracarmona@gmail.com" TargetMode="External"/><Relationship Id="rId226" Type="http://schemas.openxmlformats.org/officeDocument/2006/relationships/hyperlink" Target="mailto:diagnangeles@hotmail.com" TargetMode="External"/><Relationship Id="rId247" Type="http://schemas.openxmlformats.org/officeDocument/2006/relationships/hyperlink" Target="mailto:mgmatheusa@gmail.com" TargetMode="External"/><Relationship Id="rId107" Type="http://schemas.openxmlformats.org/officeDocument/2006/relationships/hyperlink" Target="mailto:karinag2204@gmail.com" TargetMode="External"/><Relationship Id="rId11" Type="http://schemas.openxmlformats.org/officeDocument/2006/relationships/hyperlink" Target="mailto:enriquerassi@gnail.com" TargetMode="External"/><Relationship Id="rId32" Type="http://schemas.openxmlformats.org/officeDocument/2006/relationships/hyperlink" Target="mailto:kathenavas79@gmail.com" TargetMode="External"/><Relationship Id="rId53" Type="http://schemas.openxmlformats.org/officeDocument/2006/relationships/hyperlink" Target="mailto:alissonherreraz86@gmail.com" TargetMode="External"/><Relationship Id="rId74" Type="http://schemas.openxmlformats.org/officeDocument/2006/relationships/hyperlink" Target="mailto:goncalvesmathias691@gmail.com" TargetMode="External"/><Relationship Id="rId128" Type="http://schemas.openxmlformats.org/officeDocument/2006/relationships/hyperlink" Target="mailto:samanthadacosta.m@gmail.com" TargetMode="External"/><Relationship Id="rId149" Type="http://schemas.openxmlformats.org/officeDocument/2006/relationships/hyperlink" Target="mailto:Valengrimann@gmail.com" TargetMode="External"/><Relationship Id="rId5" Type="http://schemas.openxmlformats.org/officeDocument/2006/relationships/hyperlink" Target="mailto:fernando.v.2123@gmail.com" TargetMode="External"/><Relationship Id="rId95" Type="http://schemas.openxmlformats.org/officeDocument/2006/relationships/hyperlink" Target="mailto:umderlas@gmail.com" TargetMode="External"/><Relationship Id="rId160" Type="http://schemas.openxmlformats.org/officeDocument/2006/relationships/hyperlink" Target="mailto:deleonjuanpedro@gmail.com" TargetMode="External"/><Relationship Id="rId181" Type="http://schemas.openxmlformats.org/officeDocument/2006/relationships/hyperlink" Target="mailto:kellnimargonzalez@gmail.com" TargetMode="External"/><Relationship Id="rId216" Type="http://schemas.openxmlformats.org/officeDocument/2006/relationships/hyperlink" Target="mailto:loandrys7@gmail.com" TargetMode="External"/><Relationship Id="rId237" Type="http://schemas.openxmlformats.org/officeDocument/2006/relationships/hyperlink" Target="mailto:yeimicardenasherrera@gmail.com" TargetMode="External"/><Relationship Id="rId258" Type="http://schemas.openxmlformats.org/officeDocument/2006/relationships/drawing" Target="../drawings/drawing4.xml"/><Relationship Id="rId22" Type="http://schemas.openxmlformats.org/officeDocument/2006/relationships/hyperlink" Target="mailto:slicceth@gmail.com" TargetMode="External"/><Relationship Id="rId43" Type="http://schemas.openxmlformats.org/officeDocument/2006/relationships/hyperlink" Target="mailto:luzgoncalvesv@gmail.com" TargetMode="External"/><Relationship Id="rId64" Type="http://schemas.openxmlformats.org/officeDocument/2006/relationships/hyperlink" Target="mailto:JHN1835@gmail.com" TargetMode="External"/><Relationship Id="rId118" Type="http://schemas.openxmlformats.org/officeDocument/2006/relationships/hyperlink" Target="mailto:maderlin_19@hotmail.com" TargetMode="External"/><Relationship Id="rId139" Type="http://schemas.openxmlformats.org/officeDocument/2006/relationships/hyperlink" Target="mailto:gracielagonzalez1474@hotmail.com" TargetMode="External"/><Relationship Id="rId85" Type="http://schemas.openxmlformats.org/officeDocument/2006/relationships/hyperlink" Target="mailto:joymargarcia22@gmail.com" TargetMode="External"/><Relationship Id="rId150" Type="http://schemas.openxmlformats.org/officeDocument/2006/relationships/hyperlink" Target="mailto:Valengrimann@gmail.com" TargetMode="External"/><Relationship Id="rId171" Type="http://schemas.openxmlformats.org/officeDocument/2006/relationships/hyperlink" Target="mailto:jcisneros.camesca@gmail.com" TargetMode="External"/><Relationship Id="rId192" Type="http://schemas.openxmlformats.org/officeDocument/2006/relationships/hyperlink" Target="mailto:eleanne19@gmail.com" TargetMode="External"/><Relationship Id="rId206" Type="http://schemas.openxmlformats.org/officeDocument/2006/relationships/hyperlink" Target="mailto:escalonabriggy@gmail.com" TargetMode="External"/><Relationship Id="rId227" Type="http://schemas.openxmlformats.org/officeDocument/2006/relationships/hyperlink" Target="mailto:berbesivanessa0@gmail.com" TargetMode="External"/><Relationship Id="rId248" Type="http://schemas.openxmlformats.org/officeDocument/2006/relationships/hyperlink" Target="mailto:rabihbayrouti@gmail.com" TargetMode="External"/><Relationship Id="rId12" Type="http://schemas.openxmlformats.org/officeDocument/2006/relationships/hyperlink" Target="mailto:daphnerassi@gmail.com" TargetMode="External"/><Relationship Id="rId33" Type="http://schemas.openxmlformats.org/officeDocument/2006/relationships/hyperlink" Target="mailto:valeriagraterol4@gmail.com" TargetMode="External"/><Relationship Id="rId108" Type="http://schemas.openxmlformats.org/officeDocument/2006/relationships/hyperlink" Target="mailto:karinag2204@gmail.com" TargetMode="External"/><Relationship Id="rId129" Type="http://schemas.openxmlformats.org/officeDocument/2006/relationships/hyperlink" Target="mailto:yolimarmujica@gmail.com" TargetMode="External"/><Relationship Id="rId54" Type="http://schemas.openxmlformats.org/officeDocument/2006/relationships/hyperlink" Target="mailto:alissonherreraz86@gmail.com" TargetMode="External"/><Relationship Id="rId75" Type="http://schemas.openxmlformats.org/officeDocument/2006/relationships/hyperlink" Target="mailto:schernandez20@gmail.com" TargetMode="External"/><Relationship Id="rId96" Type="http://schemas.openxmlformats.org/officeDocument/2006/relationships/hyperlink" Target="mailto:canelonbarraezdaniela@gmail.com" TargetMode="External"/><Relationship Id="rId140" Type="http://schemas.openxmlformats.org/officeDocument/2006/relationships/hyperlink" Target="mailto:valedieing@hotmail.com" TargetMode="External"/><Relationship Id="rId161" Type="http://schemas.openxmlformats.org/officeDocument/2006/relationships/hyperlink" Target="mailto:arnaldourquidi@gmail.com" TargetMode="External"/><Relationship Id="rId182" Type="http://schemas.openxmlformats.org/officeDocument/2006/relationships/hyperlink" Target="mailto:Kellnimargonzalza@hotmail.com" TargetMode="External"/><Relationship Id="rId217" Type="http://schemas.openxmlformats.org/officeDocument/2006/relationships/hyperlink" Target="mailto:yoriov842@gmail.com" TargetMode="External"/><Relationship Id="rId1" Type="http://schemas.openxmlformats.org/officeDocument/2006/relationships/hyperlink" Target="mailto:garethtezak@gmail.com" TargetMode="External"/><Relationship Id="rId6" Type="http://schemas.openxmlformats.org/officeDocument/2006/relationships/hyperlink" Target="mailto:fernando.v.2123@gmail.com" TargetMode="External"/><Relationship Id="rId212" Type="http://schemas.openxmlformats.org/officeDocument/2006/relationships/hyperlink" Target="mailto:bodour17@hotmail.com" TargetMode="External"/><Relationship Id="rId233" Type="http://schemas.openxmlformats.org/officeDocument/2006/relationships/hyperlink" Target="mailto:natalymonasterios19@gmail.com" TargetMode="External"/><Relationship Id="rId238" Type="http://schemas.openxmlformats.org/officeDocument/2006/relationships/hyperlink" Target="mailto:yeimicardenasherrera@gmail.com" TargetMode="External"/><Relationship Id="rId254" Type="http://schemas.openxmlformats.org/officeDocument/2006/relationships/hyperlink" Target="mailto:isturizjovana@gmail.com" TargetMode="External"/><Relationship Id="rId259" Type="http://schemas.openxmlformats.org/officeDocument/2006/relationships/vmlDrawing" Target="../drawings/vmlDrawing4.vml"/><Relationship Id="rId23" Type="http://schemas.openxmlformats.org/officeDocument/2006/relationships/hyperlink" Target="mailto:dereneliangelvr@gnail.com" TargetMode="External"/><Relationship Id="rId28" Type="http://schemas.openxmlformats.org/officeDocument/2006/relationships/hyperlink" Target="mailto:elena.esqueda@telefonica.com" TargetMode="External"/><Relationship Id="rId49" Type="http://schemas.openxmlformats.org/officeDocument/2006/relationships/hyperlink" Target="mailto:dr.vivascadiz@outlook.com" TargetMode="External"/><Relationship Id="rId114" Type="http://schemas.openxmlformats.org/officeDocument/2006/relationships/hyperlink" Target="mailto:valentinadiaz1908@gmail.com" TargetMode="External"/><Relationship Id="rId119" Type="http://schemas.openxmlformats.org/officeDocument/2006/relationships/hyperlink" Target="mailto:lcrepsac@hotmail.com" TargetMode="External"/><Relationship Id="rId44" Type="http://schemas.openxmlformats.org/officeDocument/2006/relationships/hyperlink" Target="mailto:luzgoncalvesv@gmail.com" TargetMode="External"/><Relationship Id="rId60" Type="http://schemas.openxmlformats.org/officeDocument/2006/relationships/hyperlink" Target="mailto:maria7isabel@gmail.com" TargetMode="External"/><Relationship Id="rId65" Type="http://schemas.openxmlformats.org/officeDocument/2006/relationships/hyperlink" Target="mailto:caropezado@gmail.com" TargetMode="External"/><Relationship Id="rId81" Type="http://schemas.openxmlformats.org/officeDocument/2006/relationships/hyperlink" Target="mailto:isorami.23@gmail.com" TargetMode="External"/><Relationship Id="rId86" Type="http://schemas.openxmlformats.org/officeDocument/2006/relationships/hyperlink" Target="mailto:hermosodanielaz@gmail.com" TargetMode="External"/><Relationship Id="rId130" Type="http://schemas.openxmlformats.org/officeDocument/2006/relationships/hyperlink" Target="mailto:penalfredo83@gmail.com" TargetMode="External"/><Relationship Id="rId135" Type="http://schemas.openxmlformats.org/officeDocument/2006/relationships/hyperlink" Target="mailto:mariavillanuevaa@gmail.com" TargetMode="External"/><Relationship Id="rId151" Type="http://schemas.openxmlformats.org/officeDocument/2006/relationships/hyperlink" Target="mailto:isoraimi@gmail.com" TargetMode="External"/><Relationship Id="rId156" Type="http://schemas.openxmlformats.org/officeDocument/2006/relationships/hyperlink" Target="mailto:adelinadiaz133@gmail.com" TargetMode="External"/><Relationship Id="rId177" Type="http://schemas.openxmlformats.org/officeDocument/2006/relationships/hyperlink" Target="mailto:Rmeysh@gmail.com" TargetMode="External"/><Relationship Id="rId198" Type="http://schemas.openxmlformats.org/officeDocument/2006/relationships/hyperlink" Target="mailto:Alvarodiazawo@gmail.com" TargetMode="External"/><Relationship Id="rId172" Type="http://schemas.openxmlformats.org/officeDocument/2006/relationships/hyperlink" Target="mailto:jcisneros.camesca@gmail.com" TargetMode="External"/><Relationship Id="rId193" Type="http://schemas.openxmlformats.org/officeDocument/2006/relationships/hyperlink" Target="mailto:eleanne19@gmail.com" TargetMode="External"/><Relationship Id="rId202" Type="http://schemas.openxmlformats.org/officeDocument/2006/relationships/hyperlink" Target="mailto:tisay2529@gmail.com" TargetMode="External"/><Relationship Id="rId207" Type="http://schemas.openxmlformats.org/officeDocument/2006/relationships/hyperlink" Target="mailto:Camila.9.hernandez.barrios@gmail.com" TargetMode="External"/><Relationship Id="rId223" Type="http://schemas.openxmlformats.org/officeDocument/2006/relationships/hyperlink" Target="mailto:diagnangeles@hotmail.com" TargetMode="External"/><Relationship Id="rId228" Type="http://schemas.openxmlformats.org/officeDocument/2006/relationships/hyperlink" Target="mailto:berbesivanessa0@gmail.com" TargetMode="External"/><Relationship Id="rId244" Type="http://schemas.openxmlformats.org/officeDocument/2006/relationships/hyperlink" Target="mailto:navaveronica074@gmail.com" TargetMode="External"/><Relationship Id="rId249" Type="http://schemas.openxmlformats.org/officeDocument/2006/relationships/hyperlink" Target="mailto:rabihbayrouti@gmail.com" TargetMode="External"/><Relationship Id="rId13" Type="http://schemas.openxmlformats.org/officeDocument/2006/relationships/hyperlink" Target="mailto:jennydads270484@hotmail.com" TargetMode="External"/><Relationship Id="rId18" Type="http://schemas.openxmlformats.org/officeDocument/2006/relationships/hyperlink" Target="mailto:conridani76@gmail.com" TargetMode="External"/><Relationship Id="rId39" Type="http://schemas.openxmlformats.org/officeDocument/2006/relationships/hyperlink" Target="mailto:inescarolina17@gmail.com" TargetMode="External"/><Relationship Id="rId109" Type="http://schemas.openxmlformats.org/officeDocument/2006/relationships/hyperlink" Target="mailto:rubmaryg@gmail.com" TargetMode="External"/><Relationship Id="rId260" Type="http://schemas.openxmlformats.org/officeDocument/2006/relationships/comments" Target="../comments4.xml"/><Relationship Id="rId34" Type="http://schemas.openxmlformats.org/officeDocument/2006/relationships/hyperlink" Target="mailto:sonrisasok@gmail.com" TargetMode="External"/><Relationship Id="rId50" Type="http://schemas.openxmlformats.org/officeDocument/2006/relationships/hyperlink" Target="mailto:dr.vivascadiz@outlook.com" TargetMode="External"/><Relationship Id="rId55" Type="http://schemas.openxmlformats.org/officeDocument/2006/relationships/hyperlink" Target="mailto:jdsmk2010@gnail.com" TargetMode="External"/><Relationship Id="rId76" Type="http://schemas.openxmlformats.org/officeDocument/2006/relationships/hyperlink" Target="mailto:anthonygoncalves2506@gmail.com" TargetMode="External"/><Relationship Id="rId97" Type="http://schemas.openxmlformats.org/officeDocument/2006/relationships/hyperlink" Target="mailto:gabrielajeres1539@gmail.com" TargetMode="External"/><Relationship Id="rId104" Type="http://schemas.openxmlformats.org/officeDocument/2006/relationships/hyperlink" Target="mailto:maria_angelicapb13@gmail.com" TargetMode="External"/><Relationship Id="rId120" Type="http://schemas.openxmlformats.org/officeDocument/2006/relationships/hyperlink" Target="mailto:lcrepsac@hotmail.com" TargetMode="External"/><Relationship Id="rId125" Type="http://schemas.openxmlformats.org/officeDocument/2006/relationships/hyperlink" Target="mailto:mileynevalera17@gmail.com" TargetMode="External"/><Relationship Id="rId141" Type="http://schemas.openxmlformats.org/officeDocument/2006/relationships/hyperlink" Target="mailto:mfrv1986@gmail.com" TargetMode="External"/><Relationship Id="rId146" Type="http://schemas.openxmlformats.org/officeDocument/2006/relationships/hyperlink" Target="mailto:adamra1405@icloud.com" TargetMode="External"/><Relationship Id="rId167" Type="http://schemas.openxmlformats.org/officeDocument/2006/relationships/hyperlink" Target="mailto:crisbel81@hotmail.com" TargetMode="External"/><Relationship Id="rId188" Type="http://schemas.openxmlformats.org/officeDocument/2006/relationships/hyperlink" Target="mailto:yetzhenia@hotmail.com" TargetMode="External"/><Relationship Id="rId7" Type="http://schemas.openxmlformats.org/officeDocument/2006/relationships/hyperlink" Target="mailto:nadiagarciavi@gmail.com" TargetMode="External"/><Relationship Id="rId71" Type="http://schemas.openxmlformats.org/officeDocument/2006/relationships/hyperlink" Target="mailto:edw.alex.gm@gmail.com" TargetMode="External"/><Relationship Id="rId92" Type="http://schemas.openxmlformats.org/officeDocument/2006/relationships/hyperlink" Target="mailto:pau.diazponce@gmail.com" TargetMode="External"/><Relationship Id="rId162" Type="http://schemas.openxmlformats.org/officeDocument/2006/relationships/hyperlink" Target="mailto:jessy.marquez@gmail.com" TargetMode="External"/><Relationship Id="rId183" Type="http://schemas.openxmlformats.org/officeDocument/2006/relationships/hyperlink" Target="mailto:beiker@gmail.com" TargetMode="External"/><Relationship Id="rId213" Type="http://schemas.openxmlformats.org/officeDocument/2006/relationships/hyperlink" Target="mailto:mariajosefuentesrodriguez31@gmai.com" TargetMode="External"/><Relationship Id="rId218" Type="http://schemas.openxmlformats.org/officeDocument/2006/relationships/hyperlink" Target="mailto:yoviou842@gmail.com" TargetMode="External"/><Relationship Id="rId234" Type="http://schemas.openxmlformats.org/officeDocument/2006/relationships/hyperlink" Target="mailto:salvatore.ilardo@gmail.com" TargetMode="External"/><Relationship Id="rId239" Type="http://schemas.openxmlformats.org/officeDocument/2006/relationships/hyperlink" Target="mailto:zoraida.luna@gmail.com" TargetMode="External"/><Relationship Id="rId2" Type="http://schemas.openxmlformats.org/officeDocument/2006/relationships/hyperlink" Target="mailto:gabrielamalpicaseijas@gmail.com" TargetMode="External"/><Relationship Id="rId29" Type="http://schemas.openxmlformats.org/officeDocument/2006/relationships/hyperlink" Target="mailto:derby.porras@gmail.com" TargetMode="External"/><Relationship Id="rId250" Type="http://schemas.openxmlformats.org/officeDocument/2006/relationships/hyperlink" Target="mailto:marioummnsalv2@gmail.com" TargetMode="External"/><Relationship Id="rId255" Type="http://schemas.openxmlformats.org/officeDocument/2006/relationships/hyperlink" Target="mailto:paulopg656@gmail.com" TargetMode="External"/><Relationship Id="rId24" Type="http://schemas.openxmlformats.org/officeDocument/2006/relationships/hyperlink" Target="mailto:angiyoselyrodriguez@gmail.cm" TargetMode="External"/><Relationship Id="rId40" Type="http://schemas.openxmlformats.org/officeDocument/2006/relationships/hyperlink" Target="mailto:inescarolina17@gmail.com" TargetMode="External"/><Relationship Id="rId45" Type="http://schemas.openxmlformats.org/officeDocument/2006/relationships/hyperlink" Target="mailto:luzgoncalvesv@gmail.com" TargetMode="External"/><Relationship Id="rId66" Type="http://schemas.openxmlformats.org/officeDocument/2006/relationships/hyperlink" Target="mailto:caropezado@gmail.com" TargetMode="External"/><Relationship Id="rId87" Type="http://schemas.openxmlformats.org/officeDocument/2006/relationships/hyperlink" Target="mailto:hermosodanielaz@gmail.com" TargetMode="External"/><Relationship Id="rId110" Type="http://schemas.openxmlformats.org/officeDocument/2006/relationships/hyperlink" Target="mailto:tilsiadaza14@gmail.com" TargetMode="External"/><Relationship Id="rId115" Type="http://schemas.openxmlformats.org/officeDocument/2006/relationships/hyperlink" Target="mailto:TRINA1955@HOTMAIL.COM" TargetMode="External"/><Relationship Id="rId131" Type="http://schemas.openxmlformats.org/officeDocument/2006/relationships/hyperlink" Target="mailto:nata.vega.31@gmail.com" TargetMode="External"/><Relationship Id="rId136" Type="http://schemas.openxmlformats.org/officeDocument/2006/relationships/hyperlink" Target="mailto:mariavillanuevaa@gmail.com" TargetMode="External"/><Relationship Id="rId157" Type="http://schemas.openxmlformats.org/officeDocument/2006/relationships/hyperlink" Target="mailto:deleonjuanpedro@gmail.com" TargetMode="External"/><Relationship Id="rId178" Type="http://schemas.openxmlformats.org/officeDocument/2006/relationships/hyperlink" Target="mailto:Dinorathgalindez1@gmail.com" TargetMode="External"/><Relationship Id="rId61" Type="http://schemas.openxmlformats.org/officeDocument/2006/relationships/hyperlink" Target="mailto:estellanarvaez@gmail.com" TargetMode="External"/><Relationship Id="rId82" Type="http://schemas.openxmlformats.org/officeDocument/2006/relationships/hyperlink" Target="mailto:joymargarcia22@gmail.com" TargetMode="External"/><Relationship Id="rId152" Type="http://schemas.openxmlformats.org/officeDocument/2006/relationships/hyperlink" Target="mailto:isoraimi.23@gmail.com" TargetMode="External"/><Relationship Id="rId173" Type="http://schemas.openxmlformats.org/officeDocument/2006/relationships/hyperlink" Target="mailto:jcisneros.camesca@gmail.com" TargetMode="External"/><Relationship Id="rId194" Type="http://schemas.openxmlformats.org/officeDocument/2006/relationships/hyperlink" Target="mailto:jeimy_alexandra@hotmail.com" TargetMode="External"/><Relationship Id="rId199" Type="http://schemas.openxmlformats.org/officeDocument/2006/relationships/hyperlink" Target="mailto:mari1711pv@gmail.com" TargetMode="External"/><Relationship Id="rId203" Type="http://schemas.openxmlformats.org/officeDocument/2006/relationships/hyperlink" Target="mailto:greciadelmaribarracarmona@gmail.com" TargetMode="External"/><Relationship Id="rId208" Type="http://schemas.openxmlformats.org/officeDocument/2006/relationships/hyperlink" Target="mailto:angelamayrinb@gmail.com" TargetMode="External"/><Relationship Id="rId229" Type="http://schemas.openxmlformats.org/officeDocument/2006/relationships/hyperlink" Target="mailto:iguaranmaria60@gmail.com" TargetMode="External"/><Relationship Id="rId19" Type="http://schemas.openxmlformats.org/officeDocument/2006/relationships/hyperlink" Target="mailto:angelimerz@gmail.com" TargetMode="External"/><Relationship Id="rId224" Type="http://schemas.openxmlformats.org/officeDocument/2006/relationships/hyperlink" Target="mailto:diagnangeles@hotmail.com" TargetMode="External"/><Relationship Id="rId240" Type="http://schemas.openxmlformats.org/officeDocument/2006/relationships/hyperlink" Target="mailto:dileyrojas@gmail.com" TargetMode="External"/><Relationship Id="rId245" Type="http://schemas.openxmlformats.org/officeDocument/2006/relationships/hyperlink" Target="mailto:gianfrancodominguez30@gmail.com" TargetMode="External"/><Relationship Id="rId14" Type="http://schemas.openxmlformats.org/officeDocument/2006/relationships/hyperlink" Target="mailto:jennydads270484@hotmail.com" TargetMode="External"/><Relationship Id="rId30" Type="http://schemas.openxmlformats.org/officeDocument/2006/relationships/hyperlink" Target="mailto:derby.porras@gmail.com" TargetMode="External"/><Relationship Id="rId35" Type="http://schemas.openxmlformats.org/officeDocument/2006/relationships/hyperlink" Target="mailto:cindyor123@gmail.com" TargetMode="External"/><Relationship Id="rId56" Type="http://schemas.openxmlformats.org/officeDocument/2006/relationships/hyperlink" Target="mailto:mairimk@gmail.com" TargetMode="External"/><Relationship Id="rId77" Type="http://schemas.openxmlformats.org/officeDocument/2006/relationships/hyperlink" Target="mailto:yuli1287@yahoo.com" TargetMode="External"/><Relationship Id="rId100" Type="http://schemas.openxmlformats.org/officeDocument/2006/relationships/hyperlink" Target="mailto:gabrielajeres1539@gmail.com" TargetMode="External"/><Relationship Id="rId105" Type="http://schemas.openxmlformats.org/officeDocument/2006/relationships/hyperlink" Target="mailto:ricardodavidmm@gmail.com" TargetMode="External"/><Relationship Id="rId126" Type="http://schemas.openxmlformats.org/officeDocument/2006/relationships/hyperlink" Target="mailto:monicalbritog@gmail.com" TargetMode="External"/><Relationship Id="rId147" Type="http://schemas.openxmlformats.org/officeDocument/2006/relationships/hyperlink" Target="mailto:MARIAYORKS.13@GMAIL.COM" TargetMode="External"/><Relationship Id="rId168" Type="http://schemas.openxmlformats.org/officeDocument/2006/relationships/hyperlink" Target="mailto:crisbel81@hotmail.com" TargetMode="External"/><Relationship Id="rId8" Type="http://schemas.openxmlformats.org/officeDocument/2006/relationships/hyperlink" Target="mailto:nadiagarciavi@gmail.com" TargetMode="External"/><Relationship Id="rId51" Type="http://schemas.openxmlformats.org/officeDocument/2006/relationships/hyperlink" Target="mailto:cabrerapaula15@gmail.com" TargetMode="External"/><Relationship Id="rId72" Type="http://schemas.openxmlformats.org/officeDocument/2006/relationships/hyperlink" Target="mailto:solnc79@hotmail.com" TargetMode="External"/><Relationship Id="rId93" Type="http://schemas.openxmlformats.org/officeDocument/2006/relationships/hyperlink" Target="mailto:eimy.giselle@gmail.com" TargetMode="External"/><Relationship Id="rId98" Type="http://schemas.openxmlformats.org/officeDocument/2006/relationships/hyperlink" Target="mailto:gabrielajeres1539@gmail.com" TargetMode="External"/><Relationship Id="rId121" Type="http://schemas.openxmlformats.org/officeDocument/2006/relationships/hyperlink" Target="mailto:valeriaerodoa@gmail.com" TargetMode="External"/><Relationship Id="rId142" Type="http://schemas.openxmlformats.org/officeDocument/2006/relationships/hyperlink" Target="mailto:johelinojosa@gmail.com" TargetMode="External"/><Relationship Id="rId163" Type="http://schemas.openxmlformats.org/officeDocument/2006/relationships/hyperlink" Target="mailto:jessy.marquez@gmail.com" TargetMode="External"/><Relationship Id="rId184" Type="http://schemas.openxmlformats.org/officeDocument/2006/relationships/hyperlink" Target="mailto:gladysguanin@gmail.com" TargetMode="External"/><Relationship Id="rId189" Type="http://schemas.openxmlformats.org/officeDocument/2006/relationships/hyperlink" Target="mailto:Yetzhenia87@gmail.com" TargetMode="External"/><Relationship Id="rId219" Type="http://schemas.openxmlformats.org/officeDocument/2006/relationships/hyperlink" Target="mailto:mayerlinbautista2023@gmail.com" TargetMode="External"/><Relationship Id="rId3" Type="http://schemas.openxmlformats.org/officeDocument/2006/relationships/hyperlink" Target="mailto:sidney.inojosa@gmail.com" TargetMode="External"/><Relationship Id="rId214" Type="http://schemas.openxmlformats.org/officeDocument/2006/relationships/hyperlink" Target="mailto:resthervy@gmail.com" TargetMode="External"/><Relationship Id="rId230" Type="http://schemas.openxmlformats.org/officeDocument/2006/relationships/hyperlink" Target="mailto:maru_04@hotmail.com" TargetMode="External"/><Relationship Id="rId235" Type="http://schemas.openxmlformats.org/officeDocument/2006/relationships/hyperlink" Target="mailto:sandra.liliana@gmail.com" TargetMode="External"/><Relationship Id="rId251" Type="http://schemas.openxmlformats.org/officeDocument/2006/relationships/hyperlink" Target="mailto:wildergabrielmonsalve@gmail.com" TargetMode="External"/><Relationship Id="rId256" Type="http://schemas.openxmlformats.org/officeDocument/2006/relationships/hyperlink" Target="mailto:fabiandrev28@gmail.com" TargetMode="External"/><Relationship Id="rId25" Type="http://schemas.openxmlformats.org/officeDocument/2006/relationships/hyperlink" Target="mailto:solnc79@hotmail.com" TargetMode="External"/><Relationship Id="rId46" Type="http://schemas.openxmlformats.org/officeDocument/2006/relationships/hyperlink" Target="mailto:luzgoncalvesv@gmail.com" TargetMode="External"/><Relationship Id="rId67" Type="http://schemas.openxmlformats.org/officeDocument/2006/relationships/hyperlink" Target="mailto:crisbel81@hotmail.com" TargetMode="External"/><Relationship Id="rId116" Type="http://schemas.openxmlformats.org/officeDocument/2006/relationships/hyperlink" Target="mailto:roxana.mendez15@gmail.com" TargetMode="External"/><Relationship Id="rId137" Type="http://schemas.openxmlformats.org/officeDocument/2006/relationships/hyperlink" Target="mailto:mariacastano433@gmail.com" TargetMode="External"/><Relationship Id="rId158" Type="http://schemas.openxmlformats.org/officeDocument/2006/relationships/hyperlink" Target="mailto:deleonjuanpedro@gmail.com" TargetMode="External"/><Relationship Id="rId20" Type="http://schemas.openxmlformats.org/officeDocument/2006/relationships/hyperlink" Target="mailto:angelimerz@gmail.com" TargetMode="External"/><Relationship Id="rId41" Type="http://schemas.openxmlformats.org/officeDocument/2006/relationships/hyperlink" Target="mailto:eiderly@hotmail.com" TargetMode="External"/><Relationship Id="rId62" Type="http://schemas.openxmlformats.org/officeDocument/2006/relationships/hyperlink" Target="mailto:estellanarvaez@gmail.com" TargetMode="External"/><Relationship Id="rId83" Type="http://schemas.openxmlformats.org/officeDocument/2006/relationships/hyperlink" Target="mailto:joymargarcia22@gmail.com" TargetMode="External"/><Relationship Id="rId88" Type="http://schemas.openxmlformats.org/officeDocument/2006/relationships/hyperlink" Target="mailto:igmar1026@gmail.com" TargetMode="External"/><Relationship Id="rId111" Type="http://schemas.openxmlformats.org/officeDocument/2006/relationships/hyperlink" Target="mailto:zuri2303@gmail.com" TargetMode="External"/><Relationship Id="rId132" Type="http://schemas.openxmlformats.org/officeDocument/2006/relationships/hyperlink" Target="mailto:nata.vega.31@gmail.com" TargetMode="External"/><Relationship Id="rId153" Type="http://schemas.openxmlformats.org/officeDocument/2006/relationships/hyperlink" Target="mailto:adelinadiaz133@gmail.com" TargetMode="External"/><Relationship Id="rId174" Type="http://schemas.openxmlformats.org/officeDocument/2006/relationships/hyperlink" Target="mailto:eduard.19diaz@gmail.com" TargetMode="External"/><Relationship Id="rId179" Type="http://schemas.openxmlformats.org/officeDocument/2006/relationships/hyperlink" Target="mailto:gabrielavalenzuelagivliano@gmail.com" TargetMode="External"/><Relationship Id="rId195" Type="http://schemas.openxmlformats.org/officeDocument/2006/relationships/hyperlink" Target="mailto:jeimy_alexandra@hotmail.com" TargetMode="External"/><Relationship Id="rId209" Type="http://schemas.openxmlformats.org/officeDocument/2006/relationships/hyperlink" Target="mailto:bodour17@hotmail.com" TargetMode="External"/><Relationship Id="rId190" Type="http://schemas.openxmlformats.org/officeDocument/2006/relationships/hyperlink" Target="mailto:razhiellandaetab58@gmail.com" TargetMode="External"/><Relationship Id="rId204" Type="http://schemas.openxmlformats.org/officeDocument/2006/relationships/hyperlink" Target="mailto:greciadelmaribarracarmona@gmail.com" TargetMode="External"/><Relationship Id="rId220" Type="http://schemas.openxmlformats.org/officeDocument/2006/relationships/hyperlink" Target="mailto:mayerlinbautista2023@gmail.com" TargetMode="External"/><Relationship Id="rId225" Type="http://schemas.openxmlformats.org/officeDocument/2006/relationships/hyperlink" Target="mailto:diagnangeles@hotmail.com" TargetMode="External"/><Relationship Id="rId241" Type="http://schemas.openxmlformats.org/officeDocument/2006/relationships/hyperlink" Target="mailto:brusmelishernandez41@gmail.com" TargetMode="External"/><Relationship Id="rId246" Type="http://schemas.openxmlformats.org/officeDocument/2006/relationships/hyperlink" Target="mailto:fortega@fclaboratorios.com" TargetMode="External"/><Relationship Id="rId15" Type="http://schemas.openxmlformats.org/officeDocument/2006/relationships/hyperlink" Target="mailto:enricorassi.jr@gmail.com" TargetMode="External"/><Relationship Id="rId36" Type="http://schemas.openxmlformats.org/officeDocument/2006/relationships/hyperlink" Target="mailto:cindyor123@gmail.com" TargetMode="External"/><Relationship Id="rId57" Type="http://schemas.openxmlformats.org/officeDocument/2006/relationships/hyperlink" Target="mailto:paolasanmartin0106@gmail.com" TargetMode="External"/><Relationship Id="rId106" Type="http://schemas.openxmlformats.org/officeDocument/2006/relationships/hyperlink" Target="mailto:dabelism@gmail.com" TargetMode="External"/><Relationship Id="rId127" Type="http://schemas.openxmlformats.org/officeDocument/2006/relationships/hyperlink" Target="mailto:lotayek@gmail.com" TargetMode="External"/><Relationship Id="rId10" Type="http://schemas.openxmlformats.org/officeDocument/2006/relationships/hyperlink" Target="mailto:dana2416@hotmail.com" TargetMode="External"/><Relationship Id="rId31" Type="http://schemas.openxmlformats.org/officeDocument/2006/relationships/hyperlink" Target="mailto:kathenavas79@gmail.com" TargetMode="External"/><Relationship Id="rId52" Type="http://schemas.openxmlformats.org/officeDocument/2006/relationships/hyperlink" Target="mailto:ingrid_mattar@gmail.com" TargetMode="External"/><Relationship Id="rId73" Type="http://schemas.openxmlformats.org/officeDocument/2006/relationships/hyperlink" Target="mailto:solnc79@hotmal.com" TargetMode="External"/><Relationship Id="rId78" Type="http://schemas.openxmlformats.org/officeDocument/2006/relationships/hyperlink" Target="mailto:villegas.armco@gmail.com" TargetMode="External"/><Relationship Id="rId94" Type="http://schemas.openxmlformats.org/officeDocument/2006/relationships/hyperlink" Target="mailto:diegoandresdelgado@gmail.com" TargetMode="External"/><Relationship Id="rId99" Type="http://schemas.openxmlformats.org/officeDocument/2006/relationships/hyperlink" Target="mailto:gabrielajeres1539@gmail.com" TargetMode="External"/><Relationship Id="rId101" Type="http://schemas.openxmlformats.org/officeDocument/2006/relationships/hyperlink" Target="mailto:yessneyda@gmail.com" TargetMode="External"/><Relationship Id="rId122" Type="http://schemas.openxmlformats.org/officeDocument/2006/relationships/hyperlink" Target="mailto:yarraiz@banesco.com" TargetMode="External"/><Relationship Id="rId143" Type="http://schemas.openxmlformats.org/officeDocument/2006/relationships/hyperlink" Target="mailto:rossygonzalez1995@gmail.com" TargetMode="External"/><Relationship Id="rId148" Type="http://schemas.openxmlformats.org/officeDocument/2006/relationships/hyperlink" Target="mailto:marleijurado@gmail.com" TargetMode="External"/><Relationship Id="rId164" Type="http://schemas.openxmlformats.org/officeDocument/2006/relationships/hyperlink" Target="mailto:erikaquintero1099@gmail.com" TargetMode="External"/><Relationship Id="rId169" Type="http://schemas.openxmlformats.org/officeDocument/2006/relationships/hyperlink" Target="mailto:sthaellcastilloq@gmail.com" TargetMode="External"/><Relationship Id="rId185" Type="http://schemas.openxmlformats.org/officeDocument/2006/relationships/hyperlink" Target="mailto:gladys.guanin@gmail.com" TargetMode="External"/><Relationship Id="rId4" Type="http://schemas.openxmlformats.org/officeDocument/2006/relationships/hyperlink" Target="mailto:aurisela@gmail.com" TargetMode="External"/><Relationship Id="rId9" Type="http://schemas.openxmlformats.org/officeDocument/2006/relationships/hyperlink" Target="mailto:gabrielagomez6354@gmail.com" TargetMode="External"/><Relationship Id="rId180" Type="http://schemas.openxmlformats.org/officeDocument/2006/relationships/hyperlink" Target="mailto:jvg_25@hotmail.com" TargetMode="External"/><Relationship Id="rId210" Type="http://schemas.openxmlformats.org/officeDocument/2006/relationships/hyperlink" Target="mailto:bodour17@hotmail.com" TargetMode="External"/><Relationship Id="rId215" Type="http://schemas.openxmlformats.org/officeDocument/2006/relationships/hyperlink" Target="mailto:loandryst7@gmail.com" TargetMode="External"/><Relationship Id="rId236" Type="http://schemas.openxmlformats.org/officeDocument/2006/relationships/hyperlink" Target="mailto:jeimy_alexandra@hotmail.com" TargetMode="External"/><Relationship Id="rId257" Type="http://schemas.openxmlformats.org/officeDocument/2006/relationships/hyperlink" Target="mailto:rveliz2806@gmail.com" TargetMode="External"/><Relationship Id="rId26" Type="http://schemas.openxmlformats.org/officeDocument/2006/relationships/hyperlink" Target="mailto:solnc79@hotmal.com" TargetMode="External"/><Relationship Id="rId231" Type="http://schemas.openxmlformats.org/officeDocument/2006/relationships/hyperlink" Target="mailto:ayarit09@hotmail.com" TargetMode="External"/><Relationship Id="rId252" Type="http://schemas.openxmlformats.org/officeDocument/2006/relationships/hyperlink" Target="mailto:gonzalezdaniel2015@gmail.com" TargetMode="External"/><Relationship Id="rId47" Type="http://schemas.openxmlformats.org/officeDocument/2006/relationships/hyperlink" Target="mailto:dr.vivascadiz@outlook.com" TargetMode="External"/><Relationship Id="rId68" Type="http://schemas.openxmlformats.org/officeDocument/2006/relationships/hyperlink" Target="mailto:crisbel81@hotmail.com" TargetMode="External"/><Relationship Id="rId89" Type="http://schemas.openxmlformats.org/officeDocument/2006/relationships/hyperlink" Target="mailto:keniasequera123@gmail.com" TargetMode="External"/><Relationship Id="rId112" Type="http://schemas.openxmlformats.org/officeDocument/2006/relationships/hyperlink" Target="mailto:luismiguelr_18@hotmail.com" TargetMode="External"/><Relationship Id="rId133" Type="http://schemas.openxmlformats.org/officeDocument/2006/relationships/hyperlink" Target="mailto:fmcartaya@gmail.com" TargetMode="External"/><Relationship Id="rId154" Type="http://schemas.openxmlformats.org/officeDocument/2006/relationships/hyperlink" Target="mailto:oriananavas2811@gmail.com" TargetMode="External"/><Relationship Id="rId175" Type="http://schemas.openxmlformats.org/officeDocument/2006/relationships/hyperlink" Target="mailto:renzimar.66@gmail.com" TargetMode="External"/><Relationship Id="rId196" Type="http://schemas.openxmlformats.org/officeDocument/2006/relationships/hyperlink" Target="mailto:gabrielreyes0160@gmail.com" TargetMode="External"/><Relationship Id="rId200" Type="http://schemas.openxmlformats.org/officeDocument/2006/relationships/hyperlink" Target="mailto:mari1711pv@gmail.com" TargetMode="External"/><Relationship Id="rId16" Type="http://schemas.openxmlformats.org/officeDocument/2006/relationships/hyperlink" Target="mailto:daphnerassi@gmail.com" TargetMode="External"/><Relationship Id="rId221" Type="http://schemas.openxmlformats.org/officeDocument/2006/relationships/hyperlink" Target="mailto:origuengregory@gmail.com" TargetMode="External"/><Relationship Id="rId242" Type="http://schemas.openxmlformats.org/officeDocument/2006/relationships/hyperlink" Target="mailto:brusmelihernandez41@gmail.com" TargetMode="External"/><Relationship Id="rId37" Type="http://schemas.openxmlformats.org/officeDocument/2006/relationships/hyperlink" Target="mailto:deilyn9bergolla@gmail.com" TargetMode="External"/><Relationship Id="rId58" Type="http://schemas.openxmlformats.org/officeDocument/2006/relationships/hyperlink" Target="mailto:mairimk@gmail.com" TargetMode="External"/><Relationship Id="rId79" Type="http://schemas.openxmlformats.org/officeDocument/2006/relationships/hyperlink" Target="mailto:acevedovalevero@gmail.com" TargetMode="External"/><Relationship Id="rId102" Type="http://schemas.openxmlformats.org/officeDocument/2006/relationships/hyperlink" Target="mailto:mfrv1986@gmail.com" TargetMode="External"/><Relationship Id="rId123" Type="http://schemas.openxmlformats.org/officeDocument/2006/relationships/hyperlink" Target="mailto:noblesancho@gmail.com" TargetMode="External"/><Relationship Id="rId144" Type="http://schemas.openxmlformats.org/officeDocument/2006/relationships/hyperlink" Target="mailto:umc2016aguilar@gmail.com" TargetMode="External"/><Relationship Id="rId90" Type="http://schemas.openxmlformats.org/officeDocument/2006/relationships/hyperlink" Target="mailto:amella.diazponce@gmail.com" TargetMode="External"/><Relationship Id="rId165" Type="http://schemas.openxmlformats.org/officeDocument/2006/relationships/hyperlink" Target="mailto:ragavila15@gmai.com" TargetMode="External"/><Relationship Id="rId186" Type="http://schemas.openxmlformats.org/officeDocument/2006/relationships/hyperlink" Target="mailto:stefanysvictoriaovalles@gmail.com" TargetMode="External"/><Relationship Id="rId211" Type="http://schemas.openxmlformats.org/officeDocument/2006/relationships/hyperlink" Target="mailto:bodour17@hotmail.com" TargetMode="External"/><Relationship Id="rId232" Type="http://schemas.openxmlformats.org/officeDocument/2006/relationships/hyperlink" Target="mailto:luisfervento2007@gmail.com" TargetMode="External"/><Relationship Id="rId253" Type="http://schemas.openxmlformats.org/officeDocument/2006/relationships/hyperlink" Target="mailto:adelyascanio@gmail.com" TargetMode="External"/><Relationship Id="rId27" Type="http://schemas.openxmlformats.org/officeDocument/2006/relationships/hyperlink" Target="mailto:elena.esqueda@gmail.com" TargetMode="External"/><Relationship Id="rId48" Type="http://schemas.openxmlformats.org/officeDocument/2006/relationships/hyperlink" Target="mailto:dr.vivascadiz@outlook.com" TargetMode="External"/><Relationship Id="rId69" Type="http://schemas.openxmlformats.org/officeDocument/2006/relationships/hyperlink" Target="mailto:crisbel81@hotmail.com" TargetMode="External"/><Relationship Id="rId113" Type="http://schemas.openxmlformats.org/officeDocument/2006/relationships/hyperlink" Target="mailto:angelly.gutierrez.r@gmail.com" TargetMode="External"/><Relationship Id="rId134" Type="http://schemas.openxmlformats.org/officeDocument/2006/relationships/hyperlink" Target="mailto:fmcartaya@gmail.com" TargetMode="External"/><Relationship Id="rId80" Type="http://schemas.openxmlformats.org/officeDocument/2006/relationships/hyperlink" Target="mailto:arturoandresacevedo@gmail.com" TargetMode="External"/><Relationship Id="rId155" Type="http://schemas.openxmlformats.org/officeDocument/2006/relationships/hyperlink" Target="mailto:navascamila26@gmail.com" TargetMode="External"/><Relationship Id="rId176" Type="http://schemas.openxmlformats.org/officeDocument/2006/relationships/hyperlink" Target="mailto:vasquezmarisela70@gmail.com" TargetMode="External"/><Relationship Id="rId197" Type="http://schemas.openxmlformats.org/officeDocument/2006/relationships/hyperlink" Target="mailto:ricoherly@gmail.com" TargetMode="External"/><Relationship Id="rId201" Type="http://schemas.openxmlformats.org/officeDocument/2006/relationships/hyperlink" Target="mailto:orianarr2005@gmail.com" TargetMode="External"/><Relationship Id="rId222" Type="http://schemas.openxmlformats.org/officeDocument/2006/relationships/hyperlink" Target="mailto:equipopistonoa@gmail.com" TargetMode="External"/><Relationship Id="rId243" Type="http://schemas.openxmlformats.org/officeDocument/2006/relationships/hyperlink" Target="mailto:vermig09@gmail.com" TargetMode="External"/><Relationship Id="rId17" Type="http://schemas.openxmlformats.org/officeDocument/2006/relationships/hyperlink" Target="mailto:conridani76@gmail.com" TargetMode="External"/><Relationship Id="rId38" Type="http://schemas.openxmlformats.org/officeDocument/2006/relationships/hyperlink" Target="mailto:deilyn9bergolla@gmail.com" TargetMode="External"/><Relationship Id="rId59" Type="http://schemas.openxmlformats.org/officeDocument/2006/relationships/hyperlink" Target="mailto:maria7isabel@gmail.com" TargetMode="External"/><Relationship Id="rId103" Type="http://schemas.openxmlformats.org/officeDocument/2006/relationships/hyperlink" Target="mailto:maria_angelicapb13@gmail.com" TargetMode="External"/><Relationship Id="rId124" Type="http://schemas.openxmlformats.org/officeDocument/2006/relationships/hyperlink" Target="mailto:anamary1969@yahoo.es" TargetMode="External"/><Relationship Id="rId70" Type="http://schemas.openxmlformats.org/officeDocument/2006/relationships/hyperlink" Target="mailto:crisbel81@hotmail.com" TargetMode="External"/><Relationship Id="rId91" Type="http://schemas.openxmlformats.org/officeDocument/2006/relationships/hyperlink" Target="mailto:amella.diazponce@gmail.com" TargetMode="External"/><Relationship Id="rId145" Type="http://schemas.openxmlformats.org/officeDocument/2006/relationships/hyperlink" Target="mailto:aaronnavas@icloud.com" TargetMode="External"/><Relationship Id="rId166" Type="http://schemas.openxmlformats.org/officeDocument/2006/relationships/hyperlink" Target="mailto:ragavila15@gmail.com" TargetMode="External"/><Relationship Id="rId187" Type="http://schemas.openxmlformats.org/officeDocument/2006/relationships/hyperlink" Target="mailto:drondon.dp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14"/>
  <sheetViews>
    <sheetView showGridLines="0" workbookViewId="0">
      <pane xSplit="5" ySplit="6" topLeftCell="F274" activePane="bottomRight" state="frozen"/>
      <selection pane="topRight" activeCell="F1" sqref="F1"/>
      <selection pane="bottomLeft" activeCell="A7" sqref="A7"/>
      <selection pane="bottomRight" activeCell="E23" sqref="E23"/>
    </sheetView>
  </sheetViews>
  <sheetFormatPr baseColWidth="10" defaultColWidth="14.44140625" defaultRowHeight="15" customHeight="1"/>
  <cols>
    <col min="1" max="1" width="4.6640625" customWidth="1"/>
    <col min="2" max="2" width="25.109375" customWidth="1"/>
    <col min="3" max="3" width="4.33203125" customWidth="1"/>
    <col min="4" max="4" width="14.109375" customWidth="1"/>
    <col min="5" max="5" width="47.109375" customWidth="1"/>
    <col min="6" max="6" width="13.5546875" customWidth="1"/>
    <col min="7" max="7" width="13.109375" customWidth="1"/>
    <col min="8" max="8" width="12.44140625" customWidth="1"/>
    <col min="9" max="9" width="7.6640625" customWidth="1"/>
    <col min="10" max="10" width="45" customWidth="1"/>
    <col min="11" max="11" width="15.109375" customWidth="1"/>
    <col min="12" max="12" width="89" customWidth="1"/>
    <col min="13" max="13" width="42.6640625" customWidth="1"/>
    <col min="14" max="14" width="14.6640625" customWidth="1"/>
    <col min="15" max="15" width="27.6640625" customWidth="1"/>
    <col min="16" max="16" width="34.6640625" customWidth="1"/>
    <col min="17" max="17" width="15.109375" customWidth="1"/>
    <col min="18" max="18" width="27.33203125" customWidth="1"/>
    <col min="19" max="19" width="27.5546875" customWidth="1"/>
    <col min="20" max="20" width="11.6640625" customWidth="1"/>
    <col min="21" max="21" width="13.44140625" customWidth="1"/>
    <col min="22" max="22" width="22.109375" customWidth="1"/>
    <col min="23" max="23" width="19" customWidth="1"/>
    <col min="24" max="24" width="14" customWidth="1"/>
    <col min="25" max="25" width="108.109375" customWidth="1"/>
    <col min="26" max="26" width="23.88671875" customWidth="1"/>
    <col min="27" max="27" width="11.44140625" customWidth="1"/>
    <col min="28" max="28" width="15.109375" customWidth="1"/>
    <col min="29" max="30" width="11.44140625" customWidth="1"/>
    <col min="31" max="31" width="9.5546875" customWidth="1"/>
    <col min="32" max="33" width="11.44140625" customWidth="1"/>
    <col min="34" max="34" width="9.88671875" customWidth="1"/>
    <col min="35" max="36" width="11.44140625" customWidth="1"/>
    <col min="37" max="37" width="10.5546875" customWidth="1"/>
    <col min="38" max="43" width="11.44140625" customWidth="1"/>
    <col min="44" max="44" width="14.44140625" hidden="1"/>
  </cols>
  <sheetData>
    <row r="1" spans="1:44" ht="13.5" customHeight="1">
      <c r="A1" s="1" t="s">
        <v>0</v>
      </c>
      <c r="B1" s="683" t="s">
        <v>1</v>
      </c>
      <c r="C1" s="684"/>
      <c r="D1" s="687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2"/>
      <c r="U1" s="2"/>
      <c r="V1" s="3"/>
      <c r="W1" s="4"/>
      <c r="X1" s="5"/>
      <c r="Y1" s="6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7"/>
      <c r="AR1" s="3"/>
    </row>
    <row r="2" spans="1:44" ht="13.5" customHeight="1">
      <c r="A2" s="8"/>
      <c r="B2" s="685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86"/>
      <c r="Q2" s="686"/>
      <c r="R2" s="686"/>
      <c r="S2" s="686"/>
      <c r="T2" s="2"/>
      <c r="U2" s="2"/>
      <c r="W2" s="9"/>
      <c r="X2" s="10"/>
      <c r="Y2" s="6"/>
      <c r="AB2" s="11"/>
      <c r="AQ2" s="12"/>
    </row>
    <row r="3" spans="1:44" ht="13.5" customHeight="1">
      <c r="A3" s="8"/>
      <c r="B3" s="685"/>
      <c r="C3" s="686"/>
      <c r="D3" s="688"/>
      <c r="E3" s="688"/>
      <c r="F3" s="688"/>
      <c r="G3" s="688"/>
      <c r="H3" s="688"/>
      <c r="I3" s="688"/>
      <c r="J3" s="688"/>
      <c r="K3" s="688"/>
      <c r="L3" s="688"/>
      <c r="M3" s="688"/>
      <c r="N3" s="688"/>
      <c r="O3" s="688"/>
      <c r="P3" s="688"/>
      <c r="Q3" s="688"/>
      <c r="R3" s="688"/>
      <c r="S3" s="688"/>
      <c r="T3" s="2"/>
      <c r="U3" s="2"/>
      <c r="W3" s="9"/>
      <c r="X3" s="10"/>
      <c r="Y3" s="6"/>
      <c r="AB3" s="11"/>
      <c r="AQ3" s="12"/>
    </row>
    <row r="4" spans="1:44" ht="22.5" customHeight="1">
      <c r="A4" s="13"/>
      <c r="B4" s="685"/>
      <c r="C4" s="686"/>
      <c r="D4" s="689" t="s">
        <v>2</v>
      </c>
      <c r="E4" s="690"/>
      <c r="F4" s="690"/>
      <c r="G4" s="690"/>
      <c r="H4" s="690"/>
      <c r="I4" s="690"/>
      <c r="J4" s="690"/>
      <c r="K4" s="690"/>
      <c r="L4" s="691"/>
      <c r="M4" s="694" t="s">
        <v>3</v>
      </c>
      <c r="N4" s="681"/>
      <c r="O4" s="681"/>
      <c r="P4" s="681"/>
      <c r="Q4" s="681"/>
      <c r="R4" s="681"/>
      <c r="S4" s="681"/>
      <c r="T4" s="14"/>
      <c r="U4" s="15"/>
      <c r="V4" s="695" t="s">
        <v>4</v>
      </c>
      <c r="W4" s="697" t="s">
        <v>5</v>
      </c>
      <c r="X4" s="698"/>
      <c r="Y4" s="698"/>
      <c r="Z4" s="698"/>
      <c r="AA4" s="698"/>
      <c r="AB4" s="698"/>
      <c r="AC4" s="698"/>
      <c r="AD4" s="698"/>
      <c r="AE4" s="698"/>
      <c r="AF4" s="698"/>
      <c r="AG4" s="698"/>
      <c r="AH4" s="698"/>
      <c r="AI4" s="698"/>
      <c r="AJ4" s="698"/>
      <c r="AK4" s="698"/>
      <c r="AL4" s="698"/>
      <c r="AM4" s="698"/>
      <c r="AN4" s="698"/>
      <c r="AO4" s="698"/>
      <c r="AP4" s="698"/>
      <c r="AQ4" s="699"/>
      <c r="AR4" s="16"/>
    </row>
    <row r="5" spans="1:44" ht="16.5" customHeight="1">
      <c r="A5" s="13"/>
      <c r="B5" s="685"/>
      <c r="C5" s="686"/>
      <c r="D5" s="692"/>
      <c r="E5" s="688"/>
      <c r="F5" s="688"/>
      <c r="G5" s="688"/>
      <c r="H5" s="688"/>
      <c r="I5" s="688"/>
      <c r="J5" s="688"/>
      <c r="K5" s="688"/>
      <c r="L5" s="693"/>
      <c r="M5" s="17"/>
      <c r="N5" s="17"/>
      <c r="O5" s="17"/>
      <c r="P5" s="17"/>
      <c r="Q5" s="18" t="s">
        <v>6</v>
      </c>
      <c r="R5" s="18"/>
      <c r="S5" s="19" t="s">
        <v>7</v>
      </c>
      <c r="T5" s="20"/>
      <c r="U5" s="21"/>
      <c r="V5" s="696"/>
      <c r="W5" s="680" t="s">
        <v>8</v>
      </c>
      <c r="X5" s="681"/>
      <c r="Y5" s="682"/>
      <c r="Z5" s="680" t="s">
        <v>9</v>
      </c>
      <c r="AA5" s="681"/>
      <c r="AB5" s="682"/>
      <c r="AC5" s="680" t="s">
        <v>10</v>
      </c>
      <c r="AD5" s="681"/>
      <c r="AE5" s="682"/>
      <c r="AF5" s="680" t="s">
        <v>11</v>
      </c>
      <c r="AG5" s="681"/>
      <c r="AH5" s="682"/>
      <c r="AI5" s="680" t="s">
        <v>12</v>
      </c>
      <c r="AJ5" s="681"/>
      <c r="AK5" s="682"/>
      <c r="AL5" s="680" t="s">
        <v>13</v>
      </c>
      <c r="AM5" s="681"/>
      <c r="AN5" s="682"/>
      <c r="AO5" s="680" t="s">
        <v>14</v>
      </c>
      <c r="AP5" s="681"/>
      <c r="AQ5" s="682"/>
      <c r="AR5" s="16"/>
    </row>
    <row r="6" spans="1:44" ht="21.75" customHeight="1">
      <c r="A6" s="22"/>
      <c r="B6" s="23" t="s">
        <v>15</v>
      </c>
      <c r="C6" s="24"/>
      <c r="D6" s="25" t="s">
        <v>16</v>
      </c>
      <c r="E6" s="26" t="s">
        <v>17</v>
      </c>
      <c r="F6" s="26" t="s">
        <v>18</v>
      </c>
      <c r="G6" s="26" t="s">
        <v>19</v>
      </c>
      <c r="H6" s="26" t="s">
        <v>20</v>
      </c>
      <c r="I6" s="26" t="s">
        <v>21</v>
      </c>
      <c r="J6" s="26" t="s">
        <v>22</v>
      </c>
      <c r="K6" s="27" t="s">
        <v>23</v>
      </c>
      <c r="L6" s="28" t="s">
        <v>24</v>
      </c>
      <c r="M6" s="29" t="s">
        <v>25</v>
      </c>
      <c r="N6" s="30" t="s">
        <v>26</v>
      </c>
      <c r="O6" s="30" t="s">
        <v>27</v>
      </c>
      <c r="P6" s="31" t="s">
        <v>28</v>
      </c>
      <c r="Q6" s="32" t="s">
        <v>29</v>
      </c>
      <c r="R6" s="32" t="s">
        <v>30</v>
      </c>
      <c r="S6" s="32" t="s">
        <v>31</v>
      </c>
      <c r="T6" s="26" t="s">
        <v>32</v>
      </c>
      <c r="U6" s="33" t="s">
        <v>33</v>
      </c>
      <c r="V6" s="696"/>
      <c r="W6" s="34" t="s">
        <v>34</v>
      </c>
      <c r="X6" s="35" t="s">
        <v>35</v>
      </c>
      <c r="Y6" s="36" t="s">
        <v>36</v>
      </c>
      <c r="Z6" s="34" t="s">
        <v>34</v>
      </c>
      <c r="AA6" s="35" t="s">
        <v>35</v>
      </c>
      <c r="AB6" s="36" t="s">
        <v>36</v>
      </c>
      <c r="AC6" s="34" t="s">
        <v>34</v>
      </c>
      <c r="AD6" s="35" t="s">
        <v>35</v>
      </c>
      <c r="AE6" s="36" t="s">
        <v>36</v>
      </c>
      <c r="AF6" s="37" t="s">
        <v>37</v>
      </c>
      <c r="AG6" s="38" t="s">
        <v>38</v>
      </c>
      <c r="AH6" s="39" t="s">
        <v>39</v>
      </c>
      <c r="AI6" s="37" t="s">
        <v>37</v>
      </c>
      <c r="AJ6" s="38" t="s">
        <v>38</v>
      </c>
      <c r="AK6" s="39" t="s">
        <v>39</v>
      </c>
      <c r="AL6" s="37" t="s">
        <v>37</v>
      </c>
      <c r="AM6" s="38" t="s">
        <v>38</v>
      </c>
      <c r="AN6" s="39" t="s">
        <v>39</v>
      </c>
      <c r="AO6" s="37" t="s">
        <v>37</v>
      </c>
      <c r="AP6" s="38" t="s">
        <v>38</v>
      </c>
      <c r="AQ6" s="39" t="s">
        <v>39</v>
      </c>
      <c r="AR6" s="40"/>
    </row>
    <row r="7" spans="1:44" ht="30.75" customHeight="1">
      <c r="A7" s="41"/>
      <c r="B7" s="700" t="s">
        <v>40</v>
      </c>
      <c r="C7" s="42">
        <v>1</v>
      </c>
      <c r="D7" s="43" t="s">
        <v>41</v>
      </c>
      <c r="E7" s="44" t="s">
        <v>42</v>
      </c>
      <c r="F7" s="44" t="s">
        <v>43</v>
      </c>
      <c r="G7" s="45">
        <v>34427327</v>
      </c>
      <c r="H7" s="44">
        <v>40647</v>
      </c>
      <c r="I7" s="44">
        <f t="shared" ref="I7:I85" ca="1" si="0">+DATEDIF(H7,TODAY(),"Y")</f>
        <v>15</v>
      </c>
      <c r="J7" s="46" t="s">
        <v>44</v>
      </c>
      <c r="K7" s="47" t="s">
        <v>45</v>
      </c>
      <c r="L7" s="48" t="s">
        <v>46</v>
      </c>
      <c r="M7" s="49" t="s">
        <v>47</v>
      </c>
      <c r="N7" s="50">
        <v>10277817</v>
      </c>
      <c r="O7" s="44" t="s">
        <v>48</v>
      </c>
      <c r="P7" s="51" t="s">
        <v>49</v>
      </c>
      <c r="Q7" s="52" t="s">
        <v>50</v>
      </c>
      <c r="R7" s="53" t="s">
        <v>51</v>
      </c>
      <c r="S7" s="53" t="s">
        <v>52</v>
      </c>
      <c r="T7" s="53" t="s">
        <v>53</v>
      </c>
      <c r="U7" s="54">
        <v>400</v>
      </c>
      <c r="V7" s="55" t="s">
        <v>54</v>
      </c>
      <c r="W7" s="49">
        <v>45208</v>
      </c>
      <c r="X7" s="53" t="s">
        <v>50</v>
      </c>
      <c r="Y7" s="56">
        <v>400</v>
      </c>
      <c r="Z7" s="44"/>
      <c r="AA7" s="44"/>
      <c r="AB7" s="56"/>
      <c r="AC7" s="44"/>
      <c r="AD7" s="44"/>
      <c r="AE7" s="56"/>
      <c r="AF7" s="44"/>
      <c r="AG7" s="44"/>
      <c r="AH7" s="56"/>
      <c r="AI7" s="44"/>
      <c r="AJ7" s="44"/>
      <c r="AK7" s="56"/>
      <c r="AL7" s="44"/>
      <c r="AM7" s="57"/>
      <c r="AN7" s="57"/>
      <c r="AO7" s="44"/>
      <c r="AP7" s="44"/>
      <c r="AQ7" s="58"/>
      <c r="AR7" s="41"/>
    </row>
    <row r="8" spans="1:44" ht="30.75" customHeight="1">
      <c r="A8" s="41"/>
      <c r="B8" s="701"/>
      <c r="C8" s="59">
        <v>2</v>
      </c>
      <c r="D8" s="60" t="s">
        <v>55</v>
      </c>
      <c r="E8" s="61" t="s">
        <v>56</v>
      </c>
      <c r="F8" s="60" t="s">
        <v>43</v>
      </c>
      <c r="G8" s="62">
        <v>32056776</v>
      </c>
      <c r="H8" s="60">
        <v>39312</v>
      </c>
      <c r="I8" s="60">
        <f t="shared" ca="1" si="0"/>
        <v>18</v>
      </c>
      <c r="J8" s="63" t="s">
        <v>57</v>
      </c>
      <c r="K8" s="64" t="s">
        <v>58</v>
      </c>
      <c r="L8" s="65" t="s">
        <v>59</v>
      </c>
      <c r="M8" s="66" t="s">
        <v>60</v>
      </c>
      <c r="N8" s="62">
        <v>6965128</v>
      </c>
      <c r="O8" s="60" t="s">
        <v>61</v>
      </c>
      <c r="P8" s="67" t="s">
        <v>62</v>
      </c>
      <c r="Q8" s="68" t="s">
        <v>63</v>
      </c>
      <c r="R8" s="69" t="s">
        <v>64</v>
      </c>
      <c r="S8" s="69" t="s">
        <v>65</v>
      </c>
      <c r="T8" s="69" t="s">
        <v>66</v>
      </c>
      <c r="U8" s="70">
        <v>702</v>
      </c>
      <c r="V8" s="71" t="s">
        <v>54</v>
      </c>
      <c r="W8" s="72">
        <v>45233</v>
      </c>
      <c r="X8" s="69" t="s">
        <v>63</v>
      </c>
      <c r="Y8" s="73" t="s">
        <v>67</v>
      </c>
      <c r="Z8" s="74"/>
      <c r="AA8" s="74"/>
      <c r="AB8" s="73"/>
      <c r="AC8" s="74"/>
      <c r="AD8" s="74"/>
      <c r="AE8" s="73"/>
      <c r="AF8" s="74"/>
      <c r="AG8" s="74"/>
      <c r="AH8" s="73" t="s">
        <v>68</v>
      </c>
      <c r="AI8" s="60"/>
      <c r="AJ8" s="60"/>
      <c r="AK8" s="75"/>
      <c r="AL8" s="60"/>
      <c r="AM8" s="60"/>
      <c r="AN8" s="75"/>
      <c r="AO8" s="60"/>
      <c r="AP8" s="60"/>
      <c r="AQ8" s="76"/>
      <c r="AR8" s="41" t="s">
        <v>68</v>
      </c>
    </row>
    <row r="9" spans="1:44" ht="30.75" customHeight="1">
      <c r="A9" s="41"/>
      <c r="B9" s="701"/>
      <c r="C9" s="59">
        <v>3</v>
      </c>
      <c r="D9" s="60" t="s">
        <v>69</v>
      </c>
      <c r="E9" s="60" t="s">
        <v>70</v>
      </c>
      <c r="F9" s="60" t="s">
        <v>43</v>
      </c>
      <c r="G9" s="62">
        <v>32947324</v>
      </c>
      <c r="H9" s="60">
        <v>39700</v>
      </c>
      <c r="I9" s="60">
        <f t="shared" ca="1" si="0"/>
        <v>17</v>
      </c>
      <c r="J9" s="63" t="s">
        <v>71</v>
      </c>
      <c r="K9" s="64" t="s">
        <v>72</v>
      </c>
      <c r="L9" s="65" t="s">
        <v>73</v>
      </c>
      <c r="M9" s="66" t="s">
        <v>74</v>
      </c>
      <c r="N9" s="77">
        <v>13066018</v>
      </c>
      <c r="O9" s="60" t="s">
        <v>75</v>
      </c>
      <c r="P9" s="78" t="s">
        <v>71</v>
      </c>
      <c r="Q9" s="68" t="s">
        <v>76</v>
      </c>
      <c r="R9" s="69" t="s">
        <v>77</v>
      </c>
      <c r="S9" s="69"/>
      <c r="T9" s="69"/>
      <c r="U9" s="70"/>
      <c r="V9" s="79" t="s">
        <v>78</v>
      </c>
      <c r="W9" s="72">
        <v>45241</v>
      </c>
      <c r="X9" s="69" t="s">
        <v>76</v>
      </c>
      <c r="Y9" s="75"/>
      <c r="Z9" s="60"/>
      <c r="AA9" s="60"/>
      <c r="AB9" s="75"/>
      <c r="AC9" s="60"/>
      <c r="AD9" s="60"/>
      <c r="AE9" s="75"/>
      <c r="AF9" s="60"/>
      <c r="AG9" s="60"/>
      <c r="AH9" s="75"/>
      <c r="AI9" s="60"/>
      <c r="AJ9" s="60"/>
      <c r="AK9" s="75"/>
      <c r="AL9" s="60"/>
      <c r="AM9" s="60"/>
      <c r="AN9" s="75"/>
      <c r="AO9" s="60"/>
      <c r="AP9" s="60"/>
      <c r="AQ9" s="76"/>
      <c r="AR9" s="41"/>
    </row>
    <row r="10" spans="1:44" ht="30.75" customHeight="1">
      <c r="A10" s="41"/>
      <c r="B10" s="701"/>
      <c r="C10" s="59">
        <v>4</v>
      </c>
      <c r="D10" s="60" t="s">
        <v>79</v>
      </c>
      <c r="E10" s="60" t="s">
        <v>80</v>
      </c>
      <c r="F10" s="60" t="s">
        <v>43</v>
      </c>
      <c r="G10" s="62">
        <v>33625463</v>
      </c>
      <c r="H10" s="60">
        <v>40863</v>
      </c>
      <c r="I10" s="60">
        <f t="shared" ca="1" si="0"/>
        <v>14</v>
      </c>
      <c r="J10" s="63" t="s">
        <v>81</v>
      </c>
      <c r="K10" s="64"/>
      <c r="L10" s="65" t="s">
        <v>82</v>
      </c>
      <c r="M10" s="66" t="s">
        <v>83</v>
      </c>
      <c r="N10" s="77">
        <v>16286066</v>
      </c>
      <c r="O10" s="60" t="s">
        <v>84</v>
      </c>
      <c r="P10" s="67" t="s">
        <v>81</v>
      </c>
      <c r="Q10" s="68" t="s">
        <v>50</v>
      </c>
      <c r="R10" s="69" t="s">
        <v>77</v>
      </c>
      <c r="S10" s="69" t="s">
        <v>85</v>
      </c>
      <c r="T10" s="69" t="s">
        <v>66</v>
      </c>
      <c r="U10" s="70" t="s">
        <v>86</v>
      </c>
      <c r="V10" s="79" t="s">
        <v>54</v>
      </c>
      <c r="W10" s="72">
        <v>45245</v>
      </c>
      <c r="X10" s="69" t="s">
        <v>50</v>
      </c>
      <c r="Y10" s="75">
        <v>240</v>
      </c>
      <c r="Z10" s="60"/>
      <c r="AA10" s="60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80"/>
      <c r="AR10" s="41"/>
    </row>
    <row r="11" spans="1:44" ht="30.75" customHeight="1">
      <c r="A11" s="41"/>
      <c r="B11" s="701"/>
      <c r="C11" s="59">
        <v>5</v>
      </c>
      <c r="D11" s="60" t="s">
        <v>87</v>
      </c>
      <c r="E11" s="60" t="s">
        <v>88</v>
      </c>
      <c r="F11" s="60" t="s">
        <v>43</v>
      </c>
      <c r="G11" s="62"/>
      <c r="H11" s="60">
        <v>43195</v>
      </c>
      <c r="I11" s="60">
        <f t="shared" ca="1" si="0"/>
        <v>8</v>
      </c>
      <c r="J11" s="63" t="s">
        <v>89</v>
      </c>
      <c r="K11" s="64"/>
      <c r="L11" s="65" t="s">
        <v>90</v>
      </c>
      <c r="M11" s="66" t="s">
        <v>91</v>
      </c>
      <c r="N11" s="77">
        <v>19391787</v>
      </c>
      <c r="O11" s="60" t="s">
        <v>92</v>
      </c>
      <c r="P11" s="67" t="s">
        <v>93</v>
      </c>
      <c r="Q11" s="68" t="s">
        <v>94</v>
      </c>
      <c r="R11" s="69" t="s">
        <v>95</v>
      </c>
      <c r="S11" s="69" t="s">
        <v>85</v>
      </c>
      <c r="T11" s="69" t="s">
        <v>66</v>
      </c>
      <c r="U11" s="70" t="s">
        <v>86</v>
      </c>
      <c r="V11" s="79" t="s">
        <v>78</v>
      </c>
      <c r="W11" s="66">
        <v>45251</v>
      </c>
      <c r="X11" s="69" t="s">
        <v>96</v>
      </c>
      <c r="Y11" s="75" t="s">
        <v>97</v>
      </c>
      <c r="Z11" s="60"/>
      <c r="AA11" s="60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80"/>
      <c r="AR11" s="41"/>
    </row>
    <row r="12" spans="1:44" ht="30.75" customHeight="1">
      <c r="A12" s="41"/>
      <c r="B12" s="701"/>
      <c r="C12" s="59">
        <v>6</v>
      </c>
      <c r="D12" s="60" t="s">
        <v>98</v>
      </c>
      <c r="E12" s="60" t="s">
        <v>99</v>
      </c>
      <c r="F12" s="60" t="s">
        <v>43</v>
      </c>
      <c r="G12" s="62">
        <v>32707985</v>
      </c>
      <c r="H12" s="60">
        <v>39610</v>
      </c>
      <c r="I12" s="60">
        <f t="shared" ca="1" si="0"/>
        <v>17</v>
      </c>
      <c r="J12" s="63" t="s">
        <v>100</v>
      </c>
      <c r="K12" s="64" t="s">
        <v>101</v>
      </c>
      <c r="L12" s="65" t="s">
        <v>102</v>
      </c>
      <c r="M12" s="66" t="s">
        <v>103</v>
      </c>
      <c r="N12" s="77">
        <v>10283219</v>
      </c>
      <c r="O12" s="60" t="s">
        <v>104</v>
      </c>
      <c r="P12" s="67" t="s">
        <v>105</v>
      </c>
      <c r="Q12" s="68" t="s">
        <v>106</v>
      </c>
      <c r="R12" s="69" t="s">
        <v>107</v>
      </c>
      <c r="S12" s="69" t="s">
        <v>85</v>
      </c>
      <c r="T12" s="69"/>
      <c r="U12" s="70">
        <v>240</v>
      </c>
      <c r="V12" s="79" t="s">
        <v>54</v>
      </c>
      <c r="W12" s="66">
        <v>45251</v>
      </c>
      <c r="X12" s="69" t="s">
        <v>106</v>
      </c>
      <c r="Y12" s="75">
        <v>240</v>
      </c>
      <c r="Z12" s="60"/>
      <c r="AA12" s="60"/>
      <c r="AB12" s="75"/>
      <c r="AC12" s="60"/>
      <c r="AD12" s="60"/>
      <c r="AE12" s="75"/>
      <c r="AF12" s="60"/>
      <c r="AG12" s="60"/>
      <c r="AH12" s="75"/>
      <c r="AI12" s="60"/>
      <c r="AJ12" s="60"/>
      <c r="AK12" s="75"/>
      <c r="AL12" s="74"/>
      <c r="AM12" s="74"/>
      <c r="AN12" s="74"/>
      <c r="AO12" s="74"/>
      <c r="AP12" s="74"/>
      <c r="AQ12" s="80"/>
      <c r="AR12" s="41"/>
    </row>
    <row r="13" spans="1:44" ht="30.75" customHeight="1">
      <c r="A13" s="41"/>
      <c r="B13" s="701"/>
      <c r="C13" s="59">
        <v>7</v>
      </c>
      <c r="D13" s="60" t="s">
        <v>108</v>
      </c>
      <c r="E13" s="60" t="s">
        <v>109</v>
      </c>
      <c r="F13" s="60" t="s">
        <v>43</v>
      </c>
      <c r="G13" s="62"/>
      <c r="H13" s="60">
        <v>43200</v>
      </c>
      <c r="I13" s="60">
        <f t="shared" ca="1" si="0"/>
        <v>8</v>
      </c>
      <c r="J13" s="63" t="s">
        <v>110</v>
      </c>
      <c r="K13" s="64"/>
      <c r="L13" s="81" t="s">
        <v>111</v>
      </c>
      <c r="M13" s="66" t="s">
        <v>112</v>
      </c>
      <c r="N13" s="77">
        <v>15914411</v>
      </c>
      <c r="O13" s="60" t="s">
        <v>113</v>
      </c>
      <c r="P13" s="78" t="s">
        <v>110</v>
      </c>
      <c r="Q13" s="68" t="s">
        <v>94</v>
      </c>
      <c r="R13" s="69" t="s">
        <v>77</v>
      </c>
      <c r="S13" s="69" t="s">
        <v>85</v>
      </c>
      <c r="T13" s="69" t="s">
        <v>66</v>
      </c>
      <c r="U13" s="70">
        <v>100</v>
      </c>
      <c r="V13" s="79" t="s">
        <v>54</v>
      </c>
      <c r="W13" s="66">
        <v>45251</v>
      </c>
      <c r="X13" s="69" t="s">
        <v>96</v>
      </c>
      <c r="Y13" s="75" t="s">
        <v>114</v>
      </c>
      <c r="Z13" s="60"/>
      <c r="AA13" s="60"/>
      <c r="AB13" s="75"/>
      <c r="AC13" s="60"/>
      <c r="AD13" s="60"/>
      <c r="AE13" s="75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80"/>
      <c r="AR13" s="41"/>
    </row>
    <row r="14" spans="1:44" ht="30.75" customHeight="1">
      <c r="A14" s="41"/>
      <c r="B14" s="701"/>
      <c r="C14" s="59">
        <v>8</v>
      </c>
      <c r="D14" s="60" t="s">
        <v>115</v>
      </c>
      <c r="E14" s="60" t="s">
        <v>116</v>
      </c>
      <c r="F14" s="60" t="s">
        <v>43</v>
      </c>
      <c r="G14" s="62">
        <v>32026908</v>
      </c>
      <c r="H14" s="60">
        <v>39028</v>
      </c>
      <c r="I14" s="60">
        <f t="shared" ca="1" si="0"/>
        <v>19</v>
      </c>
      <c r="J14" s="63" t="s">
        <v>117</v>
      </c>
      <c r="K14" s="64" t="s">
        <v>118</v>
      </c>
      <c r="L14" s="81" t="s">
        <v>102</v>
      </c>
      <c r="M14" s="66" t="s">
        <v>103</v>
      </c>
      <c r="N14" s="77">
        <v>10283219</v>
      </c>
      <c r="O14" s="60" t="s">
        <v>104</v>
      </c>
      <c r="P14" s="67" t="s">
        <v>105</v>
      </c>
      <c r="Q14" s="68" t="s">
        <v>119</v>
      </c>
      <c r="R14" s="69" t="s">
        <v>120</v>
      </c>
      <c r="S14" s="69" t="s">
        <v>85</v>
      </c>
      <c r="T14" s="69"/>
      <c r="U14" s="70">
        <v>240</v>
      </c>
      <c r="V14" s="79" t="s">
        <v>54</v>
      </c>
      <c r="W14" s="66">
        <v>45251</v>
      </c>
      <c r="X14" s="69" t="s">
        <v>119</v>
      </c>
      <c r="Y14" s="75">
        <v>240</v>
      </c>
      <c r="Z14" s="60"/>
      <c r="AA14" s="60"/>
      <c r="AB14" s="75"/>
      <c r="AC14" s="74"/>
      <c r="AD14" s="74"/>
      <c r="AE14" s="74"/>
      <c r="AF14" s="60"/>
      <c r="AG14" s="60"/>
      <c r="AH14" s="75"/>
      <c r="AI14" s="60"/>
      <c r="AJ14" s="60"/>
      <c r="AK14" s="75"/>
      <c r="AL14" s="74"/>
      <c r="AM14" s="74"/>
      <c r="AN14" s="74"/>
      <c r="AO14" s="74"/>
      <c r="AP14" s="74"/>
      <c r="AQ14" s="80"/>
      <c r="AR14" s="41"/>
    </row>
    <row r="15" spans="1:44" ht="30.75" customHeight="1">
      <c r="A15" s="41"/>
      <c r="B15" s="701"/>
      <c r="C15" s="59">
        <v>9</v>
      </c>
      <c r="D15" s="60" t="s">
        <v>121</v>
      </c>
      <c r="E15" s="60" t="s">
        <v>122</v>
      </c>
      <c r="F15" s="60" t="s">
        <v>43</v>
      </c>
      <c r="G15" s="60" t="s">
        <v>123</v>
      </c>
      <c r="H15" s="60">
        <v>41708</v>
      </c>
      <c r="I15" s="60">
        <f t="shared" ca="1" si="0"/>
        <v>12</v>
      </c>
      <c r="J15" s="63" t="s">
        <v>124</v>
      </c>
      <c r="K15" s="64" t="s">
        <v>125</v>
      </c>
      <c r="L15" s="81" t="s">
        <v>126</v>
      </c>
      <c r="M15" s="66" t="s">
        <v>127</v>
      </c>
      <c r="N15" s="77">
        <v>13727828</v>
      </c>
      <c r="O15" s="60" t="s">
        <v>128</v>
      </c>
      <c r="P15" s="67" t="s">
        <v>124</v>
      </c>
      <c r="Q15" s="68" t="s">
        <v>129</v>
      </c>
      <c r="R15" s="69" t="s">
        <v>130</v>
      </c>
      <c r="S15" s="69" t="s">
        <v>85</v>
      </c>
      <c r="T15" s="69" t="s">
        <v>66</v>
      </c>
      <c r="U15" s="70">
        <v>100</v>
      </c>
      <c r="V15" s="79" t="s">
        <v>54</v>
      </c>
      <c r="W15" s="66">
        <v>45259</v>
      </c>
      <c r="X15" s="69" t="s">
        <v>129</v>
      </c>
      <c r="Y15" s="75" t="s">
        <v>114</v>
      </c>
      <c r="Z15" s="60"/>
      <c r="AA15" s="60"/>
      <c r="AB15" s="74"/>
      <c r="AC15" s="60"/>
      <c r="AD15" s="60"/>
      <c r="AE15" s="75"/>
      <c r="AF15" s="60"/>
      <c r="AG15" s="60"/>
      <c r="AH15" s="75"/>
      <c r="AI15" s="60"/>
      <c r="AJ15" s="60"/>
      <c r="AK15" s="75"/>
      <c r="AL15" s="74"/>
      <c r="AM15" s="74"/>
      <c r="AN15" s="74"/>
      <c r="AO15" s="74"/>
      <c r="AP15" s="74"/>
      <c r="AQ15" s="80"/>
      <c r="AR15" s="41"/>
    </row>
    <row r="16" spans="1:44" ht="30.75" customHeight="1">
      <c r="A16" s="41"/>
      <c r="B16" s="701"/>
      <c r="C16" s="59">
        <v>10</v>
      </c>
      <c r="D16" s="60" t="s">
        <v>131</v>
      </c>
      <c r="E16" s="60" t="s">
        <v>132</v>
      </c>
      <c r="F16" s="60" t="s">
        <v>43</v>
      </c>
      <c r="G16" s="62">
        <v>36069604</v>
      </c>
      <c r="H16" s="60">
        <v>41660</v>
      </c>
      <c r="I16" s="60">
        <f t="shared" ca="1" si="0"/>
        <v>12</v>
      </c>
      <c r="J16" s="63" t="s">
        <v>133</v>
      </c>
      <c r="K16" s="64" t="s">
        <v>134</v>
      </c>
      <c r="L16" s="65" t="s">
        <v>135</v>
      </c>
      <c r="M16" s="66" t="s">
        <v>136</v>
      </c>
      <c r="N16" s="62">
        <v>20115114</v>
      </c>
      <c r="O16" s="60" t="s">
        <v>137</v>
      </c>
      <c r="P16" s="78" t="s">
        <v>133</v>
      </c>
      <c r="Q16" s="68" t="s">
        <v>129</v>
      </c>
      <c r="R16" s="69" t="s">
        <v>64</v>
      </c>
      <c r="S16" s="69" t="s">
        <v>138</v>
      </c>
      <c r="T16" s="69"/>
      <c r="U16" s="70">
        <v>240</v>
      </c>
      <c r="V16" s="79" t="s">
        <v>78</v>
      </c>
      <c r="W16" s="66">
        <v>45266</v>
      </c>
      <c r="X16" s="69" t="s">
        <v>129</v>
      </c>
      <c r="Y16" s="75">
        <v>240</v>
      </c>
      <c r="Z16" s="60"/>
      <c r="AA16" s="60"/>
      <c r="AB16" s="75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80"/>
      <c r="AR16" s="41"/>
    </row>
    <row r="17" spans="1:44" ht="30.75" customHeight="1">
      <c r="A17" s="41"/>
      <c r="B17" s="701"/>
      <c r="C17" s="59">
        <v>11</v>
      </c>
      <c r="D17" s="60" t="s">
        <v>139</v>
      </c>
      <c r="E17" s="60" t="s">
        <v>140</v>
      </c>
      <c r="F17" s="60" t="s">
        <v>43</v>
      </c>
      <c r="G17" s="62"/>
      <c r="H17" s="60">
        <v>42283</v>
      </c>
      <c r="I17" s="60">
        <f t="shared" ca="1" si="0"/>
        <v>10</v>
      </c>
      <c r="J17" s="63" t="s">
        <v>141</v>
      </c>
      <c r="K17" s="64"/>
      <c r="L17" s="65" t="s">
        <v>142</v>
      </c>
      <c r="M17" s="66" t="s">
        <v>143</v>
      </c>
      <c r="N17" s="77">
        <v>16959039</v>
      </c>
      <c r="O17" s="82" t="s">
        <v>144</v>
      </c>
      <c r="P17" s="67" t="s">
        <v>145</v>
      </c>
      <c r="Q17" s="68" t="s">
        <v>129</v>
      </c>
      <c r="R17" s="69" t="s">
        <v>146</v>
      </c>
      <c r="S17" s="69"/>
      <c r="T17" s="69"/>
      <c r="U17" s="70">
        <v>240</v>
      </c>
      <c r="V17" s="79" t="s">
        <v>54</v>
      </c>
      <c r="W17" s="66">
        <v>45267</v>
      </c>
      <c r="X17" s="69" t="s">
        <v>129</v>
      </c>
      <c r="Y17" s="75">
        <v>240</v>
      </c>
      <c r="Z17" s="60"/>
      <c r="AA17" s="60"/>
      <c r="AB17" s="74"/>
      <c r="AC17" s="60"/>
      <c r="AD17" s="60"/>
      <c r="AE17" s="75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80"/>
      <c r="AR17" s="41"/>
    </row>
    <row r="18" spans="1:44" ht="30.75" customHeight="1">
      <c r="A18" s="41"/>
      <c r="B18" s="701"/>
      <c r="C18" s="59">
        <v>12</v>
      </c>
      <c r="D18" s="60" t="s">
        <v>147</v>
      </c>
      <c r="E18" s="60" t="s">
        <v>148</v>
      </c>
      <c r="F18" s="60" t="s">
        <v>43</v>
      </c>
      <c r="G18" s="62">
        <v>33329037</v>
      </c>
      <c r="H18" s="60">
        <v>40392</v>
      </c>
      <c r="I18" s="60">
        <f t="shared" ca="1" si="0"/>
        <v>15</v>
      </c>
      <c r="J18" s="63" t="s">
        <v>149</v>
      </c>
      <c r="K18" s="64" t="s">
        <v>150</v>
      </c>
      <c r="L18" s="65" t="s">
        <v>151</v>
      </c>
      <c r="M18" s="66" t="s">
        <v>152</v>
      </c>
      <c r="N18" s="77">
        <v>18539781</v>
      </c>
      <c r="O18" s="60" t="s">
        <v>153</v>
      </c>
      <c r="P18" s="67" t="s">
        <v>154</v>
      </c>
      <c r="Q18" s="68" t="s">
        <v>50</v>
      </c>
      <c r="R18" s="69" t="s">
        <v>77</v>
      </c>
      <c r="S18" s="69" t="s">
        <v>138</v>
      </c>
      <c r="T18" s="69" t="s">
        <v>66</v>
      </c>
      <c r="U18" s="70">
        <v>100</v>
      </c>
      <c r="V18" s="79" t="s">
        <v>78</v>
      </c>
      <c r="W18" s="66">
        <v>45268</v>
      </c>
      <c r="X18" s="69" t="s">
        <v>50</v>
      </c>
      <c r="Y18" s="75" t="s">
        <v>114</v>
      </c>
      <c r="Z18" s="74"/>
      <c r="AA18" s="74"/>
      <c r="AB18" s="74"/>
      <c r="AC18" s="60"/>
      <c r="AD18" s="60"/>
      <c r="AE18" s="75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80"/>
      <c r="AR18" s="41"/>
    </row>
    <row r="19" spans="1:44" ht="30.75" customHeight="1">
      <c r="A19" s="41"/>
      <c r="B19" s="701"/>
      <c r="C19" s="59">
        <v>13</v>
      </c>
      <c r="D19" s="60" t="s">
        <v>155</v>
      </c>
      <c r="E19" s="60" t="s">
        <v>156</v>
      </c>
      <c r="F19" s="60" t="s">
        <v>43</v>
      </c>
      <c r="G19" s="62"/>
      <c r="H19" s="60">
        <v>41731</v>
      </c>
      <c r="I19" s="60">
        <f t="shared" ca="1" si="0"/>
        <v>12</v>
      </c>
      <c r="J19" s="63" t="s">
        <v>157</v>
      </c>
      <c r="K19" s="64" t="s">
        <v>158</v>
      </c>
      <c r="L19" s="65" t="s">
        <v>159</v>
      </c>
      <c r="M19" s="66" t="s">
        <v>160</v>
      </c>
      <c r="N19" s="62">
        <v>14418138</v>
      </c>
      <c r="O19" s="60" t="s">
        <v>161</v>
      </c>
      <c r="P19" s="78" t="s">
        <v>162</v>
      </c>
      <c r="Q19" s="68" t="s">
        <v>129</v>
      </c>
      <c r="R19" s="69" t="s">
        <v>64</v>
      </c>
      <c r="S19" s="69" t="s">
        <v>138</v>
      </c>
      <c r="T19" s="69" t="s">
        <v>66</v>
      </c>
      <c r="U19" s="70">
        <v>100</v>
      </c>
      <c r="V19" s="79" t="s">
        <v>78</v>
      </c>
      <c r="W19" s="66">
        <v>45268</v>
      </c>
      <c r="X19" s="69" t="s">
        <v>129</v>
      </c>
      <c r="Y19" s="75" t="s">
        <v>114</v>
      </c>
      <c r="Z19" s="60"/>
      <c r="AA19" s="60"/>
      <c r="AB19" s="75"/>
      <c r="AC19" s="60"/>
      <c r="AD19" s="60"/>
      <c r="AE19" s="75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80"/>
      <c r="AR19" s="41"/>
    </row>
    <row r="20" spans="1:44" ht="30.75" customHeight="1">
      <c r="A20" s="41"/>
      <c r="B20" s="701"/>
      <c r="C20" s="59">
        <v>14</v>
      </c>
      <c r="D20" s="60" t="s">
        <v>163</v>
      </c>
      <c r="E20" s="60" t="s">
        <v>164</v>
      </c>
      <c r="F20" s="60" t="s">
        <v>43</v>
      </c>
      <c r="G20" s="62">
        <v>33853048</v>
      </c>
      <c r="H20" s="60">
        <v>40446</v>
      </c>
      <c r="I20" s="60">
        <f t="shared" ca="1" si="0"/>
        <v>15</v>
      </c>
      <c r="J20" s="63" t="s">
        <v>165</v>
      </c>
      <c r="K20" s="64" t="s">
        <v>166</v>
      </c>
      <c r="L20" s="65" t="s">
        <v>167</v>
      </c>
      <c r="M20" s="66" t="s">
        <v>168</v>
      </c>
      <c r="N20" s="62">
        <v>16887066</v>
      </c>
      <c r="O20" s="60" t="s">
        <v>169</v>
      </c>
      <c r="P20" s="67" t="s">
        <v>170</v>
      </c>
      <c r="Q20" s="68" t="s">
        <v>50</v>
      </c>
      <c r="R20" s="69" t="s">
        <v>171</v>
      </c>
      <c r="S20" s="69" t="s">
        <v>138</v>
      </c>
      <c r="T20" s="69" t="s">
        <v>66</v>
      </c>
      <c r="U20" s="70">
        <v>100</v>
      </c>
      <c r="V20" s="79" t="s">
        <v>78</v>
      </c>
      <c r="W20" s="66">
        <v>45269</v>
      </c>
      <c r="X20" s="69" t="s">
        <v>50</v>
      </c>
      <c r="Y20" s="75" t="s">
        <v>114</v>
      </c>
      <c r="Z20" s="60"/>
      <c r="AA20" s="60"/>
      <c r="AB20" s="75"/>
      <c r="AC20" s="60"/>
      <c r="AD20" s="60"/>
      <c r="AE20" s="75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80"/>
      <c r="AR20" s="41"/>
    </row>
    <row r="21" spans="1:44" ht="30.75" customHeight="1">
      <c r="A21" s="41"/>
      <c r="B21" s="701"/>
      <c r="C21" s="59">
        <v>15</v>
      </c>
      <c r="D21" s="60" t="s">
        <v>172</v>
      </c>
      <c r="E21" s="60" t="s">
        <v>173</v>
      </c>
      <c r="F21" s="60" t="s">
        <v>43</v>
      </c>
      <c r="G21" s="62"/>
      <c r="H21" s="60">
        <v>41772</v>
      </c>
      <c r="I21" s="60">
        <f t="shared" ca="1" si="0"/>
        <v>12</v>
      </c>
      <c r="J21" s="63"/>
      <c r="K21" s="64"/>
      <c r="L21" s="65" t="s">
        <v>174</v>
      </c>
      <c r="M21" s="66" t="s">
        <v>175</v>
      </c>
      <c r="N21" s="62">
        <v>16019615</v>
      </c>
      <c r="O21" s="60" t="s">
        <v>176</v>
      </c>
      <c r="P21" s="80"/>
      <c r="Q21" s="68" t="s">
        <v>129</v>
      </c>
      <c r="R21" s="69" t="s">
        <v>177</v>
      </c>
      <c r="S21" s="69" t="s">
        <v>138</v>
      </c>
      <c r="T21" s="69" t="s">
        <v>66</v>
      </c>
      <c r="U21" s="70">
        <v>100</v>
      </c>
      <c r="V21" s="79" t="s">
        <v>78</v>
      </c>
      <c r="W21" s="66">
        <v>45271</v>
      </c>
      <c r="X21" s="69" t="s">
        <v>129</v>
      </c>
      <c r="Y21" s="75" t="s">
        <v>114</v>
      </c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80"/>
      <c r="AR21" s="41"/>
    </row>
    <row r="22" spans="1:44" ht="30.75" customHeight="1">
      <c r="A22" s="41"/>
      <c r="B22" s="701"/>
      <c r="C22" s="59">
        <v>16</v>
      </c>
      <c r="D22" s="60" t="s">
        <v>178</v>
      </c>
      <c r="E22" s="60" t="s">
        <v>179</v>
      </c>
      <c r="F22" s="60" t="s">
        <v>43</v>
      </c>
      <c r="G22" s="62">
        <v>36633526</v>
      </c>
      <c r="H22" s="60">
        <v>42181</v>
      </c>
      <c r="I22" s="60">
        <f t="shared" ca="1" si="0"/>
        <v>10</v>
      </c>
      <c r="J22" s="63" t="s">
        <v>180</v>
      </c>
      <c r="K22" s="64" t="s">
        <v>181</v>
      </c>
      <c r="L22" s="81" t="s">
        <v>182</v>
      </c>
      <c r="M22" s="66" t="s">
        <v>183</v>
      </c>
      <c r="N22" s="77">
        <v>13909917</v>
      </c>
      <c r="O22" s="60" t="s">
        <v>184</v>
      </c>
      <c r="P22" s="67" t="s">
        <v>180</v>
      </c>
      <c r="Q22" s="68" t="s">
        <v>185</v>
      </c>
      <c r="R22" s="69" t="s">
        <v>146</v>
      </c>
      <c r="S22" s="69" t="s">
        <v>186</v>
      </c>
      <c r="T22" s="69" t="s">
        <v>66</v>
      </c>
      <c r="U22" s="70">
        <v>240</v>
      </c>
      <c r="V22" s="79" t="s">
        <v>54</v>
      </c>
      <c r="W22" s="66">
        <v>45271</v>
      </c>
      <c r="X22" s="69" t="s">
        <v>185</v>
      </c>
      <c r="Y22" s="75" t="s">
        <v>86</v>
      </c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80"/>
      <c r="AR22" s="41"/>
    </row>
    <row r="23" spans="1:44" ht="30.75" customHeight="1">
      <c r="A23" s="41"/>
      <c r="B23" s="701"/>
      <c r="C23" s="59">
        <v>17</v>
      </c>
      <c r="D23" s="60" t="s">
        <v>187</v>
      </c>
      <c r="E23" s="60" t="s">
        <v>188</v>
      </c>
      <c r="F23" s="60" t="s">
        <v>43</v>
      </c>
      <c r="G23" s="62">
        <v>36059843</v>
      </c>
      <c r="H23" s="60">
        <v>41675</v>
      </c>
      <c r="I23" s="60">
        <f t="shared" ca="1" si="0"/>
        <v>12</v>
      </c>
      <c r="J23" s="63" t="s">
        <v>189</v>
      </c>
      <c r="K23" s="64"/>
      <c r="L23" s="65" t="s">
        <v>190</v>
      </c>
      <c r="M23" s="66" t="s">
        <v>191</v>
      </c>
      <c r="N23" s="77">
        <v>14675913</v>
      </c>
      <c r="O23" s="60" t="s">
        <v>192</v>
      </c>
      <c r="P23" s="67" t="s">
        <v>189</v>
      </c>
      <c r="Q23" s="68" t="s">
        <v>129</v>
      </c>
      <c r="R23" s="69" t="s">
        <v>64</v>
      </c>
      <c r="S23" s="69" t="s">
        <v>138</v>
      </c>
      <c r="T23" s="69" t="s">
        <v>66</v>
      </c>
      <c r="U23" s="70">
        <v>240</v>
      </c>
      <c r="V23" s="79" t="s">
        <v>78</v>
      </c>
      <c r="W23" s="66">
        <v>45271</v>
      </c>
      <c r="X23" s="69" t="s">
        <v>129</v>
      </c>
      <c r="Y23" s="75">
        <v>200</v>
      </c>
      <c r="Z23" s="60"/>
      <c r="AA23" s="60"/>
      <c r="AB23" s="75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80"/>
      <c r="AR23" s="41"/>
    </row>
    <row r="24" spans="1:44" ht="30.75" customHeight="1">
      <c r="A24" s="41"/>
      <c r="B24" s="701"/>
      <c r="C24" s="59">
        <v>18</v>
      </c>
      <c r="D24" s="60" t="s">
        <v>193</v>
      </c>
      <c r="E24" s="60" t="s">
        <v>194</v>
      </c>
      <c r="F24" s="60" t="s">
        <v>43</v>
      </c>
      <c r="G24" s="62">
        <v>31000390</v>
      </c>
      <c r="H24" s="60">
        <v>38097</v>
      </c>
      <c r="I24" s="60">
        <f t="shared" ca="1" si="0"/>
        <v>22</v>
      </c>
      <c r="J24" s="63" t="s">
        <v>195</v>
      </c>
      <c r="K24" s="64" t="s">
        <v>196</v>
      </c>
      <c r="L24" s="65" t="s">
        <v>197</v>
      </c>
      <c r="M24" s="66" t="s">
        <v>198</v>
      </c>
      <c r="N24" s="77">
        <v>12877722</v>
      </c>
      <c r="O24" s="60" t="s">
        <v>199</v>
      </c>
      <c r="P24" s="67" t="s">
        <v>200</v>
      </c>
      <c r="Q24" s="68" t="s">
        <v>50</v>
      </c>
      <c r="R24" s="69" t="s">
        <v>171</v>
      </c>
      <c r="S24" s="69" t="s">
        <v>201</v>
      </c>
      <c r="T24" s="69" t="s">
        <v>202</v>
      </c>
      <c r="U24" s="70">
        <v>100</v>
      </c>
      <c r="V24" s="79" t="s">
        <v>54</v>
      </c>
      <c r="W24" s="66">
        <v>45271</v>
      </c>
      <c r="X24" s="69" t="s">
        <v>50</v>
      </c>
      <c r="Y24" s="75" t="s">
        <v>86</v>
      </c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80"/>
      <c r="AR24" s="41"/>
    </row>
    <row r="25" spans="1:44" ht="30.75" customHeight="1">
      <c r="A25" s="41"/>
      <c r="B25" s="701"/>
      <c r="C25" s="59">
        <v>19</v>
      </c>
      <c r="D25" s="60" t="s">
        <v>203</v>
      </c>
      <c r="E25" s="60" t="s">
        <v>204</v>
      </c>
      <c r="F25" s="60" t="s">
        <v>43</v>
      </c>
      <c r="G25" s="62"/>
      <c r="H25" s="60">
        <v>41871</v>
      </c>
      <c r="I25" s="60">
        <f t="shared" ca="1" si="0"/>
        <v>11</v>
      </c>
      <c r="J25" s="63" t="s">
        <v>205</v>
      </c>
      <c r="K25" s="64" t="s">
        <v>206</v>
      </c>
      <c r="L25" s="65" t="s">
        <v>207</v>
      </c>
      <c r="M25" s="66" t="s">
        <v>208</v>
      </c>
      <c r="N25" s="77">
        <v>19711074</v>
      </c>
      <c r="O25" s="60" t="s">
        <v>209</v>
      </c>
      <c r="P25" s="67" t="s">
        <v>205</v>
      </c>
      <c r="Q25" s="68" t="s">
        <v>129</v>
      </c>
      <c r="R25" s="69" t="s">
        <v>210</v>
      </c>
      <c r="S25" s="69" t="s">
        <v>138</v>
      </c>
      <c r="T25" s="69" t="s">
        <v>66</v>
      </c>
      <c r="U25" s="70">
        <v>100</v>
      </c>
      <c r="V25" s="79" t="s">
        <v>78</v>
      </c>
      <c r="W25" s="66">
        <v>45271</v>
      </c>
      <c r="X25" s="69" t="s">
        <v>129</v>
      </c>
      <c r="Y25" s="75" t="s">
        <v>114</v>
      </c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80"/>
      <c r="AR25" s="41"/>
    </row>
    <row r="26" spans="1:44" ht="30.75" customHeight="1">
      <c r="A26" s="41"/>
      <c r="B26" s="702"/>
      <c r="C26" s="83">
        <v>20</v>
      </c>
      <c r="D26" s="84" t="s">
        <v>211</v>
      </c>
      <c r="E26" s="84" t="s">
        <v>212</v>
      </c>
      <c r="F26" s="84" t="s">
        <v>43</v>
      </c>
      <c r="G26" s="85"/>
      <c r="H26" s="84">
        <v>42422</v>
      </c>
      <c r="I26" s="84">
        <f t="shared" ca="1" si="0"/>
        <v>10</v>
      </c>
      <c r="J26" s="86" t="s">
        <v>213</v>
      </c>
      <c r="K26" s="87"/>
      <c r="L26" s="88" t="s">
        <v>214</v>
      </c>
      <c r="M26" s="89" t="s">
        <v>215</v>
      </c>
      <c r="N26" s="90">
        <v>14481759</v>
      </c>
      <c r="O26" s="84" t="s">
        <v>216</v>
      </c>
      <c r="P26" s="91" t="s">
        <v>213</v>
      </c>
      <c r="Q26" s="92" t="s">
        <v>129</v>
      </c>
      <c r="R26" s="93" t="s">
        <v>64</v>
      </c>
      <c r="S26" s="93" t="s">
        <v>138</v>
      </c>
      <c r="T26" s="93" t="s">
        <v>66</v>
      </c>
      <c r="U26" s="94">
        <v>240</v>
      </c>
      <c r="V26" s="95" t="s">
        <v>78</v>
      </c>
      <c r="W26" s="89">
        <v>45273</v>
      </c>
      <c r="X26" s="93" t="s">
        <v>129</v>
      </c>
      <c r="Y26" s="96" t="s">
        <v>86</v>
      </c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8"/>
      <c r="AR26" s="41"/>
    </row>
    <row r="27" spans="1:44" ht="30.75" customHeight="1">
      <c r="A27" s="41"/>
      <c r="B27" s="700" t="s">
        <v>217</v>
      </c>
      <c r="C27" s="42">
        <v>21</v>
      </c>
      <c r="D27" s="44" t="s">
        <v>218</v>
      </c>
      <c r="E27" s="44" t="s">
        <v>219</v>
      </c>
      <c r="F27" s="44" t="s">
        <v>43</v>
      </c>
      <c r="G27" s="44"/>
      <c r="H27" s="57">
        <v>41944</v>
      </c>
      <c r="I27" s="44">
        <f t="shared" ca="1" si="0"/>
        <v>11</v>
      </c>
      <c r="J27" s="46" t="s">
        <v>220</v>
      </c>
      <c r="K27" s="47"/>
      <c r="L27" s="48" t="s">
        <v>221</v>
      </c>
      <c r="M27" s="49" t="s">
        <v>222</v>
      </c>
      <c r="N27" s="45">
        <v>17980412</v>
      </c>
      <c r="O27" s="44" t="s">
        <v>223</v>
      </c>
      <c r="P27" s="51" t="s">
        <v>220</v>
      </c>
      <c r="Q27" s="99" t="s">
        <v>129</v>
      </c>
      <c r="R27" s="53" t="s">
        <v>64</v>
      </c>
      <c r="S27" s="53" t="s">
        <v>186</v>
      </c>
      <c r="T27" s="53" t="s">
        <v>66</v>
      </c>
      <c r="U27" s="54">
        <v>240</v>
      </c>
      <c r="V27" s="55" t="s">
        <v>54</v>
      </c>
      <c r="W27" s="100">
        <v>45273</v>
      </c>
      <c r="X27" s="53" t="s">
        <v>129</v>
      </c>
      <c r="Y27" s="101" t="s">
        <v>86</v>
      </c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102"/>
      <c r="AR27" s="41"/>
    </row>
    <row r="28" spans="1:44" ht="30.75" customHeight="1">
      <c r="A28" s="41"/>
      <c r="B28" s="701"/>
      <c r="C28" s="59">
        <v>22</v>
      </c>
      <c r="D28" s="60" t="s">
        <v>224</v>
      </c>
      <c r="E28" s="60" t="s">
        <v>225</v>
      </c>
      <c r="F28" s="60" t="s">
        <v>43</v>
      </c>
      <c r="G28" s="62">
        <v>30136255</v>
      </c>
      <c r="H28" s="74">
        <v>37977</v>
      </c>
      <c r="I28" s="60">
        <f t="shared" ca="1" si="0"/>
        <v>22</v>
      </c>
      <c r="J28" s="63" t="s">
        <v>226</v>
      </c>
      <c r="K28" s="64" t="s">
        <v>227</v>
      </c>
      <c r="L28" s="81" t="s">
        <v>228</v>
      </c>
      <c r="M28" s="66" t="s">
        <v>229</v>
      </c>
      <c r="N28" s="62" t="s">
        <v>68</v>
      </c>
      <c r="O28" s="60" t="s">
        <v>230</v>
      </c>
      <c r="P28" s="78" t="s">
        <v>226</v>
      </c>
      <c r="Q28" s="103" t="s">
        <v>50</v>
      </c>
      <c r="R28" s="69" t="s">
        <v>171</v>
      </c>
      <c r="S28" s="69" t="s">
        <v>138</v>
      </c>
      <c r="T28" s="69" t="s">
        <v>66</v>
      </c>
      <c r="U28" s="70">
        <v>240</v>
      </c>
      <c r="V28" s="79" t="s">
        <v>78</v>
      </c>
      <c r="W28" s="72">
        <v>45275</v>
      </c>
      <c r="X28" s="69" t="s">
        <v>50</v>
      </c>
      <c r="Y28" s="104">
        <v>240</v>
      </c>
      <c r="Z28" s="74"/>
      <c r="AA28" s="60"/>
      <c r="AB28" s="75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80"/>
      <c r="AR28" s="41"/>
    </row>
    <row r="29" spans="1:44" ht="30.75" customHeight="1">
      <c r="A29" s="41"/>
      <c r="B29" s="701"/>
      <c r="C29" s="59">
        <v>23</v>
      </c>
      <c r="D29" s="60" t="s">
        <v>231</v>
      </c>
      <c r="E29" s="60" t="s">
        <v>232</v>
      </c>
      <c r="F29" s="60" t="s">
        <v>43</v>
      </c>
      <c r="G29" s="62">
        <v>33145960</v>
      </c>
      <c r="H29" s="74">
        <v>39396</v>
      </c>
      <c r="I29" s="60">
        <f t="shared" ca="1" si="0"/>
        <v>18</v>
      </c>
      <c r="J29" s="63" t="s">
        <v>233</v>
      </c>
      <c r="K29" s="64"/>
      <c r="L29" s="65" t="s">
        <v>234</v>
      </c>
      <c r="M29" s="66" t="s">
        <v>235</v>
      </c>
      <c r="N29" s="77">
        <v>12415295</v>
      </c>
      <c r="O29" s="60" t="s">
        <v>236</v>
      </c>
      <c r="P29" s="78" t="s">
        <v>233</v>
      </c>
      <c r="Q29" s="68" t="s">
        <v>50</v>
      </c>
      <c r="R29" s="69" t="s">
        <v>237</v>
      </c>
      <c r="S29" s="69" t="s">
        <v>138</v>
      </c>
      <c r="T29" s="69" t="s">
        <v>66</v>
      </c>
      <c r="U29" s="70">
        <v>240</v>
      </c>
      <c r="V29" s="79" t="s">
        <v>54</v>
      </c>
      <c r="W29" s="72">
        <v>45275</v>
      </c>
      <c r="X29" s="69" t="s">
        <v>50</v>
      </c>
      <c r="Y29" s="104">
        <v>120</v>
      </c>
      <c r="Z29" s="74"/>
      <c r="AA29" s="74"/>
      <c r="AB29" s="74"/>
      <c r="AC29" s="74"/>
      <c r="AD29" s="60"/>
      <c r="AE29" s="75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80"/>
      <c r="AR29" s="41"/>
    </row>
    <row r="30" spans="1:44" ht="30.75" customHeight="1">
      <c r="A30" s="41"/>
      <c r="B30" s="701"/>
      <c r="C30" s="59">
        <v>24</v>
      </c>
      <c r="D30" s="60" t="s">
        <v>238</v>
      </c>
      <c r="E30" s="60" t="s">
        <v>239</v>
      </c>
      <c r="F30" s="60" t="s">
        <v>43</v>
      </c>
      <c r="G30" s="62">
        <v>33612303</v>
      </c>
      <c r="H30" s="74">
        <v>40451</v>
      </c>
      <c r="I30" s="60">
        <f t="shared" ca="1" si="0"/>
        <v>15</v>
      </c>
      <c r="J30" s="63" t="s">
        <v>233</v>
      </c>
      <c r="K30" s="64"/>
      <c r="L30" s="65" t="s">
        <v>234</v>
      </c>
      <c r="M30" s="66" t="s">
        <v>235</v>
      </c>
      <c r="N30" s="77">
        <v>12415295</v>
      </c>
      <c r="O30" s="60" t="s">
        <v>236</v>
      </c>
      <c r="P30" s="78" t="s">
        <v>233</v>
      </c>
      <c r="Q30" s="68" t="s">
        <v>50</v>
      </c>
      <c r="R30" s="69" t="s">
        <v>237</v>
      </c>
      <c r="S30" s="69" t="s">
        <v>138</v>
      </c>
      <c r="T30" s="69" t="s">
        <v>66</v>
      </c>
      <c r="U30" s="70">
        <v>240</v>
      </c>
      <c r="V30" s="79" t="s">
        <v>54</v>
      </c>
      <c r="W30" s="72">
        <v>45275</v>
      </c>
      <c r="X30" s="69" t="s">
        <v>50</v>
      </c>
      <c r="Y30" s="104">
        <v>120</v>
      </c>
      <c r="Z30" s="60"/>
      <c r="AA30" s="60"/>
      <c r="AB30" s="75"/>
      <c r="AC30" s="74"/>
      <c r="AD30" s="60"/>
      <c r="AE30" s="75"/>
      <c r="AF30" s="60"/>
      <c r="AG30" s="60"/>
      <c r="AH30" s="75"/>
      <c r="AI30" s="74"/>
      <c r="AJ30" s="74"/>
      <c r="AK30" s="74"/>
      <c r="AL30" s="74"/>
      <c r="AM30" s="74"/>
      <c r="AN30" s="74"/>
      <c r="AO30" s="74"/>
      <c r="AP30" s="74"/>
      <c r="AQ30" s="80"/>
      <c r="AR30" s="41"/>
    </row>
    <row r="31" spans="1:44" ht="30.75" customHeight="1">
      <c r="A31" s="41"/>
      <c r="B31" s="701"/>
      <c r="C31" s="59">
        <v>25</v>
      </c>
      <c r="D31" s="60" t="s">
        <v>240</v>
      </c>
      <c r="E31" s="60" t="s">
        <v>241</v>
      </c>
      <c r="F31" s="60" t="s">
        <v>43</v>
      </c>
      <c r="G31" s="62">
        <v>34810667</v>
      </c>
      <c r="H31" s="105">
        <v>41067</v>
      </c>
      <c r="I31" s="60">
        <f t="shared" ca="1" si="0"/>
        <v>13</v>
      </c>
      <c r="J31" s="63" t="s">
        <v>242</v>
      </c>
      <c r="K31" s="64"/>
      <c r="L31" s="65" t="s">
        <v>243</v>
      </c>
      <c r="M31" s="66" t="s">
        <v>244</v>
      </c>
      <c r="N31" s="77">
        <v>18910015</v>
      </c>
      <c r="O31" s="60" t="s">
        <v>245</v>
      </c>
      <c r="P31" s="78" t="s">
        <v>242</v>
      </c>
      <c r="Q31" s="68" t="s">
        <v>50</v>
      </c>
      <c r="R31" s="69" t="s">
        <v>77</v>
      </c>
      <c r="S31" s="69" t="s">
        <v>138</v>
      </c>
      <c r="T31" s="69" t="s">
        <v>66</v>
      </c>
      <c r="U31" s="70">
        <v>240</v>
      </c>
      <c r="V31" s="79" t="s">
        <v>78</v>
      </c>
      <c r="W31" s="72">
        <v>45281</v>
      </c>
      <c r="X31" s="69" t="s">
        <v>50</v>
      </c>
      <c r="Y31" s="75">
        <v>100</v>
      </c>
      <c r="Z31" s="60"/>
      <c r="AA31" s="60"/>
      <c r="AB31" s="75"/>
      <c r="AC31" s="60"/>
      <c r="AD31" s="60"/>
      <c r="AE31" s="75"/>
      <c r="AF31" s="60"/>
      <c r="AG31" s="60"/>
      <c r="AH31" s="75"/>
      <c r="AI31" s="74"/>
      <c r="AJ31" s="74"/>
      <c r="AK31" s="74"/>
      <c r="AL31" s="74"/>
      <c r="AM31" s="74"/>
      <c r="AN31" s="74"/>
      <c r="AO31" s="74"/>
      <c r="AP31" s="74"/>
      <c r="AQ31" s="80"/>
      <c r="AR31" s="41"/>
    </row>
    <row r="32" spans="1:44" ht="30.75" customHeight="1">
      <c r="A32" s="41"/>
      <c r="B32" s="701"/>
      <c r="C32" s="59">
        <v>26</v>
      </c>
      <c r="D32" s="60" t="s">
        <v>246</v>
      </c>
      <c r="E32" s="60" t="s">
        <v>247</v>
      </c>
      <c r="F32" s="60" t="s">
        <v>43</v>
      </c>
      <c r="G32" s="62"/>
      <c r="H32" s="74">
        <v>42479</v>
      </c>
      <c r="I32" s="60">
        <f t="shared" ca="1" si="0"/>
        <v>10</v>
      </c>
      <c r="J32" s="63" t="s">
        <v>242</v>
      </c>
      <c r="K32" s="64"/>
      <c r="L32" s="65" t="s">
        <v>243</v>
      </c>
      <c r="M32" s="66" t="s">
        <v>244</v>
      </c>
      <c r="N32" s="77">
        <v>18910015</v>
      </c>
      <c r="O32" s="60" t="s">
        <v>245</v>
      </c>
      <c r="P32" s="78" t="s">
        <v>242</v>
      </c>
      <c r="Q32" s="68" t="s">
        <v>129</v>
      </c>
      <c r="R32" s="69" t="s">
        <v>64</v>
      </c>
      <c r="S32" s="69" t="s">
        <v>138</v>
      </c>
      <c r="T32" s="69" t="s">
        <v>66</v>
      </c>
      <c r="U32" s="70">
        <v>240</v>
      </c>
      <c r="V32" s="79" t="s">
        <v>78</v>
      </c>
      <c r="W32" s="72">
        <v>45281</v>
      </c>
      <c r="X32" s="69" t="s">
        <v>129</v>
      </c>
      <c r="Y32" s="75">
        <v>100</v>
      </c>
      <c r="Z32" s="60"/>
      <c r="AA32" s="60"/>
      <c r="AB32" s="75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80"/>
      <c r="AR32" s="41"/>
    </row>
    <row r="33" spans="1:44" ht="30.75" customHeight="1">
      <c r="A33" s="41"/>
      <c r="B33" s="701"/>
      <c r="C33" s="59">
        <v>27</v>
      </c>
      <c r="D33" s="60" t="s">
        <v>248</v>
      </c>
      <c r="E33" s="60" t="s">
        <v>249</v>
      </c>
      <c r="F33" s="60" t="s">
        <v>43</v>
      </c>
      <c r="G33" s="62">
        <v>31828780</v>
      </c>
      <c r="H33" s="60">
        <v>38975</v>
      </c>
      <c r="I33" s="60">
        <f t="shared" ca="1" si="0"/>
        <v>19</v>
      </c>
      <c r="J33" s="63" t="s">
        <v>250</v>
      </c>
      <c r="K33" s="64" t="s">
        <v>251</v>
      </c>
      <c r="L33" s="81" t="s">
        <v>252</v>
      </c>
      <c r="M33" s="66" t="s">
        <v>253</v>
      </c>
      <c r="N33" s="77">
        <v>8655834</v>
      </c>
      <c r="O33" s="60" t="s">
        <v>254</v>
      </c>
      <c r="P33" s="67" t="s">
        <v>255</v>
      </c>
      <c r="Q33" s="68" t="s">
        <v>50</v>
      </c>
      <c r="R33" s="69" t="s">
        <v>256</v>
      </c>
      <c r="S33" s="69" t="s">
        <v>138</v>
      </c>
      <c r="T33" s="69" t="s">
        <v>66</v>
      </c>
      <c r="U33" s="70">
        <v>240</v>
      </c>
      <c r="V33" s="79" t="s">
        <v>78</v>
      </c>
      <c r="W33" s="66">
        <v>45290</v>
      </c>
      <c r="X33" s="69" t="s">
        <v>50</v>
      </c>
      <c r="Y33" s="75">
        <v>240</v>
      </c>
      <c r="Z33" s="60"/>
      <c r="AA33" s="60"/>
      <c r="AB33" s="75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80"/>
      <c r="AR33" s="41"/>
    </row>
    <row r="34" spans="1:44" ht="30.75" customHeight="1">
      <c r="A34" s="41"/>
      <c r="B34" s="701"/>
      <c r="C34" s="59">
        <v>28</v>
      </c>
      <c r="D34" s="60" t="s">
        <v>257</v>
      </c>
      <c r="E34" s="60" t="s">
        <v>258</v>
      </c>
      <c r="F34" s="60" t="s">
        <v>43</v>
      </c>
      <c r="G34" s="62">
        <v>33301536</v>
      </c>
      <c r="H34" s="60">
        <v>40030</v>
      </c>
      <c r="I34" s="60">
        <f t="shared" ca="1" si="0"/>
        <v>16</v>
      </c>
      <c r="J34" s="63" t="s">
        <v>259</v>
      </c>
      <c r="K34" s="64"/>
      <c r="L34" s="65" t="s">
        <v>260</v>
      </c>
      <c r="M34" s="66" t="s">
        <v>261</v>
      </c>
      <c r="N34" s="77">
        <v>19310934</v>
      </c>
      <c r="O34" s="60" t="s">
        <v>262</v>
      </c>
      <c r="P34" s="78" t="s">
        <v>259</v>
      </c>
      <c r="Q34" s="68" t="s">
        <v>50</v>
      </c>
      <c r="R34" s="69" t="s">
        <v>77</v>
      </c>
      <c r="S34" s="69" t="s">
        <v>138</v>
      </c>
      <c r="T34" s="69" t="s">
        <v>66</v>
      </c>
      <c r="U34" s="70">
        <v>240</v>
      </c>
      <c r="V34" s="79" t="s">
        <v>78</v>
      </c>
      <c r="W34" s="66">
        <v>45294</v>
      </c>
      <c r="X34" s="69" t="s">
        <v>50</v>
      </c>
      <c r="Y34" s="75" t="s">
        <v>263</v>
      </c>
      <c r="Z34" s="60"/>
      <c r="AA34" s="60"/>
      <c r="AB34" s="75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80"/>
      <c r="AR34" s="41"/>
    </row>
    <row r="35" spans="1:44" ht="30.75" customHeight="1">
      <c r="A35" s="41"/>
      <c r="B35" s="701"/>
      <c r="C35" s="59">
        <v>29</v>
      </c>
      <c r="D35" s="60" t="s">
        <v>264</v>
      </c>
      <c r="E35" s="60" t="s">
        <v>265</v>
      </c>
      <c r="F35" s="60" t="s">
        <v>43</v>
      </c>
      <c r="G35" s="62">
        <v>33329136</v>
      </c>
      <c r="H35" s="60">
        <v>40516</v>
      </c>
      <c r="I35" s="60">
        <f t="shared" ca="1" si="0"/>
        <v>15</v>
      </c>
      <c r="J35" s="63" t="s">
        <v>266</v>
      </c>
      <c r="K35" s="64"/>
      <c r="L35" s="65" t="s">
        <v>267</v>
      </c>
      <c r="M35" s="66" t="s">
        <v>268</v>
      </c>
      <c r="N35" s="62">
        <v>15913328</v>
      </c>
      <c r="O35" s="60" t="s">
        <v>269</v>
      </c>
      <c r="P35" s="78" t="s">
        <v>270</v>
      </c>
      <c r="Q35" s="68" t="s">
        <v>271</v>
      </c>
      <c r="R35" s="69" t="s">
        <v>77</v>
      </c>
      <c r="S35" s="69" t="s">
        <v>138</v>
      </c>
      <c r="T35" s="69"/>
      <c r="U35" s="70">
        <v>280</v>
      </c>
      <c r="V35" s="79" t="s">
        <v>78</v>
      </c>
      <c r="W35" s="66">
        <v>45299</v>
      </c>
      <c r="X35" s="69" t="s">
        <v>50</v>
      </c>
      <c r="Y35" s="75" t="s">
        <v>272</v>
      </c>
      <c r="Z35" s="60"/>
      <c r="AA35" s="60"/>
      <c r="AB35" s="75"/>
      <c r="AC35" s="60"/>
      <c r="AD35" s="60"/>
      <c r="AE35" s="75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80"/>
      <c r="AR35" s="41"/>
    </row>
    <row r="36" spans="1:44" ht="30.75" customHeight="1">
      <c r="A36" s="41"/>
      <c r="B36" s="701"/>
      <c r="C36" s="59">
        <v>30</v>
      </c>
      <c r="D36" s="60" t="s">
        <v>273</v>
      </c>
      <c r="E36" s="60" t="s">
        <v>274</v>
      </c>
      <c r="F36" s="60" t="s">
        <v>43</v>
      </c>
      <c r="G36" s="62">
        <v>36068661</v>
      </c>
      <c r="H36" s="60">
        <v>41791</v>
      </c>
      <c r="I36" s="60">
        <f t="shared" ca="1" si="0"/>
        <v>12</v>
      </c>
      <c r="J36" s="63" t="s">
        <v>275</v>
      </c>
      <c r="K36" s="64"/>
      <c r="L36" s="65" t="s">
        <v>267</v>
      </c>
      <c r="M36" s="66" t="s">
        <v>268</v>
      </c>
      <c r="N36" s="77">
        <v>15913328</v>
      </c>
      <c r="O36" s="60" t="s">
        <v>269</v>
      </c>
      <c r="P36" s="67" t="s">
        <v>270</v>
      </c>
      <c r="Q36" s="68" t="s">
        <v>129</v>
      </c>
      <c r="R36" s="69" t="s">
        <v>146</v>
      </c>
      <c r="S36" s="69" t="s">
        <v>138</v>
      </c>
      <c r="T36" s="69"/>
      <c r="U36" s="70">
        <v>280</v>
      </c>
      <c r="V36" s="79" t="s">
        <v>78</v>
      </c>
      <c r="W36" s="66">
        <v>45299</v>
      </c>
      <c r="X36" s="69" t="s">
        <v>129</v>
      </c>
      <c r="Y36" s="75" t="s">
        <v>272</v>
      </c>
      <c r="Z36" s="60"/>
      <c r="AA36" s="60"/>
      <c r="AB36" s="75"/>
      <c r="AC36" s="60"/>
      <c r="AD36" s="60"/>
      <c r="AE36" s="75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80"/>
      <c r="AR36" s="41"/>
    </row>
    <row r="37" spans="1:44" ht="30.75" customHeight="1">
      <c r="A37" s="41"/>
      <c r="B37" s="701"/>
      <c r="C37" s="59">
        <v>31</v>
      </c>
      <c r="D37" s="60" t="s">
        <v>276</v>
      </c>
      <c r="E37" s="61" t="s">
        <v>277</v>
      </c>
      <c r="F37" s="60" t="s">
        <v>278</v>
      </c>
      <c r="G37" s="62"/>
      <c r="H37" s="60"/>
      <c r="I37" s="60">
        <f t="shared" ca="1" si="0"/>
        <v>126</v>
      </c>
      <c r="J37" s="60"/>
      <c r="K37" s="64"/>
      <c r="L37" s="65"/>
      <c r="M37" s="66" t="s">
        <v>279</v>
      </c>
      <c r="N37" s="77"/>
      <c r="O37" s="60" t="s">
        <v>280</v>
      </c>
      <c r="P37" s="106"/>
      <c r="Q37" s="68" t="s">
        <v>281</v>
      </c>
      <c r="R37" s="69" t="s">
        <v>77</v>
      </c>
      <c r="S37" s="69"/>
      <c r="T37" s="69"/>
      <c r="U37" s="70"/>
      <c r="V37" s="79" t="s">
        <v>78</v>
      </c>
      <c r="W37" s="66"/>
      <c r="X37" s="69" t="s">
        <v>50</v>
      </c>
      <c r="Y37" s="75"/>
      <c r="Z37" s="60"/>
      <c r="AA37" s="60"/>
      <c r="AB37" s="75"/>
      <c r="AC37" s="60"/>
      <c r="AD37" s="60"/>
      <c r="AE37" s="75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80"/>
      <c r="AR37" s="41"/>
    </row>
    <row r="38" spans="1:44" ht="30.75" customHeight="1">
      <c r="A38" s="41"/>
      <c r="B38" s="701"/>
      <c r="C38" s="59">
        <v>32</v>
      </c>
      <c r="D38" s="60" t="s">
        <v>282</v>
      </c>
      <c r="E38" s="60" t="s">
        <v>283</v>
      </c>
      <c r="F38" s="60" t="s">
        <v>43</v>
      </c>
      <c r="G38" s="62">
        <v>35202345</v>
      </c>
      <c r="H38" s="60">
        <v>41124</v>
      </c>
      <c r="I38" s="60">
        <f t="shared" ca="1" si="0"/>
        <v>13</v>
      </c>
      <c r="J38" s="63" t="s">
        <v>284</v>
      </c>
      <c r="K38" s="64"/>
      <c r="L38" s="65" t="s">
        <v>285</v>
      </c>
      <c r="M38" s="66" t="s">
        <v>286</v>
      </c>
      <c r="N38" s="77">
        <v>19585746</v>
      </c>
      <c r="O38" s="60" t="s">
        <v>287</v>
      </c>
      <c r="P38" s="67" t="s">
        <v>284</v>
      </c>
      <c r="Q38" s="68" t="s">
        <v>50</v>
      </c>
      <c r="R38" s="69" t="s">
        <v>77</v>
      </c>
      <c r="S38" s="69" t="s">
        <v>288</v>
      </c>
      <c r="T38" s="69"/>
      <c r="U38" s="70">
        <v>300</v>
      </c>
      <c r="V38" s="79" t="s">
        <v>54</v>
      </c>
      <c r="W38" s="66">
        <v>45299</v>
      </c>
      <c r="X38" s="69" t="s">
        <v>50</v>
      </c>
      <c r="Y38" s="75">
        <v>300</v>
      </c>
      <c r="Z38" s="74"/>
      <c r="AA38" s="74"/>
      <c r="AB38" s="74"/>
      <c r="AC38" s="60"/>
      <c r="AD38" s="60"/>
      <c r="AE38" s="75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80"/>
      <c r="AR38" s="41"/>
    </row>
    <row r="39" spans="1:44" ht="30.75" customHeight="1">
      <c r="A39" s="41"/>
      <c r="B39" s="701"/>
      <c r="C39" s="59">
        <v>33</v>
      </c>
      <c r="D39" s="60" t="s">
        <v>289</v>
      </c>
      <c r="E39" s="60" t="s">
        <v>290</v>
      </c>
      <c r="F39" s="60" t="s">
        <v>43</v>
      </c>
      <c r="G39" s="62">
        <v>31167524</v>
      </c>
      <c r="H39" s="60">
        <v>44137</v>
      </c>
      <c r="I39" s="60">
        <f t="shared" ca="1" si="0"/>
        <v>5</v>
      </c>
      <c r="J39" s="63" t="s">
        <v>291</v>
      </c>
      <c r="K39" s="64" t="s">
        <v>292</v>
      </c>
      <c r="L39" s="65" t="s">
        <v>293</v>
      </c>
      <c r="M39" s="66" t="s">
        <v>294</v>
      </c>
      <c r="N39" s="77">
        <v>18234657</v>
      </c>
      <c r="O39" s="60" t="s">
        <v>295</v>
      </c>
      <c r="P39" s="67" t="s">
        <v>291</v>
      </c>
      <c r="Q39" s="68" t="s">
        <v>50</v>
      </c>
      <c r="R39" s="69" t="s">
        <v>107</v>
      </c>
      <c r="S39" s="69" t="s">
        <v>138</v>
      </c>
      <c r="T39" s="69"/>
      <c r="U39" s="70">
        <v>280</v>
      </c>
      <c r="V39" s="79" t="s">
        <v>78</v>
      </c>
      <c r="W39" s="66">
        <v>45299</v>
      </c>
      <c r="X39" s="69" t="s">
        <v>50</v>
      </c>
      <c r="Y39" s="75">
        <v>280</v>
      </c>
      <c r="Z39" s="60"/>
      <c r="AA39" s="60"/>
      <c r="AB39" s="75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80"/>
      <c r="AR39" s="41"/>
    </row>
    <row r="40" spans="1:44" ht="30.75" customHeight="1">
      <c r="A40" s="41"/>
      <c r="B40" s="701"/>
      <c r="C40" s="59">
        <v>34</v>
      </c>
      <c r="D40" s="60" t="s">
        <v>296</v>
      </c>
      <c r="E40" s="60" t="s">
        <v>297</v>
      </c>
      <c r="F40" s="60" t="s">
        <v>43</v>
      </c>
      <c r="G40" s="62">
        <v>33884591</v>
      </c>
      <c r="H40" s="60">
        <v>40605</v>
      </c>
      <c r="I40" s="60">
        <f t="shared" ca="1" si="0"/>
        <v>15</v>
      </c>
      <c r="J40" s="63" t="s">
        <v>298</v>
      </c>
      <c r="K40" s="64"/>
      <c r="L40" s="65" t="s">
        <v>299</v>
      </c>
      <c r="M40" s="66" t="s">
        <v>300</v>
      </c>
      <c r="N40" s="62">
        <v>16889189</v>
      </c>
      <c r="O40" s="60" t="s">
        <v>301</v>
      </c>
      <c r="P40" s="78" t="s">
        <v>302</v>
      </c>
      <c r="Q40" s="68" t="s">
        <v>63</v>
      </c>
      <c r="R40" s="69" t="s">
        <v>303</v>
      </c>
      <c r="S40" s="69" t="s">
        <v>138</v>
      </c>
      <c r="T40" s="69"/>
      <c r="U40" s="70">
        <v>300</v>
      </c>
      <c r="V40" s="79" t="s">
        <v>78</v>
      </c>
      <c r="W40" s="66">
        <v>45301</v>
      </c>
      <c r="X40" s="69" t="s">
        <v>63</v>
      </c>
      <c r="Y40" s="75">
        <v>300</v>
      </c>
      <c r="Z40" s="60"/>
      <c r="AA40" s="60"/>
      <c r="AB40" s="75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80"/>
      <c r="AR40" s="41"/>
    </row>
    <row r="41" spans="1:44" ht="30.75" customHeight="1">
      <c r="A41" s="41"/>
      <c r="B41" s="701"/>
      <c r="C41" s="59">
        <v>35</v>
      </c>
      <c r="D41" s="60" t="s">
        <v>304</v>
      </c>
      <c r="E41" s="60" t="s">
        <v>305</v>
      </c>
      <c r="F41" s="60" t="s">
        <v>278</v>
      </c>
      <c r="G41" s="62">
        <v>33884725</v>
      </c>
      <c r="H41" s="60">
        <v>40604</v>
      </c>
      <c r="I41" s="60">
        <f t="shared" ca="1" si="0"/>
        <v>15</v>
      </c>
      <c r="J41" s="63" t="s">
        <v>306</v>
      </c>
      <c r="K41" s="64"/>
      <c r="L41" s="65" t="s">
        <v>307</v>
      </c>
      <c r="M41" s="66" t="s">
        <v>308</v>
      </c>
      <c r="N41" s="62">
        <v>12730066</v>
      </c>
      <c r="O41" s="60" t="s">
        <v>309</v>
      </c>
      <c r="P41" s="78" t="s">
        <v>306</v>
      </c>
      <c r="Q41" s="68" t="s">
        <v>76</v>
      </c>
      <c r="R41" s="69" t="s">
        <v>310</v>
      </c>
      <c r="S41" s="69" t="s">
        <v>138</v>
      </c>
      <c r="T41" s="69"/>
      <c r="U41" s="70">
        <v>300</v>
      </c>
      <c r="V41" s="79" t="s">
        <v>78</v>
      </c>
      <c r="W41" s="66">
        <v>45301</v>
      </c>
      <c r="X41" s="69" t="s">
        <v>76</v>
      </c>
      <c r="Y41" s="75">
        <v>300</v>
      </c>
      <c r="Z41" s="60"/>
      <c r="AA41" s="60"/>
      <c r="AB41" s="75"/>
      <c r="AC41" s="60"/>
      <c r="AD41" s="60"/>
      <c r="AE41" s="107"/>
      <c r="AF41" s="60"/>
      <c r="AG41" s="60"/>
      <c r="AH41" s="75"/>
      <c r="AI41" s="74"/>
      <c r="AJ41" s="74"/>
      <c r="AK41" s="74"/>
      <c r="AL41" s="74"/>
      <c r="AM41" s="74"/>
      <c r="AN41" s="74"/>
      <c r="AO41" s="74"/>
      <c r="AP41" s="74"/>
      <c r="AQ41" s="80"/>
      <c r="AR41" s="41"/>
    </row>
    <row r="42" spans="1:44" ht="30.75" customHeight="1">
      <c r="A42" s="41"/>
      <c r="B42" s="701"/>
      <c r="C42" s="59">
        <v>36</v>
      </c>
      <c r="D42" s="60" t="s">
        <v>311</v>
      </c>
      <c r="E42" s="60" t="s">
        <v>312</v>
      </c>
      <c r="F42" s="60" t="s">
        <v>43</v>
      </c>
      <c r="G42" s="62">
        <v>34110326</v>
      </c>
      <c r="H42" s="60">
        <v>39983</v>
      </c>
      <c r="I42" s="60">
        <f t="shared" ca="1" si="0"/>
        <v>16</v>
      </c>
      <c r="J42" s="63" t="s">
        <v>313</v>
      </c>
      <c r="K42" s="64"/>
      <c r="L42" s="65" t="s">
        <v>314</v>
      </c>
      <c r="M42" s="66" t="s">
        <v>315</v>
      </c>
      <c r="N42" s="77">
        <v>15199917</v>
      </c>
      <c r="O42" s="60" t="s">
        <v>316</v>
      </c>
      <c r="P42" s="78" t="s">
        <v>313</v>
      </c>
      <c r="Q42" s="68" t="s">
        <v>50</v>
      </c>
      <c r="R42" s="69"/>
      <c r="S42" s="69" t="s">
        <v>138</v>
      </c>
      <c r="T42" s="69"/>
      <c r="U42" s="70">
        <v>240</v>
      </c>
      <c r="V42" s="79" t="s">
        <v>78</v>
      </c>
      <c r="W42" s="66">
        <v>45301</v>
      </c>
      <c r="X42" s="69"/>
      <c r="Y42" s="75">
        <v>240</v>
      </c>
      <c r="Z42" s="60"/>
      <c r="AA42" s="60"/>
      <c r="AB42" s="75"/>
      <c r="AC42" s="60"/>
      <c r="AD42" s="60"/>
      <c r="AE42" s="107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80"/>
      <c r="AR42" s="41"/>
    </row>
    <row r="43" spans="1:44" ht="30.75" customHeight="1">
      <c r="A43" s="41"/>
      <c r="B43" s="701"/>
      <c r="C43" s="59">
        <v>37</v>
      </c>
      <c r="D43" s="60" t="s">
        <v>317</v>
      </c>
      <c r="E43" s="60" t="s">
        <v>318</v>
      </c>
      <c r="F43" s="60" t="s">
        <v>43</v>
      </c>
      <c r="G43" s="62">
        <v>36241373</v>
      </c>
      <c r="H43" s="60">
        <v>41029</v>
      </c>
      <c r="I43" s="60">
        <f t="shared" ca="1" si="0"/>
        <v>14</v>
      </c>
      <c r="J43" s="63" t="s">
        <v>313</v>
      </c>
      <c r="K43" s="64"/>
      <c r="L43" s="65" t="s">
        <v>319</v>
      </c>
      <c r="M43" s="66" t="s">
        <v>315</v>
      </c>
      <c r="N43" s="77">
        <v>15199918</v>
      </c>
      <c r="O43" s="60" t="s">
        <v>316</v>
      </c>
      <c r="P43" s="78" t="s">
        <v>313</v>
      </c>
      <c r="Q43" s="68" t="s">
        <v>129</v>
      </c>
      <c r="R43" s="69" t="s">
        <v>146</v>
      </c>
      <c r="S43" s="69" t="s">
        <v>138</v>
      </c>
      <c r="T43" s="69"/>
      <c r="U43" s="70">
        <v>240</v>
      </c>
      <c r="V43" s="79" t="s">
        <v>78</v>
      </c>
      <c r="W43" s="66">
        <v>45301</v>
      </c>
      <c r="X43" s="69" t="s">
        <v>129</v>
      </c>
      <c r="Y43" s="75">
        <v>240</v>
      </c>
      <c r="Z43" s="60"/>
      <c r="AA43" s="60"/>
      <c r="AB43" s="75"/>
      <c r="AC43" s="60"/>
      <c r="AD43" s="60"/>
      <c r="AE43" s="75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80"/>
      <c r="AR43" s="41"/>
    </row>
    <row r="44" spans="1:44" ht="30.75" customHeight="1">
      <c r="A44" s="41"/>
      <c r="B44" s="701"/>
      <c r="C44" s="59">
        <v>38</v>
      </c>
      <c r="D44" s="60" t="s">
        <v>320</v>
      </c>
      <c r="E44" s="60" t="s">
        <v>321</v>
      </c>
      <c r="F44" s="60" t="s">
        <v>43</v>
      </c>
      <c r="G44" s="62">
        <v>21436476</v>
      </c>
      <c r="H44" s="60">
        <v>34001</v>
      </c>
      <c r="I44" s="60">
        <f t="shared" ca="1" si="0"/>
        <v>33</v>
      </c>
      <c r="J44" s="63" t="s">
        <v>322</v>
      </c>
      <c r="K44" s="64" t="s">
        <v>323</v>
      </c>
      <c r="L44" s="65" t="s">
        <v>324</v>
      </c>
      <c r="M44" s="66"/>
      <c r="N44" s="77"/>
      <c r="O44" s="60"/>
      <c r="P44" s="80"/>
      <c r="Q44" s="68" t="s">
        <v>50</v>
      </c>
      <c r="R44" s="69" t="s">
        <v>325</v>
      </c>
      <c r="S44" s="69" t="s">
        <v>288</v>
      </c>
      <c r="T44" s="69"/>
      <c r="U44" s="70">
        <v>480</v>
      </c>
      <c r="V44" s="79" t="s">
        <v>54</v>
      </c>
      <c r="W44" s="66">
        <v>45301</v>
      </c>
      <c r="X44" s="69" t="s">
        <v>50</v>
      </c>
      <c r="Y44" s="75">
        <v>120</v>
      </c>
      <c r="Z44" s="60"/>
      <c r="AA44" s="60"/>
      <c r="AB44" s="75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80"/>
      <c r="AR44" s="41"/>
    </row>
    <row r="45" spans="1:44" ht="30.75" customHeight="1">
      <c r="A45" s="41"/>
      <c r="B45" s="701"/>
      <c r="C45" s="59">
        <v>39</v>
      </c>
      <c r="D45" s="60" t="s">
        <v>326</v>
      </c>
      <c r="E45" s="60" t="s">
        <v>327</v>
      </c>
      <c r="F45" s="60" t="s">
        <v>43</v>
      </c>
      <c r="G45" s="62">
        <v>33351857</v>
      </c>
      <c r="H45" s="60">
        <v>39802</v>
      </c>
      <c r="I45" s="60">
        <f t="shared" ca="1" si="0"/>
        <v>17</v>
      </c>
      <c r="J45" s="63" t="s">
        <v>157</v>
      </c>
      <c r="K45" s="64" t="s">
        <v>158</v>
      </c>
      <c r="L45" s="65" t="s">
        <v>328</v>
      </c>
      <c r="M45" s="66" t="s">
        <v>160</v>
      </c>
      <c r="N45" s="77">
        <v>14418138</v>
      </c>
      <c r="O45" s="60" t="s">
        <v>329</v>
      </c>
      <c r="P45" s="67" t="s">
        <v>162</v>
      </c>
      <c r="Q45" s="68" t="s">
        <v>330</v>
      </c>
      <c r="R45" s="69"/>
      <c r="S45" s="69" t="s">
        <v>138</v>
      </c>
      <c r="T45" s="69"/>
      <c r="U45" s="70">
        <v>300</v>
      </c>
      <c r="V45" s="79" t="s">
        <v>78</v>
      </c>
      <c r="W45" s="66">
        <v>45302</v>
      </c>
      <c r="X45" s="69" t="s">
        <v>330</v>
      </c>
      <c r="Y45" s="75">
        <v>140</v>
      </c>
      <c r="Z45" s="60"/>
      <c r="AA45" s="60"/>
      <c r="AB45" s="75"/>
      <c r="AC45" s="60"/>
      <c r="AD45" s="60"/>
      <c r="AE45" s="75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80"/>
      <c r="AR45" s="41"/>
    </row>
    <row r="46" spans="1:44" ht="30.75" customHeight="1">
      <c r="A46" s="41"/>
      <c r="B46" s="702"/>
      <c r="C46" s="83">
        <v>40</v>
      </c>
      <c r="D46" s="84" t="s">
        <v>331</v>
      </c>
      <c r="E46" s="84" t="s">
        <v>332</v>
      </c>
      <c r="F46" s="84" t="s">
        <v>43</v>
      </c>
      <c r="G46" s="85">
        <v>33329696</v>
      </c>
      <c r="H46" s="84">
        <v>40862</v>
      </c>
      <c r="I46" s="84">
        <f t="shared" ca="1" si="0"/>
        <v>14</v>
      </c>
      <c r="J46" s="86" t="s">
        <v>333</v>
      </c>
      <c r="K46" s="87" t="s">
        <v>334</v>
      </c>
      <c r="L46" s="88" t="s">
        <v>335</v>
      </c>
      <c r="M46" s="89" t="s">
        <v>336</v>
      </c>
      <c r="N46" s="90">
        <v>14216581</v>
      </c>
      <c r="O46" s="84" t="s">
        <v>337</v>
      </c>
      <c r="P46" s="91" t="s">
        <v>338</v>
      </c>
      <c r="Q46" s="92" t="s">
        <v>50</v>
      </c>
      <c r="R46" s="93" t="s">
        <v>146</v>
      </c>
      <c r="S46" s="93" t="s">
        <v>138</v>
      </c>
      <c r="T46" s="93"/>
      <c r="U46" s="94">
        <v>300</v>
      </c>
      <c r="V46" s="95" t="s">
        <v>78</v>
      </c>
      <c r="W46" s="89">
        <v>45302</v>
      </c>
      <c r="X46" s="93" t="s">
        <v>50</v>
      </c>
      <c r="Y46" s="96">
        <v>300</v>
      </c>
      <c r="Z46" s="84"/>
      <c r="AA46" s="84"/>
      <c r="AB46" s="96"/>
      <c r="AC46" s="84"/>
      <c r="AD46" s="84"/>
      <c r="AE46" s="96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8"/>
      <c r="AR46" s="41"/>
    </row>
    <row r="47" spans="1:44" ht="30.75" customHeight="1">
      <c r="A47" s="41"/>
      <c r="B47" s="700" t="s">
        <v>339</v>
      </c>
      <c r="C47" s="42">
        <v>1</v>
      </c>
      <c r="D47" s="44" t="s">
        <v>340</v>
      </c>
      <c r="E47" s="44" t="s">
        <v>341</v>
      </c>
      <c r="F47" s="44" t="s">
        <v>43</v>
      </c>
      <c r="G47" s="45">
        <v>33519086</v>
      </c>
      <c r="H47" s="44">
        <v>39989</v>
      </c>
      <c r="I47" s="44">
        <f t="shared" ca="1" si="0"/>
        <v>16</v>
      </c>
      <c r="J47" s="46" t="s">
        <v>342</v>
      </c>
      <c r="K47" s="47" t="s">
        <v>343</v>
      </c>
      <c r="L47" s="108" t="s">
        <v>344</v>
      </c>
      <c r="M47" s="49" t="s">
        <v>345</v>
      </c>
      <c r="N47" s="45">
        <v>12879788</v>
      </c>
      <c r="O47" s="44" t="s">
        <v>346</v>
      </c>
      <c r="P47" s="109" t="s">
        <v>347</v>
      </c>
      <c r="Q47" s="52" t="s">
        <v>50</v>
      </c>
      <c r="R47" s="53" t="s">
        <v>146</v>
      </c>
      <c r="S47" s="53" t="s">
        <v>138</v>
      </c>
      <c r="T47" s="53"/>
      <c r="U47" s="54">
        <v>300</v>
      </c>
      <c r="V47" s="55" t="s">
        <v>78</v>
      </c>
      <c r="W47" s="49">
        <v>45302</v>
      </c>
      <c r="X47" s="53" t="s">
        <v>50</v>
      </c>
      <c r="Y47" s="56">
        <v>300</v>
      </c>
      <c r="Z47" s="44"/>
      <c r="AA47" s="44"/>
      <c r="AB47" s="56"/>
      <c r="AC47" s="44"/>
      <c r="AD47" s="44"/>
      <c r="AE47" s="56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102"/>
      <c r="AR47" s="41"/>
    </row>
    <row r="48" spans="1:44" ht="30.75" customHeight="1">
      <c r="A48" s="41"/>
      <c r="B48" s="701"/>
      <c r="C48" s="59">
        <v>2</v>
      </c>
      <c r="D48" s="60" t="s">
        <v>348</v>
      </c>
      <c r="E48" s="60" t="s">
        <v>349</v>
      </c>
      <c r="F48" s="60" t="s">
        <v>43</v>
      </c>
      <c r="G48" s="60"/>
      <c r="H48" s="60">
        <v>42686</v>
      </c>
      <c r="I48" s="60">
        <f t="shared" ca="1" si="0"/>
        <v>9</v>
      </c>
      <c r="J48" s="60"/>
      <c r="K48" s="64"/>
      <c r="L48" s="81" t="s">
        <v>350</v>
      </c>
      <c r="M48" s="66" t="s">
        <v>351</v>
      </c>
      <c r="N48" s="77">
        <v>17533081</v>
      </c>
      <c r="O48" s="60">
        <v>4149122618</v>
      </c>
      <c r="P48" s="67" t="s">
        <v>352</v>
      </c>
      <c r="Q48" s="68" t="s">
        <v>353</v>
      </c>
      <c r="R48" s="69" t="s">
        <v>130</v>
      </c>
      <c r="S48" s="69" t="s">
        <v>288</v>
      </c>
      <c r="T48" s="69"/>
      <c r="U48" s="70">
        <v>300</v>
      </c>
      <c r="V48" s="79" t="s">
        <v>78</v>
      </c>
      <c r="W48" s="66">
        <v>45303</v>
      </c>
      <c r="X48" s="69" t="s">
        <v>353</v>
      </c>
      <c r="Y48" s="75">
        <v>240</v>
      </c>
      <c r="Z48" s="60"/>
      <c r="AA48" s="60"/>
      <c r="AB48" s="75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80"/>
      <c r="AR48" s="41"/>
    </row>
    <row r="49" spans="1:44" ht="30.75" customHeight="1">
      <c r="A49" s="41"/>
      <c r="B49" s="701"/>
      <c r="C49" s="59">
        <v>3</v>
      </c>
      <c r="D49" s="60" t="s">
        <v>354</v>
      </c>
      <c r="E49" s="60" t="s">
        <v>355</v>
      </c>
      <c r="F49" s="60" t="s">
        <v>43</v>
      </c>
      <c r="G49" s="60" t="s">
        <v>356</v>
      </c>
      <c r="H49" s="60">
        <v>40100</v>
      </c>
      <c r="I49" s="60">
        <f t="shared" ca="1" si="0"/>
        <v>16</v>
      </c>
      <c r="J49" s="63" t="s">
        <v>357</v>
      </c>
      <c r="K49" s="64">
        <v>4141105035</v>
      </c>
      <c r="L49" s="65" t="s">
        <v>358</v>
      </c>
      <c r="M49" s="66" t="s">
        <v>359</v>
      </c>
      <c r="N49" s="77" t="s">
        <v>360</v>
      </c>
      <c r="O49" s="60" t="s">
        <v>361</v>
      </c>
      <c r="P49" s="67" t="s">
        <v>362</v>
      </c>
      <c r="Q49" s="68" t="s">
        <v>50</v>
      </c>
      <c r="R49" s="69" t="s">
        <v>146</v>
      </c>
      <c r="S49" s="69" t="s">
        <v>288</v>
      </c>
      <c r="T49" s="69"/>
      <c r="U49" s="70">
        <v>300</v>
      </c>
      <c r="V49" s="79" t="s">
        <v>78</v>
      </c>
      <c r="W49" s="66">
        <v>45306</v>
      </c>
      <c r="X49" s="69" t="s">
        <v>50</v>
      </c>
      <c r="Y49" s="75">
        <v>90</v>
      </c>
      <c r="Z49" s="60"/>
      <c r="AA49" s="74"/>
      <c r="AB49" s="75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80"/>
      <c r="AR49" s="41"/>
    </row>
    <row r="50" spans="1:44" ht="30.75" customHeight="1">
      <c r="A50" s="41"/>
      <c r="B50" s="701"/>
      <c r="C50" s="59">
        <v>4</v>
      </c>
      <c r="D50" s="60" t="s">
        <v>363</v>
      </c>
      <c r="E50" s="60" t="s">
        <v>364</v>
      </c>
      <c r="F50" s="60" t="s">
        <v>278</v>
      </c>
      <c r="G50" s="62">
        <v>34428906</v>
      </c>
      <c r="H50" s="60">
        <v>41423</v>
      </c>
      <c r="I50" s="60">
        <f t="shared" ca="1" si="0"/>
        <v>13</v>
      </c>
      <c r="J50" s="60"/>
      <c r="K50" s="64"/>
      <c r="L50" s="65" t="s">
        <v>365</v>
      </c>
      <c r="M50" s="66" t="s">
        <v>366</v>
      </c>
      <c r="N50" s="77">
        <v>16394794</v>
      </c>
      <c r="O50" s="60" t="s">
        <v>367</v>
      </c>
      <c r="P50" s="67" t="s">
        <v>368</v>
      </c>
      <c r="Q50" s="68" t="s">
        <v>369</v>
      </c>
      <c r="R50" s="69" t="s">
        <v>130</v>
      </c>
      <c r="S50" s="69" t="s">
        <v>85</v>
      </c>
      <c r="T50" s="69"/>
      <c r="U50" s="70">
        <v>240</v>
      </c>
      <c r="V50" s="79" t="s">
        <v>54</v>
      </c>
      <c r="W50" s="66">
        <v>45230</v>
      </c>
      <c r="X50" s="69" t="s">
        <v>370</v>
      </c>
      <c r="Y50" s="75"/>
      <c r="Z50" s="60"/>
      <c r="AA50" s="60"/>
      <c r="AB50" s="75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80"/>
      <c r="AR50" s="41"/>
    </row>
    <row r="51" spans="1:44" ht="30.75" customHeight="1">
      <c r="A51" s="41"/>
      <c r="B51" s="701"/>
      <c r="C51" s="59">
        <v>5</v>
      </c>
      <c r="D51" s="60" t="s">
        <v>371</v>
      </c>
      <c r="E51" s="60" t="s">
        <v>372</v>
      </c>
      <c r="F51" s="60" t="s">
        <v>43</v>
      </c>
      <c r="G51" s="62">
        <v>34885172</v>
      </c>
      <c r="H51" s="60">
        <v>41501</v>
      </c>
      <c r="I51" s="60">
        <f t="shared" ca="1" si="0"/>
        <v>12</v>
      </c>
      <c r="J51" s="63" t="s">
        <v>373</v>
      </c>
      <c r="K51" s="64"/>
      <c r="L51" s="65" t="s">
        <v>374</v>
      </c>
      <c r="M51" s="66" t="s">
        <v>375</v>
      </c>
      <c r="N51" s="62">
        <v>17978648</v>
      </c>
      <c r="O51" s="60" t="s">
        <v>376</v>
      </c>
      <c r="P51" s="78" t="s">
        <v>373</v>
      </c>
      <c r="Q51" s="68" t="s">
        <v>129</v>
      </c>
      <c r="R51" s="69" t="s">
        <v>130</v>
      </c>
      <c r="S51" s="69" t="s">
        <v>138</v>
      </c>
      <c r="T51" s="69"/>
      <c r="U51" s="70">
        <v>300</v>
      </c>
      <c r="V51" s="79" t="s">
        <v>78</v>
      </c>
      <c r="W51" s="66">
        <v>45307</v>
      </c>
      <c r="X51" s="69" t="s">
        <v>129</v>
      </c>
      <c r="Y51" s="75">
        <v>300</v>
      </c>
      <c r="Z51" s="60"/>
      <c r="AA51" s="60"/>
      <c r="AB51" s="75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80"/>
      <c r="AR51" s="41"/>
    </row>
    <row r="52" spans="1:44" ht="30.75" customHeight="1">
      <c r="A52" s="41"/>
      <c r="B52" s="701"/>
      <c r="C52" s="59">
        <v>6</v>
      </c>
      <c r="D52" s="60" t="s">
        <v>377</v>
      </c>
      <c r="E52" s="60" t="s">
        <v>378</v>
      </c>
      <c r="F52" s="60" t="s">
        <v>43</v>
      </c>
      <c r="G52" s="60"/>
      <c r="H52" s="60">
        <v>41039</v>
      </c>
      <c r="I52" s="60">
        <f t="shared" ca="1" si="0"/>
        <v>14</v>
      </c>
      <c r="J52" s="63" t="s">
        <v>110</v>
      </c>
      <c r="K52" s="64" t="s">
        <v>113</v>
      </c>
      <c r="L52" s="65" t="s">
        <v>379</v>
      </c>
      <c r="M52" s="66" t="s">
        <v>380</v>
      </c>
      <c r="N52" s="77" t="s">
        <v>381</v>
      </c>
      <c r="O52" s="60">
        <v>4123856987</v>
      </c>
      <c r="P52" s="78" t="s">
        <v>373</v>
      </c>
      <c r="Q52" s="68" t="s">
        <v>271</v>
      </c>
      <c r="R52" s="69" t="s">
        <v>146</v>
      </c>
      <c r="S52" s="69" t="s">
        <v>138</v>
      </c>
      <c r="T52" s="69"/>
      <c r="U52" s="70">
        <v>300</v>
      </c>
      <c r="V52" s="79" t="s">
        <v>78</v>
      </c>
      <c r="W52" s="66">
        <v>45307</v>
      </c>
      <c r="X52" s="69" t="s">
        <v>50</v>
      </c>
      <c r="Y52" s="75">
        <v>150</v>
      </c>
      <c r="Z52" s="60"/>
      <c r="AA52" s="60"/>
      <c r="AB52" s="75"/>
      <c r="AC52" s="60"/>
      <c r="AD52" s="60"/>
      <c r="AE52" s="75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80"/>
      <c r="AR52" s="41"/>
    </row>
    <row r="53" spans="1:44" ht="30.75" customHeight="1">
      <c r="A53" s="41"/>
      <c r="B53" s="701"/>
      <c r="C53" s="59">
        <v>7</v>
      </c>
      <c r="D53" s="60" t="s">
        <v>382</v>
      </c>
      <c r="E53" s="60" t="s">
        <v>383</v>
      </c>
      <c r="F53" s="60" t="s">
        <v>43</v>
      </c>
      <c r="G53" s="62"/>
      <c r="H53" s="60">
        <v>42280</v>
      </c>
      <c r="I53" s="60">
        <f t="shared" ca="1" si="0"/>
        <v>10</v>
      </c>
      <c r="J53" s="63" t="s">
        <v>384</v>
      </c>
      <c r="K53" s="64"/>
      <c r="L53" s="65" t="s">
        <v>385</v>
      </c>
      <c r="M53" s="66" t="s">
        <v>386</v>
      </c>
      <c r="N53" s="60" t="s">
        <v>387</v>
      </c>
      <c r="O53" s="60" t="s">
        <v>388</v>
      </c>
      <c r="P53" s="78" t="s">
        <v>384</v>
      </c>
      <c r="Q53" s="68" t="s">
        <v>129</v>
      </c>
      <c r="R53" s="69" t="s">
        <v>146</v>
      </c>
      <c r="S53" s="69" t="s">
        <v>138</v>
      </c>
      <c r="T53" s="69"/>
      <c r="U53" s="70">
        <v>300</v>
      </c>
      <c r="V53" s="79" t="s">
        <v>78</v>
      </c>
      <c r="W53" s="66">
        <v>45307</v>
      </c>
      <c r="X53" s="69" t="s">
        <v>129</v>
      </c>
      <c r="Y53" s="75">
        <v>300</v>
      </c>
      <c r="Z53" s="60"/>
      <c r="AA53" s="60"/>
      <c r="AB53" s="75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80"/>
      <c r="AR53" s="41"/>
    </row>
    <row r="54" spans="1:44" ht="30.75" customHeight="1">
      <c r="A54" s="41"/>
      <c r="B54" s="701"/>
      <c r="C54" s="59">
        <v>8</v>
      </c>
      <c r="D54" s="60" t="s">
        <v>389</v>
      </c>
      <c r="E54" s="60" t="s">
        <v>390</v>
      </c>
      <c r="F54" s="60" t="s">
        <v>43</v>
      </c>
      <c r="G54" s="62">
        <v>30411645</v>
      </c>
      <c r="H54" s="60">
        <v>37555</v>
      </c>
      <c r="I54" s="60">
        <f t="shared" ca="1" si="0"/>
        <v>23</v>
      </c>
      <c r="J54" s="63" t="s">
        <v>391</v>
      </c>
      <c r="K54" s="64" t="s">
        <v>392</v>
      </c>
      <c r="L54" s="65" t="s">
        <v>393</v>
      </c>
      <c r="M54" s="66" t="s">
        <v>394</v>
      </c>
      <c r="N54" s="77">
        <v>8677462</v>
      </c>
      <c r="O54" s="60" t="s">
        <v>395</v>
      </c>
      <c r="P54" s="106"/>
      <c r="Q54" s="68" t="s">
        <v>76</v>
      </c>
      <c r="R54" s="69" t="s">
        <v>310</v>
      </c>
      <c r="S54" s="69" t="s">
        <v>396</v>
      </c>
      <c r="T54" s="69"/>
      <c r="U54" s="70" t="s">
        <v>397</v>
      </c>
      <c r="V54" s="79" t="s">
        <v>54</v>
      </c>
      <c r="W54" s="66">
        <v>45308</v>
      </c>
      <c r="X54" s="69" t="s">
        <v>76</v>
      </c>
      <c r="Y54" s="75" t="s">
        <v>396</v>
      </c>
      <c r="Z54" s="60"/>
      <c r="AA54" s="60"/>
      <c r="AB54" s="75"/>
      <c r="AC54" s="60"/>
      <c r="AD54" s="75"/>
      <c r="AE54" s="60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80"/>
      <c r="AR54" s="41"/>
    </row>
    <row r="55" spans="1:44" ht="30.75" customHeight="1">
      <c r="A55" s="41"/>
      <c r="B55" s="701"/>
      <c r="C55" s="59">
        <v>9</v>
      </c>
      <c r="D55" s="60" t="s">
        <v>398</v>
      </c>
      <c r="E55" s="60" t="s">
        <v>399</v>
      </c>
      <c r="F55" s="60" t="s">
        <v>278</v>
      </c>
      <c r="G55" s="62">
        <v>33993093</v>
      </c>
      <c r="H55" s="60">
        <v>40749</v>
      </c>
      <c r="I55" s="60">
        <f t="shared" ca="1" si="0"/>
        <v>14</v>
      </c>
      <c r="J55" s="60"/>
      <c r="K55" s="64" t="s">
        <v>400</v>
      </c>
      <c r="L55" s="81" t="s">
        <v>401</v>
      </c>
      <c r="M55" s="66" t="s">
        <v>402</v>
      </c>
      <c r="N55" s="62">
        <v>19587074</v>
      </c>
      <c r="O55" s="60" t="s">
        <v>403</v>
      </c>
      <c r="P55" s="80"/>
      <c r="Q55" s="68" t="s">
        <v>404</v>
      </c>
      <c r="R55" s="69" t="s">
        <v>77</v>
      </c>
      <c r="S55" s="69"/>
      <c r="T55" s="69"/>
      <c r="U55" s="70"/>
      <c r="V55" s="79" t="s">
        <v>54</v>
      </c>
      <c r="W55" s="66"/>
      <c r="X55" s="69" t="s">
        <v>50</v>
      </c>
      <c r="Y55" s="75"/>
      <c r="Z55" s="60"/>
      <c r="AA55" s="60"/>
      <c r="AB55" s="75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80"/>
      <c r="AR55" s="41"/>
    </row>
    <row r="56" spans="1:44" ht="30.75" customHeight="1">
      <c r="A56" s="41"/>
      <c r="B56" s="701"/>
      <c r="C56" s="59">
        <v>10</v>
      </c>
      <c r="D56" s="60" t="s">
        <v>405</v>
      </c>
      <c r="E56" s="60" t="s">
        <v>406</v>
      </c>
      <c r="F56" s="60" t="s">
        <v>278</v>
      </c>
      <c r="G56" s="60"/>
      <c r="H56" s="74">
        <v>47058</v>
      </c>
      <c r="I56" s="60" t="e">
        <f t="shared" ca="1" si="0"/>
        <v>#NUM!</v>
      </c>
      <c r="J56" s="60"/>
      <c r="K56" s="64"/>
      <c r="L56" s="65" t="s">
        <v>407</v>
      </c>
      <c r="M56" s="66" t="s">
        <v>408</v>
      </c>
      <c r="N56" s="77">
        <v>19528260</v>
      </c>
      <c r="O56" s="60" t="s">
        <v>409</v>
      </c>
      <c r="P56" s="67" t="s">
        <v>410</v>
      </c>
      <c r="Q56" s="68" t="s">
        <v>411</v>
      </c>
      <c r="R56" s="69" t="s">
        <v>130</v>
      </c>
      <c r="S56" s="69"/>
      <c r="T56" s="69"/>
      <c r="U56" s="70"/>
      <c r="V56" s="79" t="s">
        <v>54</v>
      </c>
      <c r="W56" s="66">
        <v>44981</v>
      </c>
      <c r="X56" s="69" t="s">
        <v>412</v>
      </c>
      <c r="Y56" s="75"/>
      <c r="Z56" s="60"/>
      <c r="AA56" s="60"/>
      <c r="AB56" s="75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80"/>
      <c r="AR56" s="41"/>
    </row>
    <row r="57" spans="1:44" ht="30.75" customHeight="1">
      <c r="A57" s="41"/>
      <c r="B57" s="701"/>
      <c r="C57" s="59">
        <v>11</v>
      </c>
      <c r="D57" s="60" t="s">
        <v>413</v>
      </c>
      <c r="E57" s="60" t="s">
        <v>414</v>
      </c>
      <c r="F57" s="60" t="s">
        <v>278</v>
      </c>
      <c r="G57" s="62">
        <v>36360460</v>
      </c>
      <c r="H57" s="60">
        <v>42002</v>
      </c>
      <c r="I57" s="60">
        <f t="shared" ca="1" si="0"/>
        <v>11</v>
      </c>
      <c r="J57" s="63" t="s">
        <v>415</v>
      </c>
      <c r="K57" s="64"/>
      <c r="L57" s="65" t="s">
        <v>416</v>
      </c>
      <c r="M57" s="66" t="s">
        <v>417</v>
      </c>
      <c r="N57" s="77">
        <v>17534484</v>
      </c>
      <c r="O57" s="60" t="s">
        <v>418</v>
      </c>
      <c r="P57" s="67" t="s">
        <v>415</v>
      </c>
      <c r="Q57" s="68" t="s">
        <v>419</v>
      </c>
      <c r="R57" s="69" t="s">
        <v>77</v>
      </c>
      <c r="S57" s="69"/>
      <c r="T57" s="69"/>
      <c r="U57" s="70"/>
      <c r="V57" s="79" t="s">
        <v>54</v>
      </c>
      <c r="W57" s="66">
        <v>44985</v>
      </c>
      <c r="X57" s="69" t="s">
        <v>420</v>
      </c>
      <c r="Y57" s="75"/>
      <c r="Z57" s="60"/>
      <c r="AA57" s="60"/>
      <c r="AB57" s="75"/>
      <c r="AC57" s="60"/>
      <c r="AD57" s="60"/>
      <c r="AE57" s="75"/>
      <c r="AF57" s="60"/>
      <c r="AG57" s="60"/>
      <c r="AH57" s="75"/>
      <c r="AI57" s="74"/>
      <c r="AJ57" s="74"/>
      <c r="AK57" s="74"/>
      <c r="AL57" s="74"/>
      <c r="AM57" s="74"/>
      <c r="AN57" s="74"/>
      <c r="AO57" s="74"/>
      <c r="AP57" s="74"/>
      <c r="AQ57" s="80"/>
      <c r="AR57" s="41"/>
    </row>
    <row r="58" spans="1:44" ht="30.75" customHeight="1">
      <c r="A58" s="41"/>
      <c r="B58" s="701"/>
      <c r="C58" s="59">
        <v>12</v>
      </c>
      <c r="D58" s="60" t="s">
        <v>421</v>
      </c>
      <c r="E58" s="60" t="s">
        <v>422</v>
      </c>
      <c r="F58" s="60" t="s">
        <v>278</v>
      </c>
      <c r="G58" s="62"/>
      <c r="H58" s="60">
        <v>42535</v>
      </c>
      <c r="I58" s="60">
        <f t="shared" ca="1" si="0"/>
        <v>9</v>
      </c>
      <c r="J58" s="63" t="s">
        <v>423</v>
      </c>
      <c r="K58" s="64"/>
      <c r="L58" s="65" t="s">
        <v>416</v>
      </c>
      <c r="M58" s="66" t="s">
        <v>417</v>
      </c>
      <c r="N58" s="77">
        <v>17534484</v>
      </c>
      <c r="O58" s="60" t="s">
        <v>424</v>
      </c>
      <c r="P58" s="67" t="s">
        <v>425</v>
      </c>
      <c r="Q58" s="68" t="s">
        <v>369</v>
      </c>
      <c r="R58" s="69" t="s">
        <v>146</v>
      </c>
      <c r="S58" s="69"/>
      <c r="T58" s="69"/>
      <c r="U58" s="70">
        <v>320</v>
      </c>
      <c r="V58" s="79" t="s">
        <v>54</v>
      </c>
      <c r="W58" s="66">
        <v>44985</v>
      </c>
      <c r="X58" s="69" t="s">
        <v>420</v>
      </c>
      <c r="Y58" s="75"/>
      <c r="Z58" s="60"/>
      <c r="AA58" s="60"/>
      <c r="AB58" s="75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80"/>
      <c r="AR58" s="41"/>
    </row>
    <row r="59" spans="1:44" ht="30.75" customHeight="1">
      <c r="A59" s="41"/>
      <c r="B59" s="701"/>
      <c r="C59" s="59">
        <v>13</v>
      </c>
      <c r="D59" s="60" t="s">
        <v>426</v>
      </c>
      <c r="E59" s="60" t="s">
        <v>427</v>
      </c>
      <c r="F59" s="60" t="s">
        <v>278</v>
      </c>
      <c r="G59" s="62">
        <v>33884872</v>
      </c>
      <c r="H59" s="60">
        <v>40889</v>
      </c>
      <c r="I59" s="60">
        <f t="shared" ca="1" si="0"/>
        <v>14</v>
      </c>
      <c r="J59" s="63" t="s">
        <v>428</v>
      </c>
      <c r="K59" s="64">
        <v>4122522273</v>
      </c>
      <c r="L59" s="65" t="s">
        <v>429</v>
      </c>
      <c r="M59" s="66" t="s">
        <v>430</v>
      </c>
      <c r="N59" s="77">
        <v>13551625</v>
      </c>
      <c r="O59" s="60" t="s">
        <v>431</v>
      </c>
      <c r="P59" s="78" t="s">
        <v>432</v>
      </c>
      <c r="Q59" s="68" t="s">
        <v>404</v>
      </c>
      <c r="R59" s="69" t="s">
        <v>77</v>
      </c>
      <c r="S59" s="69"/>
      <c r="T59" s="69"/>
      <c r="U59" s="70"/>
      <c r="V59" s="79" t="s">
        <v>54</v>
      </c>
      <c r="W59" s="66"/>
      <c r="X59" s="69" t="s">
        <v>433</v>
      </c>
      <c r="Y59" s="75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80"/>
      <c r="AR59" s="41"/>
    </row>
    <row r="60" spans="1:44" ht="30.75" customHeight="1">
      <c r="A60" s="41"/>
      <c r="B60" s="701"/>
      <c r="C60" s="59">
        <v>14</v>
      </c>
      <c r="D60" s="60" t="s">
        <v>434</v>
      </c>
      <c r="E60" s="60" t="s">
        <v>435</v>
      </c>
      <c r="F60" s="60" t="s">
        <v>43</v>
      </c>
      <c r="G60" s="62">
        <v>24143761</v>
      </c>
      <c r="H60" s="60">
        <v>34254</v>
      </c>
      <c r="I60" s="60">
        <f t="shared" ca="1" si="0"/>
        <v>32</v>
      </c>
      <c r="J60" s="63" t="s">
        <v>436</v>
      </c>
      <c r="K60" s="64" t="s">
        <v>437</v>
      </c>
      <c r="L60" s="65" t="s">
        <v>438</v>
      </c>
      <c r="M60" s="66"/>
      <c r="N60" s="60"/>
      <c r="O60" s="60"/>
      <c r="P60" s="80"/>
      <c r="Q60" s="68" t="s">
        <v>281</v>
      </c>
      <c r="R60" s="69" t="s">
        <v>77</v>
      </c>
      <c r="S60" s="69"/>
      <c r="T60" s="69"/>
      <c r="U60" s="70">
        <v>300</v>
      </c>
      <c r="V60" s="79" t="s">
        <v>78</v>
      </c>
      <c r="W60" s="66">
        <v>45309</v>
      </c>
      <c r="X60" s="69" t="s">
        <v>281</v>
      </c>
      <c r="Y60" s="75">
        <v>300</v>
      </c>
      <c r="Z60" s="60"/>
      <c r="AA60" s="60"/>
      <c r="AB60" s="75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80"/>
      <c r="AR60" s="41"/>
    </row>
    <row r="61" spans="1:44" ht="30.75" customHeight="1">
      <c r="A61" s="41"/>
      <c r="B61" s="701"/>
      <c r="C61" s="59">
        <v>15</v>
      </c>
      <c r="D61" s="60" t="s">
        <v>439</v>
      </c>
      <c r="E61" s="60" t="s">
        <v>440</v>
      </c>
      <c r="F61" s="60" t="s">
        <v>278</v>
      </c>
      <c r="G61" s="62">
        <v>33328935</v>
      </c>
      <c r="H61" s="60">
        <v>40810</v>
      </c>
      <c r="I61" s="60">
        <f t="shared" ca="1" si="0"/>
        <v>14</v>
      </c>
      <c r="J61" s="63" t="s">
        <v>441</v>
      </c>
      <c r="K61" s="64" t="s">
        <v>442</v>
      </c>
      <c r="L61" s="65" t="s">
        <v>443</v>
      </c>
      <c r="M61" s="66" t="s">
        <v>444</v>
      </c>
      <c r="N61" s="62">
        <v>18536818</v>
      </c>
      <c r="O61" s="60" t="s">
        <v>445</v>
      </c>
      <c r="P61" s="78" t="s">
        <v>441</v>
      </c>
      <c r="Q61" s="68" t="s">
        <v>404</v>
      </c>
      <c r="R61" s="69" t="s">
        <v>77</v>
      </c>
      <c r="S61" s="69"/>
      <c r="T61" s="69"/>
      <c r="U61" s="70"/>
      <c r="V61" s="79" t="s">
        <v>54</v>
      </c>
      <c r="W61" s="66">
        <v>45063</v>
      </c>
      <c r="X61" s="69"/>
      <c r="Y61" s="75"/>
      <c r="Z61" s="74"/>
      <c r="AA61" s="74"/>
      <c r="AB61" s="74"/>
      <c r="AC61" s="60"/>
      <c r="AD61" s="60"/>
      <c r="AE61" s="75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80"/>
      <c r="AR61" s="41"/>
    </row>
    <row r="62" spans="1:44" ht="30.75" customHeight="1">
      <c r="A62" s="41"/>
      <c r="B62" s="701"/>
      <c r="C62" s="59">
        <v>16</v>
      </c>
      <c r="D62" s="60" t="s">
        <v>446</v>
      </c>
      <c r="E62" s="60" t="s">
        <v>447</v>
      </c>
      <c r="F62" s="60" t="s">
        <v>278</v>
      </c>
      <c r="G62" s="62">
        <v>36432199</v>
      </c>
      <c r="H62" s="105">
        <v>41906</v>
      </c>
      <c r="I62" s="60">
        <f t="shared" ca="1" si="0"/>
        <v>11</v>
      </c>
      <c r="J62" s="63" t="s">
        <v>441</v>
      </c>
      <c r="K62" s="64" t="s">
        <v>448</v>
      </c>
      <c r="L62" s="65" t="s">
        <v>449</v>
      </c>
      <c r="M62" s="66" t="s">
        <v>444</v>
      </c>
      <c r="N62" s="77">
        <v>18536818</v>
      </c>
      <c r="O62" s="60" t="s">
        <v>448</v>
      </c>
      <c r="P62" s="78" t="s">
        <v>441</v>
      </c>
      <c r="Q62" s="68" t="s">
        <v>419</v>
      </c>
      <c r="R62" s="69" t="s">
        <v>77</v>
      </c>
      <c r="S62" s="69"/>
      <c r="T62" s="69"/>
      <c r="U62" s="70"/>
      <c r="V62" s="79" t="s">
        <v>54</v>
      </c>
      <c r="W62" s="66">
        <v>45063</v>
      </c>
      <c r="X62" s="69"/>
      <c r="Y62" s="75"/>
      <c r="Z62" s="74"/>
      <c r="AA62" s="60"/>
      <c r="AB62" s="75"/>
      <c r="AC62" s="74"/>
      <c r="AD62" s="74"/>
      <c r="AE62" s="75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80"/>
      <c r="AR62" s="41"/>
    </row>
    <row r="63" spans="1:44" ht="30.75" customHeight="1">
      <c r="A63" s="41"/>
      <c r="B63" s="701"/>
      <c r="C63" s="59">
        <v>17</v>
      </c>
      <c r="D63" s="60" t="s">
        <v>450</v>
      </c>
      <c r="E63" s="60" t="s">
        <v>451</v>
      </c>
      <c r="F63" s="60" t="s">
        <v>278</v>
      </c>
      <c r="G63" s="62"/>
      <c r="H63" s="60">
        <v>43481</v>
      </c>
      <c r="I63" s="60">
        <f t="shared" ca="1" si="0"/>
        <v>7</v>
      </c>
      <c r="J63" s="60"/>
      <c r="K63" s="64"/>
      <c r="L63" s="65" t="s">
        <v>452</v>
      </c>
      <c r="M63" s="66" t="s">
        <v>453</v>
      </c>
      <c r="N63" s="77">
        <v>17743056</v>
      </c>
      <c r="O63" s="60" t="s">
        <v>454</v>
      </c>
      <c r="P63" s="67" t="s">
        <v>455</v>
      </c>
      <c r="Q63" s="68" t="s">
        <v>456</v>
      </c>
      <c r="R63" s="69" t="s">
        <v>130</v>
      </c>
      <c r="S63" s="69"/>
      <c r="T63" s="69"/>
      <c r="U63" s="70"/>
      <c r="V63" s="79" t="s">
        <v>54</v>
      </c>
      <c r="W63" s="66">
        <v>45434</v>
      </c>
      <c r="X63" s="69"/>
      <c r="Y63" s="75"/>
      <c r="Z63" s="60"/>
      <c r="AA63" s="60"/>
      <c r="AB63" s="75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80"/>
      <c r="AR63" s="41"/>
    </row>
    <row r="64" spans="1:44" ht="30.75" customHeight="1">
      <c r="A64" s="41"/>
      <c r="B64" s="701"/>
      <c r="C64" s="59">
        <v>18</v>
      </c>
      <c r="D64" s="60" t="s">
        <v>457</v>
      </c>
      <c r="E64" s="60" t="s">
        <v>458</v>
      </c>
      <c r="F64" s="60" t="s">
        <v>278</v>
      </c>
      <c r="G64" s="62"/>
      <c r="H64" s="60"/>
      <c r="I64" s="60">
        <f t="shared" ca="1" si="0"/>
        <v>126</v>
      </c>
      <c r="J64" s="60"/>
      <c r="K64" s="64"/>
      <c r="L64" s="65"/>
      <c r="M64" s="66" t="s">
        <v>459</v>
      </c>
      <c r="N64" s="77">
        <v>17199811</v>
      </c>
      <c r="O64" s="60" t="s">
        <v>460</v>
      </c>
      <c r="P64" s="67" t="s">
        <v>461</v>
      </c>
      <c r="Q64" s="68" t="s">
        <v>456</v>
      </c>
      <c r="R64" s="69" t="s">
        <v>130</v>
      </c>
      <c r="S64" s="69"/>
      <c r="T64" s="69"/>
      <c r="U64" s="70"/>
      <c r="V64" s="79" t="s">
        <v>54</v>
      </c>
      <c r="W64" s="66">
        <v>45069</v>
      </c>
      <c r="X64" s="69"/>
      <c r="Y64" s="75"/>
      <c r="Z64" s="60"/>
      <c r="AA64" s="60"/>
      <c r="AB64" s="75"/>
      <c r="AC64" s="60"/>
      <c r="AD64" s="60"/>
      <c r="AE64" s="75"/>
      <c r="AF64" s="60"/>
      <c r="AG64" s="60"/>
      <c r="AH64" s="75"/>
      <c r="AI64" s="74"/>
      <c r="AJ64" s="74"/>
      <c r="AK64" s="75"/>
      <c r="AL64" s="74"/>
      <c r="AM64" s="74"/>
      <c r="AN64" s="75"/>
      <c r="AO64" s="74"/>
      <c r="AP64" s="74"/>
      <c r="AQ64" s="80"/>
      <c r="AR64" s="41"/>
    </row>
    <row r="65" spans="1:44" ht="30.75" customHeight="1">
      <c r="A65" s="41"/>
      <c r="B65" s="701"/>
      <c r="C65" s="59">
        <v>19</v>
      </c>
      <c r="D65" s="60" t="s">
        <v>462</v>
      </c>
      <c r="E65" s="60" t="s">
        <v>463</v>
      </c>
      <c r="F65" s="60" t="s">
        <v>278</v>
      </c>
      <c r="G65" s="60"/>
      <c r="H65" s="60">
        <v>42692</v>
      </c>
      <c r="I65" s="60">
        <f t="shared" ca="1" si="0"/>
        <v>9</v>
      </c>
      <c r="J65" s="60"/>
      <c r="K65" s="64"/>
      <c r="L65" s="65" t="s">
        <v>464</v>
      </c>
      <c r="M65" s="66" t="s">
        <v>465</v>
      </c>
      <c r="N65" s="77">
        <v>17743181</v>
      </c>
      <c r="O65" s="60" t="s">
        <v>466</v>
      </c>
      <c r="P65" s="67" t="s">
        <v>467</v>
      </c>
      <c r="Q65" s="68" t="s">
        <v>369</v>
      </c>
      <c r="R65" s="69" t="s">
        <v>130</v>
      </c>
      <c r="S65" s="69"/>
      <c r="T65" s="69"/>
      <c r="U65" s="70"/>
      <c r="V65" s="79" t="s">
        <v>54</v>
      </c>
      <c r="W65" s="66">
        <v>45078</v>
      </c>
      <c r="X65" s="69"/>
      <c r="Y65" s="75"/>
      <c r="Z65" s="60"/>
      <c r="AA65" s="60"/>
      <c r="AB65" s="75"/>
      <c r="AC65" s="60"/>
      <c r="AD65" s="60"/>
      <c r="AE65" s="75"/>
      <c r="AF65" s="60"/>
      <c r="AG65" s="60"/>
      <c r="AH65" s="75"/>
      <c r="AI65" s="74"/>
      <c r="AJ65" s="74"/>
      <c r="AK65" s="75"/>
      <c r="AL65" s="74"/>
      <c r="AM65" s="74"/>
      <c r="AN65" s="74"/>
      <c r="AO65" s="74"/>
      <c r="AP65" s="74"/>
      <c r="AQ65" s="80"/>
      <c r="AR65" s="41"/>
    </row>
    <row r="66" spans="1:44" ht="30.75" customHeight="1">
      <c r="A66" s="41"/>
      <c r="B66" s="702"/>
      <c r="C66" s="83">
        <v>20</v>
      </c>
      <c r="D66" s="84" t="s">
        <v>468</v>
      </c>
      <c r="E66" s="84" t="s">
        <v>469</v>
      </c>
      <c r="F66" s="84" t="s">
        <v>278</v>
      </c>
      <c r="G66" s="84"/>
      <c r="H66" s="84">
        <v>43228</v>
      </c>
      <c r="I66" s="84">
        <f t="shared" ca="1" si="0"/>
        <v>8</v>
      </c>
      <c r="J66" s="84"/>
      <c r="K66" s="87"/>
      <c r="L66" s="88" t="s">
        <v>464</v>
      </c>
      <c r="M66" s="89" t="s">
        <v>465</v>
      </c>
      <c r="N66" s="90">
        <v>17743181</v>
      </c>
      <c r="O66" s="84" t="s">
        <v>466</v>
      </c>
      <c r="P66" s="91" t="s">
        <v>467</v>
      </c>
      <c r="Q66" s="92" t="s">
        <v>456</v>
      </c>
      <c r="R66" s="93" t="s">
        <v>130</v>
      </c>
      <c r="S66" s="93"/>
      <c r="T66" s="93"/>
      <c r="U66" s="94"/>
      <c r="V66" s="95" t="s">
        <v>54</v>
      </c>
      <c r="W66" s="110">
        <v>45337</v>
      </c>
      <c r="X66" s="93"/>
      <c r="Y66" s="111"/>
      <c r="Z66" s="97"/>
      <c r="AA66" s="97"/>
      <c r="AB66" s="97"/>
      <c r="AC66" s="84"/>
      <c r="AD66" s="84"/>
      <c r="AE66" s="96"/>
      <c r="AF66" s="84"/>
      <c r="AG66" s="84"/>
      <c r="AH66" s="96"/>
      <c r="AI66" s="97"/>
      <c r="AJ66" s="97"/>
      <c r="AK66" s="97"/>
      <c r="AL66" s="97"/>
      <c r="AM66" s="97"/>
      <c r="AN66" s="97"/>
      <c r="AO66" s="97"/>
      <c r="AP66" s="97"/>
      <c r="AQ66" s="98"/>
      <c r="AR66" s="41"/>
    </row>
    <row r="67" spans="1:44" ht="30.75" customHeight="1">
      <c r="A67" s="41"/>
      <c r="B67" s="700" t="s">
        <v>470</v>
      </c>
      <c r="C67" s="42">
        <v>1</v>
      </c>
      <c r="D67" s="44" t="s">
        <v>471</v>
      </c>
      <c r="E67" s="44" t="s">
        <v>472</v>
      </c>
      <c r="F67" s="44" t="s">
        <v>278</v>
      </c>
      <c r="G67" s="45">
        <v>31404186</v>
      </c>
      <c r="H67" s="44">
        <v>38876</v>
      </c>
      <c r="I67" s="44">
        <f t="shared" ca="1" si="0"/>
        <v>19</v>
      </c>
      <c r="J67" s="46" t="s">
        <v>473</v>
      </c>
      <c r="K67" s="47" t="s">
        <v>474</v>
      </c>
      <c r="L67" s="48" t="s">
        <v>475</v>
      </c>
      <c r="M67" s="49" t="s">
        <v>476</v>
      </c>
      <c r="N67" s="50">
        <v>15119858</v>
      </c>
      <c r="O67" s="44" t="s">
        <v>477</v>
      </c>
      <c r="P67" s="51" t="s">
        <v>478</v>
      </c>
      <c r="Q67" s="52" t="s">
        <v>479</v>
      </c>
      <c r="R67" s="53" t="s">
        <v>480</v>
      </c>
      <c r="S67" s="53"/>
      <c r="T67" s="53"/>
      <c r="U67" s="54"/>
      <c r="V67" s="55" t="s">
        <v>54</v>
      </c>
      <c r="W67" s="100">
        <v>45104</v>
      </c>
      <c r="X67" s="53"/>
      <c r="Y67" s="112"/>
      <c r="Z67" s="44"/>
      <c r="AA67" s="44"/>
      <c r="AB67" s="56"/>
      <c r="AC67" s="44"/>
      <c r="AD67" s="44"/>
      <c r="AE67" s="56"/>
      <c r="AF67" s="44"/>
      <c r="AG67" s="44"/>
      <c r="AH67" s="56"/>
      <c r="AI67" s="57"/>
      <c r="AJ67" s="57"/>
      <c r="AK67" s="57"/>
      <c r="AL67" s="57"/>
      <c r="AM67" s="57"/>
      <c r="AN67" s="57"/>
      <c r="AO67" s="57"/>
      <c r="AP67" s="57"/>
      <c r="AQ67" s="102"/>
      <c r="AR67" s="41"/>
    </row>
    <row r="68" spans="1:44" ht="30.75" customHeight="1">
      <c r="A68" s="41"/>
      <c r="B68" s="701"/>
      <c r="C68" s="59">
        <v>2</v>
      </c>
      <c r="D68" s="60" t="s">
        <v>481</v>
      </c>
      <c r="E68" s="60" t="s">
        <v>482</v>
      </c>
      <c r="F68" s="60" t="s">
        <v>278</v>
      </c>
      <c r="G68" s="62"/>
      <c r="H68" s="60">
        <v>43194</v>
      </c>
      <c r="I68" s="60">
        <f t="shared" ca="1" si="0"/>
        <v>8</v>
      </c>
      <c r="J68" s="60"/>
      <c r="K68" s="64"/>
      <c r="L68" s="65" t="s">
        <v>483</v>
      </c>
      <c r="M68" s="66" t="s">
        <v>484</v>
      </c>
      <c r="N68" s="62">
        <v>14363252</v>
      </c>
      <c r="O68" s="60" t="s">
        <v>485</v>
      </c>
      <c r="P68" s="78" t="s">
        <v>486</v>
      </c>
      <c r="Q68" s="68" t="s">
        <v>411</v>
      </c>
      <c r="R68" s="69" t="s">
        <v>130</v>
      </c>
      <c r="S68" s="69"/>
      <c r="T68" s="69"/>
      <c r="U68" s="70"/>
      <c r="V68" s="79" t="s">
        <v>54</v>
      </c>
      <c r="W68" s="66"/>
      <c r="X68" s="69"/>
      <c r="Y68" s="75"/>
      <c r="Z68" s="60"/>
      <c r="AA68" s="60"/>
      <c r="AB68" s="75"/>
      <c r="AC68" s="60"/>
      <c r="AD68" s="60"/>
      <c r="AE68" s="75"/>
      <c r="AF68" s="74"/>
      <c r="AG68" s="60"/>
      <c r="AH68" s="75"/>
      <c r="AI68" s="74"/>
      <c r="AJ68" s="74"/>
      <c r="AK68" s="74"/>
      <c r="AL68" s="74"/>
      <c r="AM68" s="74"/>
      <c r="AN68" s="74"/>
      <c r="AO68" s="74"/>
      <c r="AP68" s="74"/>
      <c r="AQ68" s="80"/>
      <c r="AR68" s="41"/>
    </row>
    <row r="69" spans="1:44" ht="30.75" customHeight="1">
      <c r="A69" s="41"/>
      <c r="B69" s="701"/>
      <c r="C69" s="59">
        <v>3</v>
      </c>
      <c r="D69" s="60" t="s">
        <v>487</v>
      </c>
      <c r="E69" s="60" t="s">
        <v>488</v>
      </c>
      <c r="F69" s="60" t="s">
        <v>278</v>
      </c>
      <c r="G69" s="62"/>
      <c r="H69" s="60">
        <v>42565</v>
      </c>
      <c r="I69" s="60">
        <f t="shared" ca="1" si="0"/>
        <v>9</v>
      </c>
      <c r="J69" s="63"/>
      <c r="K69" s="64"/>
      <c r="L69" s="65" t="s">
        <v>483</v>
      </c>
      <c r="M69" s="66" t="s">
        <v>484</v>
      </c>
      <c r="N69" s="62">
        <v>14363252</v>
      </c>
      <c r="O69" s="60" t="s">
        <v>485</v>
      </c>
      <c r="P69" s="78" t="s">
        <v>486</v>
      </c>
      <c r="Q69" s="68" t="s">
        <v>370</v>
      </c>
      <c r="R69" s="69" t="s">
        <v>130</v>
      </c>
      <c r="S69" s="69"/>
      <c r="T69" s="69"/>
      <c r="U69" s="70"/>
      <c r="V69" s="79" t="s">
        <v>54</v>
      </c>
      <c r="W69" s="72"/>
      <c r="X69" s="69"/>
      <c r="Y69" s="104"/>
      <c r="Z69" s="74"/>
      <c r="AA69" s="74"/>
      <c r="AB69" s="74"/>
      <c r="AC69" s="60"/>
      <c r="AD69" s="60"/>
      <c r="AE69" s="75"/>
      <c r="AF69" s="60"/>
      <c r="AG69" s="60"/>
      <c r="AH69" s="75"/>
      <c r="AI69" s="60"/>
      <c r="AJ69" s="60"/>
      <c r="AK69" s="75"/>
      <c r="AL69" s="74"/>
      <c r="AM69" s="74"/>
      <c r="AN69" s="74"/>
      <c r="AO69" s="74"/>
      <c r="AP69" s="74"/>
      <c r="AQ69" s="80"/>
      <c r="AR69" s="41"/>
    </row>
    <row r="70" spans="1:44" ht="30.75" customHeight="1">
      <c r="A70" s="41"/>
      <c r="B70" s="701"/>
      <c r="C70" s="59">
        <v>4</v>
      </c>
      <c r="D70" s="60" t="s">
        <v>489</v>
      </c>
      <c r="E70" s="60" t="s">
        <v>490</v>
      </c>
      <c r="F70" s="60" t="s">
        <v>278</v>
      </c>
      <c r="G70" s="62"/>
      <c r="H70" s="60">
        <v>41849</v>
      </c>
      <c r="I70" s="60">
        <f t="shared" ca="1" si="0"/>
        <v>11</v>
      </c>
      <c r="J70" s="60"/>
      <c r="K70" s="64"/>
      <c r="L70" s="65" t="s">
        <v>491</v>
      </c>
      <c r="M70" s="66" t="s">
        <v>492</v>
      </c>
      <c r="N70" s="77">
        <v>14351705</v>
      </c>
      <c r="O70" s="60" t="s">
        <v>493</v>
      </c>
      <c r="P70" s="67" t="s">
        <v>494</v>
      </c>
      <c r="Q70" s="68" t="s">
        <v>370</v>
      </c>
      <c r="R70" s="69" t="s">
        <v>130</v>
      </c>
      <c r="S70" s="69"/>
      <c r="T70" s="69"/>
      <c r="U70" s="70"/>
      <c r="V70" s="79" t="s">
        <v>54</v>
      </c>
      <c r="W70" s="66">
        <v>45157</v>
      </c>
      <c r="X70" s="69"/>
      <c r="Y70" s="104"/>
      <c r="Z70" s="60"/>
      <c r="AA70" s="60"/>
      <c r="AB70" s="75"/>
      <c r="AC70" s="60"/>
      <c r="AD70" s="60"/>
      <c r="AE70" s="75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80"/>
      <c r="AR70" s="41"/>
    </row>
    <row r="71" spans="1:44" ht="30.75" customHeight="1">
      <c r="A71" s="41"/>
      <c r="B71" s="701"/>
      <c r="C71" s="59">
        <v>5</v>
      </c>
      <c r="D71" s="60" t="s">
        <v>495</v>
      </c>
      <c r="E71" s="60" t="s">
        <v>496</v>
      </c>
      <c r="F71" s="60" t="s">
        <v>278</v>
      </c>
      <c r="G71" s="62"/>
      <c r="H71" s="60">
        <v>41726</v>
      </c>
      <c r="I71" s="60">
        <f t="shared" ca="1" si="0"/>
        <v>12</v>
      </c>
      <c r="J71" s="63"/>
      <c r="K71" s="64"/>
      <c r="L71" s="65" t="s">
        <v>497</v>
      </c>
      <c r="M71" s="66" t="s">
        <v>498</v>
      </c>
      <c r="N71" s="62">
        <v>18440643</v>
      </c>
      <c r="O71" s="60" t="s">
        <v>499</v>
      </c>
      <c r="P71" s="78" t="s">
        <v>500</v>
      </c>
      <c r="Q71" s="68" t="s">
        <v>501</v>
      </c>
      <c r="R71" s="69" t="s">
        <v>146</v>
      </c>
      <c r="S71" s="69"/>
      <c r="T71" s="69"/>
      <c r="U71" s="70"/>
      <c r="V71" s="79" t="s">
        <v>78</v>
      </c>
      <c r="W71" s="68">
        <v>45159</v>
      </c>
      <c r="X71" s="69"/>
      <c r="Y71" s="104"/>
      <c r="Z71" s="74"/>
      <c r="AA71" s="74"/>
      <c r="AB71" s="74"/>
      <c r="AC71" s="60"/>
      <c r="AD71" s="60"/>
      <c r="AE71" s="75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80"/>
      <c r="AR71" s="41"/>
    </row>
    <row r="72" spans="1:44" ht="30.75" customHeight="1">
      <c r="A72" s="41"/>
      <c r="B72" s="701"/>
      <c r="C72" s="59">
        <v>6</v>
      </c>
      <c r="D72" s="60" t="s">
        <v>502</v>
      </c>
      <c r="E72" s="60" t="s">
        <v>503</v>
      </c>
      <c r="F72" s="60" t="s">
        <v>278</v>
      </c>
      <c r="G72" s="62"/>
      <c r="H72" s="60">
        <v>42516</v>
      </c>
      <c r="I72" s="60">
        <f t="shared" ca="1" si="0"/>
        <v>10</v>
      </c>
      <c r="J72" s="60"/>
      <c r="K72" s="64"/>
      <c r="L72" s="65" t="s">
        <v>504</v>
      </c>
      <c r="M72" s="66" t="s">
        <v>505</v>
      </c>
      <c r="N72" s="62">
        <v>16888252</v>
      </c>
      <c r="O72" s="60" t="s">
        <v>506</v>
      </c>
      <c r="P72" s="78" t="s">
        <v>507</v>
      </c>
      <c r="Q72" s="68" t="s">
        <v>370</v>
      </c>
      <c r="R72" s="69" t="s">
        <v>130</v>
      </c>
      <c r="S72" s="69"/>
      <c r="T72" s="69"/>
      <c r="U72" s="70"/>
      <c r="V72" s="79" t="s">
        <v>78</v>
      </c>
      <c r="W72" s="66">
        <v>45162</v>
      </c>
      <c r="X72" s="69"/>
      <c r="Y72" s="104"/>
      <c r="Z72" s="60"/>
      <c r="AA72" s="60"/>
      <c r="AB72" s="75"/>
      <c r="AC72" s="60"/>
      <c r="AD72" s="60"/>
      <c r="AE72" s="75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80"/>
      <c r="AR72" s="41"/>
    </row>
    <row r="73" spans="1:44" ht="30.75" customHeight="1">
      <c r="A73" s="41"/>
      <c r="B73" s="701"/>
      <c r="C73" s="59">
        <v>7</v>
      </c>
      <c r="D73" s="60" t="s">
        <v>508</v>
      </c>
      <c r="E73" s="60" t="s">
        <v>509</v>
      </c>
      <c r="F73" s="60" t="s">
        <v>278</v>
      </c>
      <c r="G73" s="60"/>
      <c r="H73" s="60">
        <v>31820</v>
      </c>
      <c r="I73" s="60">
        <f t="shared" ca="1" si="0"/>
        <v>39</v>
      </c>
      <c r="J73" s="63" t="s">
        <v>510</v>
      </c>
      <c r="K73" s="64" t="s">
        <v>511</v>
      </c>
      <c r="L73" s="65" t="s">
        <v>504</v>
      </c>
      <c r="M73" s="66"/>
      <c r="N73" s="77"/>
      <c r="O73" s="60"/>
      <c r="P73" s="106"/>
      <c r="Q73" s="68" t="s">
        <v>281</v>
      </c>
      <c r="R73" s="69" t="s">
        <v>77</v>
      </c>
      <c r="S73" s="69"/>
      <c r="T73" s="69"/>
      <c r="U73" s="70"/>
      <c r="V73" s="79" t="s">
        <v>512</v>
      </c>
      <c r="W73" s="72">
        <v>45164</v>
      </c>
      <c r="X73" s="69"/>
      <c r="Y73" s="104"/>
      <c r="Z73" s="60"/>
      <c r="AA73" s="60"/>
      <c r="AB73" s="75"/>
      <c r="AC73" s="60"/>
      <c r="AD73" s="60"/>
      <c r="AE73" s="75"/>
      <c r="AF73" s="60"/>
      <c r="AG73" s="60"/>
      <c r="AH73" s="75"/>
      <c r="AI73" s="74"/>
      <c r="AJ73" s="74"/>
      <c r="AK73" s="74"/>
      <c r="AL73" s="74"/>
      <c r="AM73" s="74"/>
      <c r="AN73" s="74"/>
      <c r="AO73" s="74"/>
      <c r="AP73" s="74"/>
      <c r="AQ73" s="80"/>
      <c r="AR73" s="41"/>
    </row>
    <row r="74" spans="1:44" ht="30.75" customHeight="1">
      <c r="A74" s="41"/>
      <c r="B74" s="701"/>
      <c r="C74" s="59">
        <v>8</v>
      </c>
      <c r="D74" s="60" t="s">
        <v>513</v>
      </c>
      <c r="E74" s="60" t="s">
        <v>514</v>
      </c>
      <c r="F74" s="60" t="s">
        <v>278</v>
      </c>
      <c r="G74" s="62"/>
      <c r="H74" s="60">
        <v>41634</v>
      </c>
      <c r="I74" s="60">
        <f t="shared" ca="1" si="0"/>
        <v>12</v>
      </c>
      <c r="J74" s="60"/>
      <c r="K74" s="64"/>
      <c r="L74" s="65" t="s">
        <v>515</v>
      </c>
      <c r="M74" s="66" t="s">
        <v>516</v>
      </c>
      <c r="N74" s="77">
        <v>13086280</v>
      </c>
      <c r="O74" s="60" t="s">
        <v>517</v>
      </c>
      <c r="P74" s="67" t="s">
        <v>518</v>
      </c>
      <c r="Q74" s="68" t="s">
        <v>370</v>
      </c>
      <c r="R74" s="69" t="s">
        <v>130</v>
      </c>
      <c r="S74" s="69"/>
      <c r="T74" s="69"/>
      <c r="U74" s="70"/>
      <c r="V74" s="79" t="s">
        <v>54</v>
      </c>
      <c r="W74" s="66">
        <v>45173</v>
      </c>
      <c r="X74" s="69"/>
      <c r="Y74" s="10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80"/>
      <c r="AR74" s="41"/>
    </row>
    <row r="75" spans="1:44" ht="30.75" customHeight="1">
      <c r="A75" s="41"/>
      <c r="B75" s="701"/>
      <c r="C75" s="59">
        <v>9</v>
      </c>
      <c r="D75" s="60" t="s">
        <v>519</v>
      </c>
      <c r="E75" s="60" t="s">
        <v>520</v>
      </c>
      <c r="F75" s="60" t="s">
        <v>278</v>
      </c>
      <c r="G75" s="62"/>
      <c r="H75" s="60">
        <v>45523</v>
      </c>
      <c r="I75" s="60">
        <f t="shared" ca="1" si="0"/>
        <v>1</v>
      </c>
      <c r="J75" s="63" t="s">
        <v>521</v>
      </c>
      <c r="K75" s="64" t="s">
        <v>522</v>
      </c>
      <c r="L75" s="65" t="s">
        <v>523</v>
      </c>
      <c r="M75" s="66" t="s">
        <v>524</v>
      </c>
      <c r="N75" s="77">
        <v>4483451</v>
      </c>
      <c r="O75" s="60" t="s">
        <v>522</v>
      </c>
      <c r="P75" s="67" t="s">
        <v>525</v>
      </c>
      <c r="Q75" s="68" t="s">
        <v>370</v>
      </c>
      <c r="R75" s="69" t="s">
        <v>130</v>
      </c>
      <c r="S75" s="69"/>
      <c r="T75" s="69"/>
      <c r="U75" s="70"/>
      <c r="V75" s="79" t="s">
        <v>54</v>
      </c>
      <c r="W75" s="72">
        <v>45177</v>
      </c>
      <c r="X75" s="69"/>
      <c r="Y75" s="10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80"/>
      <c r="AR75" s="41"/>
    </row>
    <row r="76" spans="1:44" ht="30.75" customHeight="1">
      <c r="A76" s="41"/>
      <c r="B76" s="701"/>
      <c r="C76" s="59">
        <v>10</v>
      </c>
      <c r="D76" s="60" t="s">
        <v>526</v>
      </c>
      <c r="E76" s="60" t="s">
        <v>527</v>
      </c>
      <c r="F76" s="60" t="s">
        <v>278</v>
      </c>
      <c r="G76" s="62">
        <v>27322267</v>
      </c>
      <c r="H76" s="74">
        <v>36448</v>
      </c>
      <c r="I76" s="60">
        <f t="shared" ca="1" si="0"/>
        <v>26</v>
      </c>
      <c r="J76" s="63" t="s">
        <v>528</v>
      </c>
      <c r="K76" s="64" t="s">
        <v>529</v>
      </c>
      <c r="L76" s="81" t="s">
        <v>530</v>
      </c>
      <c r="M76" s="66" t="s">
        <v>531</v>
      </c>
      <c r="N76" s="62">
        <v>11820753</v>
      </c>
      <c r="O76" s="60" t="s">
        <v>529</v>
      </c>
      <c r="P76" s="78" t="s">
        <v>532</v>
      </c>
      <c r="Q76" s="68" t="s">
        <v>479</v>
      </c>
      <c r="R76" s="69" t="s">
        <v>310</v>
      </c>
      <c r="S76" s="69"/>
      <c r="T76" s="69"/>
      <c r="U76" s="70"/>
      <c r="V76" s="79" t="s">
        <v>54</v>
      </c>
      <c r="W76" s="72">
        <v>45177</v>
      </c>
      <c r="X76" s="69"/>
      <c r="Y76" s="10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80"/>
      <c r="AR76" s="41"/>
    </row>
    <row r="77" spans="1:44" ht="30.75" customHeight="1">
      <c r="A77" s="41"/>
      <c r="B77" s="701"/>
      <c r="C77" s="59">
        <v>11</v>
      </c>
      <c r="D77" s="60" t="s">
        <v>533</v>
      </c>
      <c r="E77" s="60" t="s">
        <v>534</v>
      </c>
      <c r="F77" s="60" t="s">
        <v>278</v>
      </c>
      <c r="G77" s="62">
        <v>36034348</v>
      </c>
      <c r="H77" s="74">
        <v>42215</v>
      </c>
      <c r="I77" s="60">
        <f t="shared" ca="1" si="0"/>
        <v>10</v>
      </c>
      <c r="J77" s="60"/>
      <c r="K77" s="64" t="s">
        <v>535</v>
      </c>
      <c r="L77" s="81" t="s">
        <v>536</v>
      </c>
      <c r="M77" s="66" t="s">
        <v>537</v>
      </c>
      <c r="N77" s="62">
        <v>18109178</v>
      </c>
      <c r="O77" s="60" t="s">
        <v>538</v>
      </c>
      <c r="P77" s="78" t="s">
        <v>539</v>
      </c>
      <c r="Q77" s="68" t="s">
        <v>369</v>
      </c>
      <c r="R77" s="69" t="s">
        <v>146</v>
      </c>
      <c r="S77" s="69"/>
      <c r="T77" s="69"/>
      <c r="U77" s="70"/>
      <c r="V77" s="79" t="s">
        <v>78</v>
      </c>
      <c r="W77" s="72">
        <v>45238</v>
      </c>
      <c r="X77" s="69"/>
      <c r="Y77" s="10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80"/>
      <c r="AR77" s="41"/>
    </row>
    <row r="78" spans="1:44" ht="30.75" customHeight="1">
      <c r="A78" s="41"/>
      <c r="B78" s="701"/>
      <c r="C78" s="59">
        <v>12</v>
      </c>
      <c r="D78" s="60" t="s">
        <v>540</v>
      </c>
      <c r="E78" s="60" t="s">
        <v>541</v>
      </c>
      <c r="F78" s="60" t="s">
        <v>43</v>
      </c>
      <c r="G78" s="62">
        <v>24462857</v>
      </c>
      <c r="H78" s="60">
        <v>20690</v>
      </c>
      <c r="I78" s="60">
        <f t="shared" ca="1" si="0"/>
        <v>69</v>
      </c>
      <c r="J78" s="60"/>
      <c r="K78" s="64" t="s">
        <v>542</v>
      </c>
      <c r="L78" s="65" t="s">
        <v>543</v>
      </c>
      <c r="M78" s="66"/>
      <c r="N78" s="77"/>
      <c r="O78" s="60"/>
      <c r="P78" s="106"/>
      <c r="Q78" s="68" t="s">
        <v>544</v>
      </c>
      <c r="R78" s="69" t="s">
        <v>310</v>
      </c>
      <c r="S78" s="69"/>
      <c r="T78" s="69"/>
      <c r="U78" s="70"/>
      <c r="V78" s="79" t="s">
        <v>78</v>
      </c>
      <c r="W78" s="72">
        <v>45310</v>
      </c>
      <c r="X78" s="69"/>
      <c r="Y78" s="104"/>
      <c r="Z78" s="60"/>
      <c r="AA78" s="60"/>
      <c r="AB78" s="107"/>
      <c r="AC78" s="60"/>
      <c r="AD78" s="60"/>
      <c r="AE78" s="107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80"/>
      <c r="AR78" s="41"/>
    </row>
    <row r="79" spans="1:44" ht="30.75" customHeight="1">
      <c r="A79" s="41"/>
      <c r="B79" s="701"/>
      <c r="C79" s="59">
        <v>13</v>
      </c>
      <c r="D79" s="60" t="s">
        <v>545</v>
      </c>
      <c r="E79" s="60" t="s">
        <v>546</v>
      </c>
      <c r="F79" s="60" t="s">
        <v>43</v>
      </c>
      <c r="G79" s="60"/>
      <c r="H79" s="60">
        <v>40461</v>
      </c>
      <c r="I79" s="60">
        <f t="shared" ca="1" si="0"/>
        <v>15</v>
      </c>
      <c r="J79" s="63" t="s">
        <v>547</v>
      </c>
      <c r="K79" s="64" t="s">
        <v>548</v>
      </c>
      <c r="L79" s="65" t="s">
        <v>549</v>
      </c>
      <c r="M79" s="66" t="s">
        <v>550</v>
      </c>
      <c r="N79" s="77" t="s">
        <v>551</v>
      </c>
      <c r="O79" s="60">
        <v>4143004467</v>
      </c>
      <c r="P79" s="78" t="s">
        <v>547</v>
      </c>
      <c r="Q79" s="68" t="s">
        <v>552</v>
      </c>
      <c r="R79" s="69" t="s">
        <v>553</v>
      </c>
      <c r="S79" s="69"/>
      <c r="T79" s="69"/>
      <c r="U79" s="70">
        <v>300</v>
      </c>
      <c r="V79" s="79" t="s">
        <v>78</v>
      </c>
      <c r="W79" s="72">
        <v>45310</v>
      </c>
      <c r="X79" s="69" t="s">
        <v>552</v>
      </c>
      <c r="Y79" s="104">
        <v>300</v>
      </c>
      <c r="Z79" s="60"/>
      <c r="AA79" s="60"/>
      <c r="AB79" s="107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80"/>
      <c r="AR79" s="41"/>
    </row>
    <row r="80" spans="1:44" ht="30.75" customHeight="1">
      <c r="A80" s="41"/>
      <c r="B80" s="701"/>
      <c r="C80" s="59">
        <v>14</v>
      </c>
      <c r="D80" s="60" t="s">
        <v>554</v>
      </c>
      <c r="E80" s="60" t="s">
        <v>555</v>
      </c>
      <c r="F80" s="60" t="s">
        <v>43</v>
      </c>
      <c r="G80" s="62" t="s">
        <v>556</v>
      </c>
      <c r="H80" s="60">
        <v>40009</v>
      </c>
      <c r="I80" s="60">
        <f t="shared" ca="1" si="0"/>
        <v>16</v>
      </c>
      <c r="J80" s="63" t="s">
        <v>557</v>
      </c>
      <c r="K80" s="64" t="s">
        <v>558</v>
      </c>
      <c r="L80" s="65" t="s">
        <v>559</v>
      </c>
      <c r="M80" s="66" t="s">
        <v>560</v>
      </c>
      <c r="N80" s="77" t="s">
        <v>561</v>
      </c>
      <c r="O80" s="60" t="s">
        <v>562</v>
      </c>
      <c r="P80" s="67" t="s">
        <v>563</v>
      </c>
      <c r="Q80" s="68" t="s">
        <v>50</v>
      </c>
      <c r="R80" s="69" t="s">
        <v>146</v>
      </c>
      <c r="S80" s="69"/>
      <c r="T80" s="69"/>
      <c r="U80" s="70">
        <v>300</v>
      </c>
      <c r="V80" s="79" t="s">
        <v>78</v>
      </c>
      <c r="W80" s="72">
        <v>45310</v>
      </c>
      <c r="X80" s="69" t="s">
        <v>50</v>
      </c>
      <c r="Y80" s="104">
        <v>300</v>
      </c>
      <c r="Z80" s="60"/>
      <c r="AA80" s="60"/>
      <c r="AB80" s="107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80"/>
      <c r="AR80" s="41"/>
    </row>
    <row r="81" spans="1:44" ht="30.75" customHeight="1">
      <c r="A81" s="41"/>
      <c r="B81" s="701"/>
      <c r="C81" s="59">
        <v>15</v>
      </c>
      <c r="D81" s="60" t="s">
        <v>564</v>
      </c>
      <c r="E81" s="113" t="s">
        <v>565</v>
      </c>
      <c r="F81" s="60" t="s">
        <v>43</v>
      </c>
      <c r="G81" s="62">
        <v>33510356</v>
      </c>
      <c r="H81" s="74">
        <v>39923</v>
      </c>
      <c r="I81" s="60">
        <f t="shared" ca="1" si="0"/>
        <v>17</v>
      </c>
      <c r="J81" s="63" t="s">
        <v>566</v>
      </c>
      <c r="K81" s="64" t="s">
        <v>567</v>
      </c>
      <c r="L81" s="81" t="s">
        <v>568</v>
      </c>
      <c r="M81" s="66" t="s">
        <v>569</v>
      </c>
      <c r="N81" s="77" t="s">
        <v>570</v>
      </c>
      <c r="O81" s="60" t="s">
        <v>571</v>
      </c>
      <c r="P81" s="78" t="s">
        <v>572</v>
      </c>
      <c r="Q81" s="68" t="s">
        <v>50</v>
      </c>
      <c r="R81" s="69" t="s">
        <v>146</v>
      </c>
      <c r="S81" s="69"/>
      <c r="T81" s="69"/>
      <c r="U81" s="70">
        <v>390</v>
      </c>
      <c r="V81" s="79" t="s">
        <v>78</v>
      </c>
      <c r="W81" s="72">
        <v>45313</v>
      </c>
      <c r="X81" s="69" t="s">
        <v>50</v>
      </c>
      <c r="Y81" s="104">
        <v>130</v>
      </c>
      <c r="Z81" s="74"/>
      <c r="AA81" s="74"/>
      <c r="AB81" s="74"/>
      <c r="AC81" s="60"/>
      <c r="AD81" s="60"/>
      <c r="AE81" s="75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80"/>
      <c r="AR81" s="41"/>
    </row>
    <row r="82" spans="1:44" ht="30.75" customHeight="1">
      <c r="A82" s="41"/>
      <c r="B82" s="701"/>
      <c r="C82" s="59">
        <v>16</v>
      </c>
      <c r="D82" s="60" t="s">
        <v>573</v>
      </c>
      <c r="E82" s="60" t="s">
        <v>574</v>
      </c>
      <c r="F82" s="60" t="s">
        <v>43</v>
      </c>
      <c r="G82" s="62">
        <v>36235519</v>
      </c>
      <c r="H82" s="60">
        <v>41411</v>
      </c>
      <c r="I82" s="60">
        <f t="shared" ca="1" si="0"/>
        <v>13</v>
      </c>
      <c r="J82" s="60"/>
      <c r="K82" s="64"/>
      <c r="L82" s="65" t="s">
        <v>575</v>
      </c>
      <c r="M82" s="66" t="s">
        <v>576</v>
      </c>
      <c r="N82" s="77">
        <v>14674498</v>
      </c>
      <c r="O82" s="60" t="s">
        <v>577</v>
      </c>
      <c r="P82" s="67" t="s">
        <v>578</v>
      </c>
      <c r="Q82" s="68" t="s">
        <v>579</v>
      </c>
      <c r="R82" s="69" t="s">
        <v>580</v>
      </c>
      <c r="S82" s="69"/>
      <c r="T82" s="69"/>
      <c r="U82" s="70">
        <v>300</v>
      </c>
      <c r="V82" s="79" t="s">
        <v>78</v>
      </c>
      <c r="W82" s="72">
        <v>45313</v>
      </c>
      <c r="X82" s="69" t="s">
        <v>369</v>
      </c>
      <c r="Y82" s="104">
        <v>300</v>
      </c>
      <c r="Z82" s="60"/>
      <c r="AA82" s="60"/>
      <c r="AB82" s="75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80"/>
      <c r="AR82" s="41"/>
    </row>
    <row r="83" spans="1:44" ht="30.75" customHeight="1">
      <c r="A83" s="41"/>
      <c r="B83" s="701"/>
      <c r="C83" s="59">
        <v>17</v>
      </c>
      <c r="D83" s="60" t="s">
        <v>581</v>
      </c>
      <c r="E83" s="60" t="s">
        <v>582</v>
      </c>
      <c r="F83" s="60" t="s">
        <v>43</v>
      </c>
      <c r="G83" s="62">
        <v>35121040</v>
      </c>
      <c r="H83" s="60">
        <v>41510</v>
      </c>
      <c r="I83" s="60">
        <f t="shared" ca="1" si="0"/>
        <v>12</v>
      </c>
      <c r="J83" s="60"/>
      <c r="K83" s="64"/>
      <c r="L83" s="65" t="s">
        <v>583</v>
      </c>
      <c r="M83" s="66" t="s">
        <v>584</v>
      </c>
      <c r="N83" s="77">
        <v>14574474</v>
      </c>
      <c r="O83" s="60" t="s">
        <v>585</v>
      </c>
      <c r="P83" s="67" t="s">
        <v>586</v>
      </c>
      <c r="Q83" s="68" t="s">
        <v>579</v>
      </c>
      <c r="R83" s="69" t="s">
        <v>146</v>
      </c>
      <c r="S83" s="69"/>
      <c r="T83" s="69"/>
      <c r="U83" s="70">
        <v>300</v>
      </c>
      <c r="V83" s="79" t="s">
        <v>78</v>
      </c>
      <c r="W83" s="72">
        <v>45313</v>
      </c>
      <c r="X83" s="69" t="s">
        <v>369</v>
      </c>
      <c r="Y83" s="104">
        <v>300</v>
      </c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80"/>
      <c r="AR83" s="41"/>
    </row>
    <row r="84" spans="1:44" ht="30.75" customHeight="1">
      <c r="A84" s="41" t="s">
        <v>587</v>
      </c>
      <c r="B84" s="701"/>
      <c r="C84" s="59">
        <v>18</v>
      </c>
      <c r="D84" s="60" t="s">
        <v>588</v>
      </c>
      <c r="E84" s="60" t="s">
        <v>589</v>
      </c>
      <c r="F84" s="60" t="s">
        <v>43</v>
      </c>
      <c r="G84" s="62">
        <v>33327225</v>
      </c>
      <c r="H84" s="60"/>
      <c r="I84" s="60">
        <f t="shared" ca="1" si="0"/>
        <v>126</v>
      </c>
      <c r="J84" s="60"/>
      <c r="K84" s="64"/>
      <c r="L84" s="65"/>
      <c r="M84" s="66"/>
      <c r="N84" s="77"/>
      <c r="O84" s="60"/>
      <c r="P84" s="106"/>
      <c r="Q84" s="68" t="s">
        <v>281</v>
      </c>
      <c r="R84" s="69" t="s">
        <v>146</v>
      </c>
      <c r="S84" s="69"/>
      <c r="T84" s="69"/>
      <c r="U84" s="70">
        <v>300</v>
      </c>
      <c r="V84" s="79" t="s">
        <v>78</v>
      </c>
      <c r="W84" s="72">
        <v>45302</v>
      </c>
      <c r="X84" s="69" t="s">
        <v>590</v>
      </c>
      <c r="Y84" s="104"/>
      <c r="Z84" s="74"/>
      <c r="AA84" s="74"/>
      <c r="AB84" s="74"/>
      <c r="AC84" s="60"/>
      <c r="AD84" s="60"/>
      <c r="AE84" s="75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80"/>
      <c r="AR84" s="41"/>
    </row>
    <row r="85" spans="1:44" ht="30.75" customHeight="1">
      <c r="A85" s="41"/>
      <c r="B85" s="701"/>
      <c r="C85" s="59">
        <v>19</v>
      </c>
      <c r="D85" s="60" t="s">
        <v>591</v>
      </c>
      <c r="E85" s="60" t="s">
        <v>592</v>
      </c>
      <c r="F85" s="60" t="s">
        <v>43</v>
      </c>
      <c r="G85" s="62">
        <v>36057718</v>
      </c>
      <c r="H85" s="60">
        <v>41768</v>
      </c>
      <c r="I85" s="60">
        <f t="shared" ca="1" si="0"/>
        <v>12</v>
      </c>
      <c r="J85" s="60"/>
      <c r="K85" s="64" t="s">
        <v>593</v>
      </c>
      <c r="L85" s="65" t="s">
        <v>594</v>
      </c>
      <c r="M85" s="66" t="s">
        <v>595</v>
      </c>
      <c r="N85" s="62">
        <v>13980047</v>
      </c>
      <c r="O85" s="60" t="s">
        <v>596</v>
      </c>
      <c r="P85" s="78" t="s">
        <v>597</v>
      </c>
      <c r="Q85" s="68" t="s">
        <v>579</v>
      </c>
      <c r="R85" s="69" t="s">
        <v>130</v>
      </c>
      <c r="S85" s="69"/>
      <c r="T85" s="69"/>
      <c r="U85" s="70">
        <v>300</v>
      </c>
      <c r="V85" s="79" t="s">
        <v>78</v>
      </c>
      <c r="W85" s="72">
        <v>45315</v>
      </c>
      <c r="X85" s="69" t="s">
        <v>369</v>
      </c>
      <c r="Y85" s="104">
        <v>300</v>
      </c>
      <c r="Z85" s="74"/>
      <c r="AA85" s="74"/>
      <c r="AB85" s="74"/>
      <c r="AC85" s="60"/>
      <c r="AD85" s="60"/>
      <c r="AE85" s="75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80"/>
      <c r="AR85" s="41"/>
    </row>
    <row r="86" spans="1:44" ht="30.75" customHeight="1">
      <c r="A86" s="41"/>
      <c r="B86" s="702"/>
      <c r="C86" s="83">
        <v>20</v>
      </c>
      <c r="D86" s="84" t="s">
        <v>598</v>
      </c>
      <c r="E86" s="114" t="s">
        <v>599</v>
      </c>
      <c r="F86" s="84" t="s">
        <v>43</v>
      </c>
      <c r="G86" s="85">
        <v>33884397</v>
      </c>
      <c r="H86" s="84"/>
      <c r="I86" s="84"/>
      <c r="J86" s="86" t="s">
        <v>600</v>
      </c>
      <c r="K86" s="87" t="s">
        <v>601</v>
      </c>
      <c r="L86" s="88" t="s">
        <v>602</v>
      </c>
      <c r="M86" s="89" t="s">
        <v>603</v>
      </c>
      <c r="N86" s="90">
        <v>12729203</v>
      </c>
      <c r="O86" s="84" t="s">
        <v>604</v>
      </c>
      <c r="P86" s="91" t="s">
        <v>605</v>
      </c>
      <c r="Q86" s="92" t="s">
        <v>281</v>
      </c>
      <c r="R86" s="93" t="s">
        <v>146</v>
      </c>
      <c r="S86" s="93"/>
      <c r="T86" s="93"/>
      <c r="U86" s="94">
        <v>280</v>
      </c>
      <c r="V86" s="95" t="s">
        <v>78</v>
      </c>
      <c r="W86" s="89">
        <v>45315</v>
      </c>
      <c r="X86" s="93" t="s">
        <v>281</v>
      </c>
      <c r="Y86" s="111">
        <v>280</v>
      </c>
      <c r="Z86" s="84"/>
      <c r="AA86" s="84"/>
      <c r="AB86" s="96"/>
      <c r="AC86" s="84"/>
      <c r="AD86" s="84"/>
      <c r="AE86" s="96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8"/>
      <c r="AR86" s="41"/>
    </row>
    <row r="87" spans="1:44" ht="30.75" customHeight="1">
      <c r="A87" s="41"/>
      <c r="B87" s="700" t="s">
        <v>606</v>
      </c>
      <c r="C87" s="42">
        <v>1</v>
      </c>
      <c r="D87" s="44" t="s">
        <v>607</v>
      </c>
      <c r="E87" s="44" t="s">
        <v>608</v>
      </c>
      <c r="F87" s="44" t="s">
        <v>43</v>
      </c>
      <c r="G87" s="44"/>
      <c r="H87" s="44"/>
      <c r="I87" s="44">
        <f t="shared" ref="I87:I201" ca="1" si="1">+DATEDIF(H87,TODAY(),"Y")</f>
        <v>126</v>
      </c>
      <c r="J87" s="44"/>
      <c r="K87" s="47" t="s">
        <v>609</v>
      </c>
      <c r="L87" s="48" t="s">
        <v>610</v>
      </c>
      <c r="M87" s="49" t="s">
        <v>611</v>
      </c>
      <c r="N87" s="50">
        <v>15519023</v>
      </c>
      <c r="O87" s="44"/>
      <c r="P87" s="51" t="s">
        <v>612</v>
      </c>
      <c r="Q87" s="52" t="s">
        <v>281</v>
      </c>
      <c r="R87" s="53"/>
      <c r="S87" s="53"/>
      <c r="T87" s="53"/>
      <c r="U87" s="54">
        <v>280</v>
      </c>
      <c r="V87" s="55" t="s">
        <v>78</v>
      </c>
      <c r="W87" s="100">
        <v>45320</v>
      </c>
      <c r="X87" s="53" t="s">
        <v>281</v>
      </c>
      <c r="Y87" s="101">
        <v>280</v>
      </c>
      <c r="Z87" s="44"/>
      <c r="AA87" s="44"/>
      <c r="AB87" s="56"/>
      <c r="AC87" s="57"/>
      <c r="AD87" s="44"/>
      <c r="AE87" s="56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102"/>
      <c r="AR87" s="41"/>
    </row>
    <row r="88" spans="1:44" ht="30.75" customHeight="1">
      <c r="A88" s="41"/>
      <c r="B88" s="701"/>
      <c r="C88" s="59">
        <v>2</v>
      </c>
      <c r="D88" s="60" t="s">
        <v>613</v>
      </c>
      <c r="E88" s="60" t="s">
        <v>614</v>
      </c>
      <c r="F88" s="60" t="s">
        <v>43</v>
      </c>
      <c r="G88" s="62"/>
      <c r="H88" s="60">
        <v>41810</v>
      </c>
      <c r="I88" s="60">
        <f t="shared" ca="1" si="1"/>
        <v>11</v>
      </c>
      <c r="J88" s="63" t="s">
        <v>615</v>
      </c>
      <c r="K88" s="64" t="s">
        <v>616</v>
      </c>
      <c r="L88" s="65" t="s">
        <v>617</v>
      </c>
      <c r="M88" s="66" t="s">
        <v>618</v>
      </c>
      <c r="N88" s="77">
        <v>17056273</v>
      </c>
      <c r="O88" s="60">
        <v>4123786366</v>
      </c>
      <c r="P88" s="67" t="s">
        <v>615</v>
      </c>
      <c r="Q88" s="68" t="s">
        <v>552</v>
      </c>
      <c r="R88" s="69" t="s">
        <v>619</v>
      </c>
      <c r="S88" s="69"/>
      <c r="T88" s="69"/>
      <c r="U88" s="70">
        <v>300</v>
      </c>
      <c r="V88" s="79" t="s">
        <v>620</v>
      </c>
      <c r="W88" s="66">
        <v>45320</v>
      </c>
      <c r="X88" s="69" t="s">
        <v>552</v>
      </c>
      <c r="Y88" s="104">
        <v>100</v>
      </c>
      <c r="Z88" s="60"/>
      <c r="AA88" s="60"/>
      <c r="AB88" s="75"/>
      <c r="AC88" s="60"/>
      <c r="AD88" s="60"/>
      <c r="AE88" s="75"/>
      <c r="AF88" s="60"/>
      <c r="AG88" s="60"/>
      <c r="AH88" s="75"/>
      <c r="AI88" s="74"/>
      <c r="AJ88" s="74"/>
      <c r="AK88" s="74"/>
      <c r="AL88" s="74"/>
      <c r="AM88" s="74"/>
      <c r="AN88" s="74"/>
      <c r="AO88" s="74"/>
      <c r="AP88" s="74"/>
      <c r="AQ88" s="80"/>
      <c r="AR88" s="41"/>
    </row>
    <row r="89" spans="1:44" ht="30.75" customHeight="1">
      <c r="A89" s="41"/>
      <c r="B89" s="701"/>
      <c r="C89" s="59">
        <v>3</v>
      </c>
      <c r="D89" s="60" t="s">
        <v>621</v>
      </c>
      <c r="E89" s="60" t="s">
        <v>622</v>
      </c>
      <c r="F89" s="60" t="s">
        <v>43</v>
      </c>
      <c r="G89" s="62">
        <v>25702379</v>
      </c>
      <c r="H89" s="60">
        <v>35006</v>
      </c>
      <c r="I89" s="60">
        <f t="shared" ca="1" si="1"/>
        <v>30</v>
      </c>
      <c r="J89" s="115" t="s">
        <v>623</v>
      </c>
      <c r="K89" s="64" t="s">
        <v>624</v>
      </c>
      <c r="L89" s="65" t="s">
        <v>625</v>
      </c>
      <c r="M89" s="66"/>
      <c r="N89" s="77"/>
      <c r="O89" s="60"/>
      <c r="P89" s="67"/>
      <c r="Q89" s="68" t="s">
        <v>281</v>
      </c>
      <c r="R89" s="69" t="s">
        <v>626</v>
      </c>
      <c r="S89" s="69"/>
      <c r="T89" s="69"/>
      <c r="U89" s="70">
        <v>280</v>
      </c>
      <c r="V89" s="79" t="s">
        <v>78</v>
      </c>
      <c r="W89" s="72">
        <v>45320</v>
      </c>
      <c r="X89" s="69" t="s">
        <v>627</v>
      </c>
      <c r="Y89" s="104">
        <v>280</v>
      </c>
      <c r="Z89" s="60"/>
      <c r="AA89" s="60"/>
      <c r="AB89" s="74"/>
      <c r="AC89" s="60"/>
      <c r="AD89" s="60"/>
      <c r="AE89" s="75"/>
      <c r="AF89" s="74"/>
      <c r="AG89" s="74"/>
      <c r="AH89" s="74"/>
      <c r="AI89" s="60"/>
      <c r="AJ89" s="60"/>
      <c r="AK89" s="75"/>
      <c r="AL89" s="74"/>
      <c r="AM89" s="74"/>
      <c r="AN89" s="74"/>
      <c r="AO89" s="74"/>
      <c r="AP89" s="74"/>
      <c r="AQ89" s="80"/>
      <c r="AR89" s="41"/>
    </row>
    <row r="90" spans="1:44" ht="30.75" customHeight="1">
      <c r="A90" s="41"/>
      <c r="B90" s="701"/>
      <c r="C90" s="59">
        <v>4</v>
      </c>
      <c r="D90" s="60" t="s">
        <v>628</v>
      </c>
      <c r="E90" s="60" t="s">
        <v>629</v>
      </c>
      <c r="F90" s="60" t="s">
        <v>43</v>
      </c>
      <c r="G90" s="62">
        <v>36190356</v>
      </c>
      <c r="H90" s="60">
        <v>41672</v>
      </c>
      <c r="I90" s="60">
        <f t="shared" ca="1" si="1"/>
        <v>12</v>
      </c>
      <c r="J90" s="63" t="s">
        <v>630</v>
      </c>
      <c r="K90" s="64" t="s">
        <v>631</v>
      </c>
      <c r="L90" s="65" t="s">
        <v>632</v>
      </c>
      <c r="M90" s="66" t="s">
        <v>633</v>
      </c>
      <c r="N90" s="62">
        <v>18738222</v>
      </c>
      <c r="O90" s="60">
        <v>4241503683</v>
      </c>
      <c r="P90" s="78" t="s">
        <v>630</v>
      </c>
      <c r="Q90" s="68" t="s">
        <v>50</v>
      </c>
      <c r="R90" s="69" t="s">
        <v>634</v>
      </c>
      <c r="S90" s="69"/>
      <c r="T90" s="69"/>
      <c r="U90" s="70">
        <v>300</v>
      </c>
      <c r="V90" s="79" t="s">
        <v>78</v>
      </c>
      <c r="W90" s="72">
        <v>45322</v>
      </c>
      <c r="X90" s="69" t="s">
        <v>50</v>
      </c>
      <c r="Y90" s="104">
        <v>100</v>
      </c>
      <c r="Z90" s="60"/>
      <c r="AA90" s="60"/>
      <c r="AB90" s="75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80"/>
      <c r="AR90" s="41"/>
    </row>
    <row r="91" spans="1:44" ht="30.75" customHeight="1">
      <c r="A91" s="41"/>
      <c r="B91" s="701"/>
      <c r="C91" s="59">
        <v>5</v>
      </c>
      <c r="D91" s="60" t="s">
        <v>635</v>
      </c>
      <c r="E91" s="60" t="s">
        <v>636</v>
      </c>
      <c r="F91" s="60" t="s">
        <v>43</v>
      </c>
      <c r="G91" s="60"/>
      <c r="H91" s="60">
        <v>43369</v>
      </c>
      <c r="I91" s="60">
        <f t="shared" ca="1" si="1"/>
        <v>7</v>
      </c>
      <c r="J91" s="63" t="s">
        <v>637</v>
      </c>
      <c r="K91" s="64">
        <v>4241050545</v>
      </c>
      <c r="L91" s="65" t="s">
        <v>638</v>
      </c>
      <c r="M91" s="66" t="s">
        <v>639</v>
      </c>
      <c r="N91" s="77">
        <v>19228704</v>
      </c>
      <c r="O91" s="60" t="s">
        <v>640</v>
      </c>
      <c r="P91" s="78" t="s">
        <v>637</v>
      </c>
      <c r="Q91" s="68" t="s">
        <v>641</v>
      </c>
      <c r="R91" s="69" t="s">
        <v>642</v>
      </c>
      <c r="S91" s="69"/>
      <c r="T91" s="69"/>
      <c r="U91" s="70">
        <v>300</v>
      </c>
      <c r="V91" s="79" t="s">
        <v>78</v>
      </c>
      <c r="W91" s="72">
        <v>45327</v>
      </c>
      <c r="X91" s="69" t="s">
        <v>641</v>
      </c>
      <c r="Y91" s="104">
        <v>300</v>
      </c>
      <c r="Z91" s="60"/>
      <c r="AA91" s="60"/>
      <c r="AB91" s="75"/>
      <c r="AC91" s="60"/>
      <c r="AD91" s="60"/>
      <c r="AE91" s="75"/>
      <c r="AF91" s="60"/>
      <c r="AG91" s="60"/>
      <c r="AH91" s="75"/>
      <c r="AI91" s="74"/>
      <c r="AJ91" s="74"/>
      <c r="AK91" s="74"/>
      <c r="AL91" s="74"/>
      <c r="AM91" s="74"/>
      <c r="AN91" s="74"/>
      <c r="AO91" s="74"/>
      <c r="AP91" s="74"/>
      <c r="AQ91" s="80"/>
      <c r="AR91" s="41"/>
    </row>
    <row r="92" spans="1:44" ht="30.75" customHeight="1">
      <c r="A92" s="41"/>
      <c r="B92" s="701"/>
      <c r="C92" s="59">
        <v>6</v>
      </c>
      <c r="D92" s="60" t="s">
        <v>643</v>
      </c>
      <c r="E92" s="60" t="s">
        <v>644</v>
      </c>
      <c r="F92" s="60" t="s">
        <v>43</v>
      </c>
      <c r="G92" s="62">
        <v>29765783</v>
      </c>
      <c r="H92" s="60">
        <v>36762</v>
      </c>
      <c r="I92" s="60">
        <f t="shared" ca="1" si="1"/>
        <v>25</v>
      </c>
      <c r="J92" s="60"/>
      <c r="K92" s="64">
        <v>4125930704</v>
      </c>
      <c r="L92" s="116" t="s">
        <v>645</v>
      </c>
      <c r="M92" s="66" t="s">
        <v>646</v>
      </c>
      <c r="N92" s="77">
        <v>22906241</v>
      </c>
      <c r="O92" s="60" t="s">
        <v>647</v>
      </c>
      <c r="P92" s="117" t="s">
        <v>648</v>
      </c>
      <c r="Q92" s="68"/>
      <c r="R92" s="69"/>
      <c r="S92" s="69"/>
      <c r="T92" s="69"/>
      <c r="U92" s="70">
        <v>280</v>
      </c>
      <c r="V92" s="79" t="s">
        <v>649</v>
      </c>
      <c r="W92" s="72">
        <v>45327</v>
      </c>
      <c r="X92" s="69"/>
      <c r="Y92" s="104">
        <v>150</v>
      </c>
      <c r="Z92" s="74"/>
      <c r="AA92" s="60"/>
      <c r="AB92" s="74"/>
      <c r="AC92" s="74"/>
      <c r="AD92" s="60"/>
      <c r="AE92" s="74"/>
      <c r="AF92" s="60"/>
      <c r="AG92" s="60"/>
      <c r="AH92" s="75"/>
      <c r="AI92" s="60"/>
      <c r="AJ92" s="60"/>
      <c r="AK92" s="75"/>
      <c r="AL92" s="74"/>
      <c r="AM92" s="74"/>
      <c r="AN92" s="74"/>
      <c r="AO92" s="74"/>
      <c r="AP92" s="74"/>
      <c r="AQ92" s="80"/>
      <c r="AR92" s="41"/>
    </row>
    <row r="93" spans="1:44" ht="30.75" customHeight="1">
      <c r="A93" s="41"/>
      <c r="B93" s="701"/>
      <c r="C93" s="59">
        <v>7</v>
      </c>
      <c r="D93" s="60" t="s">
        <v>650</v>
      </c>
      <c r="E93" s="60" t="s">
        <v>651</v>
      </c>
      <c r="F93" s="60" t="s">
        <v>43</v>
      </c>
      <c r="G93" s="62">
        <v>36158232</v>
      </c>
      <c r="H93" s="60">
        <v>41231</v>
      </c>
      <c r="I93" s="60">
        <f t="shared" ca="1" si="1"/>
        <v>13</v>
      </c>
      <c r="J93" s="63" t="s">
        <v>652</v>
      </c>
      <c r="K93" s="64">
        <v>4125930704</v>
      </c>
      <c r="L93" s="65" t="s">
        <v>645</v>
      </c>
      <c r="M93" s="66" t="s">
        <v>646</v>
      </c>
      <c r="N93" s="77">
        <v>22906241</v>
      </c>
      <c r="O93" s="60" t="s">
        <v>647</v>
      </c>
      <c r="P93" s="117" t="s">
        <v>648</v>
      </c>
      <c r="Q93" s="68" t="s">
        <v>653</v>
      </c>
      <c r="R93" s="69" t="s">
        <v>634</v>
      </c>
      <c r="S93" s="69"/>
      <c r="T93" s="69"/>
      <c r="U93" s="70">
        <v>280</v>
      </c>
      <c r="V93" s="79" t="s">
        <v>649</v>
      </c>
      <c r="W93" s="72">
        <v>45327</v>
      </c>
      <c r="X93" s="69" t="s">
        <v>654</v>
      </c>
      <c r="Y93" s="104">
        <v>100</v>
      </c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80"/>
      <c r="AR93" s="41"/>
    </row>
    <row r="94" spans="1:44" ht="30.75" customHeight="1">
      <c r="A94" s="41"/>
      <c r="B94" s="701"/>
      <c r="C94" s="59">
        <v>8</v>
      </c>
      <c r="D94" s="60" t="s">
        <v>655</v>
      </c>
      <c r="E94" s="60" t="s">
        <v>656</v>
      </c>
      <c r="F94" s="60" t="s">
        <v>43</v>
      </c>
      <c r="G94" s="62">
        <v>30411302</v>
      </c>
      <c r="H94" s="60">
        <v>37672</v>
      </c>
      <c r="I94" s="60">
        <f t="shared" ca="1" si="1"/>
        <v>23</v>
      </c>
      <c r="J94" s="60"/>
      <c r="K94" s="64">
        <v>4125930704</v>
      </c>
      <c r="L94" s="65" t="s">
        <v>645</v>
      </c>
      <c r="M94" s="66" t="s">
        <v>646</v>
      </c>
      <c r="N94" s="77">
        <v>22906241</v>
      </c>
      <c r="O94" s="60" t="s">
        <v>647</v>
      </c>
      <c r="P94" s="117" t="s">
        <v>648</v>
      </c>
      <c r="Q94" s="68" t="s">
        <v>657</v>
      </c>
      <c r="R94" s="69" t="s">
        <v>658</v>
      </c>
      <c r="S94" s="69"/>
      <c r="T94" s="69"/>
      <c r="U94" s="70">
        <v>280</v>
      </c>
      <c r="V94" s="79" t="s">
        <v>649</v>
      </c>
      <c r="W94" s="72">
        <v>45327</v>
      </c>
      <c r="X94" s="69"/>
      <c r="Y94" s="104">
        <v>200</v>
      </c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80"/>
      <c r="AR94" s="41"/>
    </row>
    <row r="95" spans="1:44" ht="30.75" customHeight="1">
      <c r="A95" s="41"/>
      <c r="B95" s="701"/>
      <c r="C95" s="59">
        <v>9</v>
      </c>
      <c r="D95" s="60" t="s">
        <v>659</v>
      </c>
      <c r="E95" s="60" t="s">
        <v>660</v>
      </c>
      <c r="F95" s="60" t="s">
        <v>43</v>
      </c>
      <c r="G95" s="62">
        <v>27448331</v>
      </c>
      <c r="H95" s="60">
        <v>36535</v>
      </c>
      <c r="I95" s="60">
        <f t="shared" ca="1" si="1"/>
        <v>26</v>
      </c>
      <c r="J95" s="63" t="s">
        <v>661</v>
      </c>
      <c r="K95" s="64">
        <v>4122556366</v>
      </c>
      <c r="L95" s="65" t="s">
        <v>662</v>
      </c>
      <c r="M95" s="66"/>
      <c r="N95" s="60"/>
      <c r="O95" s="60"/>
      <c r="P95" s="80"/>
      <c r="Q95" s="68" t="s">
        <v>50</v>
      </c>
      <c r="R95" s="69" t="s">
        <v>663</v>
      </c>
      <c r="S95" s="69" t="s">
        <v>664</v>
      </c>
      <c r="T95" s="69"/>
      <c r="U95" s="70" t="s">
        <v>396</v>
      </c>
      <c r="V95" s="79" t="s">
        <v>78</v>
      </c>
      <c r="W95" s="72">
        <v>45327</v>
      </c>
      <c r="X95" s="69" t="s">
        <v>50</v>
      </c>
      <c r="Y95" s="104" t="s">
        <v>396</v>
      </c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80"/>
      <c r="AR95" s="41"/>
    </row>
    <row r="96" spans="1:44" ht="30.75" customHeight="1">
      <c r="A96" s="41"/>
      <c r="B96" s="701"/>
      <c r="C96" s="59">
        <v>10</v>
      </c>
      <c r="D96" s="60" t="s">
        <v>665</v>
      </c>
      <c r="E96" s="60" t="s">
        <v>666</v>
      </c>
      <c r="F96" s="60" t="s">
        <v>43</v>
      </c>
      <c r="G96" s="62">
        <v>36641394</v>
      </c>
      <c r="H96" s="118">
        <v>42229</v>
      </c>
      <c r="I96" s="60">
        <f t="shared" ca="1" si="1"/>
        <v>10</v>
      </c>
      <c r="J96" s="63" t="s">
        <v>667</v>
      </c>
      <c r="K96" s="64">
        <v>4142357496</v>
      </c>
      <c r="L96" s="81" t="s">
        <v>668</v>
      </c>
      <c r="M96" s="66" t="s">
        <v>669</v>
      </c>
      <c r="N96" s="77">
        <v>11817664</v>
      </c>
      <c r="O96" s="60">
        <f>-D1</f>
        <v>0</v>
      </c>
      <c r="P96" s="67" t="s">
        <v>670</v>
      </c>
      <c r="Q96" s="68"/>
      <c r="R96" s="69" t="s">
        <v>671</v>
      </c>
      <c r="S96" s="69"/>
      <c r="T96" s="69"/>
      <c r="U96" s="70">
        <v>300</v>
      </c>
      <c r="V96" s="79" t="s">
        <v>649</v>
      </c>
      <c r="W96" s="72">
        <v>45327</v>
      </c>
      <c r="X96" s="69"/>
      <c r="Y96" s="104">
        <v>150</v>
      </c>
      <c r="Z96" s="60"/>
      <c r="AA96" s="60"/>
      <c r="AB96" s="75"/>
      <c r="AC96" s="60"/>
      <c r="AD96" s="60"/>
      <c r="AE96" s="75"/>
      <c r="AF96" s="60"/>
      <c r="AG96" s="60"/>
      <c r="AH96" s="75"/>
      <c r="AI96" s="74"/>
      <c r="AJ96" s="74"/>
      <c r="AK96" s="74"/>
      <c r="AL96" s="74"/>
      <c r="AM96" s="74"/>
      <c r="AN96" s="74"/>
      <c r="AO96" s="74"/>
      <c r="AP96" s="74"/>
      <c r="AQ96" s="80"/>
      <c r="AR96" s="41"/>
    </row>
    <row r="97" spans="1:44" ht="30.75" customHeight="1">
      <c r="A97" s="41"/>
      <c r="B97" s="701"/>
      <c r="C97" s="59">
        <v>11</v>
      </c>
      <c r="D97" s="60" t="s">
        <v>672</v>
      </c>
      <c r="E97" s="60" t="s">
        <v>673</v>
      </c>
      <c r="F97" s="60" t="s">
        <v>43</v>
      </c>
      <c r="G97" s="62">
        <v>17199811</v>
      </c>
      <c r="H97" s="74">
        <v>31572</v>
      </c>
      <c r="I97" s="60">
        <f t="shared" ca="1" si="1"/>
        <v>39</v>
      </c>
      <c r="J97" s="63" t="s">
        <v>461</v>
      </c>
      <c r="K97" s="64" t="s">
        <v>674</v>
      </c>
      <c r="L97" s="81" t="s">
        <v>675</v>
      </c>
      <c r="M97" s="66"/>
      <c r="N97" s="60"/>
      <c r="O97" s="60"/>
      <c r="P97" s="80"/>
      <c r="Q97" s="68" t="s">
        <v>479</v>
      </c>
      <c r="R97" s="69" t="s">
        <v>663</v>
      </c>
      <c r="S97" s="69"/>
      <c r="T97" s="69"/>
      <c r="U97" s="70">
        <v>300</v>
      </c>
      <c r="V97" s="79" t="s">
        <v>78</v>
      </c>
      <c r="W97" s="72">
        <v>45327</v>
      </c>
      <c r="X97" s="69" t="s">
        <v>657</v>
      </c>
      <c r="Y97" s="75">
        <v>300</v>
      </c>
      <c r="Z97" s="60"/>
      <c r="AA97" s="60"/>
      <c r="AB97" s="75"/>
      <c r="AC97" s="74"/>
      <c r="AD97" s="74"/>
      <c r="AE97" s="74"/>
      <c r="AF97" s="60"/>
      <c r="AG97" s="60"/>
      <c r="AH97" s="75"/>
      <c r="AI97" s="74"/>
      <c r="AJ97" s="74"/>
      <c r="AK97" s="74"/>
      <c r="AL97" s="74"/>
      <c r="AM97" s="74"/>
      <c r="AN97" s="74"/>
      <c r="AO97" s="74"/>
      <c r="AP97" s="74"/>
      <c r="AQ97" s="80"/>
      <c r="AR97" s="41"/>
    </row>
    <row r="98" spans="1:44" ht="30.75" customHeight="1">
      <c r="A98" s="41"/>
      <c r="B98" s="701"/>
      <c r="C98" s="59">
        <v>12</v>
      </c>
      <c r="D98" s="60" t="s">
        <v>676</v>
      </c>
      <c r="E98" s="60" t="s">
        <v>677</v>
      </c>
      <c r="F98" s="60" t="s">
        <v>43</v>
      </c>
      <c r="G98" s="62">
        <v>19061035</v>
      </c>
      <c r="H98" s="74">
        <v>32520</v>
      </c>
      <c r="I98" s="60">
        <f t="shared" ca="1" si="1"/>
        <v>37</v>
      </c>
      <c r="J98" s="63" t="s">
        <v>678</v>
      </c>
      <c r="K98" s="64" t="s">
        <v>679</v>
      </c>
      <c r="L98" s="81" t="s">
        <v>675</v>
      </c>
      <c r="M98" s="66"/>
      <c r="N98" s="60"/>
      <c r="O98" s="60"/>
      <c r="P98" s="80"/>
      <c r="Q98" s="68" t="s">
        <v>479</v>
      </c>
      <c r="R98" s="69" t="s">
        <v>663</v>
      </c>
      <c r="S98" s="69"/>
      <c r="T98" s="69"/>
      <c r="U98" s="70">
        <v>300</v>
      </c>
      <c r="V98" s="79" t="s">
        <v>78</v>
      </c>
      <c r="W98" s="72">
        <v>45327</v>
      </c>
      <c r="X98" s="69" t="s">
        <v>657</v>
      </c>
      <c r="Y98" s="104">
        <v>300</v>
      </c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80"/>
      <c r="AR98" s="41"/>
    </row>
    <row r="99" spans="1:44" ht="30.75" customHeight="1">
      <c r="A99" s="41"/>
      <c r="B99" s="701"/>
      <c r="C99" s="59">
        <v>13</v>
      </c>
      <c r="D99" s="60" t="s">
        <v>680</v>
      </c>
      <c r="E99" s="60" t="s">
        <v>681</v>
      </c>
      <c r="F99" s="60" t="s">
        <v>43</v>
      </c>
      <c r="G99" s="62">
        <v>24461140</v>
      </c>
      <c r="H99" s="74">
        <v>35012</v>
      </c>
      <c r="I99" s="60">
        <f t="shared" ca="1" si="1"/>
        <v>30</v>
      </c>
      <c r="J99" s="63" t="s">
        <v>682</v>
      </c>
      <c r="K99" s="64" t="s">
        <v>683</v>
      </c>
      <c r="L99" s="65"/>
      <c r="M99" s="66"/>
      <c r="N99" s="77"/>
      <c r="O99" s="60"/>
      <c r="P99" s="106"/>
      <c r="Q99" s="68" t="s">
        <v>684</v>
      </c>
      <c r="R99" s="69" t="s">
        <v>663</v>
      </c>
      <c r="S99" s="69"/>
      <c r="T99" s="69"/>
      <c r="U99" s="70">
        <v>300</v>
      </c>
      <c r="V99" s="79" t="s">
        <v>649</v>
      </c>
      <c r="W99" s="72">
        <v>45329</v>
      </c>
      <c r="X99" s="69" t="s">
        <v>657</v>
      </c>
      <c r="Y99" s="104">
        <v>300</v>
      </c>
      <c r="Z99" s="74"/>
      <c r="AA99" s="74"/>
      <c r="AB99" s="74"/>
      <c r="AC99" s="60"/>
      <c r="AD99" s="60"/>
      <c r="AE99" s="75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80"/>
      <c r="AR99" s="41"/>
    </row>
    <row r="100" spans="1:44" ht="30.75" customHeight="1">
      <c r="A100" s="41"/>
      <c r="B100" s="701"/>
      <c r="C100" s="59">
        <v>14</v>
      </c>
      <c r="D100" s="60" t="s">
        <v>685</v>
      </c>
      <c r="E100" s="60" t="s">
        <v>686</v>
      </c>
      <c r="F100" s="60" t="s">
        <v>43</v>
      </c>
      <c r="G100" s="60"/>
      <c r="H100" s="60">
        <v>36613</v>
      </c>
      <c r="I100" s="60">
        <f t="shared" ca="1" si="1"/>
        <v>26</v>
      </c>
      <c r="J100" s="60"/>
      <c r="K100" s="64" t="s">
        <v>687</v>
      </c>
      <c r="L100" s="65" t="s">
        <v>688</v>
      </c>
      <c r="M100" s="66" t="s">
        <v>689</v>
      </c>
      <c r="N100" s="77">
        <v>15403317</v>
      </c>
      <c r="O100" s="60" t="s">
        <v>687</v>
      </c>
      <c r="P100" s="106"/>
      <c r="Q100" s="68" t="s">
        <v>657</v>
      </c>
      <c r="R100" s="69" t="s">
        <v>690</v>
      </c>
      <c r="S100" s="69" t="s">
        <v>664</v>
      </c>
      <c r="T100" s="69"/>
      <c r="U100" s="70"/>
      <c r="V100" s="79" t="s">
        <v>691</v>
      </c>
      <c r="W100" s="72">
        <v>45331</v>
      </c>
      <c r="X100" s="69" t="s">
        <v>657</v>
      </c>
      <c r="Y100" s="104"/>
      <c r="Z100" s="74"/>
      <c r="AA100" s="74"/>
      <c r="AB100" s="74"/>
      <c r="AC100" s="60"/>
      <c r="AD100" s="60"/>
      <c r="AE100" s="75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80"/>
      <c r="AR100" s="41"/>
    </row>
    <row r="101" spans="1:44" ht="30.75" customHeight="1">
      <c r="A101" s="41"/>
      <c r="B101" s="701"/>
      <c r="C101" s="59">
        <v>15</v>
      </c>
      <c r="D101" s="60" t="s">
        <v>692</v>
      </c>
      <c r="E101" s="60" t="s">
        <v>693</v>
      </c>
      <c r="F101" s="60" t="s">
        <v>43</v>
      </c>
      <c r="G101" s="62">
        <v>22034284</v>
      </c>
      <c r="H101" s="60">
        <v>34758</v>
      </c>
      <c r="I101" s="60">
        <f t="shared" ca="1" si="1"/>
        <v>31</v>
      </c>
      <c r="J101" s="63" t="s">
        <v>694</v>
      </c>
      <c r="K101" s="64" t="s">
        <v>687</v>
      </c>
      <c r="L101" s="81" t="s">
        <v>688</v>
      </c>
      <c r="M101" s="68" t="s">
        <v>695</v>
      </c>
      <c r="N101" s="62">
        <v>15403318</v>
      </c>
      <c r="O101" s="60" t="s">
        <v>687</v>
      </c>
      <c r="P101" s="80"/>
      <c r="Q101" s="68" t="s">
        <v>479</v>
      </c>
      <c r="R101" s="69" t="s">
        <v>696</v>
      </c>
      <c r="S101" s="69" t="s">
        <v>664</v>
      </c>
      <c r="T101" s="69"/>
      <c r="U101" s="70"/>
      <c r="V101" s="79" t="s">
        <v>691</v>
      </c>
      <c r="W101" s="72">
        <v>45331</v>
      </c>
      <c r="X101" s="69" t="s">
        <v>479</v>
      </c>
      <c r="Y101" s="10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80"/>
      <c r="AR101" s="41"/>
    </row>
    <row r="102" spans="1:44" ht="30.75" customHeight="1">
      <c r="A102" s="41"/>
      <c r="B102" s="701"/>
      <c r="C102" s="59">
        <v>16</v>
      </c>
      <c r="D102" s="60" t="s">
        <v>697</v>
      </c>
      <c r="E102" s="60" t="s">
        <v>698</v>
      </c>
      <c r="F102" s="60" t="s">
        <v>43</v>
      </c>
      <c r="G102" s="62">
        <v>34815830</v>
      </c>
      <c r="H102" s="60">
        <v>41434</v>
      </c>
      <c r="I102" s="60">
        <f t="shared" ca="1" si="1"/>
        <v>12</v>
      </c>
      <c r="J102" s="63" t="s">
        <v>699</v>
      </c>
      <c r="K102" s="64" t="s">
        <v>700</v>
      </c>
      <c r="L102" s="65" t="s">
        <v>701</v>
      </c>
      <c r="M102" s="66" t="s">
        <v>702</v>
      </c>
      <c r="N102" s="62">
        <v>15913016</v>
      </c>
      <c r="O102" s="60" t="s">
        <v>703</v>
      </c>
      <c r="P102" s="80"/>
      <c r="Q102" s="68" t="s">
        <v>704</v>
      </c>
      <c r="R102" s="69" t="s">
        <v>705</v>
      </c>
      <c r="S102" s="69" t="s">
        <v>706</v>
      </c>
      <c r="T102" s="69"/>
      <c r="U102" s="70">
        <v>480</v>
      </c>
      <c r="V102" s="79" t="s">
        <v>78</v>
      </c>
      <c r="W102" s="72">
        <v>45331</v>
      </c>
      <c r="X102" s="69" t="s">
        <v>704</v>
      </c>
      <c r="Y102" s="104">
        <v>120</v>
      </c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80"/>
      <c r="AR102" s="41"/>
    </row>
    <row r="103" spans="1:44" ht="30.75" customHeight="1">
      <c r="A103" s="41"/>
      <c r="B103" s="701"/>
      <c r="C103" s="59">
        <v>17</v>
      </c>
      <c r="D103" s="60" t="s">
        <v>707</v>
      </c>
      <c r="E103" s="60" t="s">
        <v>708</v>
      </c>
      <c r="F103" s="60" t="s">
        <v>43</v>
      </c>
      <c r="G103" s="62">
        <v>34864070</v>
      </c>
      <c r="H103" s="74">
        <v>41408</v>
      </c>
      <c r="I103" s="60">
        <f t="shared" ca="1" si="1"/>
        <v>13</v>
      </c>
      <c r="J103" s="63" t="s">
        <v>709</v>
      </c>
      <c r="K103" s="64" t="s">
        <v>710</v>
      </c>
      <c r="L103" s="65" t="s">
        <v>701</v>
      </c>
      <c r="M103" s="66" t="s">
        <v>702</v>
      </c>
      <c r="N103" s="62">
        <v>15913016</v>
      </c>
      <c r="O103" s="60" t="s">
        <v>703</v>
      </c>
      <c r="P103" s="80"/>
      <c r="Q103" s="68" t="s">
        <v>704</v>
      </c>
      <c r="R103" s="69" t="s">
        <v>705</v>
      </c>
      <c r="S103" s="69" t="s">
        <v>706</v>
      </c>
      <c r="T103" s="69"/>
      <c r="U103" s="70">
        <v>480</v>
      </c>
      <c r="V103" s="79" t="s">
        <v>78</v>
      </c>
      <c r="W103" s="72">
        <v>45331</v>
      </c>
      <c r="X103" s="69" t="s">
        <v>704</v>
      </c>
      <c r="Y103" s="104">
        <v>120</v>
      </c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80"/>
      <c r="AR103" s="41"/>
    </row>
    <row r="104" spans="1:44" ht="30.75" customHeight="1">
      <c r="A104" s="41"/>
      <c r="B104" s="701"/>
      <c r="C104" s="59">
        <v>18</v>
      </c>
      <c r="D104" s="60" t="s">
        <v>711</v>
      </c>
      <c r="E104" s="60" t="s">
        <v>712</v>
      </c>
      <c r="F104" s="60" t="s">
        <v>43</v>
      </c>
      <c r="G104" s="62">
        <v>17533068</v>
      </c>
      <c r="H104" s="60">
        <v>86</v>
      </c>
      <c r="I104" s="60">
        <f t="shared" ca="1" si="1"/>
        <v>126</v>
      </c>
      <c r="J104" s="63" t="s">
        <v>713</v>
      </c>
      <c r="K104" s="64">
        <v>4241472552</v>
      </c>
      <c r="L104" s="65" t="s">
        <v>714</v>
      </c>
      <c r="M104" s="66"/>
      <c r="N104" s="77"/>
      <c r="O104" s="60"/>
      <c r="P104" s="106"/>
      <c r="Q104" s="68" t="s">
        <v>657</v>
      </c>
      <c r="R104" s="69" t="s">
        <v>690</v>
      </c>
      <c r="S104" s="69" t="s">
        <v>715</v>
      </c>
      <c r="T104" s="69" t="s">
        <v>716</v>
      </c>
      <c r="U104" s="70">
        <v>300</v>
      </c>
      <c r="V104" s="79" t="s">
        <v>78</v>
      </c>
      <c r="W104" s="72">
        <v>45331</v>
      </c>
      <c r="X104" s="69" t="s">
        <v>657</v>
      </c>
      <c r="Y104" s="104">
        <v>300</v>
      </c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80"/>
      <c r="AR104" s="41"/>
    </row>
    <row r="105" spans="1:44" ht="30.75" customHeight="1">
      <c r="A105" s="41"/>
      <c r="B105" s="701"/>
      <c r="C105" s="59">
        <v>19</v>
      </c>
      <c r="D105" s="60" t="s">
        <v>717</v>
      </c>
      <c r="E105" s="60" t="s">
        <v>718</v>
      </c>
      <c r="F105" s="60" t="s">
        <v>43</v>
      </c>
      <c r="G105" s="62">
        <v>36038273</v>
      </c>
      <c r="H105" s="60">
        <v>41761</v>
      </c>
      <c r="I105" s="60">
        <f t="shared" ca="1" si="1"/>
        <v>12</v>
      </c>
      <c r="J105" s="60"/>
      <c r="K105" s="64"/>
      <c r="L105" s="65" t="s">
        <v>719</v>
      </c>
      <c r="M105" s="66" t="s">
        <v>720</v>
      </c>
      <c r="N105" s="77">
        <v>16286872</v>
      </c>
      <c r="O105" s="60">
        <v>4140250526</v>
      </c>
      <c r="P105" s="106"/>
      <c r="Q105" s="68" t="s">
        <v>369</v>
      </c>
      <c r="R105" s="69" t="s">
        <v>721</v>
      </c>
      <c r="S105" s="69" t="s">
        <v>715</v>
      </c>
      <c r="T105" s="69"/>
      <c r="U105" s="70">
        <v>300</v>
      </c>
      <c r="V105" s="79" t="s">
        <v>649</v>
      </c>
      <c r="W105" s="72">
        <v>45331</v>
      </c>
      <c r="X105" s="69" t="s">
        <v>369</v>
      </c>
      <c r="Y105" s="75">
        <v>300</v>
      </c>
      <c r="Z105" s="60"/>
      <c r="AA105" s="60"/>
      <c r="AB105" s="75"/>
      <c r="AC105" s="60"/>
      <c r="AD105" s="60"/>
      <c r="AE105" s="75"/>
      <c r="AF105" s="60"/>
      <c r="AG105" s="60"/>
      <c r="AH105" s="75"/>
      <c r="AI105" s="74"/>
      <c r="AJ105" s="74"/>
      <c r="AK105" s="74"/>
      <c r="AL105" s="74"/>
      <c r="AM105" s="74"/>
      <c r="AN105" s="74"/>
      <c r="AO105" s="74"/>
      <c r="AP105" s="74"/>
      <c r="AQ105" s="80"/>
      <c r="AR105" s="41"/>
    </row>
    <row r="106" spans="1:44" ht="30.75" customHeight="1">
      <c r="A106" s="41"/>
      <c r="B106" s="702"/>
      <c r="C106" s="83">
        <v>20</v>
      </c>
      <c r="D106" s="84" t="s">
        <v>722</v>
      </c>
      <c r="E106" s="84" t="s">
        <v>723</v>
      </c>
      <c r="F106" s="84" t="s">
        <v>43</v>
      </c>
      <c r="G106" s="85">
        <v>30936611</v>
      </c>
      <c r="H106" s="84">
        <v>38430</v>
      </c>
      <c r="I106" s="84">
        <f t="shared" ca="1" si="1"/>
        <v>21</v>
      </c>
      <c r="J106" s="86" t="s">
        <v>724</v>
      </c>
      <c r="K106" s="87">
        <v>4120193934</v>
      </c>
      <c r="L106" s="88" t="s">
        <v>725</v>
      </c>
      <c r="M106" s="89"/>
      <c r="N106" s="90"/>
      <c r="O106" s="84"/>
      <c r="P106" s="119"/>
      <c r="Q106" s="92" t="s">
        <v>544</v>
      </c>
      <c r="R106" s="93" t="s">
        <v>726</v>
      </c>
      <c r="S106" s="93"/>
      <c r="T106" s="93"/>
      <c r="U106" s="94">
        <v>300</v>
      </c>
      <c r="V106" s="95" t="s">
        <v>649</v>
      </c>
      <c r="W106" s="110">
        <v>45332</v>
      </c>
      <c r="X106" s="93" t="s">
        <v>76</v>
      </c>
      <c r="Y106" s="111">
        <v>300</v>
      </c>
      <c r="Z106" s="97"/>
      <c r="AA106" s="97"/>
      <c r="AB106" s="97"/>
      <c r="AC106" s="84"/>
      <c r="AD106" s="84"/>
      <c r="AE106" s="96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8"/>
      <c r="AR106" s="41"/>
    </row>
    <row r="107" spans="1:44" ht="30.75" customHeight="1">
      <c r="A107" s="41"/>
      <c r="B107" s="700" t="s">
        <v>727</v>
      </c>
      <c r="C107" s="42">
        <v>1</v>
      </c>
      <c r="D107" s="44" t="s">
        <v>728</v>
      </c>
      <c r="E107" s="44" t="s">
        <v>729</v>
      </c>
      <c r="F107" s="44" t="s">
        <v>43</v>
      </c>
      <c r="G107" s="45">
        <v>32453106</v>
      </c>
      <c r="H107" s="44">
        <v>39748</v>
      </c>
      <c r="I107" s="44">
        <f t="shared" ca="1" si="1"/>
        <v>17</v>
      </c>
      <c r="J107" s="46" t="s">
        <v>730</v>
      </c>
      <c r="K107" s="47" t="s">
        <v>731</v>
      </c>
      <c r="L107" s="48" t="s">
        <v>732</v>
      </c>
      <c r="M107" s="49" t="s">
        <v>733</v>
      </c>
      <c r="N107" s="50">
        <v>18740602</v>
      </c>
      <c r="O107" s="44" t="s">
        <v>731</v>
      </c>
      <c r="P107" s="51" t="s">
        <v>730</v>
      </c>
      <c r="Q107" s="52"/>
      <c r="R107" s="53" t="s">
        <v>696</v>
      </c>
      <c r="S107" s="53"/>
      <c r="T107" s="53"/>
      <c r="U107" s="54">
        <v>300</v>
      </c>
      <c r="V107" s="55" t="s">
        <v>78</v>
      </c>
      <c r="W107" s="49">
        <v>45337</v>
      </c>
      <c r="X107" s="53"/>
      <c r="Y107" s="101">
        <v>300</v>
      </c>
      <c r="Z107" s="44"/>
      <c r="AA107" s="44"/>
      <c r="AB107" s="56"/>
      <c r="AC107" s="44"/>
      <c r="AD107" s="44"/>
      <c r="AE107" s="56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102"/>
      <c r="AR107" s="41"/>
    </row>
    <row r="108" spans="1:44" ht="30.75" customHeight="1">
      <c r="A108" s="41"/>
      <c r="B108" s="701"/>
      <c r="C108" s="59">
        <v>2</v>
      </c>
      <c r="D108" s="60" t="s">
        <v>734</v>
      </c>
      <c r="E108" s="60" t="s">
        <v>735</v>
      </c>
      <c r="F108" s="60" t="s">
        <v>43</v>
      </c>
      <c r="G108" s="62"/>
      <c r="H108" s="60">
        <v>43130</v>
      </c>
      <c r="I108" s="60">
        <f t="shared" ca="1" si="1"/>
        <v>8</v>
      </c>
      <c r="J108" s="63" t="s">
        <v>736</v>
      </c>
      <c r="K108" s="64">
        <v>4123685620</v>
      </c>
      <c r="L108" s="65" t="s">
        <v>737</v>
      </c>
      <c r="M108" s="66" t="s">
        <v>738</v>
      </c>
      <c r="N108" s="77">
        <v>16394794</v>
      </c>
      <c r="O108" s="60">
        <v>4123685620</v>
      </c>
      <c r="P108" s="67" t="s">
        <v>739</v>
      </c>
      <c r="Q108" s="68" t="s">
        <v>740</v>
      </c>
      <c r="R108" s="69" t="s">
        <v>741</v>
      </c>
      <c r="S108" s="69" t="s">
        <v>706</v>
      </c>
      <c r="T108" s="69"/>
      <c r="U108" s="70">
        <v>300</v>
      </c>
      <c r="V108" s="79" t="s">
        <v>78</v>
      </c>
      <c r="W108" s="72">
        <v>45339</v>
      </c>
      <c r="X108" s="69" t="s">
        <v>742</v>
      </c>
      <c r="Y108" s="104">
        <v>50</v>
      </c>
      <c r="Z108" s="60"/>
      <c r="AA108" s="60"/>
      <c r="AB108" s="75"/>
      <c r="AC108" s="60"/>
      <c r="AD108" s="60"/>
      <c r="AE108" s="75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80"/>
      <c r="AR108" s="41"/>
    </row>
    <row r="109" spans="1:44" ht="30.75" customHeight="1">
      <c r="A109" s="41"/>
      <c r="B109" s="701"/>
      <c r="C109" s="59">
        <v>3</v>
      </c>
      <c r="D109" s="60" t="s">
        <v>743</v>
      </c>
      <c r="E109" s="60" t="s">
        <v>744</v>
      </c>
      <c r="F109" s="60" t="s">
        <v>43</v>
      </c>
      <c r="G109" s="62">
        <v>29622244</v>
      </c>
      <c r="H109" s="60">
        <v>37223</v>
      </c>
      <c r="I109" s="60">
        <f t="shared" ca="1" si="1"/>
        <v>24</v>
      </c>
      <c r="J109" s="60"/>
      <c r="K109" s="64" t="s">
        <v>745</v>
      </c>
      <c r="L109" s="65" t="s">
        <v>746</v>
      </c>
      <c r="M109" s="66" t="s">
        <v>747</v>
      </c>
      <c r="N109" s="77">
        <v>13726233</v>
      </c>
      <c r="O109" s="60" t="s">
        <v>745</v>
      </c>
      <c r="P109" s="67" t="s">
        <v>748</v>
      </c>
      <c r="Q109" s="68" t="s">
        <v>657</v>
      </c>
      <c r="R109" s="69" t="s">
        <v>749</v>
      </c>
      <c r="S109" s="69" t="s">
        <v>706</v>
      </c>
      <c r="T109" s="69"/>
      <c r="U109" s="70">
        <v>480</v>
      </c>
      <c r="V109" s="79" t="s">
        <v>78</v>
      </c>
      <c r="W109" s="72">
        <v>45341</v>
      </c>
      <c r="X109" s="69" t="s">
        <v>750</v>
      </c>
      <c r="Y109" s="104">
        <v>120</v>
      </c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80"/>
      <c r="AR109" s="41"/>
    </row>
    <row r="110" spans="1:44" ht="30.75" customHeight="1">
      <c r="A110" s="41"/>
      <c r="B110" s="701"/>
      <c r="C110" s="59">
        <v>4</v>
      </c>
      <c r="D110" s="60" t="s">
        <v>751</v>
      </c>
      <c r="E110" s="60" t="s">
        <v>752</v>
      </c>
      <c r="F110" s="60" t="s">
        <v>43</v>
      </c>
      <c r="G110" s="62">
        <v>30318533</v>
      </c>
      <c r="H110" s="60">
        <v>38350</v>
      </c>
      <c r="I110" s="60">
        <f t="shared" ca="1" si="1"/>
        <v>21</v>
      </c>
      <c r="J110" s="63" t="s">
        <v>753</v>
      </c>
      <c r="K110" s="64" t="s">
        <v>754</v>
      </c>
      <c r="L110" s="65" t="s">
        <v>746</v>
      </c>
      <c r="M110" s="66" t="s">
        <v>747</v>
      </c>
      <c r="N110" s="77">
        <v>13726233</v>
      </c>
      <c r="O110" s="60" t="s">
        <v>745</v>
      </c>
      <c r="P110" s="67" t="s">
        <v>748</v>
      </c>
      <c r="Q110" s="68" t="s">
        <v>657</v>
      </c>
      <c r="R110" s="69" t="s">
        <v>749</v>
      </c>
      <c r="S110" s="69" t="s">
        <v>706</v>
      </c>
      <c r="T110" s="69"/>
      <c r="U110" s="70">
        <v>480</v>
      </c>
      <c r="V110" s="79" t="s">
        <v>78</v>
      </c>
      <c r="W110" s="72">
        <v>45341</v>
      </c>
      <c r="X110" s="69" t="s">
        <v>750</v>
      </c>
      <c r="Y110" s="75">
        <v>120</v>
      </c>
      <c r="Z110" s="74"/>
      <c r="AA110" s="74"/>
      <c r="AB110" s="74"/>
      <c r="AC110" s="60"/>
      <c r="AD110" s="60"/>
      <c r="AE110" s="75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80"/>
      <c r="AR110" s="41"/>
    </row>
    <row r="111" spans="1:44" ht="30.75" customHeight="1">
      <c r="A111" s="41"/>
      <c r="B111" s="701"/>
      <c r="C111" s="59">
        <v>5</v>
      </c>
      <c r="D111" s="60" t="s">
        <v>755</v>
      </c>
      <c r="E111" s="60" t="s">
        <v>756</v>
      </c>
      <c r="F111" s="60" t="s">
        <v>43</v>
      </c>
      <c r="G111" s="62">
        <v>36023617</v>
      </c>
      <c r="H111" s="60">
        <v>41614</v>
      </c>
      <c r="I111" s="60">
        <f t="shared" ca="1" si="1"/>
        <v>12</v>
      </c>
      <c r="J111" s="63" t="s">
        <v>757</v>
      </c>
      <c r="K111" s="64" t="s">
        <v>758</v>
      </c>
      <c r="L111" s="65" t="s">
        <v>759</v>
      </c>
      <c r="M111" s="66" t="s">
        <v>760</v>
      </c>
      <c r="N111" s="77">
        <v>16370424</v>
      </c>
      <c r="O111" s="60" t="s">
        <v>758</v>
      </c>
      <c r="P111" s="67" t="s">
        <v>757</v>
      </c>
      <c r="Q111" s="68" t="s">
        <v>369</v>
      </c>
      <c r="R111" s="69" t="s">
        <v>761</v>
      </c>
      <c r="S111" s="69"/>
      <c r="T111" s="69"/>
      <c r="U111" s="70">
        <v>280</v>
      </c>
      <c r="V111" s="79" t="s">
        <v>78</v>
      </c>
      <c r="W111" s="66">
        <v>45342</v>
      </c>
      <c r="X111" s="69" t="s">
        <v>369</v>
      </c>
      <c r="Y111" s="75">
        <v>280</v>
      </c>
      <c r="Z111" s="60"/>
      <c r="AA111" s="60"/>
      <c r="AB111" s="75"/>
      <c r="AC111" s="60"/>
      <c r="AD111" s="60"/>
      <c r="AE111" s="75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80"/>
      <c r="AR111" s="41"/>
    </row>
    <row r="112" spans="1:44" ht="30.75" customHeight="1">
      <c r="A112" s="41"/>
      <c r="B112" s="701"/>
      <c r="C112" s="59">
        <v>6</v>
      </c>
      <c r="D112" s="60" t="s">
        <v>762</v>
      </c>
      <c r="E112" s="60" t="s">
        <v>763</v>
      </c>
      <c r="F112" s="60" t="s">
        <v>43</v>
      </c>
      <c r="G112" s="62">
        <v>36023618</v>
      </c>
      <c r="H112" s="60">
        <v>41124</v>
      </c>
      <c r="I112" s="60">
        <f t="shared" ca="1" si="1"/>
        <v>13</v>
      </c>
      <c r="J112" s="63" t="s">
        <v>757</v>
      </c>
      <c r="K112" s="64" t="s">
        <v>758</v>
      </c>
      <c r="L112" s="65" t="s">
        <v>759</v>
      </c>
      <c r="M112" s="66" t="s">
        <v>760</v>
      </c>
      <c r="N112" s="77">
        <v>16370424</v>
      </c>
      <c r="O112" s="60" t="s">
        <v>758</v>
      </c>
      <c r="P112" s="67" t="s">
        <v>757</v>
      </c>
      <c r="Q112" s="68" t="s">
        <v>764</v>
      </c>
      <c r="R112" s="69" t="s">
        <v>761</v>
      </c>
      <c r="S112" s="69"/>
      <c r="T112" s="69"/>
      <c r="U112" s="70">
        <v>280</v>
      </c>
      <c r="V112" s="79" t="s">
        <v>78</v>
      </c>
      <c r="W112" s="66">
        <v>45342</v>
      </c>
      <c r="X112" s="69" t="s">
        <v>369</v>
      </c>
      <c r="Y112" s="75">
        <v>280</v>
      </c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80"/>
      <c r="AR112" s="41"/>
    </row>
    <row r="113" spans="1:44" ht="30.75" customHeight="1">
      <c r="A113" s="41"/>
      <c r="B113" s="701"/>
      <c r="C113" s="59">
        <v>7</v>
      </c>
      <c r="D113" s="60" t="s">
        <v>765</v>
      </c>
      <c r="E113" s="60" t="s">
        <v>766</v>
      </c>
      <c r="F113" s="60" t="s">
        <v>43</v>
      </c>
      <c r="G113" s="62">
        <v>19274524</v>
      </c>
      <c r="H113" s="60">
        <v>32520</v>
      </c>
      <c r="I113" s="60">
        <f t="shared" ca="1" si="1"/>
        <v>37</v>
      </c>
      <c r="J113" s="63" t="s">
        <v>767</v>
      </c>
      <c r="K113" s="64" t="s">
        <v>768</v>
      </c>
      <c r="L113" s="65" t="s">
        <v>769</v>
      </c>
      <c r="M113" s="66"/>
      <c r="N113" s="77"/>
      <c r="O113" s="60"/>
      <c r="P113" s="106"/>
      <c r="Q113" s="68" t="s">
        <v>657</v>
      </c>
      <c r="R113" s="69" t="s">
        <v>770</v>
      </c>
      <c r="S113" s="69" t="s">
        <v>715</v>
      </c>
      <c r="T113" s="69"/>
      <c r="U113" s="70">
        <v>300</v>
      </c>
      <c r="V113" s="79" t="s">
        <v>620</v>
      </c>
      <c r="W113" s="66">
        <v>45345</v>
      </c>
      <c r="X113" s="69" t="s">
        <v>750</v>
      </c>
      <c r="Y113" s="104">
        <v>300</v>
      </c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80"/>
      <c r="AR113" s="41"/>
    </row>
    <row r="114" spans="1:44" ht="30.75" customHeight="1">
      <c r="A114" s="41"/>
      <c r="B114" s="701"/>
      <c r="C114" s="59">
        <v>8</v>
      </c>
      <c r="D114" s="60" t="s">
        <v>771</v>
      </c>
      <c r="E114" s="60" t="s">
        <v>772</v>
      </c>
      <c r="F114" s="60" t="s">
        <v>43</v>
      </c>
      <c r="G114" s="62">
        <v>33993090</v>
      </c>
      <c r="H114" s="60">
        <v>40759</v>
      </c>
      <c r="I114" s="60">
        <f t="shared" ca="1" si="1"/>
        <v>14</v>
      </c>
      <c r="J114" s="63" t="s">
        <v>773</v>
      </c>
      <c r="K114" s="64" t="s">
        <v>774</v>
      </c>
      <c r="L114" s="65" t="s">
        <v>775</v>
      </c>
      <c r="M114" s="66" t="s">
        <v>776</v>
      </c>
      <c r="N114" s="77">
        <v>17534389</v>
      </c>
      <c r="O114" s="60" t="s">
        <v>774</v>
      </c>
      <c r="P114" s="67" t="s">
        <v>773</v>
      </c>
      <c r="Q114" s="68" t="s">
        <v>76</v>
      </c>
      <c r="R114" s="69" t="s">
        <v>741</v>
      </c>
      <c r="S114" s="69"/>
      <c r="T114" s="69"/>
      <c r="U114" s="70">
        <v>300</v>
      </c>
      <c r="V114" s="79" t="s">
        <v>777</v>
      </c>
      <c r="W114" s="66">
        <v>45346</v>
      </c>
      <c r="X114" s="69" t="s">
        <v>778</v>
      </c>
      <c r="Y114" s="104">
        <v>300</v>
      </c>
      <c r="Z114" s="74"/>
      <c r="AA114" s="74"/>
      <c r="AB114" s="74"/>
      <c r="AC114" s="60"/>
      <c r="AD114" s="60"/>
      <c r="AE114" s="75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80"/>
      <c r="AR114" s="41"/>
    </row>
    <row r="115" spans="1:44" ht="30.75" customHeight="1">
      <c r="A115" s="41"/>
      <c r="B115" s="701"/>
      <c r="C115" s="59">
        <v>9</v>
      </c>
      <c r="D115" s="60" t="s">
        <v>779</v>
      </c>
      <c r="E115" s="60" t="s">
        <v>780</v>
      </c>
      <c r="F115" s="60" t="s">
        <v>43</v>
      </c>
      <c r="G115" s="62">
        <v>27222339</v>
      </c>
      <c r="H115" s="60">
        <v>36464</v>
      </c>
      <c r="I115" s="60">
        <f t="shared" ca="1" si="1"/>
        <v>26</v>
      </c>
      <c r="J115" s="63" t="s">
        <v>781</v>
      </c>
      <c r="K115" s="64" t="s">
        <v>782</v>
      </c>
      <c r="L115" s="65" t="s">
        <v>783</v>
      </c>
      <c r="M115" s="66"/>
      <c r="N115" s="60"/>
      <c r="O115" s="60"/>
      <c r="P115" s="80"/>
      <c r="Q115" s="68" t="s">
        <v>657</v>
      </c>
      <c r="R115" s="69" t="s">
        <v>784</v>
      </c>
      <c r="S115" s="69" t="s">
        <v>785</v>
      </c>
      <c r="T115" s="69"/>
      <c r="U115" s="70" t="s">
        <v>786</v>
      </c>
      <c r="V115" s="79" t="s">
        <v>78</v>
      </c>
      <c r="W115" s="66">
        <v>45348</v>
      </c>
      <c r="X115" s="69" t="s">
        <v>281</v>
      </c>
      <c r="Y115" s="104">
        <v>300</v>
      </c>
      <c r="Z115" s="60"/>
      <c r="AA115" s="60"/>
      <c r="AB115" s="75"/>
      <c r="AC115" s="60"/>
      <c r="AD115" s="60"/>
      <c r="AE115" s="75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80"/>
      <c r="AR115" s="41"/>
    </row>
    <row r="116" spans="1:44" ht="30.75" customHeight="1">
      <c r="A116" s="41"/>
      <c r="B116" s="701"/>
      <c r="C116" s="59">
        <v>10</v>
      </c>
      <c r="D116" s="60" t="s">
        <v>787</v>
      </c>
      <c r="E116" s="60" t="s">
        <v>788</v>
      </c>
      <c r="F116" s="60" t="s">
        <v>43</v>
      </c>
      <c r="G116" s="62">
        <v>33206839</v>
      </c>
      <c r="H116" s="60">
        <v>39795</v>
      </c>
      <c r="I116" s="60">
        <f t="shared" ca="1" si="1"/>
        <v>17</v>
      </c>
      <c r="J116" s="63" t="s">
        <v>789</v>
      </c>
      <c r="K116" s="64" t="s">
        <v>790</v>
      </c>
      <c r="L116" s="65" t="s">
        <v>791</v>
      </c>
      <c r="M116" s="66" t="s">
        <v>792</v>
      </c>
      <c r="N116" s="60">
        <v>15107249</v>
      </c>
      <c r="O116" s="77" t="s">
        <v>793</v>
      </c>
      <c r="P116" s="67" t="s">
        <v>794</v>
      </c>
      <c r="Q116" s="68" t="s">
        <v>657</v>
      </c>
      <c r="R116" s="69" t="s">
        <v>795</v>
      </c>
      <c r="S116" s="69" t="s">
        <v>796</v>
      </c>
      <c r="T116" s="69"/>
      <c r="U116" s="70" t="s">
        <v>786</v>
      </c>
      <c r="V116" s="79" t="s">
        <v>78</v>
      </c>
      <c r="W116" s="66">
        <v>45348</v>
      </c>
      <c r="X116" s="69" t="s">
        <v>778</v>
      </c>
      <c r="Y116" s="75"/>
      <c r="Z116" s="74"/>
      <c r="AA116" s="74"/>
      <c r="AB116" s="74"/>
      <c r="AC116" s="60"/>
      <c r="AD116" s="60"/>
      <c r="AE116" s="75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80"/>
      <c r="AR116" s="41"/>
    </row>
    <row r="117" spans="1:44" ht="30.75" customHeight="1">
      <c r="A117" s="41"/>
      <c r="B117" s="701"/>
      <c r="C117" s="59">
        <v>11</v>
      </c>
      <c r="D117" s="60" t="s">
        <v>797</v>
      </c>
      <c r="E117" s="60" t="s">
        <v>798</v>
      </c>
      <c r="F117" s="60" t="s">
        <v>43</v>
      </c>
      <c r="G117" s="62"/>
      <c r="H117" s="60"/>
      <c r="I117" s="60">
        <f t="shared" ca="1" si="1"/>
        <v>126</v>
      </c>
      <c r="J117" s="63" t="s">
        <v>313</v>
      </c>
      <c r="K117" s="64" t="s">
        <v>799</v>
      </c>
      <c r="L117" s="65" t="s">
        <v>800</v>
      </c>
      <c r="M117" s="66" t="s">
        <v>315</v>
      </c>
      <c r="N117" s="77">
        <v>15199917</v>
      </c>
      <c r="O117" s="60" t="s">
        <v>799</v>
      </c>
      <c r="P117" s="67" t="s">
        <v>313</v>
      </c>
      <c r="Q117" s="68" t="s">
        <v>369</v>
      </c>
      <c r="R117" s="69" t="s">
        <v>801</v>
      </c>
      <c r="S117" s="69"/>
      <c r="T117" s="69"/>
      <c r="U117" s="70"/>
      <c r="V117" s="79" t="s">
        <v>78</v>
      </c>
      <c r="W117" s="66">
        <v>45351</v>
      </c>
      <c r="X117" s="69" t="s">
        <v>369</v>
      </c>
      <c r="Y117" s="75"/>
      <c r="Z117" s="74"/>
      <c r="AA117" s="74"/>
      <c r="AB117" s="74"/>
      <c r="AC117" s="60"/>
      <c r="AD117" s="60"/>
      <c r="AE117" s="75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80"/>
      <c r="AR117" s="41"/>
    </row>
    <row r="118" spans="1:44" ht="30.75" customHeight="1">
      <c r="A118" s="120"/>
      <c r="B118" s="701"/>
      <c r="C118" s="59">
        <v>12</v>
      </c>
      <c r="D118" s="60" t="s">
        <v>802</v>
      </c>
      <c r="E118" s="60" t="s">
        <v>803</v>
      </c>
      <c r="F118" s="60" t="s">
        <v>43</v>
      </c>
      <c r="G118" s="62"/>
      <c r="H118" s="60">
        <v>45601</v>
      </c>
      <c r="I118" s="60">
        <f t="shared" ca="1" si="1"/>
        <v>1</v>
      </c>
      <c r="J118" s="63" t="s">
        <v>804</v>
      </c>
      <c r="K118" s="64" t="s">
        <v>805</v>
      </c>
      <c r="L118" s="65" t="s">
        <v>806</v>
      </c>
      <c r="M118" s="66" t="s">
        <v>807</v>
      </c>
      <c r="N118" s="62">
        <v>18738711</v>
      </c>
      <c r="O118" s="60">
        <v>4127264455</v>
      </c>
      <c r="P118" s="67" t="s">
        <v>804</v>
      </c>
      <c r="Q118" s="68" t="s">
        <v>369</v>
      </c>
      <c r="R118" s="69" t="s">
        <v>741</v>
      </c>
      <c r="S118" s="69" t="s">
        <v>785</v>
      </c>
      <c r="T118" s="69"/>
      <c r="U118" s="70">
        <v>300</v>
      </c>
      <c r="V118" s="79" t="s">
        <v>78</v>
      </c>
      <c r="W118" s="66">
        <v>45352</v>
      </c>
      <c r="X118" s="69"/>
      <c r="Y118" s="75"/>
      <c r="Z118" s="60"/>
      <c r="AA118" s="60"/>
      <c r="AB118" s="75"/>
      <c r="AC118" s="60"/>
      <c r="AD118" s="60"/>
      <c r="AE118" s="75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106"/>
      <c r="AR118" s="120"/>
    </row>
    <row r="119" spans="1:44" ht="30.75" customHeight="1">
      <c r="A119" s="120"/>
      <c r="B119" s="701"/>
      <c r="C119" s="59">
        <v>13</v>
      </c>
      <c r="D119" s="60" t="s">
        <v>808</v>
      </c>
      <c r="E119" s="60" t="s">
        <v>809</v>
      </c>
      <c r="F119" s="60" t="s">
        <v>43</v>
      </c>
      <c r="G119" s="62">
        <v>33351925</v>
      </c>
      <c r="H119" s="60">
        <v>40277</v>
      </c>
      <c r="I119" s="60">
        <f t="shared" ca="1" si="1"/>
        <v>16</v>
      </c>
      <c r="J119" s="63" t="s">
        <v>810</v>
      </c>
      <c r="K119" s="64" t="s">
        <v>811</v>
      </c>
      <c r="L119" s="65" t="s">
        <v>812</v>
      </c>
      <c r="M119" s="66" t="s">
        <v>813</v>
      </c>
      <c r="N119" s="77">
        <v>14215015</v>
      </c>
      <c r="O119" s="60">
        <v>4241002715</v>
      </c>
      <c r="P119" s="67" t="s">
        <v>810</v>
      </c>
      <c r="Q119" s="68" t="s">
        <v>814</v>
      </c>
      <c r="R119" s="69" t="s">
        <v>815</v>
      </c>
      <c r="S119" s="69"/>
      <c r="T119" s="69" t="s">
        <v>816</v>
      </c>
      <c r="U119" s="70">
        <v>480</v>
      </c>
      <c r="V119" s="79" t="s">
        <v>78</v>
      </c>
      <c r="W119" s="66">
        <v>45352</v>
      </c>
      <c r="X119" s="69" t="s">
        <v>369</v>
      </c>
      <c r="Y119" s="75"/>
      <c r="Z119" s="60"/>
      <c r="AA119" s="60"/>
      <c r="AB119" s="75"/>
      <c r="AC119" s="60"/>
      <c r="AD119" s="60"/>
      <c r="AE119" s="75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106"/>
      <c r="AR119" s="120"/>
    </row>
    <row r="120" spans="1:44" ht="30.75" customHeight="1">
      <c r="A120" s="41"/>
      <c r="B120" s="701"/>
      <c r="C120" s="59">
        <v>14</v>
      </c>
      <c r="D120" s="60" t="s">
        <v>817</v>
      </c>
      <c r="E120" s="60" t="s">
        <v>818</v>
      </c>
      <c r="F120" s="60" t="s">
        <v>43</v>
      </c>
      <c r="G120" s="62">
        <v>32479015</v>
      </c>
      <c r="H120" s="60">
        <v>39619</v>
      </c>
      <c r="I120" s="60">
        <f t="shared" ca="1" si="1"/>
        <v>17</v>
      </c>
      <c r="J120" s="63" t="s">
        <v>810</v>
      </c>
      <c r="K120" s="64" t="s">
        <v>819</v>
      </c>
      <c r="L120" s="65" t="s">
        <v>812</v>
      </c>
      <c r="M120" s="66" t="s">
        <v>813</v>
      </c>
      <c r="N120" s="77">
        <v>14215015</v>
      </c>
      <c r="O120" s="60">
        <v>4241002715</v>
      </c>
      <c r="P120" s="80"/>
      <c r="Q120" s="68" t="s">
        <v>814</v>
      </c>
      <c r="R120" s="69"/>
      <c r="S120" s="69"/>
      <c r="T120" s="69"/>
      <c r="U120" s="70"/>
      <c r="V120" s="79" t="s">
        <v>78</v>
      </c>
      <c r="W120" s="66">
        <v>45352</v>
      </c>
      <c r="X120" s="69"/>
      <c r="Y120" s="75"/>
      <c r="Z120" s="60"/>
      <c r="AA120" s="60"/>
      <c r="AB120" s="75"/>
      <c r="AC120" s="60"/>
      <c r="AD120" s="60"/>
      <c r="AE120" s="75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80"/>
      <c r="AR120" s="41"/>
    </row>
    <row r="121" spans="1:44" ht="30.75" customHeight="1">
      <c r="A121" s="120"/>
      <c r="B121" s="701"/>
      <c r="C121" s="59">
        <v>15</v>
      </c>
      <c r="D121" s="60" t="s">
        <v>820</v>
      </c>
      <c r="E121" s="60" t="s">
        <v>821</v>
      </c>
      <c r="F121" s="60" t="s">
        <v>43</v>
      </c>
      <c r="G121" s="62" t="s">
        <v>822</v>
      </c>
      <c r="H121" s="60">
        <v>45463</v>
      </c>
      <c r="I121" s="60">
        <f t="shared" ca="1" si="1"/>
        <v>1</v>
      </c>
      <c r="J121" s="63" t="s">
        <v>823</v>
      </c>
      <c r="K121" s="64" t="s">
        <v>824</v>
      </c>
      <c r="L121" s="65"/>
      <c r="M121" s="66"/>
      <c r="N121" s="60"/>
      <c r="O121" s="60"/>
      <c r="P121" s="106"/>
      <c r="Q121" s="68" t="s">
        <v>778</v>
      </c>
      <c r="R121" s="69"/>
      <c r="S121" s="69"/>
      <c r="T121" s="69"/>
      <c r="U121" s="70"/>
      <c r="V121" s="79" t="s">
        <v>777</v>
      </c>
      <c r="W121" s="66">
        <v>45352</v>
      </c>
      <c r="X121" s="69"/>
      <c r="Y121" s="75"/>
      <c r="Z121" s="60"/>
      <c r="AA121" s="60"/>
      <c r="AB121" s="75"/>
      <c r="AC121" s="60"/>
      <c r="AD121" s="60"/>
      <c r="AE121" s="75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106"/>
      <c r="AR121" s="120"/>
    </row>
    <row r="122" spans="1:44" ht="30.75" customHeight="1">
      <c r="A122" s="41"/>
      <c r="B122" s="701"/>
      <c r="C122" s="59">
        <v>16</v>
      </c>
      <c r="D122" s="60" t="s">
        <v>825</v>
      </c>
      <c r="E122" s="60" t="s">
        <v>826</v>
      </c>
      <c r="F122" s="60" t="s">
        <v>43</v>
      </c>
      <c r="G122" s="62">
        <v>32301598</v>
      </c>
      <c r="H122" s="121">
        <v>38837</v>
      </c>
      <c r="I122" s="60">
        <f t="shared" ca="1" si="1"/>
        <v>20</v>
      </c>
      <c r="J122" s="63" t="s">
        <v>827</v>
      </c>
      <c r="K122" s="64" t="s">
        <v>828</v>
      </c>
      <c r="L122" s="65" t="s">
        <v>829</v>
      </c>
      <c r="M122" s="66" t="s">
        <v>830</v>
      </c>
      <c r="N122" s="77">
        <v>19147251</v>
      </c>
      <c r="O122" s="60">
        <v>4126330677</v>
      </c>
      <c r="P122" s="67" t="s">
        <v>831</v>
      </c>
      <c r="Q122" s="68" t="s">
        <v>479</v>
      </c>
      <c r="R122" s="69"/>
      <c r="S122" s="69"/>
      <c r="T122" s="69"/>
      <c r="U122" s="70"/>
      <c r="V122" s="79" t="s">
        <v>78</v>
      </c>
      <c r="W122" s="66">
        <v>45353</v>
      </c>
      <c r="X122" s="69"/>
      <c r="Y122" s="75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80"/>
      <c r="AR122" s="41"/>
    </row>
    <row r="123" spans="1:44" ht="30.75" customHeight="1">
      <c r="A123" s="120"/>
      <c r="B123" s="701"/>
      <c r="C123" s="59">
        <v>17</v>
      </c>
      <c r="D123" s="60" t="s">
        <v>832</v>
      </c>
      <c r="E123" s="60" t="s">
        <v>833</v>
      </c>
      <c r="F123" s="60" t="s">
        <v>43</v>
      </c>
      <c r="G123" s="62">
        <v>37253400</v>
      </c>
      <c r="H123" s="118">
        <v>42265</v>
      </c>
      <c r="I123" s="60">
        <f t="shared" ca="1" si="1"/>
        <v>10</v>
      </c>
      <c r="J123" s="63" t="s">
        <v>834</v>
      </c>
      <c r="K123" s="64" t="s">
        <v>835</v>
      </c>
      <c r="L123" s="65" t="s">
        <v>836</v>
      </c>
      <c r="M123" s="66" t="s">
        <v>837</v>
      </c>
      <c r="N123" s="62">
        <v>20115605</v>
      </c>
      <c r="O123" s="60">
        <v>4142408262</v>
      </c>
      <c r="P123" s="80"/>
      <c r="Q123" s="68" t="s">
        <v>369</v>
      </c>
      <c r="R123" s="69"/>
      <c r="S123" s="69"/>
      <c r="T123" s="69"/>
      <c r="U123" s="70"/>
      <c r="V123" s="79" t="s">
        <v>777</v>
      </c>
      <c r="W123" s="66">
        <v>45355</v>
      </c>
      <c r="X123" s="69"/>
      <c r="Y123" s="75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106"/>
      <c r="AR123" s="120"/>
    </row>
    <row r="124" spans="1:44" ht="30.75" customHeight="1">
      <c r="A124" s="41"/>
      <c r="B124" s="701"/>
      <c r="C124" s="59">
        <v>18</v>
      </c>
      <c r="D124" s="60" t="s">
        <v>838</v>
      </c>
      <c r="E124" s="60" t="s">
        <v>839</v>
      </c>
      <c r="F124" s="60" t="s">
        <v>43</v>
      </c>
      <c r="G124" s="62">
        <v>4850006</v>
      </c>
      <c r="H124" s="74">
        <v>45629</v>
      </c>
      <c r="I124" s="60">
        <f t="shared" ca="1" si="1"/>
        <v>1</v>
      </c>
      <c r="J124" s="63" t="s">
        <v>840</v>
      </c>
      <c r="K124" s="64" t="s">
        <v>841</v>
      </c>
      <c r="L124" s="65" t="s">
        <v>842</v>
      </c>
      <c r="M124" s="66"/>
      <c r="N124" s="60"/>
      <c r="O124" s="60"/>
      <c r="P124" s="80"/>
      <c r="Q124" s="68" t="s">
        <v>657</v>
      </c>
      <c r="R124" s="69"/>
      <c r="S124" s="69"/>
      <c r="T124" s="69"/>
      <c r="U124" s="70"/>
      <c r="V124" s="79" t="s">
        <v>843</v>
      </c>
      <c r="W124" s="66">
        <v>45358</v>
      </c>
      <c r="X124" s="69"/>
      <c r="Y124" s="75"/>
      <c r="Z124" s="60"/>
      <c r="AA124" s="60"/>
      <c r="AB124" s="75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80"/>
      <c r="AR124" s="41"/>
    </row>
    <row r="125" spans="1:44" ht="30.75" customHeight="1">
      <c r="A125" s="41"/>
      <c r="B125" s="701"/>
      <c r="C125" s="59">
        <v>19</v>
      </c>
      <c r="D125" s="60" t="s">
        <v>844</v>
      </c>
      <c r="E125" s="60" t="s">
        <v>845</v>
      </c>
      <c r="F125" s="60" t="s">
        <v>43</v>
      </c>
      <c r="G125" s="62"/>
      <c r="H125" s="60">
        <v>45465</v>
      </c>
      <c r="I125" s="60">
        <f t="shared" ca="1" si="1"/>
        <v>1</v>
      </c>
      <c r="J125" s="63" t="s">
        <v>846</v>
      </c>
      <c r="K125" s="64" t="s">
        <v>847</v>
      </c>
      <c r="L125" s="65" t="s">
        <v>848</v>
      </c>
      <c r="M125" s="66" t="s">
        <v>849</v>
      </c>
      <c r="N125" s="77">
        <v>13910263</v>
      </c>
      <c r="O125" s="60">
        <v>4241103872</v>
      </c>
      <c r="P125" s="67" t="s">
        <v>850</v>
      </c>
      <c r="Q125" s="68" t="s">
        <v>851</v>
      </c>
      <c r="R125" s="69"/>
      <c r="S125" s="69"/>
      <c r="T125" s="69"/>
      <c r="U125" s="70"/>
      <c r="V125" s="79" t="s">
        <v>852</v>
      </c>
      <c r="W125" s="66">
        <v>45365</v>
      </c>
      <c r="X125" s="69"/>
      <c r="Y125" s="75"/>
      <c r="Z125" s="60"/>
      <c r="AA125" s="60"/>
      <c r="AB125" s="75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80"/>
      <c r="AR125" s="41"/>
    </row>
    <row r="126" spans="1:44" ht="30.75" customHeight="1">
      <c r="A126" s="120"/>
      <c r="B126" s="702"/>
      <c r="C126" s="83">
        <v>20</v>
      </c>
      <c r="D126" s="84" t="s">
        <v>853</v>
      </c>
      <c r="E126" s="84" t="s">
        <v>854</v>
      </c>
      <c r="F126" s="84" t="s">
        <v>43</v>
      </c>
      <c r="G126" s="85">
        <v>36362537</v>
      </c>
      <c r="H126" s="84">
        <v>41761</v>
      </c>
      <c r="I126" s="84">
        <f t="shared" ca="1" si="1"/>
        <v>12</v>
      </c>
      <c r="J126" s="86" t="s">
        <v>855</v>
      </c>
      <c r="K126" s="87" t="s">
        <v>856</v>
      </c>
      <c r="L126" s="88" t="s">
        <v>857</v>
      </c>
      <c r="M126" s="89" t="s">
        <v>858</v>
      </c>
      <c r="N126" s="85">
        <v>20413885</v>
      </c>
      <c r="O126" s="84">
        <v>4242997997</v>
      </c>
      <c r="P126" s="91" t="s">
        <v>859</v>
      </c>
      <c r="Q126" s="92"/>
      <c r="R126" s="93"/>
      <c r="S126" s="93"/>
      <c r="T126" s="93"/>
      <c r="U126" s="94"/>
      <c r="V126" s="95" t="s">
        <v>649</v>
      </c>
      <c r="W126" s="89">
        <v>45371</v>
      </c>
      <c r="X126" s="93"/>
      <c r="Y126" s="96"/>
      <c r="Z126" s="84"/>
      <c r="AA126" s="84"/>
      <c r="AB126" s="96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119"/>
      <c r="AR126" s="120"/>
    </row>
    <row r="127" spans="1:44" ht="30.75" customHeight="1">
      <c r="A127" s="41"/>
      <c r="B127" s="700" t="s">
        <v>860</v>
      </c>
      <c r="C127" s="122">
        <v>1</v>
      </c>
      <c r="D127" s="44" t="s">
        <v>861</v>
      </c>
      <c r="E127" s="44" t="s">
        <v>862</v>
      </c>
      <c r="F127" s="44" t="s">
        <v>43</v>
      </c>
      <c r="G127" s="45">
        <v>26624400</v>
      </c>
      <c r="H127" s="44">
        <v>36069</v>
      </c>
      <c r="I127" s="44">
        <f t="shared" ca="1" si="1"/>
        <v>27</v>
      </c>
      <c r="J127" s="46" t="s">
        <v>863</v>
      </c>
      <c r="K127" s="47" t="s">
        <v>864</v>
      </c>
      <c r="L127" s="48" t="s">
        <v>865</v>
      </c>
      <c r="M127" s="49"/>
      <c r="N127" s="44"/>
      <c r="O127" s="44"/>
      <c r="P127" s="102"/>
      <c r="Q127" s="52" t="s">
        <v>684</v>
      </c>
      <c r="R127" s="53"/>
      <c r="S127" s="53"/>
      <c r="T127" s="53"/>
      <c r="U127" s="54"/>
      <c r="V127" s="55" t="s">
        <v>866</v>
      </c>
      <c r="W127" s="49">
        <v>45103</v>
      </c>
      <c r="X127" s="53"/>
      <c r="Y127" s="56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102"/>
      <c r="AR127" s="41"/>
    </row>
    <row r="128" spans="1:44" ht="30.75" customHeight="1">
      <c r="A128" s="41"/>
      <c r="B128" s="701"/>
      <c r="C128" s="123">
        <v>2</v>
      </c>
      <c r="D128" s="60" t="s">
        <v>867</v>
      </c>
      <c r="E128" s="60" t="s">
        <v>868</v>
      </c>
      <c r="F128" s="60" t="s">
        <v>43</v>
      </c>
      <c r="G128" s="62">
        <v>34281740</v>
      </c>
      <c r="H128" s="60">
        <v>40737</v>
      </c>
      <c r="I128" s="60">
        <f t="shared" ca="1" si="1"/>
        <v>14</v>
      </c>
      <c r="J128" s="63" t="s">
        <v>869</v>
      </c>
      <c r="K128" s="64" t="s">
        <v>870</v>
      </c>
      <c r="L128" s="65" t="s">
        <v>871</v>
      </c>
      <c r="M128" s="66" t="s">
        <v>872</v>
      </c>
      <c r="N128" s="77">
        <v>16620650</v>
      </c>
      <c r="O128" s="60">
        <v>4241480194</v>
      </c>
      <c r="P128" s="67" t="s">
        <v>873</v>
      </c>
      <c r="Q128" s="68"/>
      <c r="R128" s="69"/>
      <c r="S128" s="69"/>
      <c r="T128" s="69"/>
      <c r="U128" s="70"/>
      <c r="V128" s="79" t="s">
        <v>78</v>
      </c>
      <c r="W128" s="66" t="s">
        <v>874</v>
      </c>
      <c r="X128" s="69"/>
      <c r="Y128" s="75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80"/>
      <c r="AR128" s="41"/>
    </row>
    <row r="129" spans="1:44" ht="30.75" customHeight="1">
      <c r="A129" s="41"/>
      <c r="B129" s="701"/>
      <c r="C129" s="123">
        <v>3</v>
      </c>
      <c r="D129" s="60" t="s">
        <v>875</v>
      </c>
      <c r="E129" s="60" t="s">
        <v>876</v>
      </c>
      <c r="F129" s="60" t="s">
        <v>43</v>
      </c>
      <c r="G129" s="62">
        <v>31507745</v>
      </c>
      <c r="H129" s="60">
        <v>39036</v>
      </c>
      <c r="I129" s="60">
        <f t="shared" ca="1" si="1"/>
        <v>19</v>
      </c>
      <c r="J129" s="63" t="s">
        <v>877</v>
      </c>
      <c r="K129" s="64" t="s">
        <v>878</v>
      </c>
      <c r="L129" s="65" t="s">
        <v>879</v>
      </c>
      <c r="M129" s="66" t="s">
        <v>880</v>
      </c>
      <c r="N129" s="77">
        <v>13232041</v>
      </c>
      <c r="O129" s="60">
        <v>4129835368</v>
      </c>
      <c r="P129" s="67" t="s">
        <v>881</v>
      </c>
      <c r="Q129" s="68" t="s">
        <v>544</v>
      </c>
      <c r="R129" s="69" t="s">
        <v>882</v>
      </c>
      <c r="S129" s="69"/>
      <c r="T129" s="69"/>
      <c r="U129" s="70">
        <v>300</v>
      </c>
      <c r="V129" s="79" t="s">
        <v>78</v>
      </c>
      <c r="W129" s="66">
        <v>45383</v>
      </c>
      <c r="X129" s="69"/>
      <c r="Y129" s="75"/>
      <c r="Z129" s="60"/>
      <c r="AA129" s="60"/>
      <c r="AB129" s="75"/>
      <c r="AC129" s="60"/>
      <c r="AD129" s="60"/>
      <c r="AE129" s="75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80"/>
      <c r="AR129" s="41"/>
    </row>
    <row r="130" spans="1:44" ht="30.75" customHeight="1">
      <c r="A130" s="41"/>
      <c r="B130" s="701"/>
      <c r="C130" s="123">
        <v>4</v>
      </c>
      <c r="D130" s="60" t="s">
        <v>883</v>
      </c>
      <c r="E130" s="60" t="s">
        <v>884</v>
      </c>
      <c r="F130" s="113" t="s">
        <v>278</v>
      </c>
      <c r="G130" s="62">
        <v>34183359</v>
      </c>
      <c r="H130" s="60">
        <v>40646</v>
      </c>
      <c r="I130" s="60">
        <f t="shared" ca="1" si="1"/>
        <v>15</v>
      </c>
      <c r="J130" s="63" t="s">
        <v>885</v>
      </c>
      <c r="K130" s="64" t="s">
        <v>886</v>
      </c>
      <c r="L130" s="65" t="s">
        <v>887</v>
      </c>
      <c r="M130" s="66" t="s">
        <v>888</v>
      </c>
      <c r="N130" s="77">
        <v>17978871</v>
      </c>
      <c r="O130" s="60" t="s">
        <v>889</v>
      </c>
      <c r="P130" s="67" t="s">
        <v>890</v>
      </c>
      <c r="Q130" s="68" t="s">
        <v>891</v>
      </c>
      <c r="R130" s="69" t="s">
        <v>892</v>
      </c>
      <c r="S130" s="69"/>
      <c r="T130" s="69"/>
      <c r="U130" s="70"/>
      <c r="V130" s="79" t="s">
        <v>866</v>
      </c>
      <c r="W130" s="66">
        <v>44943</v>
      </c>
      <c r="X130" s="69"/>
      <c r="Y130" s="75"/>
      <c r="Z130" s="60"/>
      <c r="AA130" s="60"/>
      <c r="AB130" s="75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80"/>
      <c r="AR130" s="41"/>
    </row>
    <row r="131" spans="1:44" ht="30.75" customHeight="1">
      <c r="A131" s="41"/>
      <c r="B131" s="701"/>
      <c r="C131" s="123">
        <v>5</v>
      </c>
      <c r="D131" s="60" t="s">
        <v>893</v>
      </c>
      <c r="E131" s="60" t="s">
        <v>894</v>
      </c>
      <c r="F131" s="60" t="s">
        <v>43</v>
      </c>
      <c r="G131" s="62">
        <v>10663304</v>
      </c>
      <c r="H131" s="60">
        <v>27635</v>
      </c>
      <c r="I131" s="60">
        <f t="shared" ca="1" si="1"/>
        <v>50</v>
      </c>
      <c r="J131" s="63"/>
      <c r="K131" s="64" t="s">
        <v>895</v>
      </c>
      <c r="L131" s="65" t="s">
        <v>896</v>
      </c>
      <c r="M131" s="66"/>
      <c r="N131" s="77"/>
      <c r="O131" s="60"/>
      <c r="P131" s="106"/>
      <c r="Q131" s="68" t="s">
        <v>684</v>
      </c>
      <c r="R131" s="69" t="s">
        <v>892</v>
      </c>
      <c r="S131" s="69"/>
      <c r="T131" s="69"/>
      <c r="U131" s="70">
        <v>300</v>
      </c>
      <c r="V131" s="79" t="s">
        <v>78</v>
      </c>
      <c r="W131" s="66">
        <v>45390</v>
      </c>
      <c r="X131" s="69"/>
      <c r="Y131" s="75"/>
      <c r="Z131" s="60"/>
      <c r="AA131" s="60"/>
      <c r="AB131" s="75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80"/>
      <c r="AR131" s="41"/>
    </row>
    <row r="132" spans="1:44" ht="30.75" customHeight="1">
      <c r="A132" s="41"/>
      <c r="B132" s="701"/>
      <c r="C132" s="123">
        <v>6</v>
      </c>
      <c r="D132" s="60" t="s">
        <v>897</v>
      </c>
      <c r="E132" s="60" t="s">
        <v>898</v>
      </c>
      <c r="F132" s="60" t="s">
        <v>43</v>
      </c>
      <c r="G132" s="62">
        <v>32270936</v>
      </c>
      <c r="H132" s="60">
        <v>39212</v>
      </c>
      <c r="I132" s="60">
        <f t="shared" ca="1" si="1"/>
        <v>19</v>
      </c>
      <c r="J132" s="63" t="s">
        <v>899</v>
      </c>
      <c r="K132" s="64" t="s">
        <v>900</v>
      </c>
      <c r="L132" s="65" t="s">
        <v>901</v>
      </c>
      <c r="M132" s="66" t="s">
        <v>902</v>
      </c>
      <c r="N132" s="77">
        <v>16591698</v>
      </c>
      <c r="O132" s="60" t="s">
        <v>903</v>
      </c>
      <c r="P132" s="67" t="s">
        <v>899</v>
      </c>
      <c r="Q132" s="68" t="s">
        <v>50</v>
      </c>
      <c r="R132" s="69" t="s">
        <v>904</v>
      </c>
      <c r="S132" s="69"/>
      <c r="T132" s="69"/>
      <c r="U132" s="70" t="s">
        <v>905</v>
      </c>
      <c r="V132" s="79" t="s">
        <v>649</v>
      </c>
      <c r="W132" s="66">
        <v>45393</v>
      </c>
      <c r="X132" s="69"/>
      <c r="Y132" s="75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80"/>
      <c r="AR132" s="41"/>
    </row>
    <row r="133" spans="1:44" ht="30.75" customHeight="1">
      <c r="A133" s="41"/>
      <c r="B133" s="701"/>
      <c r="C133" s="123">
        <v>7</v>
      </c>
      <c r="D133" s="60" t="s">
        <v>906</v>
      </c>
      <c r="E133" s="60" t="s">
        <v>907</v>
      </c>
      <c r="F133" s="60" t="s">
        <v>43</v>
      </c>
      <c r="G133" s="62">
        <v>33884179</v>
      </c>
      <c r="H133" s="60">
        <v>40774</v>
      </c>
      <c r="I133" s="60">
        <f t="shared" ca="1" si="1"/>
        <v>14</v>
      </c>
      <c r="J133" s="63" t="s">
        <v>908</v>
      </c>
      <c r="K133" s="64" t="s">
        <v>909</v>
      </c>
      <c r="L133" s="65" t="s">
        <v>910</v>
      </c>
      <c r="M133" s="66" t="s">
        <v>911</v>
      </c>
      <c r="N133" s="77">
        <v>18537938</v>
      </c>
      <c r="O133" s="62" t="s">
        <v>909</v>
      </c>
      <c r="P133" s="67" t="s">
        <v>908</v>
      </c>
      <c r="Q133" s="68" t="s">
        <v>912</v>
      </c>
      <c r="R133" s="69" t="s">
        <v>913</v>
      </c>
      <c r="S133" s="69"/>
      <c r="T133" s="69"/>
      <c r="U133" s="70"/>
      <c r="V133" s="79" t="s">
        <v>905</v>
      </c>
      <c r="W133" s="66">
        <v>45394</v>
      </c>
      <c r="X133" s="69"/>
      <c r="Y133" s="75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80"/>
      <c r="AR133" s="41"/>
    </row>
    <row r="134" spans="1:44" ht="30.75" customHeight="1">
      <c r="A134" s="120"/>
      <c r="B134" s="701"/>
      <c r="C134" s="123">
        <v>8</v>
      </c>
      <c r="D134" s="60" t="s">
        <v>914</v>
      </c>
      <c r="E134" s="60" t="s">
        <v>915</v>
      </c>
      <c r="F134" s="60" t="s">
        <v>43</v>
      </c>
      <c r="G134" s="62"/>
      <c r="H134" s="60"/>
      <c r="I134" s="60">
        <f t="shared" ca="1" si="1"/>
        <v>126</v>
      </c>
      <c r="J134" s="63" t="s">
        <v>916</v>
      </c>
      <c r="K134" s="64" t="s">
        <v>917</v>
      </c>
      <c r="L134" s="65" t="s">
        <v>918</v>
      </c>
      <c r="M134" s="66" t="s">
        <v>919</v>
      </c>
      <c r="N134" s="62">
        <v>16370194</v>
      </c>
      <c r="O134" s="60" t="s">
        <v>920</v>
      </c>
      <c r="P134" s="67" t="s">
        <v>916</v>
      </c>
      <c r="Q134" s="68" t="s">
        <v>369</v>
      </c>
      <c r="R134" s="69" t="s">
        <v>913</v>
      </c>
      <c r="S134" s="69"/>
      <c r="T134" s="69"/>
      <c r="U134" s="70"/>
      <c r="V134" s="79" t="s">
        <v>78</v>
      </c>
      <c r="W134" s="66">
        <v>45391</v>
      </c>
      <c r="X134" s="69"/>
      <c r="Y134" s="75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106"/>
      <c r="AR134" s="120"/>
    </row>
    <row r="135" spans="1:44" ht="30.75" customHeight="1">
      <c r="A135" s="41"/>
      <c r="B135" s="701"/>
      <c r="C135" s="123">
        <v>9</v>
      </c>
      <c r="D135" s="60" t="s">
        <v>921</v>
      </c>
      <c r="E135" s="60" t="s">
        <v>922</v>
      </c>
      <c r="F135" s="60" t="s">
        <v>43</v>
      </c>
      <c r="G135" s="62">
        <v>30051946</v>
      </c>
      <c r="H135" s="60">
        <v>45444</v>
      </c>
      <c r="I135" s="60">
        <f t="shared" ca="1" si="1"/>
        <v>2</v>
      </c>
      <c r="J135" s="63" t="s">
        <v>923</v>
      </c>
      <c r="K135" s="64" t="s">
        <v>924</v>
      </c>
      <c r="L135" s="65" t="s">
        <v>925</v>
      </c>
      <c r="M135" s="66"/>
      <c r="N135" s="77"/>
      <c r="O135" s="60"/>
      <c r="P135" s="106"/>
      <c r="Q135" s="68" t="s">
        <v>63</v>
      </c>
      <c r="R135" s="69" t="s">
        <v>926</v>
      </c>
      <c r="S135" s="69"/>
      <c r="T135" s="69"/>
      <c r="U135" s="70"/>
      <c r="V135" s="79" t="s">
        <v>78</v>
      </c>
      <c r="W135" s="66">
        <v>45400</v>
      </c>
      <c r="X135" s="69"/>
      <c r="Y135" s="75"/>
      <c r="Z135" s="60"/>
      <c r="AA135" s="60"/>
      <c r="AB135" s="75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80"/>
      <c r="AR135" s="41"/>
    </row>
    <row r="136" spans="1:44" ht="30.75" customHeight="1">
      <c r="A136" s="41"/>
      <c r="B136" s="701"/>
      <c r="C136" s="123">
        <v>10</v>
      </c>
      <c r="D136" s="60" t="s">
        <v>927</v>
      </c>
      <c r="E136" s="60" t="s">
        <v>928</v>
      </c>
      <c r="F136" s="60" t="s">
        <v>43</v>
      </c>
      <c r="G136" s="62"/>
      <c r="H136" s="60">
        <v>42766</v>
      </c>
      <c r="I136" s="60">
        <f t="shared" ca="1" si="1"/>
        <v>9</v>
      </c>
      <c r="J136" s="63"/>
      <c r="K136" s="64" t="s">
        <v>929</v>
      </c>
      <c r="L136" s="65" t="s">
        <v>930</v>
      </c>
      <c r="M136" s="66" t="s">
        <v>931</v>
      </c>
      <c r="N136" s="62">
        <v>16410861</v>
      </c>
      <c r="O136" s="60">
        <v>4123822180</v>
      </c>
      <c r="P136" s="67" t="s">
        <v>932</v>
      </c>
      <c r="Q136" s="68" t="s">
        <v>369</v>
      </c>
      <c r="R136" s="69" t="s">
        <v>933</v>
      </c>
      <c r="S136" s="69"/>
      <c r="T136" s="69"/>
      <c r="U136" s="70"/>
      <c r="V136" s="79" t="s">
        <v>78</v>
      </c>
      <c r="W136" s="66">
        <v>45411</v>
      </c>
      <c r="X136" s="69"/>
      <c r="Y136" s="75"/>
      <c r="Z136" s="60"/>
      <c r="AA136" s="60"/>
      <c r="AB136" s="75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80"/>
      <c r="AR136" s="41"/>
    </row>
    <row r="137" spans="1:44" ht="30.75" customHeight="1">
      <c r="A137" s="41"/>
      <c r="B137" s="701"/>
      <c r="C137" s="123">
        <v>11</v>
      </c>
      <c r="D137" s="60" t="s">
        <v>934</v>
      </c>
      <c r="E137" s="60" t="s">
        <v>935</v>
      </c>
      <c r="F137" s="60" t="s">
        <v>43</v>
      </c>
      <c r="G137" s="60"/>
      <c r="H137" s="60">
        <v>42108</v>
      </c>
      <c r="I137" s="60">
        <f t="shared" ca="1" si="1"/>
        <v>11</v>
      </c>
      <c r="J137" s="60"/>
      <c r="K137" s="64" t="s">
        <v>936</v>
      </c>
      <c r="L137" s="65" t="s">
        <v>725</v>
      </c>
      <c r="M137" s="66" t="s">
        <v>937</v>
      </c>
      <c r="N137" s="77">
        <v>18709347</v>
      </c>
      <c r="O137" s="60">
        <v>4144771894</v>
      </c>
      <c r="P137" s="67" t="s">
        <v>938</v>
      </c>
      <c r="Q137" s="68" t="s">
        <v>369</v>
      </c>
      <c r="R137" s="69" t="s">
        <v>939</v>
      </c>
      <c r="S137" s="69"/>
      <c r="T137" s="69"/>
      <c r="U137" s="70"/>
      <c r="V137" s="79" t="s">
        <v>78</v>
      </c>
      <c r="W137" s="66">
        <v>45410</v>
      </c>
      <c r="X137" s="69"/>
      <c r="Y137" s="75"/>
      <c r="Z137" s="60"/>
      <c r="AA137" s="60"/>
      <c r="AB137" s="75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80"/>
      <c r="AR137" s="41"/>
    </row>
    <row r="138" spans="1:44" ht="30.75" customHeight="1">
      <c r="A138" s="41"/>
      <c r="B138" s="701"/>
      <c r="C138" s="123">
        <v>12</v>
      </c>
      <c r="D138" s="60" t="s">
        <v>940</v>
      </c>
      <c r="E138" s="60" t="s">
        <v>941</v>
      </c>
      <c r="F138" s="60" t="s">
        <v>43</v>
      </c>
      <c r="G138" s="62">
        <v>33696987</v>
      </c>
      <c r="H138" s="60">
        <v>40354</v>
      </c>
      <c r="I138" s="60">
        <f t="shared" ca="1" si="1"/>
        <v>15</v>
      </c>
      <c r="J138" s="63" t="s">
        <v>942</v>
      </c>
      <c r="K138" s="64" t="s">
        <v>943</v>
      </c>
      <c r="L138" s="65" t="s">
        <v>944</v>
      </c>
      <c r="M138" s="66" t="s">
        <v>945</v>
      </c>
      <c r="N138" s="77">
        <v>16148098</v>
      </c>
      <c r="O138" s="60">
        <v>4125756303</v>
      </c>
      <c r="P138" s="67" t="s">
        <v>946</v>
      </c>
      <c r="Q138" s="68" t="s">
        <v>947</v>
      </c>
      <c r="R138" s="69" t="s">
        <v>933</v>
      </c>
      <c r="S138" s="69"/>
      <c r="T138" s="69"/>
      <c r="U138" s="70"/>
      <c r="V138" s="79" t="s">
        <v>78</v>
      </c>
      <c r="W138" s="66">
        <v>45417</v>
      </c>
      <c r="X138" s="69"/>
      <c r="Y138" s="75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80"/>
      <c r="AR138" s="41"/>
    </row>
    <row r="139" spans="1:44" ht="30.75" customHeight="1">
      <c r="A139" s="41"/>
      <c r="B139" s="701"/>
      <c r="C139" s="123">
        <v>13</v>
      </c>
      <c r="D139" s="60" t="s">
        <v>948</v>
      </c>
      <c r="E139" s="60" t="s">
        <v>949</v>
      </c>
      <c r="F139" s="60" t="s">
        <v>43</v>
      </c>
      <c r="G139" s="62">
        <v>30818516</v>
      </c>
      <c r="H139" s="60">
        <v>45407</v>
      </c>
      <c r="I139" s="60">
        <f t="shared" ca="1" si="1"/>
        <v>2</v>
      </c>
      <c r="J139" s="63" t="s">
        <v>950</v>
      </c>
      <c r="K139" s="64" t="s">
        <v>951</v>
      </c>
      <c r="L139" s="65" t="s">
        <v>952</v>
      </c>
      <c r="M139" s="66" t="s">
        <v>953</v>
      </c>
      <c r="N139" s="77">
        <v>12731027</v>
      </c>
      <c r="O139" s="60">
        <v>4125970543</v>
      </c>
      <c r="P139" s="67" t="s">
        <v>954</v>
      </c>
      <c r="Q139" s="68" t="s">
        <v>947</v>
      </c>
      <c r="R139" s="69" t="s">
        <v>955</v>
      </c>
      <c r="S139" s="69"/>
      <c r="T139" s="69"/>
      <c r="U139" s="70"/>
      <c r="V139" s="79" t="s">
        <v>664</v>
      </c>
      <c r="W139" s="66">
        <v>45384</v>
      </c>
      <c r="X139" s="69" t="s">
        <v>956</v>
      </c>
      <c r="Y139" s="75"/>
      <c r="Z139" s="60"/>
      <c r="AA139" s="60"/>
      <c r="AB139" s="75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80"/>
      <c r="AR139" s="41"/>
    </row>
    <row r="140" spans="1:44" ht="30.75" customHeight="1">
      <c r="A140" s="41"/>
      <c r="B140" s="701"/>
      <c r="C140" s="123">
        <v>14</v>
      </c>
      <c r="D140" s="60" t="s">
        <v>957</v>
      </c>
      <c r="E140" s="60" t="s">
        <v>958</v>
      </c>
      <c r="F140" s="60" t="s">
        <v>43</v>
      </c>
      <c r="G140" s="62"/>
      <c r="H140" s="60">
        <v>45575</v>
      </c>
      <c r="I140" s="60">
        <f t="shared" ca="1" si="1"/>
        <v>1</v>
      </c>
      <c r="J140" s="63" t="s">
        <v>959</v>
      </c>
      <c r="K140" s="64"/>
      <c r="L140" s="65" t="s">
        <v>960</v>
      </c>
      <c r="M140" s="66" t="s">
        <v>961</v>
      </c>
      <c r="N140" s="62">
        <v>16378715</v>
      </c>
      <c r="O140" s="60">
        <v>4246662661</v>
      </c>
      <c r="P140" s="80"/>
      <c r="Q140" s="68" t="s">
        <v>947</v>
      </c>
      <c r="R140" s="69" t="s">
        <v>955</v>
      </c>
      <c r="S140" s="69"/>
      <c r="T140" s="69"/>
      <c r="U140" s="70"/>
      <c r="V140" s="79"/>
      <c r="W140" s="66">
        <v>45416</v>
      </c>
      <c r="X140" s="69"/>
      <c r="Y140" s="75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80"/>
      <c r="AR140" s="41"/>
    </row>
    <row r="141" spans="1:44" ht="30.75" customHeight="1">
      <c r="A141" s="41"/>
      <c r="B141" s="701"/>
      <c r="C141" s="123">
        <v>15</v>
      </c>
      <c r="D141" s="60" t="s">
        <v>962</v>
      </c>
      <c r="E141" s="60" t="s">
        <v>963</v>
      </c>
      <c r="F141" s="60" t="s">
        <v>43</v>
      </c>
      <c r="G141" s="62">
        <v>33288298</v>
      </c>
      <c r="H141" s="60">
        <v>40084</v>
      </c>
      <c r="I141" s="60">
        <f t="shared" ca="1" si="1"/>
        <v>16</v>
      </c>
      <c r="J141" s="63" t="s">
        <v>959</v>
      </c>
      <c r="K141" s="64" t="s">
        <v>964</v>
      </c>
      <c r="L141" s="65" t="s">
        <v>965</v>
      </c>
      <c r="M141" s="66" t="s">
        <v>961</v>
      </c>
      <c r="N141" s="62">
        <v>16378715</v>
      </c>
      <c r="O141" s="60">
        <v>4246662661</v>
      </c>
      <c r="P141" s="67"/>
      <c r="Q141" s="68" t="s">
        <v>947</v>
      </c>
      <c r="R141" s="69" t="s">
        <v>955</v>
      </c>
      <c r="S141" s="69"/>
      <c r="T141" s="69"/>
      <c r="U141" s="70"/>
      <c r="V141" s="79"/>
      <c r="W141" s="66">
        <v>45416</v>
      </c>
      <c r="X141" s="69"/>
      <c r="Y141" s="75"/>
      <c r="Z141" s="60"/>
      <c r="AA141" s="60"/>
      <c r="AB141" s="75"/>
      <c r="AC141" s="60"/>
      <c r="AD141" s="60"/>
      <c r="AE141" s="75"/>
      <c r="AF141" s="60"/>
      <c r="AG141" s="60"/>
      <c r="AH141" s="75"/>
      <c r="AI141" s="60"/>
      <c r="AJ141" s="60"/>
      <c r="AK141" s="75"/>
      <c r="AL141" s="60"/>
      <c r="AM141" s="60"/>
      <c r="AN141" s="75"/>
      <c r="AO141" s="60"/>
      <c r="AP141" s="60"/>
      <c r="AQ141" s="76"/>
      <c r="AR141" s="41"/>
    </row>
    <row r="142" spans="1:44" ht="30.75" customHeight="1">
      <c r="A142" s="41"/>
      <c r="B142" s="701"/>
      <c r="C142" s="123">
        <v>16</v>
      </c>
      <c r="D142" s="60" t="s">
        <v>966</v>
      </c>
      <c r="E142" s="60" t="s">
        <v>967</v>
      </c>
      <c r="F142" s="60" t="s">
        <v>43</v>
      </c>
      <c r="G142" s="62">
        <v>34218191</v>
      </c>
      <c r="H142" s="60">
        <v>40973</v>
      </c>
      <c r="I142" s="60">
        <f t="shared" ca="1" si="1"/>
        <v>14</v>
      </c>
      <c r="J142" s="63"/>
      <c r="K142" s="64" t="s">
        <v>964</v>
      </c>
      <c r="L142" s="65" t="s">
        <v>965</v>
      </c>
      <c r="M142" s="66" t="s">
        <v>961</v>
      </c>
      <c r="N142" s="77">
        <v>16378715</v>
      </c>
      <c r="O142" s="60">
        <v>4246662661</v>
      </c>
      <c r="P142" s="67" t="s">
        <v>959</v>
      </c>
      <c r="Q142" s="68" t="s">
        <v>947</v>
      </c>
      <c r="R142" s="69" t="s">
        <v>955</v>
      </c>
      <c r="S142" s="69"/>
      <c r="T142" s="69"/>
      <c r="U142" s="70"/>
      <c r="V142" s="79"/>
      <c r="W142" s="66">
        <v>45416</v>
      </c>
      <c r="X142" s="69"/>
      <c r="Y142" s="75"/>
      <c r="Z142" s="60"/>
      <c r="AA142" s="60"/>
      <c r="AB142" s="75"/>
      <c r="AC142" s="60"/>
      <c r="AD142" s="60"/>
      <c r="AE142" s="75"/>
      <c r="AF142" s="60"/>
      <c r="AG142" s="60"/>
      <c r="AH142" s="75"/>
      <c r="AI142" s="60"/>
      <c r="AJ142" s="60"/>
      <c r="AK142" s="75"/>
      <c r="AL142" s="60"/>
      <c r="AM142" s="60"/>
      <c r="AN142" s="75"/>
      <c r="AO142" s="60"/>
      <c r="AP142" s="60"/>
      <c r="AQ142" s="76"/>
      <c r="AR142" s="124"/>
    </row>
    <row r="143" spans="1:44" ht="30.75" customHeight="1">
      <c r="A143" s="41"/>
      <c r="B143" s="701"/>
      <c r="C143" s="123">
        <v>17</v>
      </c>
      <c r="D143" s="60" t="s">
        <v>968</v>
      </c>
      <c r="E143" s="60" t="s">
        <v>969</v>
      </c>
      <c r="F143" s="60" t="s">
        <v>43</v>
      </c>
      <c r="G143" s="62">
        <v>22350300</v>
      </c>
      <c r="H143" s="60">
        <v>34197</v>
      </c>
      <c r="I143" s="60">
        <f t="shared" ca="1" si="1"/>
        <v>32</v>
      </c>
      <c r="J143" s="63" t="s">
        <v>970</v>
      </c>
      <c r="K143" s="64" t="s">
        <v>971</v>
      </c>
      <c r="L143" s="65" t="s">
        <v>972</v>
      </c>
      <c r="M143" s="66"/>
      <c r="N143" s="77"/>
      <c r="O143" s="60"/>
      <c r="P143" s="106"/>
      <c r="Q143" s="68" t="s">
        <v>281</v>
      </c>
      <c r="R143" s="125" t="s">
        <v>973</v>
      </c>
      <c r="S143" s="69" t="s">
        <v>974</v>
      </c>
      <c r="T143" s="69" t="s">
        <v>706</v>
      </c>
      <c r="U143" s="70"/>
      <c r="V143" s="79" t="s">
        <v>975</v>
      </c>
      <c r="W143" s="66">
        <v>45420</v>
      </c>
      <c r="X143" s="69"/>
      <c r="Y143" s="75"/>
      <c r="Z143" s="60"/>
      <c r="AA143" s="60"/>
      <c r="AB143" s="75"/>
      <c r="AC143" s="60"/>
      <c r="AD143" s="60"/>
      <c r="AE143" s="75"/>
      <c r="AF143" s="60"/>
      <c r="AG143" s="60"/>
      <c r="AH143" s="75"/>
      <c r="AI143" s="60"/>
      <c r="AJ143" s="60"/>
      <c r="AK143" s="75"/>
      <c r="AL143" s="60"/>
      <c r="AM143" s="60"/>
      <c r="AN143" s="75"/>
      <c r="AO143" s="60"/>
      <c r="AP143" s="60"/>
      <c r="AQ143" s="76"/>
      <c r="AR143" s="124"/>
    </row>
    <row r="144" spans="1:44" ht="30.75" customHeight="1">
      <c r="A144" s="41"/>
      <c r="B144" s="701"/>
      <c r="C144" s="123">
        <v>18</v>
      </c>
      <c r="D144" s="60" t="s">
        <v>976</v>
      </c>
      <c r="E144" s="60" t="s">
        <v>977</v>
      </c>
      <c r="F144" s="60" t="s">
        <v>43</v>
      </c>
      <c r="G144" s="62">
        <v>33303438</v>
      </c>
      <c r="H144" s="60">
        <v>40170</v>
      </c>
      <c r="I144" s="60">
        <f t="shared" ca="1" si="1"/>
        <v>16</v>
      </c>
      <c r="J144" s="63" t="s">
        <v>978</v>
      </c>
      <c r="K144" s="64" t="s">
        <v>979</v>
      </c>
      <c r="L144" s="65" t="s">
        <v>980</v>
      </c>
      <c r="M144" s="66" t="s">
        <v>981</v>
      </c>
      <c r="N144" s="77">
        <v>12879846</v>
      </c>
      <c r="O144" s="60">
        <v>4121145700</v>
      </c>
      <c r="P144" s="67" t="s">
        <v>982</v>
      </c>
      <c r="Q144" s="68" t="s">
        <v>983</v>
      </c>
      <c r="R144" s="69" t="s">
        <v>696</v>
      </c>
      <c r="S144" s="69" t="s">
        <v>984</v>
      </c>
      <c r="T144" s="69"/>
      <c r="U144" s="70"/>
      <c r="V144" s="79"/>
      <c r="W144" s="66">
        <v>45419</v>
      </c>
      <c r="X144" s="69"/>
      <c r="Y144" s="75"/>
      <c r="Z144" s="60"/>
      <c r="AA144" s="60"/>
      <c r="AB144" s="75"/>
      <c r="AC144" s="60"/>
      <c r="AD144" s="60"/>
      <c r="AE144" s="75"/>
      <c r="AF144" s="60"/>
      <c r="AG144" s="60"/>
      <c r="AH144" s="75"/>
      <c r="AI144" s="60"/>
      <c r="AJ144" s="60"/>
      <c r="AK144" s="75"/>
      <c r="AL144" s="60"/>
      <c r="AM144" s="60"/>
      <c r="AN144" s="75"/>
      <c r="AO144" s="60"/>
      <c r="AP144" s="60"/>
      <c r="AQ144" s="76"/>
      <c r="AR144" s="124"/>
    </row>
    <row r="145" spans="1:44" ht="30.75" customHeight="1">
      <c r="A145" s="41"/>
      <c r="B145" s="701"/>
      <c r="C145" s="123">
        <v>19</v>
      </c>
      <c r="D145" s="60" t="s">
        <v>985</v>
      </c>
      <c r="E145" s="60" t="s">
        <v>986</v>
      </c>
      <c r="F145" s="60" t="s">
        <v>43</v>
      </c>
      <c r="G145" s="62"/>
      <c r="H145" s="60">
        <v>42219</v>
      </c>
      <c r="I145" s="60">
        <f t="shared" ca="1" si="1"/>
        <v>10</v>
      </c>
      <c r="J145" s="63" t="s">
        <v>987</v>
      </c>
      <c r="K145" s="64" t="s">
        <v>988</v>
      </c>
      <c r="L145" s="65" t="s">
        <v>989</v>
      </c>
      <c r="M145" s="66" t="s">
        <v>990</v>
      </c>
      <c r="N145" s="77" t="s">
        <v>991</v>
      </c>
      <c r="O145" s="60">
        <v>4242442234</v>
      </c>
      <c r="P145" s="67" t="s">
        <v>992</v>
      </c>
      <c r="Q145" s="68" t="s">
        <v>369</v>
      </c>
      <c r="R145" s="69" t="s">
        <v>939</v>
      </c>
      <c r="S145" s="125" t="s">
        <v>993</v>
      </c>
      <c r="T145" s="69"/>
      <c r="U145" s="70"/>
      <c r="V145" s="79"/>
      <c r="W145" s="66">
        <v>45422</v>
      </c>
      <c r="X145" s="69"/>
      <c r="Y145" s="75"/>
      <c r="Z145" s="60"/>
      <c r="AA145" s="60"/>
      <c r="AB145" s="75"/>
      <c r="AC145" s="60"/>
      <c r="AD145" s="60"/>
      <c r="AE145" s="75"/>
      <c r="AF145" s="60"/>
      <c r="AG145" s="60"/>
      <c r="AH145" s="75"/>
      <c r="AI145" s="60"/>
      <c r="AJ145" s="60"/>
      <c r="AK145" s="75"/>
      <c r="AL145" s="60"/>
      <c r="AM145" s="60"/>
      <c r="AN145" s="75"/>
      <c r="AO145" s="60"/>
      <c r="AP145" s="60"/>
      <c r="AQ145" s="76"/>
      <c r="AR145" s="124"/>
    </row>
    <row r="146" spans="1:44" ht="30.75" customHeight="1">
      <c r="A146" s="41"/>
      <c r="B146" s="701"/>
      <c r="C146" s="123">
        <v>20</v>
      </c>
      <c r="D146" s="60" t="s">
        <v>994</v>
      </c>
      <c r="E146" s="60" t="s">
        <v>995</v>
      </c>
      <c r="F146" s="60" t="s">
        <v>43</v>
      </c>
      <c r="G146" s="62">
        <v>36406063</v>
      </c>
      <c r="H146" s="60">
        <v>41506</v>
      </c>
      <c r="I146" s="60">
        <f t="shared" ca="1" si="1"/>
        <v>12</v>
      </c>
      <c r="J146" s="63" t="s">
        <v>987</v>
      </c>
      <c r="K146" s="64" t="s">
        <v>996</v>
      </c>
      <c r="L146" s="65" t="s">
        <v>989</v>
      </c>
      <c r="M146" s="66"/>
      <c r="N146" s="77"/>
      <c r="O146" s="60"/>
      <c r="P146" s="67"/>
      <c r="Q146" s="68"/>
      <c r="R146" s="69"/>
      <c r="S146" s="125"/>
      <c r="T146" s="69"/>
      <c r="U146" s="70"/>
      <c r="V146" s="79"/>
      <c r="W146" s="66">
        <v>45422</v>
      </c>
      <c r="X146" s="69"/>
      <c r="Y146" s="75"/>
      <c r="Z146" s="60"/>
      <c r="AA146" s="60"/>
      <c r="AB146" s="75"/>
      <c r="AC146" s="60"/>
      <c r="AD146" s="60"/>
      <c r="AE146" s="75"/>
      <c r="AF146" s="60"/>
      <c r="AG146" s="60"/>
      <c r="AH146" s="75"/>
      <c r="AI146" s="60"/>
      <c r="AJ146" s="60"/>
      <c r="AK146" s="75"/>
      <c r="AL146" s="60"/>
      <c r="AM146" s="60"/>
      <c r="AN146" s="75"/>
      <c r="AO146" s="60"/>
      <c r="AP146" s="60"/>
      <c r="AQ146" s="76"/>
      <c r="AR146" s="124"/>
    </row>
    <row r="147" spans="1:44" ht="30.75" customHeight="1">
      <c r="A147" s="41"/>
      <c r="B147" s="706" t="s">
        <v>997</v>
      </c>
      <c r="C147" s="126">
        <v>1</v>
      </c>
      <c r="D147" s="84" t="s">
        <v>998</v>
      </c>
      <c r="E147" s="84" t="s">
        <v>999</v>
      </c>
      <c r="F147" s="84" t="s">
        <v>43</v>
      </c>
      <c r="G147" s="85"/>
      <c r="H147" s="84">
        <v>40205</v>
      </c>
      <c r="I147" s="84">
        <f t="shared" ca="1" si="1"/>
        <v>16</v>
      </c>
      <c r="J147" s="86" t="s">
        <v>987</v>
      </c>
      <c r="K147" s="87" t="s">
        <v>996</v>
      </c>
      <c r="L147" s="88" t="s">
        <v>989</v>
      </c>
      <c r="M147" s="89"/>
      <c r="N147" s="90"/>
      <c r="O147" s="84"/>
      <c r="P147" s="91"/>
      <c r="Q147" s="92" t="s">
        <v>947</v>
      </c>
      <c r="R147" s="127" t="s">
        <v>1000</v>
      </c>
      <c r="S147" s="127"/>
      <c r="T147" s="93"/>
      <c r="U147" s="94"/>
      <c r="V147" s="95"/>
      <c r="W147" s="89">
        <v>45422</v>
      </c>
      <c r="X147" s="93"/>
      <c r="Y147" s="96"/>
      <c r="Z147" s="84"/>
      <c r="AA147" s="84"/>
      <c r="AB147" s="96"/>
      <c r="AC147" s="84"/>
      <c r="AD147" s="84"/>
      <c r="AE147" s="96"/>
      <c r="AF147" s="84"/>
      <c r="AG147" s="84"/>
      <c r="AH147" s="96"/>
      <c r="AI147" s="84"/>
      <c r="AJ147" s="84"/>
      <c r="AK147" s="96"/>
      <c r="AL147" s="84"/>
      <c r="AM147" s="84"/>
      <c r="AN147" s="96"/>
      <c r="AO147" s="84"/>
      <c r="AP147" s="84"/>
      <c r="AQ147" s="128"/>
      <c r="AR147" s="124"/>
    </row>
    <row r="148" spans="1:44" ht="30.75" customHeight="1">
      <c r="A148" s="41"/>
      <c r="B148" s="704"/>
      <c r="C148" s="129">
        <v>2</v>
      </c>
      <c r="D148" s="130" t="s">
        <v>1001</v>
      </c>
      <c r="E148" s="130" t="s">
        <v>1002</v>
      </c>
      <c r="F148" s="130" t="s">
        <v>43</v>
      </c>
      <c r="G148" s="131">
        <v>32674524</v>
      </c>
      <c r="H148" s="130">
        <v>45443</v>
      </c>
      <c r="I148" s="130">
        <f t="shared" ca="1" si="1"/>
        <v>2</v>
      </c>
      <c r="J148" s="132" t="s">
        <v>1003</v>
      </c>
      <c r="K148" s="133" t="s">
        <v>1004</v>
      </c>
      <c r="L148" s="134" t="s">
        <v>1005</v>
      </c>
      <c r="M148" s="135" t="s">
        <v>1006</v>
      </c>
      <c r="N148" s="136">
        <v>11044964</v>
      </c>
      <c r="O148" s="130">
        <v>4241279132</v>
      </c>
      <c r="P148" s="137" t="s">
        <v>1007</v>
      </c>
      <c r="Q148" s="138" t="s">
        <v>1008</v>
      </c>
      <c r="R148" s="139" t="s">
        <v>1009</v>
      </c>
      <c r="S148" s="140" t="s">
        <v>1010</v>
      </c>
      <c r="T148" s="141" t="s">
        <v>1010</v>
      </c>
      <c r="U148" s="142"/>
      <c r="V148" s="143"/>
      <c r="W148" s="135">
        <v>45425</v>
      </c>
      <c r="X148" s="144"/>
      <c r="Y148" s="145"/>
      <c r="Z148" s="130"/>
      <c r="AA148" s="130"/>
      <c r="AB148" s="145"/>
      <c r="AC148" s="130"/>
      <c r="AD148" s="130"/>
      <c r="AE148" s="145"/>
      <c r="AF148" s="130"/>
      <c r="AG148" s="130"/>
      <c r="AH148" s="145"/>
      <c r="AI148" s="130"/>
      <c r="AJ148" s="130"/>
      <c r="AK148" s="145"/>
      <c r="AL148" s="130"/>
      <c r="AM148" s="130"/>
      <c r="AN148" s="145"/>
      <c r="AO148" s="130"/>
      <c r="AP148" s="130"/>
      <c r="AQ148" s="146"/>
      <c r="AR148" s="124"/>
    </row>
    <row r="149" spans="1:44" ht="30.75" customHeight="1">
      <c r="A149" s="41"/>
      <c r="B149" s="704"/>
      <c r="C149" s="147">
        <v>3</v>
      </c>
      <c r="D149" s="60" t="s">
        <v>1011</v>
      </c>
      <c r="E149" s="60" t="s">
        <v>1012</v>
      </c>
      <c r="F149" s="60" t="s">
        <v>43</v>
      </c>
      <c r="G149" s="62">
        <v>27988116</v>
      </c>
      <c r="H149" s="60">
        <v>45356</v>
      </c>
      <c r="I149" s="60">
        <f t="shared" ca="1" si="1"/>
        <v>2</v>
      </c>
      <c r="J149" s="63" t="s">
        <v>1013</v>
      </c>
      <c r="K149" s="64" t="s">
        <v>1014</v>
      </c>
      <c r="L149" s="65" t="s">
        <v>1015</v>
      </c>
      <c r="M149" s="66"/>
      <c r="N149" s="77"/>
      <c r="O149" s="60"/>
      <c r="P149" s="67" t="s">
        <v>1016</v>
      </c>
      <c r="Q149" s="68" t="s">
        <v>1017</v>
      </c>
      <c r="R149" s="69" t="s">
        <v>973</v>
      </c>
      <c r="S149" s="65"/>
      <c r="T149" s="148"/>
      <c r="U149" s="70"/>
      <c r="V149" s="79"/>
      <c r="W149" s="66">
        <v>45425</v>
      </c>
      <c r="X149" s="69"/>
      <c r="Y149" s="75"/>
      <c r="Z149" s="60"/>
      <c r="AA149" s="60"/>
      <c r="AB149" s="75"/>
      <c r="AC149" s="60"/>
      <c r="AD149" s="60"/>
      <c r="AE149" s="75"/>
      <c r="AF149" s="60"/>
      <c r="AG149" s="60"/>
      <c r="AH149" s="75"/>
      <c r="AI149" s="60"/>
      <c r="AJ149" s="60"/>
      <c r="AK149" s="75"/>
      <c r="AL149" s="60"/>
      <c r="AM149" s="60"/>
      <c r="AN149" s="75"/>
      <c r="AO149" s="60"/>
      <c r="AP149" s="60"/>
      <c r="AQ149" s="76"/>
      <c r="AR149" s="124"/>
    </row>
    <row r="150" spans="1:44" ht="30.75" customHeight="1">
      <c r="A150" s="41"/>
      <c r="B150" s="704"/>
      <c r="C150" s="147">
        <v>4</v>
      </c>
      <c r="D150" s="60" t="s">
        <v>1018</v>
      </c>
      <c r="E150" s="60" t="s">
        <v>1019</v>
      </c>
      <c r="F150" s="60" t="s">
        <v>43</v>
      </c>
      <c r="G150" s="62">
        <v>34582733</v>
      </c>
      <c r="H150" s="60">
        <v>45425</v>
      </c>
      <c r="I150" s="60">
        <f t="shared" ca="1" si="1"/>
        <v>2</v>
      </c>
      <c r="J150" s="63" t="s">
        <v>1020</v>
      </c>
      <c r="K150" s="64" t="s">
        <v>1021</v>
      </c>
      <c r="L150" s="65" t="s">
        <v>1022</v>
      </c>
      <c r="M150" s="66" t="s">
        <v>1023</v>
      </c>
      <c r="N150" s="77">
        <v>17533013</v>
      </c>
      <c r="O150" s="60">
        <v>4122760994</v>
      </c>
      <c r="P150" s="67" t="s">
        <v>1024</v>
      </c>
      <c r="Q150" s="68" t="s">
        <v>778</v>
      </c>
      <c r="R150" s="69" t="s">
        <v>1025</v>
      </c>
      <c r="S150" s="65" t="s">
        <v>1026</v>
      </c>
      <c r="T150" s="148"/>
      <c r="U150" s="70"/>
      <c r="V150" s="79"/>
      <c r="W150" s="68">
        <v>45425</v>
      </c>
      <c r="X150" s="69"/>
      <c r="Y150" s="75"/>
      <c r="Z150" s="60"/>
      <c r="AA150" s="60"/>
      <c r="AB150" s="75"/>
      <c r="AC150" s="60"/>
      <c r="AD150" s="60"/>
      <c r="AE150" s="75"/>
      <c r="AF150" s="60"/>
      <c r="AG150" s="60"/>
      <c r="AH150" s="75"/>
      <c r="AI150" s="60"/>
      <c r="AJ150" s="60"/>
      <c r="AK150" s="75"/>
      <c r="AL150" s="60"/>
      <c r="AM150" s="60"/>
      <c r="AN150" s="75"/>
      <c r="AO150" s="60"/>
      <c r="AP150" s="60"/>
      <c r="AQ150" s="76"/>
      <c r="AR150" s="124"/>
    </row>
    <row r="151" spans="1:44" ht="30.75" customHeight="1">
      <c r="A151" s="41"/>
      <c r="B151" s="704"/>
      <c r="C151" s="147">
        <v>5</v>
      </c>
      <c r="D151" s="60" t="s">
        <v>1027</v>
      </c>
      <c r="E151" s="60" t="s">
        <v>1028</v>
      </c>
      <c r="F151" s="60" t="s">
        <v>43</v>
      </c>
      <c r="G151" s="62">
        <v>31604500</v>
      </c>
      <c r="H151" s="60">
        <v>38943</v>
      </c>
      <c r="I151" s="60">
        <f t="shared" ca="1" si="1"/>
        <v>19</v>
      </c>
      <c r="J151" s="63" t="s">
        <v>1029</v>
      </c>
      <c r="K151" s="64" t="s">
        <v>1030</v>
      </c>
      <c r="L151" s="65" t="s">
        <v>1031</v>
      </c>
      <c r="M151" s="66" t="s">
        <v>1032</v>
      </c>
      <c r="N151" s="62">
        <v>16269840</v>
      </c>
      <c r="O151" s="60">
        <v>4127103087</v>
      </c>
      <c r="P151" s="78" t="s">
        <v>1029</v>
      </c>
      <c r="Q151" s="68" t="s">
        <v>778</v>
      </c>
      <c r="R151" s="69" t="s">
        <v>696</v>
      </c>
      <c r="S151" s="65" t="s">
        <v>1033</v>
      </c>
      <c r="T151" s="148"/>
      <c r="U151" s="70"/>
      <c r="V151" s="79"/>
      <c r="W151" s="66">
        <v>45223</v>
      </c>
      <c r="X151" s="69"/>
      <c r="Y151" s="75"/>
      <c r="Z151" s="60"/>
      <c r="AA151" s="60"/>
      <c r="AB151" s="75"/>
      <c r="AC151" s="60"/>
      <c r="AD151" s="60"/>
      <c r="AE151" s="75"/>
      <c r="AF151" s="60"/>
      <c r="AG151" s="60"/>
      <c r="AH151" s="75"/>
      <c r="AI151" s="60"/>
      <c r="AJ151" s="60"/>
      <c r="AK151" s="75"/>
      <c r="AL151" s="60"/>
      <c r="AM151" s="60"/>
      <c r="AN151" s="75"/>
      <c r="AO151" s="60"/>
      <c r="AP151" s="60"/>
      <c r="AQ151" s="76"/>
      <c r="AR151" s="124"/>
    </row>
    <row r="152" spans="1:44" ht="30.75" customHeight="1">
      <c r="A152" s="41"/>
      <c r="B152" s="704"/>
      <c r="C152" s="147">
        <v>6</v>
      </c>
      <c r="D152" s="60" t="s">
        <v>1034</v>
      </c>
      <c r="E152" s="60" t="s">
        <v>1035</v>
      </c>
      <c r="F152" s="60" t="s">
        <v>43</v>
      </c>
      <c r="G152" s="60"/>
      <c r="H152" s="60">
        <v>42316</v>
      </c>
      <c r="I152" s="60">
        <f t="shared" ca="1" si="1"/>
        <v>10</v>
      </c>
      <c r="J152" s="63" t="s">
        <v>1036</v>
      </c>
      <c r="K152" s="64" t="s">
        <v>1037</v>
      </c>
      <c r="L152" s="65" t="s">
        <v>1038</v>
      </c>
      <c r="M152" s="66" t="s">
        <v>1039</v>
      </c>
      <c r="N152" s="77">
        <v>19763671</v>
      </c>
      <c r="O152" s="60">
        <v>4129962477</v>
      </c>
      <c r="P152" s="67" t="s">
        <v>1040</v>
      </c>
      <c r="Q152" s="68" t="s">
        <v>579</v>
      </c>
      <c r="R152" s="69" t="s">
        <v>933</v>
      </c>
      <c r="S152" s="65" t="s">
        <v>1041</v>
      </c>
      <c r="T152" s="148"/>
      <c r="U152" s="70"/>
      <c r="V152" s="79"/>
      <c r="W152" s="66">
        <v>45428</v>
      </c>
      <c r="X152" s="69"/>
      <c r="Y152" s="75"/>
      <c r="Z152" s="60"/>
      <c r="AA152" s="60"/>
      <c r="AB152" s="75"/>
      <c r="AC152" s="60"/>
      <c r="AD152" s="60"/>
      <c r="AE152" s="75"/>
      <c r="AF152" s="60"/>
      <c r="AG152" s="60"/>
      <c r="AH152" s="75"/>
      <c r="AI152" s="60"/>
      <c r="AJ152" s="60"/>
      <c r="AK152" s="75"/>
      <c r="AL152" s="60"/>
      <c r="AM152" s="60"/>
      <c r="AN152" s="75"/>
      <c r="AO152" s="60"/>
      <c r="AP152" s="60"/>
      <c r="AQ152" s="76"/>
      <c r="AR152" s="124"/>
    </row>
    <row r="153" spans="1:44" ht="30.75" customHeight="1">
      <c r="A153" s="41"/>
      <c r="B153" s="704"/>
      <c r="C153" s="147">
        <v>7</v>
      </c>
      <c r="D153" s="60" t="s">
        <v>1042</v>
      </c>
      <c r="E153" s="60" t="s">
        <v>1043</v>
      </c>
      <c r="F153" s="60" t="s">
        <v>43</v>
      </c>
      <c r="G153" s="62">
        <v>33884275</v>
      </c>
      <c r="H153" s="60">
        <v>40828</v>
      </c>
      <c r="I153" s="60">
        <f t="shared" ca="1" si="1"/>
        <v>14</v>
      </c>
      <c r="J153" s="63" t="s">
        <v>1044</v>
      </c>
      <c r="K153" s="64"/>
      <c r="L153" s="81" t="s">
        <v>1045</v>
      </c>
      <c r="M153" s="66" t="s">
        <v>1046</v>
      </c>
      <c r="N153" s="77">
        <v>14756232</v>
      </c>
      <c r="O153" s="60">
        <v>4142446182</v>
      </c>
      <c r="P153" s="67" t="s">
        <v>1044</v>
      </c>
      <c r="Q153" s="68" t="s">
        <v>947</v>
      </c>
      <c r="R153" s="69" t="s">
        <v>933</v>
      </c>
      <c r="S153" s="65" t="s">
        <v>1047</v>
      </c>
      <c r="T153" s="148"/>
      <c r="U153" s="70"/>
      <c r="V153" s="79"/>
      <c r="W153" s="66">
        <v>45408</v>
      </c>
      <c r="X153" s="69"/>
      <c r="Y153" s="104"/>
      <c r="Z153" s="60"/>
      <c r="AA153" s="60"/>
      <c r="AB153" s="75"/>
      <c r="AC153" s="60"/>
      <c r="AD153" s="60"/>
      <c r="AE153" s="75"/>
      <c r="AF153" s="60"/>
      <c r="AG153" s="60"/>
      <c r="AH153" s="75"/>
      <c r="AI153" s="60"/>
      <c r="AJ153" s="60"/>
      <c r="AK153" s="75"/>
      <c r="AL153" s="60"/>
      <c r="AM153" s="60"/>
      <c r="AN153" s="75"/>
      <c r="AO153" s="60"/>
      <c r="AP153" s="60"/>
      <c r="AQ153" s="76"/>
      <c r="AR153" s="124"/>
    </row>
    <row r="154" spans="1:44" ht="30.75" customHeight="1">
      <c r="A154" s="41"/>
      <c r="B154" s="704"/>
      <c r="C154" s="147">
        <v>8</v>
      </c>
      <c r="D154" s="60" t="s">
        <v>1048</v>
      </c>
      <c r="E154" s="60" t="s">
        <v>1049</v>
      </c>
      <c r="F154" s="60" t="s">
        <v>43</v>
      </c>
      <c r="G154" s="62">
        <v>33884276</v>
      </c>
      <c r="H154" s="60">
        <v>40828</v>
      </c>
      <c r="I154" s="60">
        <f t="shared" ca="1" si="1"/>
        <v>14</v>
      </c>
      <c r="J154" s="63" t="s">
        <v>1044</v>
      </c>
      <c r="K154" s="64" t="s">
        <v>1050</v>
      </c>
      <c r="L154" s="81" t="s">
        <v>1045</v>
      </c>
      <c r="M154" s="66" t="s">
        <v>1046</v>
      </c>
      <c r="N154" s="77">
        <v>14756232</v>
      </c>
      <c r="O154" s="60">
        <v>4142446182</v>
      </c>
      <c r="P154" s="67" t="s">
        <v>1044</v>
      </c>
      <c r="Q154" s="68" t="s">
        <v>947</v>
      </c>
      <c r="R154" s="69" t="s">
        <v>933</v>
      </c>
      <c r="S154" s="65" t="s">
        <v>1047</v>
      </c>
      <c r="T154" s="148"/>
      <c r="U154" s="70"/>
      <c r="V154" s="79"/>
      <c r="W154" s="66">
        <v>45408</v>
      </c>
      <c r="X154" s="69"/>
      <c r="Y154" s="75"/>
      <c r="Z154" s="60"/>
      <c r="AA154" s="60"/>
      <c r="AB154" s="75"/>
      <c r="AC154" s="60"/>
      <c r="AD154" s="60"/>
      <c r="AE154" s="75"/>
      <c r="AF154" s="60"/>
      <c r="AG154" s="60"/>
      <c r="AH154" s="75"/>
      <c r="AI154" s="60"/>
      <c r="AJ154" s="60"/>
      <c r="AK154" s="75"/>
      <c r="AL154" s="60"/>
      <c r="AM154" s="60"/>
      <c r="AN154" s="75"/>
      <c r="AO154" s="60"/>
      <c r="AP154" s="60"/>
      <c r="AQ154" s="76"/>
      <c r="AR154" s="124"/>
    </row>
    <row r="155" spans="1:44" ht="30.75" customHeight="1">
      <c r="A155" s="41"/>
      <c r="B155" s="704"/>
      <c r="C155" s="147">
        <v>9</v>
      </c>
      <c r="D155" s="60" t="s">
        <v>1051</v>
      </c>
      <c r="E155" s="60" t="s">
        <v>1052</v>
      </c>
      <c r="F155" s="60" t="s">
        <v>43</v>
      </c>
      <c r="G155" s="62">
        <v>34428782</v>
      </c>
      <c r="H155" s="60">
        <v>41536</v>
      </c>
      <c r="I155" s="60">
        <f t="shared" ca="1" si="1"/>
        <v>12</v>
      </c>
      <c r="J155" s="63" t="s">
        <v>1053</v>
      </c>
      <c r="K155" s="64" t="s">
        <v>1054</v>
      </c>
      <c r="L155" s="65" t="s">
        <v>1055</v>
      </c>
      <c r="M155" s="66" t="s">
        <v>1056</v>
      </c>
      <c r="N155" s="77">
        <v>18782201</v>
      </c>
      <c r="O155" s="60">
        <v>4125399838</v>
      </c>
      <c r="P155" s="67" t="s">
        <v>1053</v>
      </c>
      <c r="Q155" s="68" t="s">
        <v>579</v>
      </c>
      <c r="R155" s="69" t="s">
        <v>1057</v>
      </c>
      <c r="S155" s="65"/>
      <c r="T155" s="148"/>
      <c r="U155" s="70"/>
      <c r="V155" s="79"/>
      <c r="W155" s="66">
        <v>45408</v>
      </c>
      <c r="X155" s="69"/>
      <c r="Y155" s="75"/>
      <c r="Z155" s="60"/>
      <c r="AA155" s="60"/>
      <c r="AB155" s="75"/>
      <c r="AC155" s="60"/>
      <c r="AD155" s="60"/>
      <c r="AE155" s="75"/>
      <c r="AF155" s="60"/>
      <c r="AG155" s="60"/>
      <c r="AH155" s="75"/>
      <c r="AI155" s="60"/>
      <c r="AJ155" s="60"/>
      <c r="AK155" s="75"/>
      <c r="AL155" s="60"/>
      <c r="AM155" s="60"/>
      <c r="AN155" s="75"/>
      <c r="AO155" s="60"/>
      <c r="AP155" s="60"/>
      <c r="AQ155" s="76"/>
      <c r="AR155" s="124"/>
    </row>
    <row r="156" spans="1:44" ht="30.75" customHeight="1">
      <c r="A156" s="41"/>
      <c r="B156" s="704"/>
      <c r="C156" s="147">
        <v>10</v>
      </c>
      <c r="D156" s="60" t="s">
        <v>1058</v>
      </c>
      <c r="E156" s="60" t="s">
        <v>1059</v>
      </c>
      <c r="F156" s="60" t="s">
        <v>43</v>
      </c>
      <c r="G156" s="62">
        <v>31975111</v>
      </c>
      <c r="H156" s="60">
        <v>45416</v>
      </c>
      <c r="I156" s="60">
        <f t="shared" ca="1" si="1"/>
        <v>2</v>
      </c>
      <c r="J156" s="63"/>
      <c r="K156" s="64" t="s">
        <v>1060</v>
      </c>
      <c r="L156" s="65" t="s">
        <v>1061</v>
      </c>
      <c r="M156" s="66" t="s">
        <v>1062</v>
      </c>
      <c r="N156" s="77">
        <v>4577489</v>
      </c>
      <c r="O156" s="60">
        <v>4125844956</v>
      </c>
      <c r="P156" s="67"/>
      <c r="Q156" s="68" t="s">
        <v>1063</v>
      </c>
      <c r="R156" s="69" t="s">
        <v>1064</v>
      </c>
      <c r="S156" s="65" t="s">
        <v>1065</v>
      </c>
      <c r="T156" s="148"/>
      <c r="U156" s="70"/>
      <c r="V156" s="79"/>
      <c r="W156" s="66">
        <v>45416</v>
      </c>
      <c r="X156" s="69"/>
      <c r="Y156" s="75"/>
      <c r="Z156" s="60"/>
      <c r="AA156" s="60"/>
      <c r="AB156" s="75"/>
      <c r="AC156" s="60"/>
      <c r="AD156" s="60"/>
      <c r="AE156" s="75"/>
      <c r="AF156" s="60"/>
      <c r="AG156" s="60"/>
      <c r="AH156" s="75"/>
      <c r="AI156" s="60"/>
      <c r="AJ156" s="60"/>
      <c r="AK156" s="75"/>
      <c r="AL156" s="60"/>
      <c r="AM156" s="60"/>
      <c r="AN156" s="75"/>
      <c r="AO156" s="60"/>
      <c r="AP156" s="60"/>
      <c r="AQ156" s="76"/>
      <c r="AR156" s="124"/>
    </row>
    <row r="157" spans="1:44" ht="30.75" customHeight="1">
      <c r="A157" s="120"/>
      <c r="B157" s="704"/>
      <c r="C157" s="147">
        <v>11</v>
      </c>
      <c r="D157" s="60" t="s">
        <v>1066</v>
      </c>
      <c r="E157" s="60" t="s">
        <v>1067</v>
      </c>
      <c r="F157" s="60" t="s">
        <v>43</v>
      </c>
      <c r="G157" s="77">
        <v>32478951</v>
      </c>
      <c r="H157" s="60">
        <v>45439</v>
      </c>
      <c r="I157" s="60">
        <f t="shared" ca="1" si="1"/>
        <v>2</v>
      </c>
      <c r="J157" s="63" t="s">
        <v>1068</v>
      </c>
      <c r="K157" s="64" t="s">
        <v>1069</v>
      </c>
      <c r="L157" s="65" t="s">
        <v>1070</v>
      </c>
      <c r="M157" s="66" t="s">
        <v>1070</v>
      </c>
      <c r="N157" s="62">
        <v>18712446</v>
      </c>
      <c r="O157" s="60">
        <v>4242516590</v>
      </c>
      <c r="P157" s="67" t="s">
        <v>1071</v>
      </c>
      <c r="Q157" s="68" t="s">
        <v>1063</v>
      </c>
      <c r="R157" s="69" t="s">
        <v>939</v>
      </c>
      <c r="S157" s="65" t="s">
        <v>1065</v>
      </c>
      <c r="T157" s="148"/>
      <c r="U157" s="70"/>
      <c r="V157" s="79"/>
      <c r="W157" s="66">
        <v>45439</v>
      </c>
      <c r="X157" s="69"/>
      <c r="Y157" s="75"/>
      <c r="Z157" s="60"/>
      <c r="AA157" s="60"/>
      <c r="AB157" s="75"/>
      <c r="AC157" s="60"/>
      <c r="AD157" s="60"/>
      <c r="AE157" s="75"/>
      <c r="AF157" s="60"/>
      <c r="AG157" s="60"/>
      <c r="AH157" s="75"/>
      <c r="AI157" s="60"/>
      <c r="AJ157" s="60"/>
      <c r="AK157" s="75"/>
      <c r="AL157" s="60"/>
      <c r="AM157" s="60"/>
      <c r="AN157" s="75"/>
      <c r="AO157" s="60"/>
      <c r="AP157" s="60"/>
      <c r="AQ157" s="76"/>
      <c r="AR157" s="149"/>
    </row>
    <row r="158" spans="1:44" ht="30.75" customHeight="1">
      <c r="A158" s="41"/>
      <c r="B158" s="704"/>
      <c r="C158" s="147">
        <v>12</v>
      </c>
      <c r="D158" s="60" t="s">
        <v>1072</v>
      </c>
      <c r="E158" s="60" t="s">
        <v>1073</v>
      </c>
      <c r="F158" s="60" t="s">
        <v>43</v>
      </c>
      <c r="G158" s="62">
        <v>32479068</v>
      </c>
      <c r="H158" s="60">
        <v>45416</v>
      </c>
      <c r="I158" s="60">
        <f t="shared" ca="1" si="1"/>
        <v>2</v>
      </c>
      <c r="J158" s="63"/>
      <c r="K158" s="64" t="s">
        <v>1074</v>
      </c>
      <c r="L158" s="65" t="s">
        <v>1075</v>
      </c>
      <c r="M158" s="66" t="s">
        <v>1076</v>
      </c>
      <c r="N158" s="77">
        <v>13726161</v>
      </c>
      <c r="O158" s="60">
        <v>4129608920</v>
      </c>
      <c r="P158" s="67" t="s">
        <v>1077</v>
      </c>
      <c r="Q158" s="68"/>
      <c r="R158" s="69"/>
      <c r="S158" s="65" t="s">
        <v>1065</v>
      </c>
      <c r="T158" s="148"/>
      <c r="U158" s="70"/>
      <c r="V158" s="79"/>
      <c r="W158" s="66">
        <v>45416</v>
      </c>
      <c r="X158" s="69"/>
      <c r="Y158" s="75"/>
      <c r="Z158" s="60"/>
      <c r="AA158" s="60"/>
      <c r="AB158" s="75"/>
      <c r="AC158" s="60"/>
      <c r="AD158" s="60"/>
      <c r="AE158" s="75"/>
      <c r="AF158" s="60"/>
      <c r="AG158" s="60"/>
      <c r="AH158" s="75"/>
      <c r="AI158" s="60"/>
      <c r="AJ158" s="60"/>
      <c r="AK158" s="75"/>
      <c r="AL158" s="60"/>
      <c r="AM158" s="60"/>
      <c r="AN158" s="75"/>
      <c r="AO158" s="60"/>
      <c r="AP158" s="60"/>
      <c r="AQ158" s="76"/>
      <c r="AR158" s="124"/>
    </row>
    <row r="159" spans="1:44" ht="30.75" customHeight="1">
      <c r="A159" s="41"/>
      <c r="B159" s="704"/>
      <c r="C159" s="147">
        <v>13</v>
      </c>
      <c r="D159" s="60" t="s">
        <v>1078</v>
      </c>
      <c r="E159" s="60" t="s">
        <v>1079</v>
      </c>
      <c r="F159" s="60" t="s">
        <v>43</v>
      </c>
      <c r="G159" s="62">
        <v>33327919</v>
      </c>
      <c r="H159" s="60">
        <v>45416</v>
      </c>
      <c r="I159" s="60">
        <f t="shared" ca="1" si="1"/>
        <v>2</v>
      </c>
      <c r="J159" s="63" t="s">
        <v>1080</v>
      </c>
      <c r="K159" s="64" t="s">
        <v>1081</v>
      </c>
      <c r="L159" s="65" t="s">
        <v>1082</v>
      </c>
      <c r="M159" s="66" t="s">
        <v>1083</v>
      </c>
      <c r="N159" s="77">
        <v>14130636</v>
      </c>
      <c r="O159" s="60">
        <v>4126044539</v>
      </c>
      <c r="P159" s="67" t="s">
        <v>1084</v>
      </c>
      <c r="Q159" s="68" t="s">
        <v>657</v>
      </c>
      <c r="R159" s="69" t="s">
        <v>1057</v>
      </c>
      <c r="S159" s="65" t="s">
        <v>1065</v>
      </c>
      <c r="T159" s="148"/>
      <c r="U159" s="70"/>
      <c r="V159" s="79"/>
      <c r="W159" s="66">
        <v>45416</v>
      </c>
      <c r="X159" s="69"/>
      <c r="Y159" s="75"/>
      <c r="Z159" s="60"/>
      <c r="AA159" s="60"/>
      <c r="AB159" s="75"/>
      <c r="AC159" s="60"/>
      <c r="AD159" s="60"/>
      <c r="AE159" s="75"/>
      <c r="AF159" s="60"/>
      <c r="AG159" s="60"/>
      <c r="AH159" s="75"/>
      <c r="AI159" s="60"/>
      <c r="AJ159" s="60"/>
      <c r="AK159" s="75"/>
      <c r="AL159" s="60"/>
      <c r="AM159" s="60"/>
      <c r="AN159" s="75"/>
      <c r="AO159" s="60"/>
      <c r="AP159" s="60"/>
      <c r="AQ159" s="76"/>
      <c r="AR159" s="124"/>
    </row>
    <row r="160" spans="1:44" ht="30.75" customHeight="1">
      <c r="A160" s="41"/>
      <c r="B160" s="704"/>
      <c r="C160" s="147">
        <v>14</v>
      </c>
      <c r="D160" s="60" t="s">
        <v>1085</v>
      </c>
      <c r="E160" s="60" t="s">
        <v>1086</v>
      </c>
      <c r="F160" s="60" t="s">
        <v>278</v>
      </c>
      <c r="G160" s="62">
        <v>31374988</v>
      </c>
      <c r="H160" s="60"/>
      <c r="I160" s="60">
        <f t="shared" ca="1" si="1"/>
        <v>126</v>
      </c>
      <c r="J160" s="63" t="s">
        <v>1087</v>
      </c>
      <c r="K160" s="64" t="s">
        <v>1088</v>
      </c>
      <c r="L160" s="65" t="s">
        <v>1089</v>
      </c>
      <c r="M160" s="66" t="s">
        <v>1090</v>
      </c>
      <c r="N160" s="77">
        <v>13564678</v>
      </c>
      <c r="O160" s="60">
        <v>4142889514</v>
      </c>
      <c r="P160" s="67" t="s">
        <v>1091</v>
      </c>
      <c r="Q160" s="68" t="s">
        <v>1092</v>
      </c>
      <c r="R160" s="69" t="s">
        <v>1093</v>
      </c>
      <c r="S160" s="65"/>
      <c r="T160" s="148"/>
      <c r="U160" s="70"/>
      <c r="V160" s="79"/>
      <c r="W160" s="66"/>
      <c r="X160" s="69"/>
      <c r="Y160" s="75"/>
      <c r="Z160" s="60"/>
      <c r="AA160" s="60"/>
      <c r="AB160" s="75"/>
      <c r="AC160" s="60"/>
      <c r="AD160" s="60"/>
      <c r="AE160" s="75"/>
      <c r="AF160" s="60"/>
      <c r="AG160" s="60"/>
      <c r="AH160" s="75"/>
      <c r="AI160" s="60"/>
      <c r="AJ160" s="60"/>
      <c r="AK160" s="75"/>
      <c r="AL160" s="60"/>
      <c r="AM160" s="60"/>
      <c r="AN160" s="75"/>
      <c r="AO160" s="60"/>
      <c r="AP160" s="60"/>
      <c r="AQ160" s="76"/>
      <c r="AR160" s="124"/>
    </row>
    <row r="161" spans="1:44" ht="30.75" customHeight="1">
      <c r="A161" s="41"/>
      <c r="B161" s="704"/>
      <c r="C161" s="147">
        <v>15</v>
      </c>
      <c r="D161" s="60" t="s">
        <v>1094</v>
      </c>
      <c r="E161" s="60" t="s">
        <v>919</v>
      </c>
      <c r="F161" s="60" t="s">
        <v>43</v>
      </c>
      <c r="G161" s="62">
        <v>16370194</v>
      </c>
      <c r="H161" s="60">
        <v>45404</v>
      </c>
      <c r="I161" s="60">
        <f t="shared" ca="1" si="1"/>
        <v>2</v>
      </c>
      <c r="J161" s="63" t="s">
        <v>916</v>
      </c>
      <c r="K161" s="64" t="s">
        <v>1095</v>
      </c>
      <c r="L161" s="65" t="s">
        <v>1096</v>
      </c>
      <c r="M161" s="66"/>
      <c r="N161" s="77"/>
      <c r="O161" s="60"/>
      <c r="P161" s="67"/>
      <c r="Q161" s="68" t="s">
        <v>1097</v>
      </c>
      <c r="R161" s="69" t="s">
        <v>939</v>
      </c>
      <c r="S161" s="65"/>
      <c r="T161" s="148"/>
      <c r="U161" s="70"/>
      <c r="V161" s="79"/>
      <c r="W161" s="66">
        <v>45404</v>
      </c>
      <c r="X161" s="69"/>
      <c r="Y161" s="75"/>
      <c r="Z161" s="60"/>
      <c r="AA161" s="60"/>
      <c r="AB161" s="75"/>
      <c r="AC161" s="60"/>
      <c r="AD161" s="60"/>
      <c r="AE161" s="75"/>
      <c r="AF161" s="60"/>
      <c r="AG161" s="60"/>
      <c r="AH161" s="75"/>
      <c r="AI161" s="60"/>
      <c r="AJ161" s="60"/>
      <c r="AK161" s="75"/>
      <c r="AL161" s="60"/>
      <c r="AM161" s="60"/>
      <c r="AN161" s="75"/>
      <c r="AO161" s="60"/>
      <c r="AP161" s="60"/>
      <c r="AQ161" s="76"/>
      <c r="AR161" s="124"/>
    </row>
    <row r="162" spans="1:44" ht="30.75" customHeight="1">
      <c r="A162" s="41"/>
      <c r="B162" s="704"/>
      <c r="C162" s="147">
        <v>16</v>
      </c>
      <c r="D162" s="60" t="s">
        <v>1098</v>
      </c>
      <c r="E162" s="60" t="s">
        <v>1099</v>
      </c>
      <c r="F162" s="60" t="s">
        <v>43</v>
      </c>
      <c r="G162" s="62">
        <v>32503208</v>
      </c>
      <c r="H162" s="60">
        <v>45433</v>
      </c>
      <c r="I162" s="60">
        <f t="shared" ca="1" si="1"/>
        <v>2</v>
      </c>
      <c r="J162" s="63" t="s">
        <v>1100</v>
      </c>
      <c r="K162" s="64" t="s">
        <v>1101</v>
      </c>
      <c r="L162" s="65" t="s">
        <v>1102</v>
      </c>
      <c r="M162" s="66" t="s">
        <v>1103</v>
      </c>
      <c r="N162" s="77">
        <v>13641818</v>
      </c>
      <c r="O162" s="60">
        <v>4242719691</v>
      </c>
      <c r="P162" s="67" t="s">
        <v>1100</v>
      </c>
      <c r="Q162" s="68" t="s">
        <v>1063</v>
      </c>
      <c r="R162" s="69" t="s">
        <v>939</v>
      </c>
      <c r="S162" s="65"/>
      <c r="T162" s="148"/>
      <c r="U162" s="70"/>
      <c r="V162" s="79"/>
      <c r="W162" s="66">
        <v>45433</v>
      </c>
      <c r="X162" s="69"/>
      <c r="Y162" s="75"/>
      <c r="Z162" s="60"/>
      <c r="AA162" s="60"/>
      <c r="AB162" s="75"/>
      <c r="AC162" s="60"/>
      <c r="AD162" s="60"/>
      <c r="AE162" s="75"/>
      <c r="AF162" s="60"/>
      <c r="AG162" s="60"/>
      <c r="AH162" s="75"/>
      <c r="AI162" s="60"/>
      <c r="AJ162" s="60"/>
      <c r="AK162" s="75"/>
      <c r="AL162" s="60"/>
      <c r="AM162" s="60"/>
      <c r="AN162" s="75"/>
      <c r="AO162" s="60"/>
      <c r="AP162" s="60"/>
      <c r="AQ162" s="76"/>
      <c r="AR162" s="124"/>
    </row>
    <row r="163" spans="1:44" ht="30.75" customHeight="1">
      <c r="A163" s="41"/>
      <c r="B163" s="704"/>
      <c r="C163" s="147">
        <v>17</v>
      </c>
      <c r="D163" s="60" t="s">
        <v>1104</v>
      </c>
      <c r="E163" s="60" t="s">
        <v>1105</v>
      </c>
      <c r="F163" s="74" t="s">
        <v>43</v>
      </c>
      <c r="G163" s="62"/>
      <c r="H163" s="60">
        <v>39484</v>
      </c>
      <c r="I163" s="60">
        <f t="shared" ca="1" si="1"/>
        <v>18</v>
      </c>
      <c r="J163" s="60"/>
      <c r="K163" s="64" t="s">
        <v>1106</v>
      </c>
      <c r="L163" s="65" t="s">
        <v>1107</v>
      </c>
      <c r="M163" s="66" t="s">
        <v>1108</v>
      </c>
      <c r="N163" s="77">
        <v>10280139</v>
      </c>
      <c r="O163" s="60">
        <v>414027185</v>
      </c>
      <c r="P163" s="67" t="s">
        <v>1109</v>
      </c>
      <c r="Q163" s="68" t="s">
        <v>657</v>
      </c>
      <c r="R163" s="69" t="s">
        <v>1110</v>
      </c>
      <c r="S163" s="65"/>
      <c r="T163" s="148"/>
      <c r="U163" s="70"/>
      <c r="V163" s="79"/>
      <c r="W163" s="66">
        <v>45433</v>
      </c>
      <c r="X163" s="69"/>
      <c r="Y163" s="75"/>
      <c r="Z163" s="60"/>
      <c r="AA163" s="60"/>
      <c r="AB163" s="75"/>
      <c r="AC163" s="60"/>
      <c r="AD163" s="60"/>
      <c r="AE163" s="75"/>
      <c r="AF163" s="60"/>
      <c r="AG163" s="60"/>
      <c r="AH163" s="75"/>
      <c r="AI163" s="60"/>
      <c r="AJ163" s="60"/>
      <c r="AK163" s="75"/>
      <c r="AL163" s="60"/>
      <c r="AM163" s="60"/>
      <c r="AN163" s="75"/>
      <c r="AO163" s="60"/>
      <c r="AP163" s="60"/>
      <c r="AQ163" s="76"/>
      <c r="AR163" s="124"/>
    </row>
    <row r="164" spans="1:44" ht="30.75" customHeight="1">
      <c r="A164" s="41"/>
      <c r="B164" s="704"/>
      <c r="C164" s="147">
        <v>18</v>
      </c>
      <c r="D164" s="60" t="s">
        <v>1111</v>
      </c>
      <c r="E164" s="60" t="s">
        <v>1112</v>
      </c>
      <c r="F164" s="60" t="s">
        <v>43</v>
      </c>
      <c r="G164" s="62">
        <v>33329736</v>
      </c>
      <c r="H164" s="60">
        <v>45435</v>
      </c>
      <c r="I164" s="60">
        <f t="shared" ca="1" si="1"/>
        <v>2</v>
      </c>
      <c r="J164" s="63" t="s">
        <v>1113</v>
      </c>
      <c r="K164" s="64" t="s">
        <v>1114</v>
      </c>
      <c r="L164" s="65" t="s">
        <v>1115</v>
      </c>
      <c r="M164" s="66" t="s">
        <v>1116</v>
      </c>
      <c r="N164" s="62">
        <v>33329736</v>
      </c>
      <c r="O164" s="60">
        <v>4143664381</v>
      </c>
      <c r="P164" s="67"/>
      <c r="Q164" s="68" t="s">
        <v>1117</v>
      </c>
      <c r="R164" s="69" t="s">
        <v>1118</v>
      </c>
      <c r="S164" s="65" t="s">
        <v>1119</v>
      </c>
      <c r="T164" s="148"/>
      <c r="U164" s="70"/>
      <c r="V164" s="79"/>
      <c r="W164" s="66">
        <v>45435</v>
      </c>
      <c r="X164" s="69"/>
      <c r="Y164" s="75"/>
      <c r="Z164" s="60"/>
      <c r="AA164" s="60"/>
      <c r="AB164" s="75"/>
      <c r="AC164" s="60"/>
      <c r="AD164" s="60"/>
      <c r="AE164" s="75"/>
      <c r="AF164" s="60"/>
      <c r="AG164" s="60"/>
      <c r="AH164" s="75"/>
      <c r="AI164" s="60"/>
      <c r="AJ164" s="60"/>
      <c r="AK164" s="75"/>
      <c r="AL164" s="60"/>
      <c r="AM164" s="60"/>
      <c r="AN164" s="75"/>
      <c r="AO164" s="60"/>
      <c r="AP164" s="60"/>
      <c r="AQ164" s="76"/>
      <c r="AR164" s="124"/>
    </row>
    <row r="165" spans="1:44" ht="30.75" customHeight="1">
      <c r="A165" s="41"/>
      <c r="B165" s="704"/>
      <c r="C165" s="147">
        <v>19</v>
      </c>
      <c r="D165" s="60" t="s">
        <v>1120</v>
      </c>
      <c r="E165" s="60" t="s">
        <v>1121</v>
      </c>
      <c r="F165" s="60" t="s">
        <v>43</v>
      </c>
      <c r="G165" s="62">
        <v>32283430</v>
      </c>
      <c r="H165" s="60">
        <v>23</v>
      </c>
      <c r="I165" s="60">
        <f t="shared" ca="1" si="1"/>
        <v>126</v>
      </c>
      <c r="J165" s="63" t="s">
        <v>1122</v>
      </c>
      <c r="K165" s="64" t="s">
        <v>1123</v>
      </c>
      <c r="L165" s="65" t="s">
        <v>1124</v>
      </c>
      <c r="M165" s="66" t="s">
        <v>1125</v>
      </c>
      <c r="N165" s="77">
        <v>18023176</v>
      </c>
      <c r="O165" s="60">
        <v>4129930403</v>
      </c>
      <c r="P165" s="67" t="s">
        <v>1126</v>
      </c>
      <c r="Q165" s="68" t="s">
        <v>657</v>
      </c>
      <c r="R165" s="69" t="s">
        <v>1057</v>
      </c>
      <c r="S165" s="65" t="s">
        <v>1119</v>
      </c>
      <c r="T165" s="148"/>
      <c r="U165" s="70"/>
      <c r="V165" s="79"/>
      <c r="W165" s="66"/>
      <c r="X165" s="69"/>
      <c r="Y165" s="75"/>
      <c r="Z165" s="60"/>
      <c r="AA165" s="60"/>
      <c r="AB165" s="75"/>
      <c r="AC165" s="60"/>
      <c r="AD165" s="60"/>
      <c r="AE165" s="75"/>
      <c r="AF165" s="60"/>
      <c r="AG165" s="60"/>
      <c r="AH165" s="75"/>
      <c r="AI165" s="60"/>
      <c r="AJ165" s="60"/>
      <c r="AK165" s="75"/>
      <c r="AL165" s="60"/>
      <c r="AM165" s="60"/>
      <c r="AN165" s="75"/>
      <c r="AO165" s="60"/>
      <c r="AP165" s="60"/>
      <c r="AQ165" s="76"/>
      <c r="AR165" s="124"/>
    </row>
    <row r="166" spans="1:44" ht="30.75" customHeight="1">
      <c r="A166" s="41"/>
      <c r="B166" s="705"/>
      <c r="C166" s="147">
        <v>20</v>
      </c>
      <c r="D166" s="60" t="s">
        <v>1127</v>
      </c>
      <c r="E166" s="60" t="s">
        <v>1128</v>
      </c>
      <c r="F166" s="60" t="s">
        <v>43</v>
      </c>
      <c r="G166" s="62">
        <v>34321235</v>
      </c>
      <c r="H166" s="60">
        <v>45416</v>
      </c>
      <c r="I166" s="60">
        <f t="shared" ca="1" si="1"/>
        <v>2</v>
      </c>
      <c r="J166" s="63" t="s">
        <v>1129</v>
      </c>
      <c r="K166" s="64" t="s">
        <v>1130</v>
      </c>
      <c r="L166" s="65" t="s">
        <v>1131</v>
      </c>
      <c r="M166" s="66" t="s">
        <v>1132</v>
      </c>
      <c r="N166" s="77"/>
      <c r="O166" s="60">
        <v>4128283027</v>
      </c>
      <c r="P166" s="67" t="s">
        <v>1133</v>
      </c>
      <c r="Q166" s="68" t="s">
        <v>657</v>
      </c>
      <c r="R166" s="69" t="s">
        <v>1057</v>
      </c>
      <c r="S166" s="65" t="s">
        <v>1134</v>
      </c>
      <c r="T166" s="148"/>
      <c r="U166" s="70"/>
      <c r="V166" s="79"/>
      <c r="W166" s="66">
        <v>45416</v>
      </c>
      <c r="X166" s="69"/>
      <c r="Y166" s="75"/>
      <c r="Z166" s="60"/>
      <c r="AA166" s="60"/>
      <c r="AB166" s="75"/>
      <c r="AC166" s="60"/>
      <c r="AD166" s="60"/>
      <c r="AE166" s="75"/>
      <c r="AF166" s="60"/>
      <c r="AG166" s="60"/>
      <c r="AH166" s="75"/>
      <c r="AI166" s="60"/>
      <c r="AJ166" s="60"/>
      <c r="AK166" s="75"/>
      <c r="AL166" s="60"/>
      <c r="AM166" s="60"/>
      <c r="AN166" s="75"/>
      <c r="AO166" s="60"/>
      <c r="AP166" s="60"/>
      <c r="AQ166" s="76"/>
      <c r="AR166" s="124"/>
    </row>
    <row r="167" spans="1:44" ht="30.75" customHeight="1">
      <c r="A167" s="41"/>
      <c r="B167" s="706" t="s">
        <v>1135</v>
      </c>
      <c r="C167" s="150">
        <v>1</v>
      </c>
      <c r="D167" s="60" t="s">
        <v>1136</v>
      </c>
      <c r="E167" s="84" t="s">
        <v>1137</v>
      </c>
      <c r="F167" s="84" t="s">
        <v>43</v>
      </c>
      <c r="G167" s="85">
        <v>32723476</v>
      </c>
      <c r="H167" s="84">
        <v>45435</v>
      </c>
      <c r="I167" s="84">
        <f t="shared" ca="1" si="1"/>
        <v>2</v>
      </c>
      <c r="J167" s="86" t="s">
        <v>1138</v>
      </c>
      <c r="K167" s="87" t="s">
        <v>1139</v>
      </c>
      <c r="L167" s="88" t="s">
        <v>1140</v>
      </c>
      <c r="M167" s="89" t="s">
        <v>1141</v>
      </c>
      <c r="N167" s="90">
        <v>11035568</v>
      </c>
      <c r="O167" s="84">
        <v>4141298113</v>
      </c>
      <c r="P167" s="91" t="s">
        <v>1142</v>
      </c>
      <c r="Q167" s="92" t="s">
        <v>1063</v>
      </c>
      <c r="R167" s="93" t="s">
        <v>1143</v>
      </c>
      <c r="S167" s="88" t="s">
        <v>1134</v>
      </c>
      <c r="T167" s="148"/>
      <c r="U167" s="70"/>
      <c r="V167" s="79"/>
      <c r="W167" s="66">
        <v>45435</v>
      </c>
      <c r="X167" s="69"/>
      <c r="Y167" s="75"/>
      <c r="Z167" s="60"/>
      <c r="AA167" s="60"/>
      <c r="AB167" s="75"/>
      <c r="AC167" s="60"/>
      <c r="AD167" s="60"/>
      <c r="AE167" s="75"/>
      <c r="AF167" s="60"/>
      <c r="AG167" s="60"/>
      <c r="AH167" s="75"/>
      <c r="AI167" s="60"/>
      <c r="AJ167" s="60"/>
      <c r="AK167" s="75"/>
      <c r="AL167" s="60"/>
      <c r="AM167" s="60"/>
      <c r="AN167" s="75"/>
      <c r="AO167" s="60"/>
      <c r="AP167" s="60"/>
      <c r="AQ167" s="76"/>
      <c r="AR167" s="124"/>
    </row>
    <row r="168" spans="1:44" ht="30.75" customHeight="1">
      <c r="A168" s="41"/>
      <c r="B168" s="704"/>
      <c r="C168" s="129">
        <v>2</v>
      </c>
      <c r="D168" s="60" t="s">
        <v>1144</v>
      </c>
      <c r="E168" s="130" t="s">
        <v>1145</v>
      </c>
      <c r="F168" s="130" t="s">
        <v>278</v>
      </c>
      <c r="G168" s="131">
        <v>32301530</v>
      </c>
      <c r="H168" s="130">
        <v>45423</v>
      </c>
      <c r="I168" s="130">
        <f t="shared" ca="1" si="1"/>
        <v>2</v>
      </c>
      <c r="J168" s="132"/>
      <c r="K168" s="133" t="s">
        <v>1146</v>
      </c>
      <c r="L168" s="134" t="s">
        <v>1147</v>
      </c>
      <c r="M168" s="135" t="s">
        <v>1148</v>
      </c>
      <c r="N168" s="136">
        <v>13231434</v>
      </c>
      <c r="O168" s="130">
        <v>4142730693</v>
      </c>
      <c r="P168" s="137" t="s">
        <v>1149</v>
      </c>
      <c r="Q168" s="138" t="s">
        <v>1150</v>
      </c>
      <c r="R168" s="144"/>
      <c r="S168" s="144" t="s">
        <v>1134</v>
      </c>
      <c r="T168" s="69"/>
      <c r="U168" s="70"/>
      <c r="V168" s="79"/>
      <c r="W168" s="66">
        <v>45423</v>
      </c>
      <c r="X168" s="69"/>
      <c r="Y168" s="75"/>
      <c r="Z168" s="60"/>
      <c r="AA168" s="60"/>
      <c r="AB168" s="75"/>
      <c r="AC168" s="60"/>
      <c r="AD168" s="60"/>
      <c r="AE168" s="75"/>
      <c r="AF168" s="60"/>
      <c r="AG168" s="60"/>
      <c r="AH168" s="75"/>
      <c r="AI168" s="60"/>
      <c r="AJ168" s="60"/>
      <c r="AK168" s="75"/>
      <c r="AL168" s="60"/>
      <c r="AM168" s="60"/>
      <c r="AN168" s="75"/>
      <c r="AO168" s="60"/>
      <c r="AP168" s="60"/>
      <c r="AQ168" s="76"/>
      <c r="AR168" s="124"/>
    </row>
    <row r="169" spans="1:44" ht="30.75" customHeight="1">
      <c r="A169" s="41"/>
      <c r="B169" s="704"/>
      <c r="C169" s="129">
        <v>3</v>
      </c>
      <c r="D169" s="60" t="s">
        <v>1151</v>
      </c>
      <c r="E169" s="60" t="s">
        <v>1152</v>
      </c>
      <c r="F169" s="60" t="s">
        <v>43</v>
      </c>
      <c r="G169" s="62">
        <v>32267110</v>
      </c>
      <c r="H169" s="60">
        <v>45423</v>
      </c>
      <c r="I169" s="60">
        <f t="shared" ca="1" si="1"/>
        <v>2</v>
      </c>
      <c r="J169" s="63" t="s">
        <v>1153</v>
      </c>
      <c r="K169" s="64" t="s">
        <v>1154</v>
      </c>
      <c r="L169" s="65" t="s">
        <v>1155</v>
      </c>
      <c r="M169" s="66" t="s">
        <v>1156</v>
      </c>
      <c r="N169" s="77">
        <v>16591955</v>
      </c>
      <c r="O169" s="60">
        <v>4142004302</v>
      </c>
      <c r="P169" s="67" t="s">
        <v>1153</v>
      </c>
      <c r="Q169" s="68" t="s">
        <v>1157</v>
      </c>
      <c r="R169" s="69"/>
      <c r="S169" s="69"/>
      <c r="T169" s="69"/>
      <c r="U169" s="70"/>
      <c r="V169" s="79"/>
      <c r="W169" s="66">
        <v>45423</v>
      </c>
      <c r="X169" s="69"/>
      <c r="Y169" s="75"/>
      <c r="Z169" s="60"/>
      <c r="AA169" s="60"/>
      <c r="AB169" s="75"/>
      <c r="AC169" s="60"/>
      <c r="AD169" s="60"/>
      <c r="AE169" s="75"/>
      <c r="AF169" s="60"/>
      <c r="AG169" s="60"/>
      <c r="AH169" s="75"/>
      <c r="AI169" s="60"/>
      <c r="AJ169" s="60"/>
      <c r="AK169" s="75"/>
      <c r="AL169" s="60"/>
      <c r="AM169" s="60"/>
      <c r="AN169" s="75"/>
      <c r="AO169" s="60"/>
      <c r="AP169" s="60"/>
      <c r="AQ169" s="76"/>
      <c r="AR169" s="124"/>
    </row>
    <row r="170" spans="1:44" ht="30.75" customHeight="1">
      <c r="A170" s="41"/>
      <c r="B170" s="704"/>
      <c r="C170" s="129">
        <v>4</v>
      </c>
      <c r="D170" s="60" t="s">
        <v>1158</v>
      </c>
      <c r="E170" s="60" t="s">
        <v>1159</v>
      </c>
      <c r="F170" s="60" t="s">
        <v>43</v>
      </c>
      <c r="G170" s="62">
        <v>32922986</v>
      </c>
      <c r="H170" s="60">
        <v>45411</v>
      </c>
      <c r="I170" s="60">
        <f t="shared" ca="1" si="1"/>
        <v>2</v>
      </c>
      <c r="J170" s="63" t="s">
        <v>1160</v>
      </c>
      <c r="K170" s="64" t="s">
        <v>1161</v>
      </c>
      <c r="L170" s="65" t="s">
        <v>1162</v>
      </c>
      <c r="M170" s="151" t="s">
        <v>1163</v>
      </c>
      <c r="N170" s="77">
        <v>13861439</v>
      </c>
      <c r="O170" s="60">
        <v>4123706087</v>
      </c>
      <c r="P170" s="67" t="s">
        <v>1164</v>
      </c>
      <c r="Q170" s="68" t="s">
        <v>1063</v>
      </c>
      <c r="R170" s="69" t="s">
        <v>1143</v>
      </c>
      <c r="S170" s="69" t="s">
        <v>1134</v>
      </c>
      <c r="T170" s="69"/>
      <c r="U170" s="70"/>
      <c r="V170" s="79"/>
      <c r="W170" s="66">
        <v>45423</v>
      </c>
      <c r="X170" s="69"/>
      <c r="Y170" s="75"/>
      <c r="Z170" s="60"/>
      <c r="AA170" s="60"/>
      <c r="AB170" s="75"/>
      <c r="AC170" s="60"/>
      <c r="AD170" s="60"/>
      <c r="AE170" s="75"/>
      <c r="AF170" s="60"/>
      <c r="AG170" s="60"/>
      <c r="AH170" s="75"/>
      <c r="AI170" s="60"/>
      <c r="AJ170" s="60"/>
      <c r="AK170" s="75"/>
      <c r="AL170" s="60"/>
      <c r="AM170" s="60"/>
      <c r="AN170" s="75"/>
      <c r="AO170" s="60"/>
      <c r="AP170" s="60"/>
      <c r="AQ170" s="76"/>
      <c r="AR170" s="124"/>
    </row>
    <row r="171" spans="1:44" ht="30.75" customHeight="1">
      <c r="A171" s="41"/>
      <c r="B171" s="704"/>
      <c r="C171" s="129">
        <v>5</v>
      </c>
      <c r="D171" s="60" t="s">
        <v>1165</v>
      </c>
      <c r="E171" s="60" t="s">
        <v>1166</v>
      </c>
      <c r="F171" s="60" t="s">
        <v>43</v>
      </c>
      <c r="G171" s="62"/>
      <c r="H171" s="60">
        <v>45402</v>
      </c>
      <c r="I171" s="60">
        <f t="shared" ca="1" si="1"/>
        <v>2</v>
      </c>
      <c r="J171" s="63" t="s">
        <v>1167</v>
      </c>
      <c r="K171" s="64" t="s">
        <v>1168</v>
      </c>
      <c r="L171" s="65" t="s">
        <v>1169</v>
      </c>
      <c r="M171" s="66" t="s">
        <v>1170</v>
      </c>
      <c r="N171" s="77">
        <v>15315972</v>
      </c>
      <c r="O171" s="60">
        <v>4242070544</v>
      </c>
      <c r="P171" s="67" t="s">
        <v>1171</v>
      </c>
      <c r="Q171" s="68" t="s">
        <v>1063</v>
      </c>
      <c r="R171" s="69" t="s">
        <v>1172</v>
      </c>
      <c r="S171" s="69"/>
      <c r="T171" s="69"/>
      <c r="U171" s="70"/>
      <c r="V171" s="79"/>
      <c r="W171" s="66">
        <v>45394</v>
      </c>
      <c r="X171" s="69"/>
      <c r="Y171" s="75"/>
      <c r="Z171" s="60"/>
      <c r="AA171" s="60"/>
      <c r="AB171" s="75"/>
      <c r="AC171" s="60"/>
      <c r="AD171" s="60"/>
      <c r="AE171" s="75"/>
      <c r="AF171" s="60"/>
      <c r="AG171" s="60"/>
      <c r="AH171" s="75"/>
      <c r="AI171" s="60"/>
      <c r="AJ171" s="60"/>
      <c r="AK171" s="75"/>
      <c r="AL171" s="60"/>
      <c r="AM171" s="60"/>
      <c r="AN171" s="75"/>
      <c r="AO171" s="60"/>
      <c r="AP171" s="60"/>
      <c r="AQ171" s="76"/>
      <c r="AR171" s="124"/>
    </row>
    <row r="172" spans="1:44" ht="30.75" customHeight="1">
      <c r="A172" s="41"/>
      <c r="B172" s="704"/>
      <c r="C172" s="129">
        <v>6</v>
      </c>
      <c r="D172" s="60" t="s">
        <v>1173</v>
      </c>
      <c r="E172" s="60" t="s">
        <v>1174</v>
      </c>
      <c r="F172" s="60" t="s">
        <v>1175</v>
      </c>
      <c r="G172" s="62"/>
      <c r="H172" s="60">
        <v>45485</v>
      </c>
      <c r="I172" s="60">
        <f t="shared" ca="1" si="1"/>
        <v>1</v>
      </c>
      <c r="J172" s="63" t="s">
        <v>1176</v>
      </c>
      <c r="K172" s="64"/>
      <c r="L172" s="65" t="s">
        <v>1177</v>
      </c>
      <c r="M172" s="66"/>
      <c r="N172" s="77"/>
      <c r="O172" s="60"/>
      <c r="P172" s="67"/>
      <c r="Q172" s="68" t="s">
        <v>1178</v>
      </c>
      <c r="R172" s="69" t="s">
        <v>1178</v>
      </c>
      <c r="S172" s="69"/>
      <c r="T172" s="69"/>
      <c r="U172" s="70"/>
      <c r="V172" s="79"/>
      <c r="W172" s="66">
        <v>45393</v>
      </c>
      <c r="X172" s="69"/>
      <c r="Y172" s="75"/>
      <c r="Z172" s="60"/>
      <c r="AA172" s="60"/>
      <c r="AB172" s="75"/>
      <c r="AC172" s="60"/>
      <c r="AD172" s="60"/>
      <c r="AE172" s="75"/>
      <c r="AF172" s="60"/>
      <c r="AG172" s="60"/>
      <c r="AH172" s="75"/>
      <c r="AI172" s="60"/>
      <c r="AJ172" s="60"/>
      <c r="AK172" s="75"/>
      <c r="AL172" s="60"/>
      <c r="AM172" s="60"/>
      <c r="AN172" s="75"/>
      <c r="AO172" s="60"/>
      <c r="AP172" s="60"/>
      <c r="AQ172" s="76"/>
      <c r="AR172" s="124"/>
    </row>
    <row r="173" spans="1:44" ht="30.75" customHeight="1">
      <c r="A173" s="41"/>
      <c r="B173" s="704"/>
      <c r="C173" s="129">
        <v>7</v>
      </c>
      <c r="D173" s="60" t="s">
        <v>1179</v>
      </c>
      <c r="E173" s="60" t="s">
        <v>1180</v>
      </c>
      <c r="F173" s="60" t="s">
        <v>1175</v>
      </c>
      <c r="G173" s="62"/>
      <c r="H173" s="60">
        <v>45423</v>
      </c>
      <c r="I173" s="60">
        <f t="shared" ca="1" si="1"/>
        <v>2</v>
      </c>
      <c r="J173" s="63" t="s">
        <v>1181</v>
      </c>
      <c r="K173" s="64" t="s">
        <v>1182</v>
      </c>
      <c r="L173" s="65" t="s">
        <v>1183</v>
      </c>
      <c r="M173" s="66"/>
      <c r="N173" s="77"/>
      <c r="O173" s="60"/>
      <c r="P173" s="67"/>
      <c r="Q173" s="68" t="s">
        <v>1178</v>
      </c>
      <c r="R173" s="69" t="s">
        <v>1178</v>
      </c>
      <c r="S173" s="69"/>
      <c r="T173" s="69"/>
      <c r="U173" s="70"/>
      <c r="V173" s="79"/>
      <c r="W173" s="66">
        <v>45423</v>
      </c>
      <c r="X173" s="69"/>
      <c r="Y173" s="75"/>
      <c r="Z173" s="60"/>
      <c r="AA173" s="60"/>
      <c r="AB173" s="75"/>
      <c r="AC173" s="60"/>
      <c r="AD173" s="60"/>
      <c r="AE173" s="75"/>
      <c r="AF173" s="60"/>
      <c r="AG173" s="60"/>
      <c r="AH173" s="75"/>
      <c r="AI173" s="60"/>
      <c r="AJ173" s="60"/>
      <c r="AK173" s="75"/>
      <c r="AL173" s="60"/>
      <c r="AM173" s="60"/>
      <c r="AN173" s="75"/>
      <c r="AO173" s="60"/>
      <c r="AP173" s="60"/>
      <c r="AQ173" s="76"/>
      <c r="AR173" s="124"/>
    </row>
    <row r="174" spans="1:44" ht="30.75" customHeight="1">
      <c r="A174" s="41"/>
      <c r="B174" s="704"/>
      <c r="C174" s="129">
        <v>8</v>
      </c>
      <c r="D174" s="60" t="s">
        <v>1184</v>
      </c>
      <c r="E174" s="60" t="s">
        <v>1185</v>
      </c>
      <c r="F174" s="60" t="s">
        <v>43</v>
      </c>
      <c r="G174" s="62">
        <v>33781226</v>
      </c>
      <c r="H174" s="60">
        <v>40674</v>
      </c>
      <c r="I174" s="60">
        <f t="shared" ca="1" si="1"/>
        <v>15</v>
      </c>
      <c r="J174" s="63" t="s">
        <v>1186</v>
      </c>
      <c r="K174" s="64" t="s">
        <v>1187</v>
      </c>
      <c r="L174" s="65" t="s">
        <v>1188</v>
      </c>
      <c r="M174" s="66" t="s">
        <v>1189</v>
      </c>
      <c r="N174" s="77">
        <v>19763404</v>
      </c>
      <c r="O174" s="152" t="s">
        <v>1190</v>
      </c>
      <c r="P174" s="67" t="s">
        <v>1191</v>
      </c>
      <c r="Q174" s="68" t="s">
        <v>281</v>
      </c>
      <c r="R174" s="69" t="s">
        <v>1192</v>
      </c>
      <c r="S174" s="69" t="s">
        <v>1134</v>
      </c>
      <c r="T174" s="69"/>
      <c r="U174" s="70"/>
      <c r="V174" s="79"/>
      <c r="W174" s="66">
        <v>45423</v>
      </c>
      <c r="X174" s="69"/>
      <c r="Y174" s="75"/>
      <c r="Z174" s="60"/>
      <c r="AA174" s="60"/>
      <c r="AB174" s="75"/>
      <c r="AC174" s="60"/>
      <c r="AD174" s="60"/>
      <c r="AE174" s="75"/>
      <c r="AF174" s="60"/>
      <c r="AG174" s="60"/>
      <c r="AH174" s="75"/>
      <c r="AI174" s="60"/>
      <c r="AJ174" s="60"/>
      <c r="AK174" s="75"/>
      <c r="AL174" s="60"/>
      <c r="AM174" s="60"/>
      <c r="AN174" s="75"/>
      <c r="AO174" s="60"/>
      <c r="AP174" s="60"/>
      <c r="AQ174" s="76"/>
      <c r="AR174" s="124"/>
    </row>
    <row r="175" spans="1:44" ht="30.75" customHeight="1">
      <c r="A175" s="41"/>
      <c r="B175" s="704"/>
      <c r="C175" s="129">
        <v>9</v>
      </c>
      <c r="D175" s="60" t="s">
        <v>1193</v>
      </c>
      <c r="E175" s="60" t="s">
        <v>1194</v>
      </c>
      <c r="F175" s="60" t="s">
        <v>43</v>
      </c>
      <c r="G175" s="62">
        <v>33634832</v>
      </c>
      <c r="H175" s="60">
        <v>40220</v>
      </c>
      <c r="I175" s="60">
        <f t="shared" ca="1" si="1"/>
        <v>16</v>
      </c>
      <c r="J175" s="63" t="s">
        <v>1195</v>
      </c>
      <c r="K175" s="64" t="s">
        <v>1196</v>
      </c>
      <c r="L175" s="65" t="s">
        <v>1197</v>
      </c>
      <c r="M175" s="66" t="s">
        <v>1198</v>
      </c>
      <c r="N175" s="77">
        <v>15518812</v>
      </c>
      <c r="O175" s="152" t="s">
        <v>1199</v>
      </c>
      <c r="P175" s="67" t="s">
        <v>1200</v>
      </c>
      <c r="Q175" s="68" t="s">
        <v>281</v>
      </c>
      <c r="R175" s="69" t="s">
        <v>626</v>
      </c>
      <c r="S175" s="69" t="s">
        <v>975</v>
      </c>
      <c r="T175" s="69"/>
      <c r="U175" s="70"/>
      <c r="V175" s="79"/>
      <c r="W175" s="66">
        <v>45571</v>
      </c>
      <c r="X175" s="69" t="s">
        <v>627</v>
      </c>
      <c r="Y175" s="75">
        <v>240</v>
      </c>
      <c r="Z175" s="60"/>
      <c r="AA175" s="60"/>
      <c r="AB175" s="75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80"/>
      <c r="AR175" s="124"/>
    </row>
    <row r="176" spans="1:44" ht="30.75" customHeight="1">
      <c r="A176" s="41"/>
      <c r="B176" s="704"/>
      <c r="C176" s="129">
        <v>10</v>
      </c>
      <c r="D176" s="60" t="s">
        <v>1201</v>
      </c>
      <c r="E176" s="60" t="s">
        <v>1202</v>
      </c>
      <c r="F176" s="60" t="s">
        <v>43</v>
      </c>
      <c r="G176" s="62">
        <v>32637643</v>
      </c>
      <c r="H176" s="60">
        <v>41671</v>
      </c>
      <c r="I176" s="60">
        <f t="shared" ca="1" si="1"/>
        <v>12</v>
      </c>
      <c r="J176" s="63"/>
      <c r="K176" s="64" t="s">
        <v>1203</v>
      </c>
      <c r="L176" s="65" t="s">
        <v>1204</v>
      </c>
      <c r="M176" s="66" t="s">
        <v>1205</v>
      </c>
      <c r="N176" s="77">
        <v>16147853</v>
      </c>
      <c r="O176" s="152" t="s">
        <v>1206</v>
      </c>
      <c r="P176" s="67" t="s">
        <v>1207</v>
      </c>
      <c r="Q176" s="68" t="s">
        <v>281</v>
      </c>
      <c r="R176" s="69" t="s">
        <v>1143</v>
      </c>
      <c r="S176" s="69" t="s">
        <v>975</v>
      </c>
      <c r="T176" s="69"/>
      <c r="U176" s="70"/>
      <c r="V176" s="79"/>
      <c r="W176" s="66">
        <v>45510</v>
      </c>
      <c r="X176" s="69" t="s">
        <v>704</v>
      </c>
      <c r="Y176" s="75">
        <v>240</v>
      </c>
      <c r="Z176" s="60"/>
      <c r="AA176" s="60"/>
      <c r="AB176" s="75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80"/>
      <c r="AR176" s="124"/>
    </row>
    <row r="177" spans="1:44" ht="30.75" customHeight="1">
      <c r="A177" s="41"/>
      <c r="B177" s="704"/>
      <c r="C177" s="129">
        <v>11</v>
      </c>
      <c r="D177" s="60" t="s">
        <v>1208</v>
      </c>
      <c r="E177" s="60" t="s">
        <v>1209</v>
      </c>
      <c r="F177" s="60" t="s">
        <v>43</v>
      </c>
      <c r="G177" s="62">
        <v>34373762</v>
      </c>
      <c r="H177" s="60"/>
      <c r="I177" s="60">
        <f t="shared" ca="1" si="1"/>
        <v>126</v>
      </c>
      <c r="J177" s="63"/>
      <c r="K177" s="64" t="s">
        <v>1210</v>
      </c>
      <c r="L177" s="65" t="s">
        <v>725</v>
      </c>
      <c r="M177" s="66" t="s">
        <v>1211</v>
      </c>
      <c r="N177" s="77">
        <v>12731316</v>
      </c>
      <c r="O177" s="152" t="s">
        <v>1212</v>
      </c>
      <c r="P177" s="67" t="s">
        <v>1213</v>
      </c>
      <c r="Q177" s="68"/>
      <c r="R177" s="69" t="s">
        <v>1143</v>
      </c>
      <c r="S177" s="69" t="s">
        <v>1041</v>
      </c>
      <c r="T177" s="69"/>
      <c r="U177" s="70"/>
      <c r="V177" s="79"/>
      <c r="W177" s="66">
        <v>45510</v>
      </c>
      <c r="X177" s="69" t="s">
        <v>704</v>
      </c>
      <c r="Y177" s="75">
        <v>240</v>
      </c>
      <c r="Z177" s="60"/>
      <c r="AA177" s="60"/>
      <c r="AB177" s="75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80"/>
      <c r="AR177" s="124"/>
    </row>
    <row r="178" spans="1:44" ht="30.75" customHeight="1">
      <c r="A178" s="41"/>
      <c r="B178" s="704"/>
      <c r="C178" s="129">
        <v>12</v>
      </c>
      <c r="D178" s="60" t="s">
        <v>1214</v>
      </c>
      <c r="E178" s="60" t="s">
        <v>1215</v>
      </c>
      <c r="F178" s="60" t="s">
        <v>278</v>
      </c>
      <c r="G178" s="62"/>
      <c r="H178" s="60" t="s">
        <v>1216</v>
      </c>
      <c r="I178" s="60">
        <f t="shared" ca="1" si="1"/>
        <v>13</v>
      </c>
      <c r="J178" s="63"/>
      <c r="K178" s="64" t="s">
        <v>1217</v>
      </c>
      <c r="L178" s="65" t="s">
        <v>1218</v>
      </c>
      <c r="M178" s="66" t="s">
        <v>1219</v>
      </c>
      <c r="N178" s="77">
        <v>18710171</v>
      </c>
      <c r="O178" s="152" t="s">
        <v>1217</v>
      </c>
      <c r="P178" s="67" t="s">
        <v>1220</v>
      </c>
      <c r="Q178" s="68" t="s">
        <v>1221</v>
      </c>
      <c r="R178" s="69" t="s">
        <v>64</v>
      </c>
      <c r="S178" s="69" t="s">
        <v>52</v>
      </c>
      <c r="T178" s="69"/>
      <c r="U178" s="70"/>
      <c r="V178" s="79"/>
      <c r="W178" s="66">
        <v>45087</v>
      </c>
      <c r="X178" s="69"/>
      <c r="Y178" s="75">
        <v>400</v>
      </c>
      <c r="Z178" s="60"/>
      <c r="AA178" s="60"/>
      <c r="AB178" s="75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80"/>
      <c r="AR178" s="124"/>
    </row>
    <row r="179" spans="1:44" ht="30.75" customHeight="1">
      <c r="A179" s="41"/>
      <c r="B179" s="704"/>
      <c r="C179" s="129">
        <v>13</v>
      </c>
      <c r="D179" s="60" t="s">
        <v>1222</v>
      </c>
      <c r="E179" s="60" t="s">
        <v>1223</v>
      </c>
      <c r="F179" s="60" t="s">
        <v>43</v>
      </c>
      <c r="G179" s="62">
        <v>31345714</v>
      </c>
      <c r="H179" s="60">
        <v>38329</v>
      </c>
      <c r="I179" s="60">
        <f t="shared" ca="1" si="1"/>
        <v>21</v>
      </c>
      <c r="J179" s="63" t="s">
        <v>1224</v>
      </c>
      <c r="K179" s="64" t="s">
        <v>1225</v>
      </c>
      <c r="L179" s="65" t="s">
        <v>260</v>
      </c>
      <c r="M179" s="66" t="s">
        <v>1226</v>
      </c>
      <c r="N179" s="77">
        <v>15796646</v>
      </c>
      <c r="O179" s="60"/>
      <c r="P179" s="67"/>
      <c r="Q179" s="68" t="s">
        <v>1227</v>
      </c>
      <c r="R179" s="69" t="s">
        <v>1228</v>
      </c>
      <c r="S179" s="69" t="s">
        <v>138</v>
      </c>
      <c r="T179" s="69"/>
      <c r="U179" s="70"/>
      <c r="V179" s="79"/>
      <c r="W179" s="66">
        <v>45632</v>
      </c>
      <c r="X179" s="69" t="s">
        <v>1227</v>
      </c>
      <c r="Y179" s="75">
        <v>300</v>
      </c>
      <c r="Z179" s="60"/>
      <c r="AA179" s="60"/>
      <c r="AB179" s="75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80"/>
      <c r="AR179" s="124"/>
    </row>
    <row r="180" spans="1:44" ht="30.75" customHeight="1">
      <c r="A180" s="41"/>
      <c r="B180" s="704"/>
      <c r="C180" s="129">
        <v>14</v>
      </c>
      <c r="D180" s="60" t="s">
        <v>1229</v>
      </c>
      <c r="E180" s="60" t="s">
        <v>1230</v>
      </c>
      <c r="F180" s="60" t="s">
        <v>43</v>
      </c>
      <c r="G180" s="62"/>
      <c r="H180" s="60">
        <v>43107</v>
      </c>
      <c r="I180" s="60">
        <f t="shared" ca="1" si="1"/>
        <v>8</v>
      </c>
      <c r="J180" s="63" t="s">
        <v>1231</v>
      </c>
      <c r="K180" s="64"/>
      <c r="L180" s="65" t="s">
        <v>1232</v>
      </c>
      <c r="M180" s="66" t="s">
        <v>1233</v>
      </c>
      <c r="N180" s="77">
        <v>8679666</v>
      </c>
      <c r="O180" s="152" t="s">
        <v>1234</v>
      </c>
      <c r="P180" s="67" t="s">
        <v>1235</v>
      </c>
      <c r="Q180" s="68" t="s">
        <v>1236</v>
      </c>
      <c r="R180" s="69" t="s">
        <v>107</v>
      </c>
      <c r="S180" s="69" t="s">
        <v>975</v>
      </c>
      <c r="T180" s="69"/>
      <c r="U180" s="70"/>
      <c r="V180" s="79"/>
      <c r="W180" s="66" t="s">
        <v>1237</v>
      </c>
      <c r="X180" s="69" t="s">
        <v>1238</v>
      </c>
      <c r="Y180" s="75">
        <v>320</v>
      </c>
      <c r="Z180" s="60"/>
      <c r="AA180" s="60"/>
      <c r="AB180" s="75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80"/>
      <c r="AR180" s="124"/>
    </row>
    <row r="181" spans="1:44" ht="30.75" customHeight="1">
      <c r="A181" s="41"/>
      <c r="B181" s="704"/>
      <c r="C181" s="129">
        <v>15</v>
      </c>
      <c r="D181" s="60" t="s">
        <v>1239</v>
      </c>
      <c r="E181" s="60" t="s">
        <v>1240</v>
      </c>
      <c r="F181" s="60" t="s">
        <v>43</v>
      </c>
      <c r="G181" s="62">
        <v>29932640</v>
      </c>
      <c r="H181" s="60">
        <v>37703</v>
      </c>
      <c r="I181" s="60">
        <f t="shared" ca="1" si="1"/>
        <v>23</v>
      </c>
      <c r="J181" s="63" t="s">
        <v>1241</v>
      </c>
      <c r="K181" s="64" t="s">
        <v>1242</v>
      </c>
      <c r="L181" s="65" t="s">
        <v>1243</v>
      </c>
      <c r="M181" s="66"/>
      <c r="N181" s="77"/>
      <c r="O181" s="60"/>
      <c r="P181" s="67"/>
      <c r="Q181" s="68" t="s">
        <v>1244</v>
      </c>
      <c r="R181" s="69" t="s">
        <v>690</v>
      </c>
      <c r="S181" s="69" t="s">
        <v>138</v>
      </c>
      <c r="T181" s="69"/>
      <c r="U181" s="70"/>
      <c r="V181" s="79"/>
      <c r="W181" s="66" t="s">
        <v>1245</v>
      </c>
      <c r="X181" s="69" t="s">
        <v>1244</v>
      </c>
      <c r="Y181" s="75">
        <v>1460</v>
      </c>
      <c r="Z181" s="60"/>
      <c r="AA181" s="60"/>
      <c r="AB181" s="75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80"/>
      <c r="AR181" s="124"/>
    </row>
    <row r="182" spans="1:44" ht="30.75" customHeight="1">
      <c r="A182" s="41"/>
      <c r="B182" s="704"/>
      <c r="C182" s="129">
        <v>16</v>
      </c>
      <c r="D182" s="60" t="s">
        <v>1246</v>
      </c>
      <c r="E182" s="60" t="s">
        <v>1247</v>
      </c>
      <c r="F182" s="60" t="s">
        <v>43</v>
      </c>
      <c r="G182" s="62">
        <v>36717332</v>
      </c>
      <c r="H182" s="60">
        <v>42243</v>
      </c>
      <c r="I182" s="60">
        <f t="shared" ca="1" si="1"/>
        <v>10</v>
      </c>
      <c r="J182" s="63"/>
      <c r="K182" s="64"/>
      <c r="L182" s="65" t="s">
        <v>1248</v>
      </c>
      <c r="M182" s="66" t="s">
        <v>1249</v>
      </c>
      <c r="N182" s="77">
        <v>24461893</v>
      </c>
      <c r="O182" s="152" t="s">
        <v>1250</v>
      </c>
      <c r="P182" s="67" t="s">
        <v>1251</v>
      </c>
      <c r="Q182" s="68" t="s">
        <v>369</v>
      </c>
      <c r="R182" s="69" t="s">
        <v>1143</v>
      </c>
      <c r="S182" s="69" t="s">
        <v>975</v>
      </c>
      <c r="T182" s="69"/>
      <c r="U182" s="70"/>
      <c r="V182" s="79"/>
      <c r="W182" s="66">
        <v>45449</v>
      </c>
      <c r="X182" s="69" t="s">
        <v>1092</v>
      </c>
      <c r="Y182" s="75">
        <v>320</v>
      </c>
      <c r="Z182" s="60"/>
      <c r="AA182" s="60"/>
      <c r="AB182" s="75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80"/>
      <c r="AR182" s="124"/>
    </row>
    <row r="183" spans="1:44" ht="30.75" customHeight="1">
      <c r="A183" s="41"/>
      <c r="B183" s="704"/>
      <c r="C183" s="129">
        <v>17</v>
      </c>
      <c r="D183" s="60" t="s">
        <v>1252</v>
      </c>
      <c r="E183" s="60" t="s">
        <v>1253</v>
      </c>
      <c r="F183" s="60" t="s">
        <v>43</v>
      </c>
      <c r="G183" s="62"/>
      <c r="H183" s="60">
        <v>43881</v>
      </c>
      <c r="I183" s="60">
        <f t="shared" ca="1" si="1"/>
        <v>6</v>
      </c>
      <c r="J183" s="63"/>
      <c r="K183" s="64"/>
      <c r="L183" s="65" t="s">
        <v>725</v>
      </c>
      <c r="M183" s="66" t="s">
        <v>1254</v>
      </c>
      <c r="N183" s="77">
        <v>17582693</v>
      </c>
      <c r="O183" s="152" t="s">
        <v>1255</v>
      </c>
      <c r="P183" s="67" t="s">
        <v>1256</v>
      </c>
      <c r="Q183" s="68" t="s">
        <v>1257</v>
      </c>
      <c r="R183" s="69" t="s">
        <v>1143</v>
      </c>
      <c r="S183" s="69" t="s">
        <v>1041</v>
      </c>
      <c r="T183" s="69"/>
      <c r="U183" s="70"/>
      <c r="V183" s="79"/>
      <c r="W183" s="66" t="s">
        <v>1245</v>
      </c>
      <c r="X183" s="69" t="s">
        <v>1238</v>
      </c>
      <c r="Y183" s="75">
        <v>280</v>
      </c>
      <c r="Z183" s="60"/>
      <c r="AA183" s="60"/>
      <c r="AB183" s="75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80"/>
      <c r="AR183" s="124"/>
    </row>
    <row r="184" spans="1:44" ht="30.75" customHeight="1">
      <c r="A184" s="41"/>
      <c r="B184" s="704"/>
      <c r="C184" s="129">
        <v>18</v>
      </c>
      <c r="D184" s="60" t="s">
        <v>1258</v>
      </c>
      <c r="E184" s="60" t="s">
        <v>1259</v>
      </c>
      <c r="F184" s="60" t="s">
        <v>43</v>
      </c>
      <c r="G184" s="62">
        <v>17434464</v>
      </c>
      <c r="H184" s="60">
        <v>31679</v>
      </c>
      <c r="I184" s="60">
        <f t="shared" ca="1" si="1"/>
        <v>39</v>
      </c>
      <c r="J184" s="63" t="s">
        <v>1260</v>
      </c>
      <c r="K184" s="64" t="s">
        <v>1261</v>
      </c>
      <c r="L184" s="65" t="s">
        <v>1262</v>
      </c>
      <c r="M184" s="66"/>
      <c r="N184" s="77"/>
      <c r="O184" s="60"/>
      <c r="P184" s="67"/>
      <c r="Q184" s="68" t="s">
        <v>281</v>
      </c>
      <c r="R184" s="69" t="s">
        <v>696</v>
      </c>
      <c r="S184" s="69" t="s">
        <v>1041</v>
      </c>
      <c r="T184" s="69"/>
      <c r="U184" s="70"/>
      <c r="V184" s="79"/>
      <c r="W184" s="66" t="s">
        <v>1245</v>
      </c>
      <c r="X184" s="69" t="s">
        <v>433</v>
      </c>
      <c r="Y184" s="75">
        <v>280</v>
      </c>
      <c r="Z184" s="60"/>
      <c r="AA184" s="60"/>
      <c r="AB184" s="75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80"/>
      <c r="AR184" s="124"/>
    </row>
    <row r="185" spans="1:44" ht="30.75" customHeight="1">
      <c r="A185" s="41"/>
      <c r="B185" s="704"/>
      <c r="C185" s="129">
        <v>19</v>
      </c>
      <c r="D185" s="60" t="s">
        <v>1263</v>
      </c>
      <c r="E185" s="60" t="s">
        <v>1254</v>
      </c>
      <c r="F185" s="60" t="s">
        <v>43</v>
      </c>
      <c r="G185" s="77">
        <v>17582693</v>
      </c>
      <c r="H185" s="60">
        <v>31650</v>
      </c>
      <c r="I185" s="60">
        <f t="shared" ca="1" si="1"/>
        <v>39</v>
      </c>
      <c r="J185" s="63" t="s">
        <v>1256</v>
      </c>
      <c r="K185" s="152" t="s">
        <v>1255</v>
      </c>
      <c r="L185" s="65" t="s">
        <v>1262</v>
      </c>
      <c r="M185" s="66"/>
      <c r="N185" s="77"/>
      <c r="O185" s="60"/>
      <c r="P185" s="67"/>
      <c r="Q185" s="68" t="s">
        <v>281</v>
      </c>
      <c r="R185" s="69" t="s">
        <v>696</v>
      </c>
      <c r="S185" s="69" t="s">
        <v>1041</v>
      </c>
      <c r="T185" s="69"/>
      <c r="U185" s="70"/>
      <c r="V185" s="79"/>
      <c r="W185" s="66" t="s">
        <v>1245</v>
      </c>
      <c r="X185" s="69" t="s">
        <v>433</v>
      </c>
      <c r="Y185" s="75">
        <v>280</v>
      </c>
      <c r="Z185" s="60"/>
      <c r="AA185" s="60"/>
      <c r="AB185" s="75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80"/>
      <c r="AR185" s="124"/>
    </row>
    <row r="186" spans="1:44" ht="30.75" customHeight="1">
      <c r="A186" s="41"/>
      <c r="B186" s="705"/>
      <c r="C186" s="129">
        <v>20</v>
      </c>
      <c r="D186" s="60" t="s">
        <v>1264</v>
      </c>
      <c r="E186" s="60" t="s">
        <v>1265</v>
      </c>
      <c r="F186" s="60" t="s">
        <v>43</v>
      </c>
      <c r="G186" s="62">
        <v>33327529</v>
      </c>
      <c r="H186" s="60">
        <v>40255</v>
      </c>
      <c r="I186" s="60">
        <f t="shared" ca="1" si="1"/>
        <v>16</v>
      </c>
      <c r="J186" s="63"/>
      <c r="K186" s="64"/>
      <c r="L186" s="65" t="s">
        <v>1262</v>
      </c>
      <c r="M186" s="66" t="s">
        <v>1254</v>
      </c>
      <c r="N186" s="77">
        <v>17582693</v>
      </c>
      <c r="O186" s="152" t="s">
        <v>1255</v>
      </c>
      <c r="P186" s="67" t="s">
        <v>1256</v>
      </c>
      <c r="Q186" s="68" t="s">
        <v>281</v>
      </c>
      <c r="R186" s="69" t="s">
        <v>696</v>
      </c>
      <c r="S186" s="69" t="s">
        <v>1041</v>
      </c>
      <c r="T186" s="69"/>
      <c r="U186" s="70"/>
      <c r="V186" s="79"/>
      <c r="W186" s="66" t="s">
        <v>1245</v>
      </c>
      <c r="X186" s="69" t="s">
        <v>433</v>
      </c>
      <c r="Y186" s="75">
        <v>280</v>
      </c>
      <c r="Z186" s="60"/>
      <c r="AA186" s="60"/>
      <c r="AB186" s="75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80"/>
      <c r="AR186" s="124"/>
    </row>
    <row r="187" spans="1:44" ht="30.75" customHeight="1">
      <c r="A187" s="41"/>
      <c r="B187" s="706" t="s">
        <v>1266</v>
      </c>
      <c r="C187" s="153">
        <v>1</v>
      </c>
      <c r="D187" s="154" t="s">
        <v>1267</v>
      </c>
      <c r="E187" s="154" t="s">
        <v>1268</v>
      </c>
      <c r="F187" s="154" t="s">
        <v>43</v>
      </c>
      <c r="G187" s="155">
        <v>34428750</v>
      </c>
      <c r="H187" s="154">
        <v>40798</v>
      </c>
      <c r="I187" s="154">
        <f t="shared" ca="1" si="1"/>
        <v>14</v>
      </c>
      <c r="J187" s="156"/>
      <c r="K187" s="157" t="s">
        <v>1269</v>
      </c>
      <c r="L187" s="158" t="s">
        <v>1270</v>
      </c>
      <c r="M187" s="89" t="s">
        <v>1271</v>
      </c>
      <c r="N187" s="90">
        <v>18234315</v>
      </c>
      <c r="O187" s="159" t="s">
        <v>1272</v>
      </c>
      <c r="P187" s="91" t="s">
        <v>1273</v>
      </c>
      <c r="Q187" s="92" t="s">
        <v>281</v>
      </c>
      <c r="R187" s="93"/>
      <c r="S187" s="93" t="s">
        <v>138</v>
      </c>
      <c r="T187" s="93"/>
      <c r="U187" s="94"/>
      <c r="V187" s="95"/>
      <c r="W187" s="89" t="s">
        <v>1274</v>
      </c>
      <c r="X187" s="93" t="s">
        <v>281</v>
      </c>
      <c r="Y187" s="96">
        <v>420</v>
      </c>
      <c r="Z187" s="84"/>
      <c r="AA187" s="84"/>
      <c r="AB187" s="96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7"/>
      <c r="AN187" s="97"/>
      <c r="AO187" s="97"/>
      <c r="AP187" s="97"/>
      <c r="AQ187" s="98"/>
      <c r="AR187" s="124"/>
    </row>
    <row r="188" spans="1:44" ht="30.75" customHeight="1">
      <c r="A188" s="41"/>
      <c r="B188" s="704"/>
      <c r="C188" s="122">
        <v>2</v>
      </c>
      <c r="D188" s="44" t="s">
        <v>1275</v>
      </c>
      <c r="E188" s="44" t="s">
        <v>1276</v>
      </c>
      <c r="F188" s="44" t="s">
        <v>43</v>
      </c>
      <c r="G188" s="45">
        <v>15379219</v>
      </c>
      <c r="H188" s="44">
        <v>29946</v>
      </c>
      <c r="I188" s="44">
        <f t="shared" ca="1" si="1"/>
        <v>44</v>
      </c>
      <c r="J188" s="46" t="s">
        <v>1277</v>
      </c>
      <c r="K188" s="47" t="s">
        <v>1278</v>
      </c>
      <c r="L188" s="48" t="s">
        <v>1279</v>
      </c>
      <c r="M188" s="49"/>
      <c r="N188" s="50"/>
      <c r="O188" s="44"/>
      <c r="P188" s="51"/>
      <c r="Q188" s="52" t="s">
        <v>281</v>
      </c>
      <c r="R188" s="53" t="s">
        <v>696</v>
      </c>
      <c r="S188" s="53" t="s">
        <v>138</v>
      </c>
      <c r="T188" s="53"/>
      <c r="U188" s="54"/>
      <c r="V188" s="55"/>
      <c r="W188" s="49" t="s">
        <v>1274</v>
      </c>
      <c r="X188" s="53" t="s">
        <v>281</v>
      </c>
      <c r="Y188" s="56">
        <v>420</v>
      </c>
      <c r="Z188" s="44"/>
      <c r="AA188" s="44"/>
      <c r="AB188" s="56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102"/>
      <c r="AR188" s="124"/>
    </row>
    <row r="189" spans="1:44" ht="30.75" customHeight="1">
      <c r="A189" s="41"/>
      <c r="B189" s="704"/>
      <c r="C189" s="160">
        <v>3</v>
      </c>
      <c r="D189" s="60" t="s">
        <v>1280</v>
      </c>
      <c r="E189" s="60" t="s">
        <v>1281</v>
      </c>
      <c r="F189" s="60" t="s">
        <v>43</v>
      </c>
      <c r="G189" s="62">
        <v>32283472</v>
      </c>
      <c r="H189" s="60">
        <v>39348</v>
      </c>
      <c r="I189" s="60">
        <f t="shared" ca="1" si="1"/>
        <v>18</v>
      </c>
      <c r="J189" s="63" t="s">
        <v>1282</v>
      </c>
      <c r="K189" s="64" t="s">
        <v>1283</v>
      </c>
      <c r="L189" s="65" t="s">
        <v>1284</v>
      </c>
      <c r="M189" s="66" t="s">
        <v>1285</v>
      </c>
      <c r="N189" s="77">
        <v>10001960</v>
      </c>
      <c r="O189" s="152" t="s">
        <v>1286</v>
      </c>
      <c r="P189" s="67" t="s">
        <v>1287</v>
      </c>
      <c r="Q189" s="68" t="s">
        <v>281</v>
      </c>
      <c r="R189" s="69" t="s">
        <v>1057</v>
      </c>
      <c r="S189" s="69" t="s">
        <v>1041</v>
      </c>
      <c r="T189" s="69"/>
      <c r="U189" s="70"/>
      <c r="V189" s="79"/>
      <c r="W189" s="66">
        <v>45463</v>
      </c>
      <c r="X189" s="69" t="s">
        <v>281</v>
      </c>
      <c r="Y189" s="75">
        <f>12*35</f>
        <v>420</v>
      </c>
      <c r="Z189" s="60"/>
      <c r="AA189" s="60"/>
      <c r="AB189" s="75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80"/>
      <c r="AR189" s="124"/>
    </row>
    <row r="190" spans="1:44" ht="30.75" customHeight="1">
      <c r="A190" s="41"/>
      <c r="B190" s="704"/>
      <c r="C190" s="160">
        <v>4</v>
      </c>
      <c r="D190" s="60" t="s">
        <v>1288</v>
      </c>
      <c r="E190" s="60" t="s">
        <v>1289</v>
      </c>
      <c r="F190" s="60" t="s">
        <v>43</v>
      </c>
      <c r="G190" s="62"/>
      <c r="H190" s="60">
        <v>43490</v>
      </c>
      <c r="I190" s="60">
        <f t="shared" ca="1" si="1"/>
        <v>7</v>
      </c>
      <c r="J190" s="63"/>
      <c r="K190" s="64" t="s">
        <v>1290</v>
      </c>
      <c r="L190" s="65" t="s">
        <v>1291</v>
      </c>
      <c r="M190" s="66" t="s">
        <v>1292</v>
      </c>
      <c r="N190" s="77">
        <v>17423930</v>
      </c>
      <c r="O190" s="152" t="s">
        <v>1290</v>
      </c>
      <c r="P190" s="67" t="s">
        <v>1293</v>
      </c>
      <c r="Q190" s="68" t="s">
        <v>1257</v>
      </c>
      <c r="R190" s="69" t="s">
        <v>107</v>
      </c>
      <c r="S190" s="69" t="s">
        <v>975</v>
      </c>
      <c r="T190" s="69"/>
      <c r="U190" s="70"/>
      <c r="V190" s="79"/>
      <c r="W190" s="66" t="s">
        <v>1294</v>
      </c>
      <c r="X190" s="69" t="s">
        <v>412</v>
      </c>
      <c r="Y190" s="75">
        <f>140+180</f>
        <v>320</v>
      </c>
      <c r="Z190" s="60"/>
      <c r="AA190" s="60"/>
      <c r="AB190" s="75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80"/>
      <c r="AR190" s="124"/>
    </row>
    <row r="191" spans="1:44" ht="30.75" customHeight="1">
      <c r="A191" s="41"/>
      <c r="B191" s="704"/>
      <c r="C191" s="160">
        <v>5</v>
      </c>
      <c r="D191" s="60" t="s">
        <v>1295</v>
      </c>
      <c r="E191" s="60" t="s">
        <v>1296</v>
      </c>
      <c r="F191" s="60" t="s">
        <v>43</v>
      </c>
      <c r="G191" s="62">
        <v>36578291</v>
      </c>
      <c r="H191" s="60">
        <v>41704</v>
      </c>
      <c r="I191" s="60">
        <f t="shared" ca="1" si="1"/>
        <v>12</v>
      </c>
      <c r="J191" s="63"/>
      <c r="K191" s="64"/>
      <c r="L191" s="65" t="s">
        <v>1297</v>
      </c>
      <c r="M191" s="66" t="s">
        <v>1298</v>
      </c>
      <c r="N191" s="77">
        <v>14838720</v>
      </c>
      <c r="O191" s="152" t="s">
        <v>1299</v>
      </c>
      <c r="P191" s="67" t="s">
        <v>1300</v>
      </c>
      <c r="Q191" s="68" t="s">
        <v>369</v>
      </c>
      <c r="R191" s="161" t="s">
        <v>634</v>
      </c>
      <c r="S191" s="69" t="s">
        <v>138</v>
      </c>
      <c r="T191" s="69"/>
      <c r="U191" s="70"/>
      <c r="V191" s="79"/>
      <c r="W191" s="66">
        <v>45358</v>
      </c>
      <c r="X191" s="69" t="s">
        <v>1092</v>
      </c>
      <c r="Y191" s="75">
        <v>320</v>
      </c>
      <c r="Z191" s="60"/>
      <c r="AA191" s="60"/>
      <c r="AB191" s="75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80"/>
      <c r="AR191" s="124"/>
    </row>
    <row r="192" spans="1:44" ht="30.75" customHeight="1">
      <c r="A192" s="41"/>
      <c r="B192" s="704"/>
      <c r="C192" s="160">
        <v>6</v>
      </c>
      <c r="D192" s="60" t="s">
        <v>1301</v>
      </c>
      <c r="E192" s="60" t="s">
        <v>1302</v>
      </c>
      <c r="F192" s="60" t="s">
        <v>43</v>
      </c>
      <c r="G192" s="62"/>
      <c r="H192" s="60">
        <v>40234</v>
      </c>
      <c r="I192" s="60">
        <f t="shared" ca="1" si="1"/>
        <v>16</v>
      </c>
      <c r="J192" s="63"/>
      <c r="K192" s="64"/>
      <c r="L192" s="65" t="s">
        <v>1303</v>
      </c>
      <c r="M192" s="66" t="s">
        <v>1304</v>
      </c>
      <c r="N192" s="77">
        <v>14854327</v>
      </c>
      <c r="O192" s="152" t="s">
        <v>1305</v>
      </c>
      <c r="P192" s="67" t="s">
        <v>1306</v>
      </c>
      <c r="Q192" s="68" t="s">
        <v>1227</v>
      </c>
      <c r="R192" s="69" t="s">
        <v>1093</v>
      </c>
      <c r="S192" s="69" t="s">
        <v>975</v>
      </c>
      <c r="T192" s="69"/>
      <c r="U192" s="70"/>
      <c r="V192" s="79"/>
      <c r="W192" s="66">
        <v>45389</v>
      </c>
      <c r="X192" s="69" t="s">
        <v>1227</v>
      </c>
      <c r="Y192" s="75">
        <v>330</v>
      </c>
      <c r="Z192" s="60"/>
      <c r="AA192" s="60"/>
      <c r="AB192" s="75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80"/>
      <c r="AR192" s="124"/>
    </row>
    <row r="193" spans="1:44" ht="30.75" customHeight="1">
      <c r="A193" s="41"/>
      <c r="B193" s="704"/>
      <c r="C193" s="160">
        <v>7</v>
      </c>
      <c r="D193" s="60" t="s">
        <v>1307</v>
      </c>
      <c r="E193" s="60" t="s">
        <v>1308</v>
      </c>
      <c r="F193" s="60" t="s">
        <v>43</v>
      </c>
      <c r="G193" s="62">
        <v>33875054</v>
      </c>
      <c r="H193" s="60">
        <v>40548</v>
      </c>
      <c r="I193" s="60">
        <f t="shared" ca="1" si="1"/>
        <v>15</v>
      </c>
      <c r="J193" s="63"/>
      <c r="K193" s="64"/>
      <c r="L193" s="65" t="s">
        <v>1309</v>
      </c>
      <c r="M193" s="66" t="s">
        <v>1310</v>
      </c>
      <c r="N193" s="77">
        <v>24524858</v>
      </c>
      <c r="O193" s="152" t="s">
        <v>1311</v>
      </c>
      <c r="P193" s="67" t="s">
        <v>1312</v>
      </c>
      <c r="Q193" s="68" t="s">
        <v>704</v>
      </c>
      <c r="R193" s="69" t="s">
        <v>1313</v>
      </c>
      <c r="S193" s="69" t="s">
        <v>138</v>
      </c>
      <c r="T193" s="69"/>
      <c r="U193" s="70"/>
      <c r="V193" s="79"/>
      <c r="W193" s="66">
        <v>45511</v>
      </c>
      <c r="X193" s="69" t="s">
        <v>704</v>
      </c>
      <c r="Y193" s="75">
        <v>300</v>
      </c>
      <c r="Z193" s="60"/>
      <c r="AA193" s="60"/>
      <c r="AB193" s="75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80"/>
      <c r="AR193" s="124"/>
    </row>
    <row r="194" spans="1:44" ht="30.75" customHeight="1">
      <c r="A194" s="41"/>
      <c r="B194" s="704"/>
      <c r="C194" s="160">
        <v>8</v>
      </c>
      <c r="D194" s="60" t="s">
        <v>1314</v>
      </c>
      <c r="E194" s="60" t="s">
        <v>1315</v>
      </c>
      <c r="F194" s="60" t="s">
        <v>43</v>
      </c>
      <c r="G194" s="62">
        <v>13144629</v>
      </c>
      <c r="H194" s="60">
        <v>39771</v>
      </c>
      <c r="I194" s="60">
        <f t="shared" ca="1" si="1"/>
        <v>17</v>
      </c>
      <c r="J194" s="63"/>
      <c r="K194" s="64" t="s">
        <v>1316</v>
      </c>
      <c r="L194" s="65" t="s">
        <v>1317</v>
      </c>
      <c r="M194" s="66" t="s">
        <v>1318</v>
      </c>
      <c r="N194" s="77">
        <v>13144629</v>
      </c>
      <c r="O194" s="152" t="s">
        <v>1319</v>
      </c>
      <c r="P194" s="67" t="s">
        <v>1320</v>
      </c>
      <c r="Q194" s="68" t="s">
        <v>704</v>
      </c>
      <c r="R194" s="69" t="s">
        <v>1313</v>
      </c>
      <c r="S194" s="69" t="s">
        <v>138</v>
      </c>
      <c r="T194" s="69"/>
      <c r="U194" s="70"/>
      <c r="V194" s="79"/>
      <c r="W194" s="66">
        <v>45603</v>
      </c>
      <c r="X194" s="69" t="s">
        <v>704</v>
      </c>
      <c r="Y194" s="75">
        <f>140*3</f>
        <v>420</v>
      </c>
      <c r="Z194" s="60"/>
      <c r="AA194" s="60"/>
      <c r="AB194" s="75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80"/>
      <c r="AR194" s="124"/>
    </row>
    <row r="195" spans="1:44" ht="30.75" customHeight="1">
      <c r="A195" s="41"/>
      <c r="B195" s="704"/>
      <c r="C195" s="160">
        <v>9</v>
      </c>
      <c r="D195" s="60" t="s">
        <v>1321</v>
      </c>
      <c r="E195" s="60" t="s">
        <v>1322</v>
      </c>
      <c r="F195" s="60" t="s">
        <v>43</v>
      </c>
      <c r="G195" s="62">
        <v>34428295</v>
      </c>
      <c r="H195" s="60">
        <v>40548</v>
      </c>
      <c r="I195" s="60">
        <f t="shared" ca="1" si="1"/>
        <v>15</v>
      </c>
      <c r="J195" s="63"/>
      <c r="K195" s="64" t="s">
        <v>1323</v>
      </c>
      <c r="L195" s="65" t="s">
        <v>1324</v>
      </c>
      <c r="M195" s="66" t="s">
        <v>1325</v>
      </c>
      <c r="N195" s="77">
        <v>13217748</v>
      </c>
      <c r="O195" s="152" t="s">
        <v>1326</v>
      </c>
      <c r="P195" s="67"/>
      <c r="Q195" s="68" t="s">
        <v>704</v>
      </c>
      <c r="R195" s="69" t="s">
        <v>1313</v>
      </c>
      <c r="S195" s="69" t="s">
        <v>975</v>
      </c>
      <c r="T195" s="69"/>
      <c r="U195" s="70"/>
      <c r="V195" s="79"/>
      <c r="W195" s="66">
        <v>45542</v>
      </c>
      <c r="X195" s="69" t="s">
        <v>704</v>
      </c>
      <c r="Y195" s="75">
        <v>280</v>
      </c>
      <c r="Z195" s="60"/>
      <c r="AA195" s="60"/>
      <c r="AB195" s="75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80"/>
      <c r="AR195" s="124"/>
    </row>
    <row r="196" spans="1:44" ht="30.75" customHeight="1">
      <c r="A196" s="41"/>
      <c r="B196" s="704"/>
      <c r="C196" s="160">
        <v>10</v>
      </c>
      <c r="D196" s="60" t="s">
        <v>1327</v>
      </c>
      <c r="E196" s="60" t="s">
        <v>1328</v>
      </c>
      <c r="F196" s="60" t="s">
        <v>43</v>
      </c>
      <c r="G196" s="62">
        <v>33326979</v>
      </c>
      <c r="H196" s="60">
        <v>40092</v>
      </c>
      <c r="I196" s="60">
        <f t="shared" ca="1" si="1"/>
        <v>16</v>
      </c>
      <c r="J196" s="63" t="s">
        <v>1329</v>
      </c>
      <c r="K196" s="64" t="s">
        <v>1330</v>
      </c>
      <c r="L196" s="65" t="s">
        <v>1309</v>
      </c>
      <c r="M196" s="66" t="s">
        <v>1331</v>
      </c>
      <c r="N196" s="77">
        <v>20478053</v>
      </c>
      <c r="O196" s="152" t="s">
        <v>1332</v>
      </c>
      <c r="P196" s="67" t="s">
        <v>1333</v>
      </c>
      <c r="Q196" s="68" t="s">
        <v>704</v>
      </c>
      <c r="R196" s="69" t="s">
        <v>1313</v>
      </c>
      <c r="S196" s="69" t="s">
        <v>138</v>
      </c>
      <c r="T196" s="69"/>
      <c r="U196" s="70"/>
      <c r="V196" s="79"/>
      <c r="W196" s="66" t="s">
        <v>1334</v>
      </c>
      <c r="X196" s="69" t="s">
        <v>704</v>
      </c>
      <c r="Y196" s="75">
        <v>300</v>
      </c>
      <c r="Z196" s="60"/>
      <c r="AA196" s="60"/>
      <c r="AB196" s="75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80"/>
      <c r="AR196" s="124"/>
    </row>
    <row r="197" spans="1:44" ht="30.75" customHeight="1">
      <c r="A197" s="41"/>
      <c r="B197" s="704"/>
      <c r="C197" s="160">
        <v>11</v>
      </c>
      <c r="D197" s="60" t="s">
        <v>1335</v>
      </c>
      <c r="E197" s="60" t="s">
        <v>1336</v>
      </c>
      <c r="F197" s="60" t="s">
        <v>43</v>
      </c>
      <c r="G197" s="62">
        <v>32553215</v>
      </c>
      <c r="H197" s="60">
        <v>39514</v>
      </c>
      <c r="I197" s="60">
        <f t="shared" ca="1" si="1"/>
        <v>18</v>
      </c>
      <c r="J197" s="63" t="s">
        <v>1337</v>
      </c>
      <c r="K197" s="64" t="s">
        <v>1338</v>
      </c>
      <c r="L197" s="65" t="s">
        <v>1339</v>
      </c>
      <c r="M197" s="66" t="s">
        <v>1340</v>
      </c>
      <c r="N197" s="77">
        <v>14674624</v>
      </c>
      <c r="O197" s="152" t="s">
        <v>1338</v>
      </c>
      <c r="P197" s="67" t="s">
        <v>1341</v>
      </c>
      <c r="Q197" s="68" t="s">
        <v>704</v>
      </c>
      <c r="R197" s="69" t="s">
        <v>1313</v>
      </c>
      <c r="S197" s="69" t="s">
        <v>1041</v>
      </c>
      <c r="T197" s="69"/>
      <c r="U197" s="70"/>
      <c r="V197" s="79"/>
      <c r="W197" s="66" t="s">
        <v>1334</v>
      </c>
      <c r="X197" s="69" t="s">
        <v>704</v>
      </c>
      <c r="Y197" s="75">
        <v>300</v>
      </c>
      <c r="Z197" s="60"/>
      <c r="AA197" s="60"/>
      <c r="AB197" s="75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80"/>
      <c r="AR197" s="124"/>
    </row>
    <row r="198" spans="1:44" ht="30.75" customHeight="1">
      <c r="A198" s="41"/>
      <c r="B198" s="704"/>
      <c r="C198" s="160">
        <v>12</v>
      </c>
      <c r="D198" s="60" t="s">
        <v>1342</v>
      </c>
      <c r="E198" s="60" t="s">
        <v>1343</v>
      </c>
      <c r="F198" s="60" t="s">
        <v>43</v>
      </c>
      <c r="G198" s="62">
        <v>31740948</v>
      </c>
      <c r="H198" s="60">
        <v>39158</v>
      </c>
      <c r="I198" s="60">
        <f t="shared" ca="1" si="1"/>
        <v>19</v>
      </c>
      <c r="J198" s="63" t="s">
        <v>1344</v>
      </c>
      <c r="K198" s="64" t="s">
        <v>1345</v>
      </c>
      <c r="L198" s="65" t="s">
        <v>1346</v>
      </c>
      <c r="M198" s="66"/>
      <c r="N198" s="77"/>
      <c r="O198" s="60"/>
      <c r="P198" s="67"/>
      <c r="Q198" s="68"/>
      <c r="R198" s="69"/>
      <c r="S198" s="69"/>
      <c r="T198" s="69"/>
      <c r="U198" s="70"/>
      <c r="V198" s="79"/>
      <c r="W198" s="66"/>
      <c r="X198" s="69"/>
      <c r="Y198" s="75">
        <v>300</v>
      </c>
      <c r="Z198" s="60"/>
      <c r="AA198" s="60"/>
      <c r="AB198" s="75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80"/>
      <c r="AR198" s="124"/>
    </row>
    <row r="199" spans="1:44" ht="30.75" customHeight="1">
      <c r="A199" s="41"/>
      <c r="B199" s="704"/>
      <c r="C199" s="160">
        <v>13</v>
      </c>
      <c r="D199" s="60" t="s">
        <v>1347</v>
      </c>
      <c r="E199" s="60" t="s">
        <v>1348</v>
      </c>
      <c r="F199" s="60" t="s">
        <v>43</v>
      </c>
      <c r="G199" s="62">
        <v>33754928</v>
      </c>
      <c r="H199" s="60">
        <v>40287</v>
      </c>
      <c r="I199" s="60">
        <f t="shared" ca="1" si="1"/>
        <v>16</v>
      </c>
      <c r="J199" s="63"/>
      <c r="K199" s="64" t="s">
        <v>1349</v>
      </c>
      <c r="L199" s="65" t="s">
        <v>1350</v>
      </c>
      <c r="M199" s="66"/>
      <c r="N199" s="77"/>
      <c r="O199" s="60"/>
      <c r="P199" s="67"/>
      <c r="Q199" s="68"/>
      <c r="R199" s="69"/>
      <c r="S199" s="69"/>
      <c r="T199" s="69"/>
      <c r="U199" s="70"/>
      <c r="V199" s="79"/>
      <c r="W199" s="66"/>
      <c r="X199" s="69"/>
      <c r="Y199" s="75">
        <v>300</v>
      </c>
      <c r="Z199" s="60"/>
      <c r="AA199" s="60"/>
      <c r="AB199" s="75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80"/>
      <c r="AR199" s="124"/>
    </row>
    <row r="200" spans="1:44" ht="30.75" customHeight="1">
      <c r="A200" s="41"/>
      <c r="B200" s="704"/>
      <c r="C200" s="160">
        <v>14</v>
      </c>
      <c r="D200" s="60" t="s">
        <v>1351</v>
      </c>
      <c r="E200" s="60" t="s">
        <v>1352</v>
      </c>
      <c r="F200" s="60" t="s">
        <v>43</v>
      </c>
      <c r="G200" s="62">
        <v>31159899</v>
      </c>
      <c r="H200" s="60">
        <v>38445</v>
      </c>
      <c r="I200" s="60">
        <f t="shared" ca="1" si="1"/>
        <v>21</v>
      </c>
      <c r="J200" s="63"/>
      <c r="K200" s="64" t="s">
        <v>1353</v>
      </c>
      <c r="L200" s="65" t="s">
        <v>1354</v>
      </c>
      <c r="M200" s="66" t="s">
        <v>1355</v>
      </c>
      <c r="N200" s="77">
        <v>12113334</v>
      </c>
      <c r="O200" s="152" t="s">
        <v>1356</v>
      </c>
      <c r="P200" s="67" t="s">
        <v>1357</v>
      </c>
      <c r="Q200" s="68" t="s">
        <v>433</v>
      </c>
      <c r="R200" s="69"/>
      <c r="S200" s="69" t="s">
        <v>975</v>
      </c>
      <c r="T200" s="69"/>
      <c r="U200" s="70"/>
      <c r="V200" s="79"/>
      <c r="W200" s="66" t="s">
        <v>1358</v>
      </c>
      <c r="X200" s="69" t="s">
        <v>433</v>
      </c>
      <c r="Y200" s="75">
        <v>330</v>
      </c>
      <c r="Z200" s="60"/>
      <c r="AA200" s="60"/>
      <c r="AB200" s="75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80"/>
      <c r="AR200" s="124"/>
    </row>
    <row r="201" spans="1:44" ht="30.75" customHeight="1">
      <c r="A201" s="41"/>
      <c r="B201" s="704"/>
      <c r="C201" s="160">
        <v>15</v>
      </c>
      <c r="D201" s="60" t="s">
        <v>1359</v>
      </c>
      <c r="E201" s="60" t="s">
        <v>1360</v>
      </c>
      <c r="F201" s="60" t="s">
        <v>43</v>
      </c>
      <c r="G201" s="62">
        <v>31947820</v>
      </c>
      <c r="H201" s="60">
        <v>38793</v>
      </c>
      <c r="I201" s="60">
        <f t="shared" ca="1" si="1"/>
        <v>20</v>
      </c>
      <c r="J201" s="63" t="s">
        <v>1361</v>
      </c>
      <c r="K201" s="64" t="s">
        <v>1362</v>
      </c>
      <c r="L201" s="65" t="s">
        <v>443</v>
      </c>
      <c r="M201" s="66" t="s">
        <v>1363</v>
      </c>
      <c r="N201" s="77">
        <v>12749679</v>
      </c>
      <c r="O201" s="152" t="s">
        <v>1364</v>
      </c>
      <c r="P201" s="67" t="s">
        <v>1365</v>
      </c>
      <c r="Q201" s="68" t="s">
        <v>433</v>
      </c>
      <c r="R201" s="69"/>
      <c r="S201" s="69" t="s">
        <v>975</v>
      </c>
      <c r="T201" s="69"/>
      <c r="U201" s="70"/>
      <c r="V201" s="79"/>
      <c r="W201" s="66" t="s">
        <v>1358</v>
      </c>
      <c r="X201" s="69" t="s">
        <v>433</v>
      </c>
      <c r="Y201" s="75">
        <v>330</v>
      </c>
      <c r="Z201" s="60"/>
      <c r="AA201" s="60"/>
      <c r="AB201" s="75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80"/>
      <c r="AR201" s="124"/>
    </row>
    <row r="202" spans="1:44" ht="30.75" customHeight="1">
      <c r="A202" s="41"/>
      <c r="B202" s="704"/>
      <c r="C202" s="160">
        <v>16</v>
      </c>
      <c r="D202" s="60" t="s">
        <v>1366</v>
      </c>
      <c r="E202" s="60" t="s">
        <v>1367</v>
      </c>
      <c r="F202" s="60" t="s">
        <v>43</v>
      </c>
      <c r="G202" s="62"/>
      <c r="H202" s="60"/>
      <c r="I202" s="60"/>
      <c r="J202" s="63"/>
      <c r="K202" s="64"/>
      <c r="L202" s="65"/>
      <c r="M202" s="66"/>
      <c r="N202" s="77"/>
      <c r="O202" s="60"/>
      <c r="P202" s="67"/>
      <c r="Q202" s="68" t="s">
        <v>433</v>
      </c>
      <c r="R202" s="162" t="s">
        <v>690</v>
      </c>
      <c r="S202" s="69" t="s">
        <v>975</v>
      </c>
      <c r="T202" s="69"/>
      <c r="U202" s="70"/>
      <c r="V202" s="79"/>
      <c r="W202" s="66" t="s">
        <v>1368</v>
      </c>
      <c r="X202" s="69" t="s">
        <v>433</v>
      </c>
      <c r="Y202" s="75">
        <v>330</v>
      </c>
      <c r="Z202" s="60"/>
      <c r="AA202" s="60"/>
      <c r="AB202" s="75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80"/>
      <c r="AR202" s="124"/>
    </row>
    <row r="203" spans="1:44" ht="30.75" customHeight="1">
      <c r="A203" s="41"/>
      <c r="B203" s="704"/>
      <c r="C203" s="160">
        <v>17</v>
      </c>
      <c r="D203" s="60" t="s">
        <v>1369</v>
      </c>
      <c r="E203" s="60" t="s">
        <v>1370</v>
      </c>
      <c r="F203" s="60" t="s">
        <v>43</v>
      </c>
      <c r="G203" s="62">
        <v>36366101</v>
      </c>
      <c r="H203" s="60">
        <v>41930</v>
      </c>
      <c r="I203" s="60">
        <f t="shared" ref="I203:I273" ca="1" si="2">+DATEDIF(H203,TODAY(),"Y")</f>
        <v>11</v>
      </c>
      <c r="J203" s="63"/>
      <c r="K203" s="64" t="s">
        <v>1371</v>
      </c>
      <c r="L203" s="65" t="s">
        <v>1372</v>
      </c>
      <c r="M203" s="66" t="s">
        <v>1373</v>
      </c>
      <c r="N203" s="77">
        <v>18235041</v>
      </c>
      <c r="O203" s="152" t="s">
        <v>1374</v>
      </c>
      <c r="P203" s="67" t="s">
        <v>1375</v>
      </c>
      <c r="Q203" s="68" t="s">
        <v>1092</v>
      </c>
      <c r="R203" s="69" t="s">
        <v>619</v>
      </c>
      <c r="S203" s="69" t="s">
        <v>1041</v>
      </c>
      <c r="T203" s="69"/>
      <c r="U203" s="70"/>
      <c r="V203" s="79"/>
      <c r="W203" s="66" t="s">
        <v>1376</v>
      </c>
      <c r="X203" s="69" t="s">
        <v>1092</v>
      </c>
      <c r="Y203" s="75">
        <v>320</v>
      </c>
      <c r="Z203" s="60"/>
      <c r="AA203" s="60"/>
      <c r="AB203" s="75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80"/>
      <c r="AR203" s="124"/>
    </row>
    <row r="204" spans="1:44" ht="30.75" customHeight="1">
      <c r="A204" s="41"/>
      <c r="B204" s="704"/>
      <c r="C204" s="160">
        <v>18</v>
      </c>
      <c r="D204" s="60" t="s">
        <v>1377</v>
      </c>
      <c r="E204" s="60" t="s">
        <v>1378</v>
      </c>
      <c r="F204" s="60" t="s">
        <v>43</v>
      </c>
      <c r="G204" s="62">
        <v>33329499</v>
      </c>
      <c r="H204" s="60">
        <v>40599</v>
      </c>
      <c r="I204" s="60">
        <f t="shared" ca="1" si="2"/>
        <v>15</v>
      </c>
      <c r="J204" s="63"/>
      <c r="K204" s="64" t="s">
        <v>1379</v>
      </c>
      <c r="L204" s="65" t="s">
        <v>1248</v>
      </c>
      <c r="M204" s="66" t="s">
        <v>1380</v>
      </c>
      <c r="N204" s="77">
        <v>18718616</v>
      </c>
      <c r="O204" s="152" t="s">
        <v>1381</v>
      </c>
      <c r="P204" s="67" t="s">
        <v>1382</v>
      </c>
      <c r="Q204" s="68" t="s">
        <v>704</v>
      </c>
      <c r="R204" s="69" t="s">
        <v>1313</v>
      </c>
      <c r="S204" s="69" t="s">
        <v>1041</v>
      </c>
      <c r="T204" s="69"/>
      <c r="U204" s="70"/>
      <c r="V204" s="79"/>
      <c r="W204" s="66">
        <v>45330</v>
      </c>
      <c r="X204" s="69" t="s">
        <v>433</v>
      </c>
      <c r="Y204" s="75">
        <v>320</v>
      </c>
      <c r="Z204" s="60"/>
      <c r="AA204" s="60"/>
      <c r="AB204" s="75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80"/>
      <c r="AR204" s="124"/>
    </row>
    <row r="205" spans="1:44" ht="30.75" customHeight="1">
      <c r="A205" s="41"/>
      <c r="B205" s="704"/>
      <c r="C205" s="160">
        <v>19</v>
      </c>
      <c r="D205" s="60" t="s">
        <v>1383</v>
      </c>
      <c r="E205" s="60" t="s">
        <v>1384</v>
      </c>
      <c r="F205" s="60" t="s">
        <v>43</v>
      </c>
      <c r="G205" s="62">
        <v>33328774</v>
      </c>
      <c r="H205" s="60">
        <v>40384</v>
      </c>
      <c r="I205" s="60">
        <f t="shared" ca="1" si="2"/>
        <v>15</v>
      </c>
      <c r="J205" s="63"/>
      <c r="K205" s="64" t="s">
        <v>1385</v>
      </c>
      <c r="L205" s="65" t="s">
        <v>1350</v>
      </c>
      <c r="M205" s="66" t="s">
        <v>1386</v>
      </c>
      <c r="N205" s="77">
        <v>16923442</v>
      </c>
      <c r="O205" s="152" t="s">
        <v>1387</v>
      </c>
      <c r="P205" s="67" t="s">
        <v>1388</v>
      </c>
      <c r="Q205" s="68" t="s">
        <v>1389</v>
      </c>
      <c r="R205" s="69" t="s">
        <v>553</v>
      </c>
      <c r="S205" s="69" t="s">
        <v>138</v>
      </c>
      <c r="T205" s="69"/>
      <c r="U205" s="70"/>
      <c r="V205" s="79"/>
      <c r="W205" s="66">
        <v>45543</v>
      </c>
      <c r="X205" s="69" t="s">
        <v>63</v>
      </c>
      <c r="Y205" s="75">
        <v>300</v>
      </c>
      <c r="Z205" s="60"/>
      <c r="AA205" s="60"/>
      <c r="AB205" s="75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80"/>
      <c r="AR205" s="124"/>
    </row>
    <row r="206" spans="1:44" ht="30.75" customHeight="1">
      <c r="A206" s="41"/>
      <c r="B206" s="705"/>
      <c r="C206" s="160">
        <v>20</v>
      </c>
      <c r="D206" s="60" t="s">
        <v>1390</v>
      </c>
      <c r="E206" s="60" t="s">
        <v>1391</v>
      </c>
      <c r="F206" s="60" t="s">
        <v>43</v>
      </c>
      <c r="G206" s="62">
        <v>34080897</v>
      </c>
      <c r="H206" s="60">
        <v>40813</v>
      </c>
      <c r="I206" s="60">
        <f t="shared" ca="1" si="2"/>
        <v>14</v>
      </c>
      <c r="J206" s="63"/>
      <c r="K206" s="64" t="s">
        <v>1392</v>
      </c>
      <c r="L206" s="65" t="s">
        <v>1350</v>
      </c>
      <c r="M206" s="66" t="s">
        <v>1393</v>
      </c>
      <c r="N206" s="77">
        <v>13070588</v>
      </c>
      <c r="O206" s="152" t="s">
        <v>1394</v>
      </c>
      <c r="P206" s="163" t="s">
        <v>1395</v>
      </c>
      <c r="Q206" s="68" t="s">
        <v>1117</v>
      </c>
      <c r="R206" s="69" t="s">
        <v>634</v>
      </c>
      <c r="S206" s="69" t="s">
        <v>138</v>
      </c>
      <c r="T206" s="69"/>
      <c r="U206" s="70"/>
      <c r="V206" s="79"/>
      <c r="W206" s="66" t="s">
        <v>1396</v>
      </c>
      <c r="X206" s="69" t="s">
        <v>1117</v>
      </c>
      <c r="Y206" s="75">
        <v>300</v>
      </c>
      <c r="Z206" s="60"/>
      <c r="AA206" s="60"/>
      <c r="AB206" s="75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80"/>
      <c r="AR206" s="164"/>
    </row>
    <row r="207" spans="1:44" ht="30.75" customHeight="1">
      <c r="A207" s="41"/>
      <c r="B207" s="703" t="s">
        <v>1397</v>
      </c>
      <c r="C207" s="165">
        <v>1</v>
      </c>
      <c r="D207" s="84" t="s">
        <v>1398</v>
      </c>
      <c r="E207" s="84" t="s">
        <v>1399</v>
      </c>
      <c r="F207" s="84" t="s">
        <v>43</v>
      </c>
      <c r="G207" s="85">
        <v>30542120</v>
      </c>
      <c r="H207" s="84">
        <v>38219</v>
      </c>
      <c r="I207" s="84">
        <f t="shared" ca="1" si="2"/>
        <v>21</v>
      </c>
      <c r="J207" s="166" t="s">
        <v>1400</v>
      </c>
      <c r="K207" s="87" t="s">
        <v>1401</v>
      </c>
      <c r="L207" s="88" t="s">
        <v>443</v>
      </c>
      <c r="M207" s="89" t="s">
        <v>1402</v>
      </c>
      <c r="N207" s="90">
        <v>10339822</v>
      </c>
      <c r="O207" s="159" t="s">
        <v>1403</v>
      </c>
      <c r="P207" s="167" t="s">
        <v>1404</v>
      </c>
      <c r="Q207" s="92" t="s">
        <v>704</v>
      </c>
      <c r="R207" s="93" t="s">
        <v>663</v>
      </c>
      <c r="S207" s="93" t="s">
        <v>1041</v>
      </c>
      <c r="T207" s="93"/>
      <c r="U207" s="94"/>
      <c r="V207" s="95"/>
      <c r="W207" s="89" t="s">
        <v>1405</v>
      </c>
      <c r="X207" s="93" t="s">
        <v>704</v>
      </c>
      <c r="Y207" s="96">
        <f>140*3</f>
        <v>420</v>
      </c>
      <c r="Z207" s="84"/>
      <c r="AA207" s="84"/>
      <c r="AB207" s="96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97"/>
      <c r="AO207" s="97"/>
      <c r="AP207" s="97"/>
      <c r="AQ207" s="98"/>
      <c r="AR207" s="164"/>
    </row>
    <row r="208" spans="1:44" ht="30.75" customHeight="1">
      <c r="A208" s="41"/>
      <c r="B208" s="704"/>
      <c r="C208" s="168">
        <v>2</v>
      </c>
      <c r="D208" s="60" t="s">
        <v>1406</v>
      </c>
      <c r="E208" s="130" t="s">
        <v>1407</v>
      </c>
      <c r="F208" s="130" t="s">
        <v>278</v>
      </c>
      <c r="G208" s="131"/>
      <c r="H208" s="130"/>
      <c r="I208" s="60">
        <f t="shared" ca="1" si="2"/>
        <v>126</v>
      </c>
      <c r="J208" s="132"/>
      <c r="K208" s="133"/>
      <c r="L208" s="134"/>
      <c r="M208" s="135" t="s">
        <v>1408</v>
      </c>
      <c r="N208" s="136">
        <v>25294460</v>
      </c>
      <c r="O208" s="169" t="s">
        <v>1409</v>
      </c>
      <c r="P208" s="137"/>
      <c r="Q208" s="138"/>
      <c r="R208" s="144"/>
      <c r="S208" s="144"/>
      <c r="T208" s="144"/>
      <c r="U208" s="142"/>
      <c r="V208" s="143"/>
      <c r="W208" s="135"/>
      <c r="X208" s="144"/>
      <c r="Y208" s="145"/>
      <c r="Z208" s="130"/>
      <c r="AA208" s="130"/>
      <c r="AB208" s="145"/>
      <c r="AC208" s="170"/>
      <c r="AD208" s="170"/>
      <c r="AE208" s="170"/>
      <c r="AF208" s="170"/>
      <c r="AG208" s="170"/>
      <c r="AH208" s="170"/>
      <c r="AI208" s="170"/>
      <c r="AJ208" s="170"/>
      <c r="AK208" s="170"/>
      <c r="AL208" s="170"/>
      <c r="AM208" s="170"/>
      <c r="AN208" s="170"/>
      <c r="AO208" s="170"/>
      <c r="AP208" s="170"/>
      <c r="AQ208" s="171"/>
      <c r="AR208" s="164"/>
    </row>
    <row r="209" spans="1:44" ht="30.75" customHeight="1">
      <c r="A209" s="41"/>
      <c r="B209" s="704"/>
      <c r="C209" s="172">
        <v>3</v>
      </c>
      <c r="D209" s="60" t="s">
        <v>1410</v>
      </c>
      <c r="E209" s="60" t="s">
        <v>1411</v>
      </c>
      <c r="F209" s="60" t="s">
        <v>43</v>
      </c>
      <c r="G209" s="62">
        <v>32604803</v>
      </c>
      <c r="H209" s="60">
        <v>39632</v>
      </c>
      <c r="I209" s="60">
        <f t="shared" ca="1" si="2"/>
        <v>17</v>
      </c>
      <c r="J209" s="173" t="s">
        <v>1412</v>
      </c>
      <c r="K209" s="64" t="s">
        <v>1413</v>
      </c>
      <c r="L209" s="65" t="s">
        <v>1414</v>
      </c>
      <c r="M209" s="66" t="s">
        <v>1415</v>
      </c>
      <c r="N209" s="77">
        <v>16591436</v>
      </c>
      <c r="O209" s="152" t="s">
        <v>1416</v>
      </c>
      <c r="P209" s="163" t="s">
        <v>1417</v>
      </c>
      <c r="Q209" s="68" t="s">
        <v>1227</v>
      </c>
      <c r="R209" s="69" t="s">
        <v>1093</v>
      </c>
      <c r="S209" s="69" t="s">
        <v>1041</v>
      </c>
      <c r="T209" s="69"/>
      <c r="U209" s="70"/>
      <c r="V209" s="79"/>
      <c r="W209" s="66" t="s">
        <v>1418</v>
      </c>
      <c r="X209" s="69" t="s">
        <v>1227</v>
      </c>
      <c r="Y209" s="75">
        <v>320</v>
      </c>
      <c r="Z209" s="60"/>
      <c r="AA209" s="60"/>
      <c r="AB209" s="75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80"/>
      <c r="AR209" s="164"/>
    </row>
    <row r="210" spans="1:44" ht="30.75" customHeight="1">
      <c r="A210" s="41"/>
      <c r="B210" s="704"/>
      <c r="C210" s="172">
        <v>4</v>
      </c>
      <c r="D210" s="60" t="s">
        <v>1419</v>
      </c>
      <c r="E210" s="60" t="s">
        <v>1420</v>
      </c>
      <c r="F210" s="60" t="s">
        <v>43</v>
      </c>
      <c r="G210" s="62"/>
      <c r="H210" s="60">
        <v>42239</v>
      </c>
      <c r="I210" s="60">
        <f t="shared" ca="1" si="2"/>
        <v>10</v>
      </c>
      <c r="J210" s="173" t="s">
        <v>1421</v>
      </c>
      <c r="K210" s="64" t="s">
        <v>1422</v>
      </c>
      <c r="L210" s="65" t="s">
        <v>1423</v>
      </c>
      <c r="M210" s="66" t="s">
        <v>1424</v>
      </c>
      <c r="N210" s="77">
        <v>15119237</v>
      </c>
      <c r="O210" s="152" t="s">
        <v>1425</v>
      </c>
      <c r="P210" s="163" t="s">
        <v>1426</v>
      </c>
      <c r="Q210" s="68" t="s">
        <v>1092</v>
      </c>
      <c r="R210" s="69" t="s">
        <v>913</v>
      </c>
      <c r="S210" s="69" t="s">
        <v>138</v>
      </c>
      <c r="T210" s="69"/>
      <c r="U210" s="70"/>
      <c r="V210" s="79"/>
      <c r="W210" s="66" t="s">
        <v>1396</v>
      </c>
      <c r="X210" s="69" t="s">
        <v>1092</v>
      </c>
      <c r="Y210" s="75">
        <v>300</v>
      </c>
      <c r="Z210" s="60"/>
      <c r="AA210" s="60"/>
      <c r="AB210" s="75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80"/>
      <c r="AR210" s="164"/>
    </row>
    <row r="211" spans="1:44" ht="30.75" customHeight="1">
      <c r="A211" s="41"/>
      <c r="B211" s="704"/>
      <c r="C211" s="172">
        <v>5</v>
      </c>
      <c r="D211" s="60" t="s">
        <v>1427</v>
      </c>
      <c r="E211" s="60" t="s">
        <v>1428</v>
      </c>
      <c r="F211" s="60" t="s">
        <v>43</v>
      </c>
      <c r="G211" s="62">
        <v>32573487</v>
      </c>
      <c r="H211" s="60">
        <v>39717</v>
      </c>
      <c r="I211" s="60">
        <f t="shared" ca="1" si="2"/>
        <v>17</v>
      </c>
      <c r="J211" s="173" t="s">
        <v>1429</v>
      </c>
      <c r="K211" s="64" t="s">
        <v>1430</v>
      </c>
      <c r="L211" s="65" t="s">
        <v>1431</v>
      </c>
      <c r="M211" s="66" t="s">
        <v>1432</v>
      </c>
      <c r="N211" s="77">
        <v>10263981</v>
      </c>
      <c r="O211" s="152" t="s">
        <v>1433</v>
      </c>
      <c r="P211" s="163" t="s">
        <v>1434</v>
      </c>
      <c r="Q211" s="68" t="s">
        <v>1435</v>
      </c>
      <c r="R211" s="69" t="s">
        <v>1093</v>
      </c>
      <c r="S211" s="69" t="s">
        <v>975</v>
      </c>
      <c r="T211" s="69"/>
      <c r="U211" s="70"/>
      <c r="V211" s="79"/>
      <c r="W211" s="66">
        <v>45574</v>
      </c>
      <c r="X211" s="69" t="s">
        <v>1227</v>
      </c>
      <c r="Y211" s="75">
        <v>320</v>
      </c>
      <c r="Z211" s="60"/>
      <c r="AA211" s="60"/>
      <c r="AB211" s="75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80"/>
      <c r="AR211" s="164"/>
    </row>
    <row r="212" spans="1:44" ht="30.75" customHeight="1">
      <c r="A212" s="41"/>
      <c r="B212" s="704"/>
      <c r="C212" s="172">
        <v>6</v>
      </c>
      <c r="D212" s="60" t="s">
        <v>1436</v>
      </c>
      <c r="E212" s="60" t="s">
        <v>1437</v>
      </c>
      <c r="F212" s="60" t="s">
        <v>43</v>
      </c>
      <c r="G212" s="62">
        <v>27988418</v>
      </c>
      <c r="H212" s="60">
        <v>36672</v>
      </c>
      <c r="I212" s="60">
        <f t="shared" ca="1" si="2"/>
        <v>26</v>
      </c>
      <c r="J212" s="173" t="s">
        <v>1438</v>
      </c>
      <c r="K212" s="64" t="s">
        <v>1439</v>
      </c>
      <c r="L212" s="65" t="s">
        <v>1440</v>
      </c>
      <c r="M212" s="174"/>
      <c r="N212" s="175"/>
      <c r="O212" s="176"/>
      <c r="P212" s="177"/>
      <c r="Q212" s="68" t="s">
        <v>1227</v>
      </c>
      <c r="R212" s="69" t="s">
        <v>1093</v>
      </c>
      <c r="S212" s="69" t="s">
        <v>975</v>
      </c>
      <c r="T212" s="69"/>
      <c r="U212" s="70"/>
      <c r="V212" s="79"/>
      <c r="W212" s="66" t="s">
        <v>1441</v>
      </c>
      <c r="X212" s="69" t="s">
        <v>1227</v>
      </c>
      <c r="Y212" s="75">
        <v>320</v>
      </c>
      <c r="Z212" s="60"/>
      <c r="AA212" s="60"/>
      <c r="AB212" s="75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80"/>
      <c r="AR212" s="164"/>
    </row>
    <row r="213" spans="1:44" ht="30.75" customHeight="1">
      <c r="A213" s="41"/>
      <c r="B213" s="704"/>
      <c r="C213" s="172">
        <v>7</v>
      </c>
      <c r="D213" s="60" t="s">
        <v>1442</v>
      </c>
      <c r="E213" s="60" t="s">
        <v>1443</v>
      </c>
      <c r="F213" s="60" t="s">
        <v>43</v>
      </c>
      <c r="G213" s="62">
        <v>27447825</v>
      </c>
      <c r="H213" s="60">
        <v>35709</v>
      </c>
      <c r="I213" s="60">
        <f t="shared" ca="1" si="2"/>
        <v>28</v>
      </c>
      <c r="J213" s="178" t="s">
        <v>1444</v>
      </c>
      <c r="K213" s="64" t="s">
        <v>1445</v>
      </c>
      <c r="L213" s="65" t="s">
        <v>1350</v>
      </c>
      <c r="M213" s="174"/>
      <c r="N213" s="175"/>
      <c r="O213" s="176"/>
      <c r="P213" s="177"/>
      <c r="Q213" s="68" t="s">
        <v>433</v>
      </c>
      <c r="R213" s="69" t="s">
        <v>663</v>
      </c>
      <c r="S213" s="69" t="s">
        <v>138</v>
      </c>
      <c r="T213" s="69"/>
      <c r="U213" s="70"/>
      <c r="V213" s="79"/>
      <c r="W213" s="66" t="s">
        <v>1446</v>
      </c>
      <c r="X213" s="69" t="s">
        <v>433</v>
      </c>
      <c r="Y213" s="75">
        <v>320</v>
      </c>
      <c r="Z213" s="60"/>
      <c r="AA213" s="60"/>
      <c r="AB213" s="75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80"/>
      <c r="AR213" s="164"/>
    </row>
    <row r="214" spans="1:44" ht="30.75" customHeight="1">
      <c r="A214" s="41"/>
      <c r="B214" s="704"/>
      <c r="C214" s="172">
        <v>8</v>
      </c>
      <c r="D214" s="60" t="s">
        <v>1447</v>
      </c>
      <c r="E214" s="60" t="s">
        <v>1448</v>
      </c>
      <c r="F214" s="60" t="s">
        <v>43</v>
      </c>
      <c r="G214" s="62"/>
      <c r="H214" s="60">
        <v>43447</v>
      </c>
      <c r="I214" s="60">
        <f t="shared" ca="1" si="2"/>
        <v>7</v>
      </c>
      <c r="J214" s="63"/>
      <c r="K214" s="64"/>
      <c r="L214" s="65" t="s">
        <v>1449</v>
      </c>
      <c r="M214" s="66" t="s">
        <v>1450</v>
      </c>
      <c r="N214" s="77">
        <v>18234722</v>
      </c>
      <c r="O214" s="152" t="s">
        <v>1451</v>
      </c>
      <c r="P214" s="163" t="s">
        <v>1452</v>
      </c>
      <c r="Q214" s="68" t="s">
        <v>1238</v>
      </c>
      <c r="R214" s="69" t="s">
        <v>784</v>
      </c>
      <c r="S214" s="69" t="s">
        <v>138</v>
      </c>
      <c r="T214" s="69"/>
      <c r="U214" s="70"/>
      <c r="V214" s="79"/>
      <c r="W214" s="66" t="s">
        <v>1446</v>
      </c>
      <c r="X214" s="69" t="s">
        <v>1238</v>
      </c>
      <c r="Y214" s="75">
        <v>420</v>
      </c>
      <c r="Z214" s="60"/>
      <c r="AA214" s="60"/>
      <c r="AB214" s="75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80"/>
      <c r="AR214" s="164"/>
    </row>
    <row r="215" spans="1:44" ht="30.75" customHeight="1">
      <c r="A215" s="41"/>
      <c r="B215" s="704"/>
      <c r="C215" s="172">
        <v>9</v>
      </c>
      <c r="D215" s="60" t="s">
        <v>1453</v>
      </c>
      <c r="E215" s="60" t="s">
        <v>1454</v>
      </c>
      <c r="F215" s="60" t="s">
        <v>43</v>
      </c>
      <c r="G215" s="62"/>
      <c r="H215" s="60">
        <v>42959</v>
      </c>
      <c r="I215" s="60">
        <f t="shared" ca="1" si="2"/>
        <v>8</v>
      </c>
      <c r="J215" s="63"/>
      <c r="K215" s="64"/>
      <c r="L215" s="65" t="s">
        <v>1248</v>
      </c>
      <c r="M215" s="66" t="s">
        <v>1455</v>
      </c>
      <c r="N215" s="77">
        <v>13728946</v>
      </c>
      <c r="O215" s="152" t="s">
        <v>1456</v>
      </c>
      <c r="P215" s="179" t="s">
        <v>1457</v>
      </c>
      <c r="Q215" s="68" t="s">
        <v>1092</v>
      </c>
      <c r="R215" s="69" t="s">
        <v>801</v>
      </c>
      <c r="S215" s="69" t="s">
        <v>138</v>
      </c>
      <c r="T215" s="69"/>
      <c r="U215" s="70"/>
      <c r="V215" s="79"/>
      <c r="W215" s="66" t="s">
        <v>1458</v>
      </c>
      <c r="X215" s="69" t="s">
        <v>1092</v>
      </c>
      <c r="Y215" s="75"/>
      <c r="Z215" s="60"/>
      <c r="AA215" s="60"/>
      <c r="AB215" s="75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80"/>
      <c r="AR215" s="164"/>
    </row>
    <row r="216" spans="1:44" ht="30.75" customHeight="1">
      <c r="A216" s="41"/>
      <c r="B216" s="704"/>
      <c r="C216" s="172">
        <v>10</v>
      </c>
      <c r="D216" s="60" t="s">
        <v>1459</v>
      </c>
      <c r="E216" s="60" t="s">
        <v>1460</v>
      </c>
      <c r="F216" s="60" t="s">
        <v>43</v>
      </c>
      <c r="G216" s="62"/>
      <c r="H216" s="180" t="s">
        <v>1461</v>
      </c>
      <c r="I216" s="60">
        <f t="shared" ca="1" si="2"/>
        <v>1</v>
      </c>
      <c r="J216" s="63"/>
      <c r="K216" s="64"/>
      <c r="L216" s="65" t="s">
        <v>1462</v>
      </c>
      <c r="M216" s="66" t="s">
        <v>1463</v>
      </c>
      <c r="N216" s="77">
        <v>20560524</v>
      </c>
      <c r="O216" s="152" t="s">
        <v>1464</v>
      </c>
      <c r="P216" s="67" t="s">
        <v>1465</v>
      </c>
      <c r="Q216" s="68" t="s">
        <v>947</v>
      </c>
      <c r="R216" s="69" t="s">
        <v>1466</v>
      </c>
      <c r="S216" s="69" t="s">
        <v>138</v>
      </c>
      <c r="T216" s="69"/>
      <c r="U216" s="70"/>
      <c r="V216" s="79"/>
      <c r="W216" s="66" t="s">
        <v>1467</v>
      </c>
      <c r="X216" s="69"/>
      <c r="Y216" s="75" t="s">
        <v>1468</v>
      </c>
      <c r="Z216" s="60"/>
      <c r="AA216" s="60"/>
      <c r="AB216" s="75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80"/>
      <c r="AR216" s="164"/>
    </row>
    <row r="217" spans="1:44" ht="30.75" customHeight="1">
      <c r="A217" s="41"/>
      <c r="B217" s="704"/>
      <c r="C217" s="172">
        <v>11</v>
      </c>
      <c r="D217" s="60" t="s">
        <v>1469</v>
      </c>
      <c r="E217" s="60" t="s">
        <v>1470</v>
      </c>
      <c r="F217" s="60" t="s">
        <v>43</v>
      </c>
      <c r="G217" s="62"/>
      <c r="H217" s="60" t="s">
        <v>1471</v>
      </c>
      <c r="I217" s="60">
        <f t="shared" ca="1" si="2"/>
        <v>1</v>
      </c>
      <c r="J217" s="178" t="s">
        <v>1472</v>
      </c>
      <c r="K217" s="64" t="s">
        <v>1473</v>
      </c>
      <c r="L217" s="65" t="s">
        <v>1474</v>
      </c>
      <c r="M217" s="66" t="s">
        <v>1475</v>
      </c>
      <c r="N217" s="77">
        <v>17269884</v>
      </c>
      <c r="O217" s="152" t="s">
        <v>1473</v>
      </c>
      <c r="P217" s="163" t="s">
        <v>1472</v>
      </c>
      <c r="Q217" s="68" t="s">
        <v>947</v>
      </c>
      <c r="R217" s="69"/>
      <c r="S217" s="69" t="s">
        <v>138</v>
      </c>
      <c r="T217" s="69"/>
      <c r="U217" s="70"/>
      <c r="V217" s="79"/>
      <c r="W217" s="66"/>
      <c r="X217" s="69"/>
      <c r="Y217" s="75"/>
      <c r="Z217" s="60"/>
      <c r="AA217" s="60"/>
      <c r="AB217" s="75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80"/>
      <c r="AR217" s="164"/>
    </row>
    <row r="218" spans="1:44" ht="30.75" customHeight="1">
      <c r="A218" s="41"/>
      <c r="B218" s="704"/>
      <c r="C218" s="172">
        <v>12</v>
      </c>
      <c r="D218" s="60" t="s">
        <v>1476</v>
      </c>
      <c r="E218" s="60" t="s">
        <v>1477</v>
      </c>
      <c r="F218" s="60" t="s">
        <v>43</v>
      </c>
      <c r="G218" s="62"/>
      <c r="H218" s="60" t="s">
        <v>1471</v>
      </c>
      <c r="I218" s="60">
        <f t="shared" ca="1" si="2"/>
        <v>1</v>
      </c>
      <c r="J218" s="173" t="s">
        <v>1472</v>
      </c>
      <c r="K218" s="64" t="s">
        <v>1473</v>
      </c>
      <c r="L218" s="65" t="s">
        <v>1474</v>
      </c>
      <c r="M218" s="66" t="s">
        <v>1475</v>
      </c>
      <c r="N218" s="77">
        <v>17269884</v>
      </c>
      <c r="O218" s="152" t="s">
        <v>1478</v>
      </c>
      <c r="P218" s="163" t="s">
        <v>1472</v>
      </c>
      <c r="Q218" s="68" t="s">
        <v>369</v>
      </c>
      <c r="R218" s="69"/>
      <c r="S218" s="69" t="s">
        <v>138</v>
      </c>
      <c r="T218" s="69"/>
      <c r="U218" s="70"/>
      <c r="V218" s="79"/>
      <c r="W218" s="66"/>
      <c r="X218" s="69"/>
      <c r="Y218" s="75"/>
      <c r="Z218" s="60"/>
      <c r="AA218" s="60"/>
      <c r="AB218" s="75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80"/>
      <c r="AR218" s="164"/>
    </row>
    <row r="219" spans="1:44" ht="30.75" customHeight="1">
      <c r="A219" s="41"/>
      <c r="B219" s="704"/>
      <c r="C219" s="172">
        <v>13</v>
      </c>
      <c r="D219" s="60" t="s">
        <v>1479</v>
      </c>
      <c r="E219" s="60" t="s">
        <v>1480</v>
      </c>
      <c r="F219" s="60" t="s">
        <v>43</v>
      </c>
      <c r="G219" s="62"/>
      <c r="H219" s="60" t="s">
        <v>1471</v>
      </c>
      <c r="I219" s="60">
        <f t="shared" ca="1" si="2"/>
        <v>1</v>
      </c>
      <c r="J219" s="178" t="s">
        <v>1481</v>
      </c>
      <c r="K219" s="64" t="s">
        <v>1482</v>
      </c>
      <c r="L219" s="65" t="s">
        <v>1483</v>
      </c>
      <c r="M219" s="66" t="s">
        <v>1484</v>
      </c>
      <c r="N219" s="77">
        <v>13909878</v>
      </c>
      <c r="O219" s="152" t="s">
        <v>1485</v>
      </c>
      <c r="P219" s="179" t="s">
        <v>1481</v>
      </c>
      <c r="Q219" s="68" t="s">
        <v>947</v>
      </c>
      <c r="R219" s="69"/>
      <c r="S219" s="69" t="s">
        <v>138</v>
      </c>
      <c r="T219" s="69"/>
      <c r="U219" s="70"/>
      <c r="V219" s="79"/>
      <c r="W219" s="66" t="s">
        <v>1486</v>
      </c>
      <c r="X219" s="69"/>
      <c r="Y219" s="75"/>
      <c r="Z219" s="60"/>
      <c r="AA219" s="60"/>
      <c r="AB219" s="75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80"/>
      <c r="AR219" s="164"/>
    </row>
    <row r="220" spans="1:44" ht="30.75" customHeight="1">
      <c r="A220" s="41"/>
      <c r="B220" s="704"/>
      <c r="C220" s="172">
        <v>14</v>
      </c>
      <c r="D220" s="60" t="s">
        <v>1487</v>
      </c>
      <c r="E220" s="60" t="s">
        <v>1488</v>
      </c>
      <c r="F220" s="60" t="s">
        <v>43</v>
      </c>
      <c r="G220" s="62">
        <v>33026109</v>
      </c>
      <c r="H220" s="60" t="s">
        <v>1471</v>
      </c>
      <c r="I220" s="60">
        <f t="shared" ca="1" si="2"/>
        <v>1</v>
      </c>
      <c r="J220" s="178" t="s">
        <v>1481</v>
      </c>
      <c r="K220" s="64" t="s">
        <v>1482</v>
      </c>
      <c r="L220" s="65" t="s">
        <v>1483</v>
      </c>
      <c r="M220" s="66" t="s">
        <v>1484</v>
      </c>
      <c r="N220" s="77">
        <v>13909878</v>
      </c>
      <c r="O220" s="152" t="s">
        <v>1485</v>
      </c>
      <c r="P220" s="163" t="s">
        <v>1481</v>
      </c>
      <c r="Q220" s="68" t="s">
        <v>947</v>
      </c>
      <c r="R220" s="69"/>
      <c r="S220" s="69" t="s">
        <v>138</v>
      </c>
      <c r="T220" s="69"/>
      <c r="U220" s="70"/>
      <c r="V220" s="79"/>
      <c r="W220" s="66" t="s">
        <v>1486</v>
      </c>
      <c r="X220" s="69"/>
      <c r="Y220" s="75"/>
      <c r="Z220" s="60"/>
      <c r="AA220" s="60"/>
      <c r="AB220" s="75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80"/>
      <c r="AR220" s="164"/>
    </row>
    <row r="221" spans="1:44" ht="30.75" customHeight="1">
      <c r="A221" s="41"/>
      <c r="B221" s="704"/>
      <c r="C221" s="172">
        <v>15</v>
      </c>
      <c r="D221" s="60" t="s">
        <v>1489</v>
      </c>
      <c r="E221" s="60" t="s">
        <v>1490</v>
      </c>
      <c r="F221" s="60" t="s">
        <v>43</v>
      </c>
      <c r="G221" s="62"/>
      <c r="H221" s="60" t="s">
        <v>1491</v>
      </c>
      <c r="I221" s="60">
        <f t="shared" ca="1" si="2"/>
        <v>1</v>
      </c>
      <c r="J221" s="178" t="s">
        <v>1492</v>
      </c>
      <c r="K221" s="64" t="s">
        <v>1493</v>
      </c>
      <c r="L221" s="65" t="s">
        <v>1494</v>
      </c>
      <c r="M221" s="66" t="s">
        <v>1495</v>
      </c>
      <c r="N221" s="77">
        <v>5538199</v>
      </c>
      <c r="O221" s="152" t="s">
        <v>1493</v>
      </c>
      <c r="P221" s="179" t="s">
        <v>1492</v>
      </c>
      <c r="Q221" s="68" t="s">
        <v>947</v>
      </c>
      <c r="R221" s="69" t="s">
        <v>1496</v>
      </c>
      <c r="S221" s="69" t="s">
        <v>138</v>
      </c>
      <c r="T221" s="69"/>
      <c r="U221" s="70"/>
      <c r="V221" s="79"/>
      <c r="W221" s="66" t="s">
        <v>1497</v>
      </c>
      <c r="X221" s="69" t="s">
        <v>956</v>
      </c>
      <c r="Y221" s="75" t="s">
        <v>1498</v>
      </c>
      <c r="Z221" s="60"/>
      <c r="AA221" s="60"/>
      <c r="AB221" s="75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80"/>
      <c r="AR221" s="164"/>
    </row>
    <row r="222" spans="1:44" ht="30.75" customHeight="1">
      <c r="A222" s="41"/>
      <c r="B222" s="704"/>
      <c r="C222" s="172">
        <v>16</v>
      </c>
      <c r="D222" s="60" t="s">
        <v>1499</v>
      </c>
      <c r="E222" s="60" t="s">
        <v>1500</v>
      </c>
      <c r="F222" s="60" t="s">
        <v>43</v>
      </c>
      <c r="G222" s="62">
        <v>36675768</v>
      </c>
      <c r="H222" s="60" t="s">
        <v>1491</v>
      </c>
      <c r="I222" s="60">
        <f t="shared" ca="1" si="2"/>
        <v>1</v>
      </c>
      <c r="J222" s="178" t="s">
        <v>1501</v>
      </c>
      <c r="K222" s="64" t="s">
        <v>1502</v>
      </c>
      <c r="L222" s="65" t="s">
        <v>1503</v>
      </c>
      <c r="M222" s="66" t="s">
        <v>1504</v>
      </c>
      <c r="N222" s="77">
        <v>15119124</v>
      </c>
      <c r="O222" s="152" t="s">
        <v>1502</v>
      </c>
      <c r="P222" s="179" t="s">
        <v>1505</v>
      </c>
      <c r="Q222" s="68" t="s">
        <v>1506</v>
      </c>
      <c r="R222" s="69" t="s">
        <v>1507</v>
      </c>
      <c r="S222" s="69" t="s">
        <v>138</v>
      </c>
      <c r="T222" s="69"/>
      <c r="U222" s="70"/>
      <c r="V222" s="79"/>
      <c r="W222" s="66" t="s">
        <v>1497</v>
      </c>
      <c r="X222" s="69" t="s">
        <v>1506</v>
      </c>
      <c r="Y222" s="75" t="s">
        <v>1508</v>
      </c>
      <c r="Z222" s="60"/>
      <c r="AA222" s="60"/>
      <c r="AB222" s="75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80"/>
      <c r="AR222" s="164"/>
    </row>
    <row r="223" spans="1:44" ht="30.75" customHeight="1">
      <c r="A223" s="41"/>
      <c r="B223" s="704"/>
      <c r="C223" s="172">
        <v>17</v>
      </c>
      <c r="D223" s="60" t="s">
        <v>1509</v>
      </c>
      <c r="E223" s="60" t="s">
        <v>1510</v>
      </c>
      <c r="F223" s="60" t="s">
        <v>43</v>
      </c>
      <c r="G223" s="62"/>
      <c r="H223" s="181">
        <v>45301</v>
      </c>
      <c r="I223" s="60">
        <f t="shared" ca="1" si="2"/>
        <v>2</v>
      </c>
      <c r="J223" s="178" t="s">
        <v>1511</v>
      </c>
      <c r="K223" s="64" t="s">
        <v>1512</v>
      </c>
      <c r="L223" s="65" t="s">
        <v>1513</v>
      </c>
      <c r="M223" s="66" t="s">
        <v>1514</v>
      </c>
      <c r="N223" s="77">
        <v>15913831</v>
      </c>
      <c r="O223" s="152" t="s">
        <v>1515</v>
      </c>
      <c r="P223" s="179" t="s">
        <v>1511</v>
      </c>
      <c r="Q223" s="68" t="s">
        <v>1506</v>
      </c>
      <c r="R223" s="69" t="s">
        <v>1516</v>
      </c>
      <c r="S223" s="69" t="s">
        <v>138</v>
      </c>
      <c r="T223" s="69"/>
      <c r="U223" s="70"/>
      <c r="V223" s="79"/>
      <c r="W223" s="182">
        <v>45301</v>
      </c>
      <c r="X223" s="69" t="s">
        <v>1506</v>
      </c>
      <c r="Y223" s="75" t="s">
        <v>1517</v>
      </c>
      <c r="Z223" s="60"/>
      <c r="AA223" s="60"/>
      <c r="AB223" s="75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80"/>
      <c r="AR223" s="164"/>
    </row>
    <row r="224" spans="1:44" ht="30.75" customHeight="1">
      <c r="A224" s="41"/>
      <c r="B224" s="704"/>
      <c r="C224" s="172">
        <v>18</v>
      </c>
      <c r="D224" s="60" t="s">
        <v>1518</v>
      </c>
      <c r="E224" s="60" t="s">
        <v>1519</v>
      </c>
      <c r="F224" s="60" t="s">
        <v>43</v>
      </c>
      <c r="G224" s="62"/>
      <c r="H224" s="60">
        <v>45301</v>
      </c>
      <c r="I224" s="60">
        <f t="shared" ca="1" si="2"/>
        <v>2</v>
      </c>
      <c r="J224" s="178" t="s">
        <v>1520</v>
      </c>
      <c r="K224" s="64" t="s">
        <v>1521</v>
      </c>
      <c r="L224" s="65" t="s">
        <v>1522</v>
      </c>
      <c r="M224" s="66" t="s">
        <v>1523</v>
      </c>
      <c r="N224" s="77">
        <v>20410154</v>
      </c>
      <c r="O224" s="152" t="s">
        <v>1521</v>
      </c>
      <c r="P224" s="179" t="s">
        <v>1520</v>
      </c>
      <c r="Q224" s="68" t="s">
        <v>1506</v>
      </c>
      <c r="R224" s="69" t="s">
        <v>1507</v>
      </c>
      <c r="S224" s="69" t="s">
        <v>138</v>
      </c>
      <c r="T224" s="69"/>
      <c r="U224" s="70"/>
      <c r="V224" s="79"/>
      <c r="W224" s="66">
        <v>45301</v>
      </c>
      <c r="X224" s="69" t="s">
        <v>1506</v>
      </c>
      <c r="Y224" s="75" t="s">
        <v>1524</v>
      </c>
      <c r="Z224" s="60"/>
      <c r="AA224" s="60"/>
      <c r="AB224" s="75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80"/>
      <c r="AR224" s="164"/>
    </row>
    <row r="225" spans="1:44" ht="30.75" customHeight="1">
      <c r="A225" s="41"/>
      <c r="B225" s="704"/>
      <c r="C225" s="172">
        <v>19</v>
      </c>
      <c r="D225" s="60" t="s">
        <v>1525</v>
      </c>
      <c r="E225" s="60" t="s">
        <v>1526</v>
      </c>
      <c r="F225" s="60" t="s">
        <v>43</v>
      </c>
      <c r="G225" s="62"/>
      <c r="H225" s="60">
        <v>45332</v>
      </c>
      <c r="I225" s="60">
        <f t="shared" ca="1" si="2"/>
        <v>2</v>
      </c>
      <c r="J225" s="178" t="s">
        <v>1527</v>
      </c>
      <c r="K225" s="64" t="s">
        <v>1528</v>
      </c>
      <c r="L225" s="65" t="s">
        <v>1529</v>
      </c>
      <c r="M225" s="66" t="s">
        <v>1530</v>
      </c>
      <c r="N225" s="77">
        <v>12879782</v>
      </c>
      <c r="O225" s="152" t="s">
        <v>1528</v>
      </c>
      <c r="P225" s="179" t="s">
        <v>1527</v>
      </c>
      <c r="Q225" s="68" t="s">
        <v>1506</v>
      </c>
      <c r="R225" s="69" t="s">
        <v>1507</v>
      </c>
      <c r="S225" s="69" t="s">
        <v>138</v>
      </c>
      <c r="T225" s="69"/>
      <c r="U225" s="70"/>
      <c r="V225" s="79"/>
      <c r="W225" s="66">
        <v>45332</v>
      </c>
      <c r="X225" s="69" t="s">
        <v>1506</v>
      </c>
      <c r="Y225" s="75" t="s">
        <v>1531</v>
      </c>
      <c r="Z225" s="60"/>
      <c r="AA225" s="60"/>
      <c r="AB225" s="75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80"/>
      <c r="AR225" s="164"/>
    </row>
    <row r="226" spans="1:44" ht="30.75" customHeight="1">
      <c r="A226" s="41"/>
      <c r="B226" s="705"/>
      <c r="C226" s="172">
        <v>20</v>
      </c>
      <c r="D226" s="60" t="s">
        <v>1532</v>
      </c>
      <c r="E226" s="60" t="s">
        <v>1533</v>
      </c>
      <c r="F226" s="60" t="s">
        <v>43</v>
      </c>
      <c r="G226" s="62">
        <v>33884086</v>
      </c>
      <c r="H226" s="60">
        <v>45332</v>
      </c>
      <c r="I226" s="60">
        <f t="shared" ca="1" si="2"/>
        <v>2</v>
      </c>
      <c r="J226" s="173" t="s">
        <v>1534</v>
      </c>
      <c r="K226" s="64" t="s">
        <v>1535</v>
      </c>
      <c r="L226" s="65" t="s">
        <v>1536</v>
      </c>
      <c r="M226" s="66" t="s">
        <v>1537</v>
      </c>
      <c r="N226" s="77">
        <v>21121732</v>
      </c>
      <c r="O226" s="152" t="s">
        <v>1535</v>
      </c>
      <c r="P226" s="67"/>
      <c r="Q226" s="68" t="s">
        <v>851</v>
      </c>
      <c r="R226" s="69" t="s">
        <v>1538</v>
      </c>
      <c r="S226" s="69" t="s">
        <v>138</v>
      </c>
      <c r="T226" s="69"/>
      <c r="U226" s="70"/>
      <c r="V226" s="79"/>
      <c r="W226" s="66">
        <v>45332</v>
      </c>
      <c r="X226" s="69" t="s">
        <v>851</v>
      </c>
      <c r="Y226" s="75"/>
      <c r="Z226" s="60"/>
      <c r="AA226" s="60"/>
      <c r="AB226" s="75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80"/>
      <c r="AR226" s="164"/>
    </row>
    <row r="227" spans="1:44" ht="30.75" customHeight="1">
      <c r="A227" s="41"/>
      <c r="B227" s="707" t="s">
        <v>1539</v>
      </c>
      <c r="C227" s="172">
        <v>1</v>
      </c>
      <c r="D227" s="60" t="s">
        <v>1540</v>
      </c>
      <c r="E227" s="60" t="s">
        <v>1541</v>
      </c>
      <c r="F227" s="60" t="s">
        <v>43</v>
      </c>
      <c r="G227" s="62"/>
      <c r="H227" s="60">
        <v>45392</v>
      </c>
      <c r="I227" s="60">
        <f t="shared" ca="1" si="2"/>
        <v>2</v>
      </c>
      <c r="J227" s="173" t="s">
        <v>1542</v>
      </c>
      <c r="K227" s="64" t="s">
        <v>1543</v>
      </c>
      <c r="L227" s="65" t="s">
        <v>1544</v>
      </c>
      <c r="M227" s="66" t="s">
        <v>1545</v>
      </c>
      <c r="N227" s="77">
        <v>16618124</v>
      </c>
      <c r="O227" s="152" t="s">
        <v>1543</v>
      </c>
      <c r="P227" s="67"/>
      <c r="Q227" s="68" t="s">
        <v>94</v>
      </c>
      <c r="R227" s="69" t="s">
        <v>1118</v>
      </c>
      <c r="S227" s="69" t="s">
        <v>138</v>
      </c>
      <c r="T227" s="69"/>
      <c r="U227" s="70"/>
      <c r="V227" s="79"/>
      <c r="W227" s="66">
        <v>45392</v>
      </c>
      <c r="X227" s="69" t="s">
        <v>94</v>
      </c>
      <c r="Y227" s="75" t="s">
        <v>1546</v>
      </c>
      <c r="Z227" s="60"/>
      <c r="AA227" s="60"/>
      <c r="AB227" s="75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80"/>
      <c r="AR227" s="164"/>
    </row>
    <row r="228" spans="1:44" ht="30.75" customHeight="1">
      <c r="A228" s="41"/>
      <c r="B228" s="704"/>
      <c r="C228" s="172">
        <v>2</v>
      </c>
      <c r="D228" s="60" t="s">
        <v>1547</v>
      </c>
      <c r="E228" s="60" t="s">
        <v>1548</v>
      </c>
      <c r="F228" s="60" t="s">
        <v>43</v>
      </c>
      <c r="G228" s="62">
        <v>34344185</v>
      </c>
      <c r="H228" s="60">
        <v>45392</v>
      </c>
      <c r="I228" s="60">
        <f t="shared" ca="1" si="2"/>
        <v>2</v>
      </c>
      <c r="J228" s="178" t="s">
        <v>1542</v>
      </c>
      <c r="K228" s="64" t="s">
        <v>1543</v>
      </c>
      <c r="L228" s="65" t="s">
        <v>1544</v>
      </c>
      <c r="M228" s="66" t="s">
        <v>1545</v>
      </c>
      <c r="N228" s="77">
        <v>16618124</v>
      </c>
      <c r="O228" s="152" t="s">
        <v>1543</v>
      </c>
      <c r="P228" s="67"/>
      <c r="Q228" s="68" t="s">
        <v>851</v>
      </c>
      <c r="R228" s="69" t="s">
        <v>619</v>
      </c>
      <c r="S228" s="69" t="s">
        <v>138</v>
      </c>
      <c r="T228" s="69"/>
      <c r="U228" s="70"/>
      <c r="V228" s="79"/>
      <c r="W228" s="66">
        <v>45392</v>
      </c>
      <c r="X228" s="69" t="s">
        <v>851</v>
      </c>
      <c r="Y228" s="75" t="s">
        <v>1546</v>
      </c>
      <c r="Z228" s="60"/>
      <c r="AA228" s="60"/>
      <c r="AB228" s="75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80"/>
      <c r="AR228" s="164"/>
    </row>
    <row r="229" spans="1:44" ht="30.75" customHeight="1">
      <c r="A229" s="41"/>
      <c r="B229" s="704"/>
      <c r="C229" s="172">
        <v>3</v>
      </c>
      <c r="D229" s="60" t="s">
        <v>1549</v>
      </c>
      <c r="E229" s="60" t="s">
        <v>1550</v>
      </c>
      <c r="F229" s="60" t="s">
        <v>43</v>
      </c>
      <c r="G229" s="183">
        <v>32985601</v>
      </c>
      <c r="H229" s="60">
        <v>45392</v>
      </c>
      <c r="I229" s="60">
        <f t="shared" ca="1" si="2"/>
        <v>2</v>
      </c>
      <c r="J229" s="178" t="s">
        <v>1551</v>
      </c>
      <c r="K229" s="64" t="s">
        <v>1552</v>
      </c>
      <c r="L229" s="65" t="s">
        <v>1553</v>
      </c>
      <c r="M229" s="66" t="s">
        <v>1554</v>
      </c>
      <c r="N229" s="77">
        <v>16147912</v>
      </c>
      <c r="O229" s="152" t="s">
        <v>1555</v>
      </c>
      <c r="P229" s="67"/>
      <c r="Q229" s="68" t="s">
        <v>1556</v>
      </c>
      <c r="R229" s="69" t="s">
        <v>939</v>
      </c>
      <c r="S229" s="69" t="s">
        <v>138</v>
      </c>
      <c r="T229" s="69"/>
      <c r="U229" s="70"/>
      <c r="V229" s="79"/>
      <c r="W229" s="66">
        <v>45392</v>
      </c>
      <c r="X229" s="69" t="s">
        <v>1556</v>
      </c>
      <c r="Y229" s="75">
        <v>360</v>
      </c>
      <c r="Z229" s="60"/>
      <c r="AA229" s="60"/>
      <c r="AB229" s="75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80"/>
      <c r="AR229" s="164"/>
    </row>
    <row r="230" spans="1:44" ht="30.75" customHeight="1">
      <c r="A230" s="41"/>
      <c r="B230" s="704"/>
      <c r="C230" s="172">
        <v>4</v>
      </c>
      <c r="D230" s="60" t="s">
        <v>1557</v>
      </c>
      <c r="E230" s="60" t="s">
        <v>1558</v>
      </c>
      <c r="F230" s="60" t="s">
        <v>43</v>
      </c>
      <c r="G230" s="62"/>
      <c r="H230" s="60">
        <v>45392</v>
      </c>
      <c r="I230" s="60">
        <f t="shared" ca="1" si="2"/>
        <v>2</v>
      </c>
      <c r="J230" s="173" t="s">
        <v>1551</v>
      </c>
      <c r="K230" s="64" t="s">
        <v>1552</v>
      </c>
      <c r="L230" s="65" t="s">
        <v>1553</v>
      </c>
      <c r="M230" s="66" t="s">
        <v>1554</v>
      </c>
      <c r="N230" s="77">
        <v>16147912</v>
      </c>
      <c r="O230" s="152" t="s">
        <v>1555</v>
      </c>
      <c r="P230" s="67"/>
      <c r="Q230" s="68" t="s">
        <v>369</v>
      </c>
      <c r="R230" s="69" t="s">
        <v>939</v>
      </c>
      <c r="S230" s="69" t="s">
        <v>138</v>
      </c>
      <c r="T230" s="69"/>
      <c r="U230" s="70"/>
      <c r="V230" s="79"/>
      <c r="W230" s="66">
        <v>45392</v>
      </c>
      <c r="X230" s="69" t="s">
        <v>369</v>
      </c>
      <c r="Y230" s="75"/>
      <c r="Z230" s="60"/>
      <c r="AA230" s="60"/>
      <c r="AB230" s="75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80"/>
      <c r="AR230" s="164"/>
    </row>
    <row r="231" spans="1:44" ht="30.75" customHeight="1">
      <c r="A231" s="41"/>
      <c r="B231" s="704"/>
      <c r="C231" s="172">
        <v>5</v>
      </c>
      <c r="D231" s="60" t="s">
        <v>1559</v>
      </c>
      <c r="E231" s="60" t="s">
        <v>1560</v>
      </c>
      <c r="F231" s="60" t="s">
        <v>278</v>
      </c>
      <c r="G231" s="62"/>
      <c r="H231" s="60">
        <v>45539</v>
      </c>
      <c r="I231" s="60">
        <f t="shared" ca="1" si="2"/>
        <v>1</v>
      </c>
      <c r="J231" s="178" t="s">
        <v>1561</v>
      </c>
      <c r="K231" s="64" t="s">
        <v>1562</v>
      </c>
      <c r="L231" s="65" t="s">
        <v>1563</v>
      </c>
      <c r="M231" s="66" t="s">
        <v>1564</v>
      </c>
      <c r="N231" s="77">
        <v>16888446</v>
      </c>
      <c r="O231" s="60" t="s">
        <v>1565</v>
      </c>
      <c r="P231" s="67"/>
      <c r="Q231" s="68" t="s">
        <v>94</v>
      </c>
      <c r="R231" s="69" t="s">
        <v>1118</v>
      </c>
      <c r="S231" s="69" t="s">
        <v>138</v>
      </c>
      <c r="T231" s="69"/>
      <c r="U231" s="70"/>
      <c r="V231" s="79"/>
      <c r="W231" s="66">
        <v>45539</v>
      </c>
      <c r="X231" s="69" t="s">
        <v>1566</v>
      </c>
      <c r="Y231" s="75"/>
      <c r="Z231" s="60"/>
      <c r="AA231" s="60"/>
      <c r="AB231" s="75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80"/>
      <c r="AR231" s="164"/>
    </row>
    <row r="232" spans="1:44" ht="30.75" customHeight="1">
      <c r="A232" s="41"/>
      <c r="B232" s="704"/>
      <c r="C232" s="172">
        <v>6</v>
      </c>
      <c r="D232" s="60" t="s">
        <v>1567</v>
      </c>
      <c r="E232" s="60" t="s">
        <v>1568</v>
      </c>
      <c r="F232" s="60" t="s">
        <v>43</v>
      </c>
      <c r="G232" s="62"/>
      <c r="H232" s="60">
        <v>45573</v>
      </c>
      <c r="I232" s="60">
        <f t="shared" ca="1" si="2"/>
        <v>1</v>
      </c>
      <c r="J232" s="173" t="s">
        <v>1569</v>
      </c>
      <c r="K232" s="64" t="s">
        <v>1570</v>
      </c>
      <c r="L232" s="65" t="s">
        <v>1571</v>
      </c>
      <c r="M232" s="66" t="s">
        <v>1572</v>
      </c>
      <c r="N232" s="77">
        <v>19763875</v>
      </c>
      <c r="O232" s="152" t="s">
        <v>1570</v>
      </c>
      <c r="P232" s="67"/>
      <c r="Q232" s="68" t="s">
        <v>94</v>
      </c>
      <c r="R232" s="69" t="s">
        <v>1118</v>
      </c>
      <c r="S232" s="69" t="s">
        <v>138</v>
      </c>
      <c r="T232" s="69"/>
      <c r="U232" s="70"/>
      <c r="V232" s="79"/>
      <c r="W232" s="66">
        <v>45573</v>
      </c>
      <c r="X232" s="69" t="s">
        <v>94</v>
      </c>
      <c r="Y232" s="75"/>
      <c r="Z232" s="60"/>
      <c r="AA232" s="60"/>
      <c r="AB232" s="75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80"/>
      <c r="AR232" s="164"/>
    </row>
    <row r="233" spans="1:44" ht="30.75" customHeight="1">
      <c r="A233" s="41"/>
      <c r="B233" s="704"/>
      <c r="C233" s="172">
        <v>7</v>
      </c>
      <c r="D233" s="60" t="s">
        <v>1573</v>
      </c>
      <c r="E233" s="60" t="s">
        <v>1574</v>
      </c>
      <c r="F233" s="60" t="s">
        <v>43</v>
      </c>
      <c r="G233" s="62">
        <v>19763875</v>
      </c>
      <c r="H233" s="60">
        <v>45573</v>
      </c>
      <c r="I233" s="60">
        <f t="shared" ca="1" si="2"/>
        <v>1</v>
      </c>
      <c r="J233" s="173" t="s">
        <v>1569</v>
      </c>
      <c r="K233" s="64" t="s">
        <v>1570</v>
      </c>
      <c r="L233" s="65" t="s">
        <v>1571</v>
      </c>
      <c r="M233" s="66"/>
      <c r="N233" s="77"/>
      <c r="O233" s="60"/>
      <c r="P233" s="67"/>
      <c r="Q233" s="68" t="s">
        <v>281</v>
      </c>
      <c r="R233" s="69" t="s">
        <v>1575</v>
      </c>
      <c r="S233" s="69" t="s">
        <v>138</v>
      </c>
      <c r="T233" s="69"/>
      <c r="U233" s="70"/>
      <c r="V233" s="79"/>
      <c r="W233" s="66">
        <v>45573</v>
      </c>
      <c r="X233" s="69">
        <v>45573</v>
      </c>
      <c r="Y233" s="75" t="s">
        <v>1576</v>
      </c>
      <c r="Z233" s="60"/>
      <c r="AA233" s="60"/>
      <c r="AB233" s="75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80"/>
      <c r="AR233" s="164"/>
    </row>
    <row r="234" spans="1:44" ht="30.75" customHeight="1">
      <c r="A234" s="41"/>
      <c r="B234" s="704"/>
      <c r="C234" s="172">
        <v>8</v>
      </c>
      <c r="D234" s="60" t="s">
        <v>1577</v>
      </c>
      <c r="E234" s="60" t="s">
        <v>1578</v>
      </c>
      <c r="F234" s="60" t="s">
        <v>43</v>
      </c>
      <c r="G234" s="62">
        <v>26498378</v>
      </c>
      <c r="H234" s="60">
        <v>45573</v>
      </c>
      <c r="I234" s="60">
        <f t="shared" ca="1" si="2"/>
        <v>1</v>
      </c>
      <c r="J234" s="178" t="s">
        <v>1579</v>
      </c>
      <c r="K234" s="64" t="s">
        <v>1580</v>
      </c>
      <c r="L234" s="65" t="s">
        <v>1581</v>
      </c>
      <c r="M234" s="66"/>
      <c r="N234" s="77"/>
      <c r="O234" s="60"/>
      <c r="P234" s="67"/>
      <c r="Q234" s="68" t="s">
        <v>1582</v>
      </c>
      <c r="R234" s="69" t="s">
        <v>696</v>
      </c>
      <c r="S234" s="69" t="s">
        <v>138</v>
      </c>
      <c r="T234" s="69"/>
      <c r="U234" s="70"/>
      <c r="V234" s="79"/>
      <c r="W234" s="66">
        <v>45573</v>
      </c>
      <c r="X234" s="69" t="s">
        <v>1582</v>
      </c>
      <c r="Y234" s="75"/>
      <c r="Z234" s="60"/>
      <c r="AA234" s="60"/>
      <c r="AB234" s="75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80"/>
      <c r="AR234" s="164"/>
    </row>
    <row r="235" spans="1:44" ht="30.75" customHeight="1">
      <c r="A235" s="41"/>
      <c r="B235" s="704"/>
      <c r="C235" s="172">
        <v>9</v>
      </c>
      <c r="D235" s="60" t="s">
        <v>1583</v>
      </c>
      <c r="E235" s="60" t="s">
        <v>1584</v>
      </c>
      <c r="F235" s="60" t="s">
        <v>43</v>
      </c>
      <c r="G235" s="62">
        <v>34282459</v>
      </c>
      <c r="H235" s="184" t="s">
        <v>1585</v>
      </c>
      <c r="I235" s="60">
        <f t="shared" ca="1" si="2"/>
        <v>1</v>
      </c>
      <c r="J235" s="173" t="s">
        <v>1586</v>
      </c>
      <c r="K235" s="64" t="s">
        <v>1587</v>
      </c>
      <c r="L235" s="65" t="s">
        <v>1588</v>
      </c>
      <c r="M235" s="66" t="s">
        <v>1589</v>
      </c>
      <c r="N235" s="77">
        <v>11408767</v>
      </c>
      <c r="O235" s="152" t="s">
        <v>1590</v>
      </c>
      <c r="P235" s="67"/>
      <c r="Q235" s="68" t="s">
        <v>281</v>
      </c>
      <c r="R235" s="69" t="s">
        <v>1575</v>
      </c>
      <c r="S235" s="69" t="s">
        <v>138</v>
      </c>
      <c r="T235" s="69"/>
      <c r="U235" s="70"/>
      <c r="V235" s="79"/>
      <c r="W235" s="185" t="s">
        <v>1585</v>
      </c>
      <c r="X235" s="69" t="s">
        <v>281</v>
      </c>
      <c r="Y235" s="75"/>
      <c r="Z235" s="60"/>
      <c r="AA235" s="60"/>
      <c r="AB235" s="75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80"/>
      <c r="AR235" s="164"/>
    </row>
    <row r="236" spans="1:44" ht="30.75" customHeight="1">
      <c r="A236" s="41"/>
      <c r="B236" s="704"/>
      <c r="C236" s="172">
        <v>10</v>
      </c>
      <c r="D236" s="60" t="s">
        <v>1591</v>
      </c>
      <c r="E236" s="60" t="s">
        <v>1592</v>
      </c>
      <c r="F236" s="60" t="s">
        <v>43</v>
      </c>
      <c r="G236" s="62">
        <v>33754906</v>
      </c>
      <c r="H236" s="184" t="s">
        <v>1585</v>
      </c>
      <c r="I236" s="60">
        <f t="shared" ca="1" si="2"/>
        <v>1</v>
      </c>
      <c r="J236" s="173" t="s">
        <v>1593</v>
      </c>
      <c r="K236" s="64" t="s">
        <v>1594</v>
      </c>
      <c r="L236" s="65" t="s">
        <v>1595</v>
      </c>
      <c r="M236" s="66" t="s">
        <v>1432</v>
      </c>
      <c r="N236" s="77">
        <v>10263981</v>
      </c>
      <c r="O236" s="152" t="s">
        <v>1433</v>
      </c>
      <c r="P236" s="67"/>
      <c r="Q236" s="68" t="s">
        <v>814</v>
      </c>
      <c r="R236" s="69" t="s">
        <v>1596</v>
      </c>
      <c r="S236" s="69" t="s">
        <v>138</v>
      </c>
      <c r="T236" s="69"/>
      <c r="U236" s="70"/>
      <c r="V236" s="79"/>
      <c r="W236" s="185" t="s">
        <v>1585</v>
      </c>
      <c r="X236" s="69" t="s">
        <v>814</v>
      </c>
      <c r="Y236" s="75" t="s">
        <v>1597</v>
      </c>
      <c r="Z236" s="60"/>
      <c r="AA236" s="60"/>
      <c r="AB236" s="75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80"/>
      <c r="AR236" s="164"/>
    </row>
    <row r="237" spans="1:44" ht="30.75" customHeight="1">
      <c r="A237" s="41"/>
      <c r="B237" s="704"/>
      <c r="C237" s="172">
        <v>11</v>
      </c>
      <c r="D237" s="60" t="s">
        <v>1598</v>
      </c>
      <c r="E237" s="60" t="s">
        <v>1599</v>
      </c>
      <c r="F237" s="60" t="s">
        <v>43</v>
      </c>
      <c r="G237" s="62">
        <v>32756205</v>
      </c>
      <c r="H237" s="184" t="s">
        <v>1585</v>
      </c>
      <c r="I237" s="60">
        <f t="shared" ca="1" si="2"/>
        <v>1</v>
      </c>
      <c r="J237" s="178" t="s">
        <v>1600</v>
      </c>
      <c r="K237" s="64" t="s">
        <v>1601</v>
      </c>
      <c r="L237" s="65" t="s">
        <v>1602</v>
      </c>
      <c r="M237" s="66" t="s">
        <v>1603</v>
      </c>
      <c r="N237" s="77">
        <v>18538420</v>
      </c>
      <c r="O237" s="152" t="s">
        <v>1604</v>
      </c>
      <c r="P237" s="67"/>
      <c r="Q237" s="68" t="s">
        <v>404</v>
      </c>
      <c r="R237" s="69" t="s">
        <v>1118</v>
      </c>
      <c r="S237" s="69" t="s">
        <v>138</v>
      </c>
      <c r="T237" s="69"/>
      <c r="U237" s="70"/>
      <c r="V237" s="79"/>
      <c r="W237" s="185" t="s">
        <v>1585</v>
      </c>
      <c r="X237" s="69" t="s">
        <v>404</v>
      </c>
      <c r="Y237" s="75" t="s">
        <v>1605</v>
      </c>
      <c r="Z237" s="60"/>
      <c r="AA237" s="60"/>
      <c r="AB237" s="75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80"/>
      <c r="AR237" s="164"/>
    </row>
    <row r="238" spans="1:44" ht="30.75" customHeight="1">
      <c r="A238" s="41"/>
      <c r="B238" s="704"/>
      <c r="C238" s="172">
        <v>12</v>
      </c>
      <c r="D238" s="60" t="s">
        <v>1606</v>
      </c>
      <c r="E238" s="60" t="s">
        <v>1607</v>
      </c>
      <c r="F238" s="60" t="s">
        <v>43</v>
      </c>
      <c r="G238" s="62"/>
      <c r="H238" s="186">
        <v>41164</v>
      </c>
      <c r="I238" s="60">
        <f t="shared" ca="1" si="2"/>
        <v>13</v>
      </c>
      <c r="J238" s="63"/>
      <c r="K238" s="64" t="s">
        <v>1608</v>
      </c>
      <c r="L238" s="65" t="s">
        <v>1609</v>
      </c>
      <c r="M238" s="66" t="s">
        <v>1610</v>
      </c>
      <c r="N238" s="77">
        <v>18234374</v>
      </c>
      <c r="O238" s="181">
        <v>4120457615</v>
      </c>
      <c r="P238" s="67" t="s">
        <v>1611</v>
      </c>
      <c r="Q238" s="68" t="s">
        <v>704</v>
      </c>
      <c r="R238" s="69" t="s">
        <v>1612</v>
      </c>
      <c r="S238" s="69" t="s">
        <v>138</v>
      </c>
      <c r="T238" s="69"/>
      <c r="U238" s="70"/>
      <c r="V238" s="79"/>
      <c r="W238" s="187">
        <v>45554</v>
      </c>
      <c r="X238" s="69" t="s">
        <v>704</v>
      </c>
      <c r="Y238" s="75" t="s">
        <v>1613</v>
      </c>
      <c r="Z238" s="60"/>
      <c r="AA238" s="60"/>
      <c r="AB238" s="75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80"/>
      <c r="AR238" s="164"/>
    </row>
    <row r="239" spans="1:44" ht="30.75" customHeight="1">
      <c r="A239" s="41"/>
      <c r="B239" s="704"/>
      <c r="C239" s="172">
        <v>13</v>
      </c>
      <c r="D239" s="60" t="s">
        <v>1614</v>
      </c>
      <c r="E239" s="60" t="s">
        <v>1615</v>
      </c>
      <c r="F239" s="60" t="s">
        <v>43</v>
      </c>
      <c r="G239" s="62">
        <v>36570608</v>
      </c>
      <c r="H239" s="186">
        <v>41577</v>
      </c>
      <c r="I239" s="60">
        <f t="shared" ca="1" si="2"/>
        <v>12</v>
      </c>
      <c r="J239" s="63" t="s">
        <v>1616</v>
      </c>
      <c r="K239" s="64" t="s">
        <v>1617</v>
      </c>
      <c r="L239" s="65" t="s">
        <v>1618</v>
      </c>
      <c r="M239" s="66" t="s">
        <v>1619</v>
      </c>
      <c r="N239" s="77">
        <v>16889930</v>
      </c>
      <c r="O239" s="181">
        <v>4241603010</v>
      </c>
      <c r="P239" s="67"/>
      <c r="Q239" s="68" t="s">
        <v>704</v>
      </c>
      <c r="R239" s="69" t="s">
        <v>1612</v>
      </c>
      <c r="S239" s="69" t="s">
        <v>138</v>
      </c>
      <c r="T239" s="69"/>
      <c r="U239" s="70"/>
      <c r="V239" s="79"/>
      <c r="W239" s="187">
        <v>45586</v>
      </c>
      <c r="X239" s="69" t="s">
        <v>704</v>
      </c>
      <c r="Y239" s="75" t="s">
        <v>1620</v>
      </c>
      <c r="Z239" s="60"/>
      <c r="AA239" s="60"/>
      <c r="AB239" s="75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80"/>
      <c r="AR239" s="164"/>
    </row>
    <row r="240" spans="1:44" ht="30.75" customHeight="1">
      <c r="A240" s="41"/>
      <c r="B240" s="704"/>
      <c r="C240" s="172">
        <v>14</v>
      </c>
      <c r="D240" s="60" t="s">
        <v>1621</v>
      </c>
      <c r="E240" s="60" t="s">
        <v>1622</v>
      </c>
      <c r="F240" s="60" t="s">
        <v>43</v>
      </c>
      <c r="G240" s="62"/>
      <c r="H240" s="118">
        <v>40380</v>
      </c>
      <c r="I240" s="60">
        <f t="shared" ca="1" si="2"/>
        <v>15</v>
      </c>
      <c r="J240" s="63"/>
      <c r="K240" s="64" t="s">
        <v>1623</v>
      </c>
      <c r="L240" s="65" t="s">
        <v>725</v>
      </c>
      <c r="M240" s="66" t="s">
        <v>1624</v>
      </c>
      <c r="N240" s="77">
        <v>15316630</v>
      </c>
      <c r="O240" s="181">
        <v>4242201104</v>
      </c>
      <c r="P240" s="67"/>
      <c r="Q240" s="68" t="s">
        <v>281</v>
      </c>
      <c r="R240" s="69" t="s">
        <v>1625</v>
      </c>
      <c r="S240" s="69" t="s">
        <v>138</v>
      </c>
      <c r="T240" s="69"/>
      <c r="U240" s="70"/>
      <c r="V240" s="79"/>
      <c r="W240" s="187">
        <v>45586</v>
      </c>
      <c r="X240" s="69" t="s">
        <v>281</v>
      </c>
      <c r="Y240" s="75" t="s">
        <v>1626</v>
      </c>
      <c r="Z240" s="60"/>
      <c r="AA240" s="60"/>
      <c r="AB240" s="75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80"/>
      <c r="AR240" s="164"/>
    </row>
    <row r="241" spans="1:44" ht="30.75" customHeight="1">
      <c r="A241" s="41"/>
      <c r="B241" s="704"/>
      <c r="C241" s="172">
        <v>15</v>
      </c>
      <c r="D241" s="60" t="s">
        <v>1627</v>
      </c>
      <c r="E241" s="60" t="s">
        <v>1628</v>
      </c>
      <c r="F241" s="60" t="s">
        <v>43</v>
      </c>
      <c r="G241" s="62">
        <v>35099442</v>
      </c>
      <c r="H241" s="188">
        <v>41614</v>
      </c>
      <c r="I241" s="60">
        <f t="shared" ca="1" si="2"/>
        <v>12</v>
      </c>
      <c r="J241" s="63" t="s">
        <v>1629</v>
      </c>
      <c r="K241" s="64" t="s">
        <v>1630</v>
      </c>
      <c r="L241" s="65" t="s">
        <v>1631</v>
      </c>
      <c r="M241" s="66" t="s">
        <v>1632</v>
      </c>
      <c r="N241" s="77">
        <v>16887415</v>
      </c>
      <c r="O241" s="181">
        <v>4141874104</v>
      </c>
      <c r="P241" s="67" t="s">
        <v>1633</v>
      </c>
      <c r="Q241" s="68" t="s">
        <v>369</v>
      </c>
      <c r="R241" s="69" t="s">
        <v>1634</v>
      </c>
      <c r="S241" s="69" t="s">
        <v>138</v>
      </c>
      <c r="T241" s="69"/>
      <c r="U241" s="70"/>
      <c r="V241" s="79"/>
      <c r="W241" s="187">
        <v>45587</v>
      </c>
      <c r="X241" s="69" t="s">
        <v>369</v>
      </c>
      <c r="Y241" s="75"/>
      <c r="Z241" s="60"/>
      <c r="AA241" s="60"/>
      <c r="AB241" s="75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80"/>
      <c r="AR241" s="164"/>
    </row>
    <row r="242" spans="1:44" ht="30.75" customHeight="1">
      <c r="A242" s="41"/>
      <c r="B242" s="704"/>
      <c r="C242" s="172">
        <v>16</v>
      </c>
      <c r="D242" s="60" t="s">
        <v>1635</v>
      </c>
      <c r="E242" s="60" t="s">
        <v>1636</v>
      </c>
      <c r="F242" s="60" t="s">
        <v>43</v>
      </c>
      <c r="G242" s="62"/>
      <c r="H242" s="188">
        <v>40036</v>
      </c>
      <c r="I242" s="60">
        <f t="shared" ca="1" si="2"/>
        <v>16</v>
      </c>
      <c r="J242" s="63"/>
      <c r="K242" s="64" t="s">
        <v>1637</v>
      </c>
      <c r="L242" s="189" t="s">
        <v>1638</v>
      </c>
      <c r="M242" s="66" t="s">
        <v>1639</v>
      </c>
      <c r="N242" s="77">
        <v>13576999</v>
      </c>
      <c r="O242" s="181">
        <v>4143466992</v>
      </c>
      <c r="P242" s="67"/>
      <c r="Q242" s="68" t="s">
        <v>63</v>
      </c>
      <c r="R242" s="69" t="s">
        <v>1634</v>
      </c>
      <c r="S242" s="69" t="s">
        <v>1041</v>
      </c>
      <c r="T242" s="69"/>
      <c r="U242" s="70"/>
      <c r="V242" s="79"/>
      <c r="W242" s="187">
        <v>45589</v>
      </c>
      <c r="X242" s="69" t="s">
        <v>63</v>
      </c>
      <c r="Y242" s="75"/>
      <c r="Z242" s="60"/>
      <c r="AA242" s="60"/>
      <c r="AB242" s="75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80"/>
      <c r="AR242" s="164"/>
    </row>
    <row r="243" spans="1:44" ht="30.75" customHeight="1">
      <c r="A243" s="41"/>
      <c r="B243" s="704"/>
      <c r="C243" s="172">
        <v>17</v>
      </c>
      <c r="D243" s="60" t="s">
        <v>1640</v>
      </c>
      <c r="E243" s="60" t="s">
        <v>1641</v>
      </c>
      <c r="F243" s="60" t="s">
        <v>43</v>
      </c>
      <c r="G243" s="62"/>
      <c r="H243" s="188">
        <v>42969</v>
      </c>
      <c r="I243" s="60">
        <f t="shared" ca="1" si="2"/>
        <v>8</v>
      </c>
      <c r="J243" s="63" t="s">
        <v>1642</v>
      </c>
      <c r="K243" s="64" t="s">
        <v>1643</v>
      </c>
      <c r="L243" s="65" t="s">
        <v>1644</v>
      </c>
      <c r="M243" s="66" t="s">
        <v>1645</v>
      </c>
      <c r="N243" s="77">
        <v>12721433</v>
      </c>
      <c r="O243" s="181">
        <v>4244978793</v>
      </c>
      <c r="P243" s="67" t="s">
        <v>1642</v>
      </c>
      <c r="Q243" s="68" t="s">
        <v>370</v>
      </c>
      <c r="R243" s="69" t="s">
        <v>1646</v>
      </c>
      <c r="S243" s="69" t="s">
        <v>138</v>
      </c>
      <c r="T243" s="69"/>
      <c r="U243" s="70"/>
      <c r="V243" s="79"/>
      <c r="W243" s="187">
        <v>45594</v>
      </c>
      <c r="X243" s="69" t="s">
        <v>370</v>
      </c>
      <c r="Y243" s="75" t="s">
        <v>1647</v>
      </c>
      <c r="Z243" s="60"/>
      <c r="AA243" s="60"/>
      <c r="AB243" s="75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80"/>
      <c r="AR243" s="164"/>
    </row>
    <row r="244" spans="1:44" ht="30.75" customHeight="1">
      <c r="A244" s="41"/>
      <c r="B244" s="704"/>
      <c r="C244" s="172">
        <v>18</v>
      </c>
      <c r="D244" s="60" t="s">
        <v>1648</v>
      </c>
      <c r="E244" s="60" t="s">
        <v>1649</v>
      </c>
      <c r="F244" s="60" t="s">
        <v>43</v>
      </c>
      <c r="G244" s="62"/>
      <c r="H244" s="188">
        <v>43659</v>
      </c>
      <c r="I244" s="60">
        <f t="shared" ca="1" si="2"/>
        <v>6</v>
      </c>
      <c r="J244" s="63"/>
      <c r="K244" s="64"/>
      <c r="L244" s="65" t="s">
        <v>1650</v>
      </c>
      <c r="M244" s="66" t="s">
        <v>1651</v>
      </c>
      <c r="N244" s="77">
        <v>21089297</v>
      </c>
      <c r="O244" s="181">
        <v>4241019372</v>
      </c>
      <c r="P244" s="67" t="s">
        <v>1652</v>
      </c>
      <c r="Q244" s="68" t="s">
        <v>96</v>
      </c>
      <c r="R244" s="69" t="s">
        <v>1653</v>
      </c>
      <c r="S244" s="69" t="s">
        <v>138</v>
      </c>
      <c r="T244" s="69"/>
      <c r="U244" s="70"/>
      <c r="V244" s="79"/>
      <c r="W244" s="187">
        <v>45594</v>
      </c>
      <c r="X244" s="69" t="s">
        <v>96</v>
      </c>
      <c r="Y244" s="75" t="s">
        <v>1654</v>
      </c>
      <c r="Z244" s="60"/>
      <c r="AA244" s="60"/>
      <c r="AB244" s="75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80"/>
      <c r="AR244" s="164"/>
    </row>
    <row r="245" spans="1:44" ht="30.75" customHeight="1">
      <c r="A245" s="41"/>
      <c r="B245" s="705"/>
      <c r="C245" s="172">
        <v>19</v>
      </c>
      <c r="D245" s="60" t="s">
        <v>1655</v>
      </c>
      <c r="E245" s="60" t="s">
        <v>1656</v>
      </c>
      <c r="F245" s="60" t="s">
        <v>43</v>
      </c>
      <c r="G245" s="62"/>
      <c r="H245" s="190">
        <v>43006</v>
      </c>
      <c r="I245" s="60">
        <f t="shared" ca="1" si="2"/>
        <v>8</v>
      </c>
      <c r="J245" s="63"/>
      <c r="K245" s="64" t="s">
        <v>1657</v>
      </c>
      <c r="L245" s="65" t="s">
        <v>1350</v>
      </c>
      <c r="M245" s="66" t="s">
        <v>1658</v>
      </c>
      <c r="N245" s="77">
        <v>15342621</v>
      </c>
      <c r="O245" s="181">
        <v>4149272839</v>
      </c>
      <c r="P245" s="67" t="s">
        <v>1659</v>
      </c>
      <c r="Q245" s="68"/>
      <c r="R245" s="69"/>
      <c r="S245" s="69" t="s">
        <v>138</v>
      </c>
      <c r="T245" s="69"/>
      <c r="U245" s="70"/>
      <c r="V245" s="79"/>
      <c r="W245" s="187">
        <v>45596</v>
      </c>
      <c r="X245" s="69"/>
      <c r="Y245" s="75" t="s">
        <v>1660</v>
      </c>
      <c r="Z245" s="60"/>
      <c r="AA245" s="60"/>
      <c r="AB245" s="75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80"/>
      <c r="AR245" s="164"/>
    </row>
    <row r="246" spans="1:44" ht="30.75" customHeight="1">
      <c r="A246" s="41"/>
      <c r="B246" s="703" t="s">
        <v>1661</v>
      </c>
      <c r="C246" s="172">
        <v>20</v>
      </c>
      <c r="D246" s="60" t="s">
        <v>1662</v>
      </c>
      <c r="E246" s="60" t="s">
        <v>1663</v>
      </c>
      <c r="F246" s="60" t="s">
        <v>43</v>
      </c>
      <c r="G246" s="62">
        <v>34427437</v>
      </c>
      <c r="H246" s="190">
        <v>41254</v>
      </c>
      <c r="I246" s="60">
        <f t="shared" ca="1" si="2"/>
        <v>13</v>
      </c>
      <c r="J246" s="63"/>
      <c r="K246" s="64" t="s">
        <v>1657</v>
      </c>
      <c r="L246" s="65" t="s">
        <v>1664</v>
      </c>
      <c r="M246" s="66" t="s">
        <v>1658</v>
      </c>
      <c r="N246" s="77">
        <v>15342621</v>
      </c>
      <c r="O246" s="181">
        <v>4149272839</v>
      </c>
      <c r="P246" s="67" t="s">
        <v>1659</v>
      </c>
      <c r="Q246" s="68"/>
      <c r="R246" s="69"/>
      <c r="S246" s="69" t="s">
        <v>138</v>
      </c>
      <c r="T246" s="69"/>
      <c r="U246" s="70"/>
      <c r="V246" s="79"/>
      <c r="W246" s="187">
        <v>45596</v>
      </c>
      <c r="X246" s="69"/>
      <c r="Y246" s="75" t="s">
        <v>1660</v>
      </c>
      <c r="Z246" s="60"/>
      <c r="AA246" s="60"/>
      <c r="AB246" s="75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80"/>
      <c r="AR246" s="164"/>
    </row>
    <row r="247" spans="1:44" ht="30.75" customHeight="1">
      <c r="A247" s="41"/>
      <c r="B247" s="704"/>
      <c r="C247" s="172">
        <v>1</v>
      </c>
      <c r="D247" s="60" t="s">
        <v>1665</v>
      </c>
      <c r="E247" s="60" t="s">
        <v>1666</v>
      </c>
      <c r="F247" s="60" t="s">
        <v>43</v>
      </c>
      <c r="G247" s="62">
        <v>34120556</v>
      </c>
      <c r="H247" s="60"/>
      <c r="I247" s="60">
        <f t="shared" ca="1" si="2"/>
        <v>126</v>
      </c>
      <c r="J247" s="63" t="s">
        <v>1667</v>
      </c>
      <c r="K247" s="64" t="s">
        <v>1668</v>
      </c>
      <c r="L247" s="65" t="s">
        <v>1669</v>
      </c>
      <c r="M247" s="66" t="s">
        <v>1670</v>
      </c>
      <c r="N247" s="77">
        <v>13140092</v>
      </c>
      <c r="O247" s="60" t="s">
        <v>1671</v>
      </c>
      <c r="P247" s="67" t="s">
        <v>1667</v>
      </c>
      <c r="Q247" s="68"/>
      <c r="R247" s="69" t="s">
        <v>1672</v>
      </c>
      <c r="S247" s="69"/>
      <c r="T247" s="69"/>
      <c r="U247" s="70"/>
      <c r="V247" s="79"/>
      <c r="W247" s="191">
        <v>45604</v>
      </c>
      <c r="X247" s="69"/>
      <c r="Y247" s="75"/>
      <c r="Z247" s="60"/>
      <c r="AA247" s="60"/>
      <c r="AB247" s="75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80"/>
      <c r="AR247" s="164"/>
    </row>
    <row r="248" spans="1:44" ht="30.75" customHeight="1">
      <c r="A248" s="41"/>
      <c r="B248" s="704"/>
      <c r="C248" s="172">
        <v>2</v>
      </c>
      <c r="D248" s="60" t="s">
        <v>1673</v>
      </c>
      <c r="E248" s="60" t="s">
        <v>1674</v>
      </c>
      <c r="F248" s="60" t="s">
        <v>43</v>
      </c>
      <c r="G248" s="62">
        <v>33610631</v>
      </c>
      <c r="H248" s="118">
        <v>40356</v>
      </c>
      <c r="I248" s="60">
        <f t="shared" ca="1" si="2"/>
        <v>15</v>
      </c>
      <c r="J248" s="63" t="s">
        <v>1675</v>
      </c>
      <c r="K248" s="64" t="s">
        <v>1676</v>
      </c>
      <c r="L248" s="65" t="s">
        <v>1638</v>
      </c>
      <c r="M248" s="66" t="s">
        <v>1639</v>
      </c>
      <c r="N248" s="77">
        <v>13576999</v>
      </c>
      <c r="O248" s="60" t="s">
        <v>1677</v>
      </c>
      <c r="P248" s="67" t="s">
        <v>1675</v>
      </c>
      <c r="Q248" s="68" t="s">
        <v>742</v>
      </c>
      <c r="R248" s="69" t="s">
        <v>1678</v>
      </c>
      <c r="S248" s="69" t="s">
        <v>138</v>
      </c>
      <c r="T248" s="69"/>
      <c r="U248" s="70"/>
      <c r="V248" s="79"/>
      <c r="W248" s="187"/>
      <c r="X248" s="69"/>
      <c r="Y248" s="75"/>
      <c r="Z248" s="60"/>
      <c r="AA248" s="60"/>
      <c r="AB248" s="75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80"/>
      <c r="AR248" s="164"/>
    </row>
    <row r="249" spans="1:44" ht="30.75" customHeight="1">
      <c r="A249" s="41"/>
      <c r="B249" s="704"/>
      <c r="C249" s="172">
        <v>3</v>
      </c>
      <c r="D249" s="60" t="s">
        <v>1679</v>
      </c>
      <c r="E249" s="60" t="s">
        <v>1680</v>
      </c>
      <c r="F249" s="60" t="s">
        <v>43</v>
      </c>
      <c r="G249" s="62"/>
      <c r="H249" s="118">
        <v>43858</v>
      </c>
      <c r="I249" s="60">
        <f t="shared" ca="1" si="2"/>
        <v>6</v>
      </c>
      <c r="J249" s="63"/>
      <c r="K249" s="64"/>
      <c r="L249" s="65" t="s">
        <v>1681</v>
      </c>
      <c r="M249" s="66" t="s">
        <v>1682</v>
      </c>
      <c r="N249" s="77">
        <v>28148012</v>
      </c>
      <c r="O249" s="60" t="s">
        <v>1683</v>
      </c>
      <c r="P249" s="67" t="s">
        <v>1684</v>
      </c>
      <c r="Q249" s="68"/>
      <c r="R249" s="69"/>
      <c r="S249" s="69"/>
      <c r="T249" s="69"/>
      <c r="U249" s="70"/>
      <c r="V249" s="79"/>
      <c r="W249" s="187">
        <v>45621</v>
      </c>
      <c r="X249" s="69" t="s">
        <v>742</v>
      </c>
      <c r="Y249" s="75" t="s">
        <v>1685</v>
      </c>
      <c r="Z249" s="60"/>
      <c r="AA249" s="60"/>
      <c r="AB249" s="75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80"/>
      <c r="AR249" s="164"/>
    </row>
    <row r="250" spans="1:44" ht="30.75" customHeight="1">
      <c r="A250" s="41"/>
      <c r="B250" s="704"/>
      <c r="C250" s="172">
        <v>4</v>
      </c>
      <c r="D250" s="60" t="s">
        <v>1686</v>
      </c>
      <c r="E250" s="60" t="s">
        <v>1687</v>
      </c>
      <c r="F250" s="60" t="s">
        <v>43</v>
      </c>
      <c r="G250" s="62">
        <v>19388765</v>
      </c>
      <c r="H250" s="118">
        <v>34499</v>
      </c>
      <c r="I250" s="60">
        <f t="shared" ca="1" si="2"/>
        <v>31</v>
      </c>
      <c r="J250" s="63" t="s">
        <v>1688</v>
      </c>
      <c r="K250" s="64" t="s">
        <v>1689</v>
      </c>
      <c r="L250" s="65" t="s">
        <v>725</v>
      </c>
      <c r="M250" s="66"/>
      <c r="N250" s="77"/>
      <c r="O250" s="60"/>
      <c r="P250" s="67"/>
      <c r="Q250" s="68"/>
      <c r="R250" s="69"/>
      <c r="S250" s="69" t="s">
        <v>138</v>
      </c>
      <c r="T250" s="69"/>
      <c r="U250" s="70"/>
      <c r="V250" s="79"/>
      <c r="W250" s="187">
        <v>45624</v>
      </c>
      <c r="X250" s="69"/>
      <c r="Y250" s="75"/>
      <c r="Z250" s="60"/>
      <c r="AA250" s="60"/>
      <c r="AB250" s="75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80"/>
      <c r="AR250" s="164"/>
    </row>
    <row r="251" spans="1:44" ht="30.75" customHeight="1">
      <c r="A251" s="41"/>
      <c r="B251" s="704"/>
      <c r="C251" s="172">
        <v>5</v>
      </c>
      <c r="D251" s="60" t="s">
        <v>1690</v>
      </c>
      <c r="E251" s="60" t="s">
        <v>1691</v>
      </c>
      <c r="F251" s="60" t="s">
        <v>43</v>
      </c>
      <c r="G251" s="62">
        <v>29939279</v>
      </c>
      <c r="H251" s="188">
        <v>37838</v>
      </c>
      <c r="I251" s="60">
        <f t="shared" ca="1" si="2"/>
        <v>22</v>
      </c>
      <c r="J251" s="63" t="s">
        <v>1692</v>
      </c>
      <c r="K251" s="64" t="s">
        <v>1693</v>
      </c>
      <c r="L251" s="65" t="s">
        <v>1694</v>
      </c>
      <c r="M251" s="66" t="s">
        <v>1695</v>
      </c>
      <c r="N251" s="77">
        <v>9628590</v>
      </c>
      <c r="O251" s="60" t="s">
        <v>1696</v>
      </c>
      <c r="P251" s="67"/>
      <c r="Q251" s="68" t="s">
        <v>1697</v>
      </c>
      <c r="R251" s="69" t="s">
        <v>1698</v>
      </c>
      <c r="S251" s="69" t="s">
        <v>138</v>
      </c>
      <c r="T251" s="69"/>
      <c r="U251" s="70"/>
      <c r="V251" s="79"/>
      <c r="W251" s="187">
        <v>45624</v>
      </c>
      <c r="X251" s="69"/>
      <c r="Y251" s="75"/>
      <c r="Z251" s="60"/>
      <c r="AA251" s="60"/>
      <c r="AB251" s="75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80"/>
      <c r="AR251" s="164"/>
    </row>
    <row r="252" spans="1:44" ht="30.75" customHeight="1">
      <c r="A252" s="41"/>
      <c r="B252" s="704"/>
      <c r="C252" s="172">
        <v>6</v>
      </c>
      <c r="D252" s="60" t="s">
        <v>1699</v>
      </c>
      <c r="E252" s="60" t="s">
        <v>1700</v>
      </c>
      <c r="F252" s="60" t="s">
        <v>43</v>
      </c>
      <c r="G252" s="62">
        <v>33416940</v>
      </c>
      <c r="H252" s="118">
        <v>39887</v>
      </c>
      <c r="I252" s="60">
        <f t="shared" ca="1" si="2"/>
        <v>17</v>
      </c>
      <c r="J252" s="63" t="s">
        <v>1701</v>
      </c>
      <c r="K252" s="64" t="s">
        <v>1702</v>
      </c>
      <c r="L252" s="65" t="s">
        <v>1703</v>
      </c>
      <c r="M252" s="66" t="s">
        <v>1704</v>
      </c>
      <c r="N252" s="77">
        <v>12992260</v>
      </c>
      <c r="O252" s="60" t="s">
        <v>1705</v>
      </c>
      <c r="P252" s="67" t="s">
        <v>1701</v>
      </c>
      <c r="Q252" s="68" t="s">
        <v>479</v>
      </c>
      <c r="R252" s="69" t="s">
        <v>1706</v>
      </c>
      <c r="S252" s="69" t="s">
        <v>975</v>
      </c>
      <c r="T252" s="69"/>
      <c r="U252" s="70"/>
      <c r="V252" s="79"/>
      <c r="W252" s="66"/>
      <c r="X252" s="69"/>
      <c r="Y252" s="75"/>
      <c r="Z252" s="60"/>
      <c r="AA252" s="60"/>
      <c r="AB252" s="75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80"/>
      <c r="AR252" s="164"/>
    </row>
    <row r="253" spans="1:44" ht="30.75" customHeight="1">
      <c r="A253" s="41"/>
      <c r="B253" s="704"/>
      <c r="C253" s="172">
        <v>7</v>
      </c>
      <c r="D253" s="60" t="s">
        <v>1707</v>
      </c>
      <c r="E253" s="60" t="s">
        <v>1708</v>
      </c>
      <c r="F253" s="60" t="s">
        <v>43</v>
      </c>
      <c r="G253" s="62">
        <v>17270003</v>
      </c>
      <c r="H253" s="118">
        <v>31530</v>
      </c>
      <c r="I253" s="60">
        <f t="shared" ca="1" si="2"/>
        <v>40</v>
      </c>
      <c r="J253" s="63" t="s">
        <v>1709</v>
      </c>
      <c r="K253" s="64" t="s">
        <v>1710</v>
      </c>
      <c r="L253" s="65" t="s">
        <v>1711</v>
      </c>
      <c r="M253" s="66"/>
      <c r="N253" s="77"/>
      <c r="O253" s="60"/>
      <c r="P253" s="67"/>
      <c r="Q253" s="68" t="s">
        <v>63</v>
      </c>
      <c r="R253" s="69" t="s">
        <v>1712</v>
      </c>
      <c r="S253" s="69" t="s">
        <v>138</v>
      </c>
      <c r="T253" s="69"/>
      <c r="U253" s="70"/>
      <c r="V253" s="79"/>
      <c r="W253" s="66"/>
      <c r="X253" s="69"/>
      <c r="Y253" s="75"/>
      <c r="Z253" s="60"/>
      <c r="AA253" s="60"/>
      <c r="AB253" s="75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80"/>
      <c r="AR253" s="164"/>
    </row>
    <row r="254" spans="1:44" ht="30.75" customHeight="1">
      <c r="A254" s="41"/>
      <c r="B254" s="704"/>
      <c r="C254" s="172">
        <v>8</v>
      </c>
      <c r="D254" s="60" t="s">
        <v>1713</v>
      </c>
      <c r="E254" s="60" t="s">
        <v>1714</v>
      </c>
      <c r="F254" s="60" t="s">
        <v>43</v>
      </c>
      <c r="G254" s="62"/>
      <c r="H254" s="118">
        <v>42543</v>
      </c>
      <c r="I254" s="60">
        <f t="shared" ca="1" si="2"/>
        <v>9</v>
      </c>
      <c r="J254" s="63" t="s">
        <v>1715</v>
      </c>
      <c r="K254" s="64" t="s">
        <v>1716</v>
      </c>
      <c r="L254" s="65" t="s">
        <v>1717</v>
      </c>
      <c r="M254" s="66" t="s">
        <v>1718</v>
      </c>
      <c r="N254" s="77">
        <v>17976287</v>
      </c>
      <c r="O254" s="60" t="s">
        <v>1719</v>
      </c>
      <c r="P254" s="67" t="s">
        <v>1715</v>
      </c>
      <c r="Q254" s="68" t="s">
        <v>1092</v>
      </c>
      <c r="R254" s="69" t="s">
        <v>1720</v>
      </c>
      <c r="S254" s="69" t="s">
        <v>288</v>
      </c>
      <c r="T254" s="69"/>
      <c r="U254" s="70"/>
      <c r="V254" s="79"/>
      <c r="W254" s="191">
        <v>45665</v>
      </c>
      <c r="X254" s="69" t="s">
        <v>1092</v>
      </c>
      <c r="Y254" s="75"/>
      <c r="Z254" s="60"/>
      <c r="AA254" s="60"/>
      <c r="AB254" s="75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80"/>
      <c r="AR254" s="164"/>
    </row>
    <row r="255" spans="1:44" ht="30.75" customHeight="1">
      <c r="A255" s="41"/>
      <c r="B255" s="704"/>
      <c r="C255" s="172">
        <v>9</v>
      </c>
      <c r="D255" s="60" t="s">
        <v>1721</v>
      </c>
      <c r="E255" s="60" t="s">
        <v>1722</v>
      </c>
      <c r="F255" s="60" t="s">
        <v>43</v>
      </c>
      <c r="G255" s="62">
        <v>30136367</v>
      </c>
      <c r="H255" s="118">
        <v>38036</v>
      </c>
      <c r="I255" s="60">
        <f t="shared" ca="1" si="2"/>
        <v>22</v>
      </c>
      <c r="J255" s="63" t="s">
        <v>1723</v>
      </c>
      <c r="K255" s="64" t="s">
        <v>1724</v>
      </c>
      <c r="L255" s="65" t="s">
        <v>1725</v>
      </c>
      <c r="M255" s="66"/>
      <c r="N255" s="77"/>
      <c r="O255" s="60"/>
      <c r="P255" s="67"/>
      <c r="Q255" s="68" t="s">
        <v>1726</v>
      </c>
      <c r="R255" s="69" t="s">
        <v>1706</v>
      </c>
      <c r="S255" s="69" t="s">
        <v>138</v>
      </c>
      <c r="T255" s="69"/>
      <c r="U255" s="70"/>
      <c r="V255" s="79"/>
      <c r="W255" s="191">
        <v>45665</v>
      </c>
      <c r="X255" s="69" t="s">
        <v>1726</v>
      </c>
      <c r="Y255" s="75" t="s">
        <v>1727</v>
      </c>
      <c r="Z255" s="60"/>
      <c r="AA255" s="60"/>
      <c r="AB255" s="75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80"/>
      <c r="AR255" s="164"/>
    </row>
    <row r="256" spans="1:44" ht="30.75" customHeight="1">
      <c r="A256" s="41"/>
      <c r="B256" s="704"/>
      <c r="C256" s="172">
        <v>10</v>
      </c>
      <c r="D256" s="60" t="s">
        <v>1728</v>
      </c>
      <c r="E256" s="60" t="s">
        <v>1729</v>
      </c>
      <c r="F256" s="60" t="s">
        <v>43</v>
      </c>
      <c r="G256" s="62"/>
      <c r="H256" s="118">
        <v>44092</v>
      </c>
      <c r="I256" s="60">
        <f t="shared" ca="1" si="2"/>
        <v>5</v>
      </c>
      <c r="J256" s="63" t="s">
        <v>637</v>
      </c>
      <c r="K256" s="64" t="s">
        <v>1730</v>
      </c>
      <c r="L256" s="65" t="s">
        <v>1731</v>
      </c>
      <c r="M256" s="66" t="s">
        <v>639</v>
      </c>
      <c r="N256" s="77">
        <v>19228704</v>
      </c>
      <c r="O256" s="60" t="s">
        <v>1732</v>
      </c>
      <c r="P256" s="67" t="s">
        <v>637</v>
      </c>
      <c r="Q256" s="68" t="s">
        <v>1733</v>
      </c>
      <c r="R256" s="69" t="s">
        <v>1734</v>
      </c>
      <c r="S256" s="69"/>
      <c r="T256" s="69"/>
      <c r="U256" s="70"/>
      <c r="V256" s="79"/>
      <c r="W256" s="191">
        <v>45670</v>
      </c>
      <c r="X256" s="69"/>
      <c r="Y256" s="75"/>
      <c r="Z256" s="60"/>
      <c r="AA256" s="60"/>
      <c r="AB256" s="75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80"/>
      <c r="AR256" s="164"/>
    </row>
    <row r="257" spans="1:44" ht="30.75" customHeight="1">
      <c r="A257" s="41"/>
      <c r="B257" s="704"/>
      <c r="C257" s="172">
        <v>11</v>
      </c>
      <c r="D257" s="60" t="s">
        <v>1735</v>
      </c>
      <c r="E257" s="60" t="s">
        <v>1736</v>
      </c>
      <c r="F257" s="60" t="s">
        <v>43</v>
      </c>
      <c r="G257" s="62"/>
      <c r="H257" s="192">
        <v>43788</v>
      </c>
      <c r="I257" s="60">
        <f t="shared" ca="1" si="2"/>
        <v>6</v>
      </c>
      <c r="J257" s="63" t="s">
        <v>1737</v>
      </c>
      <c r="K257" s="64" t="s">
        <v>1738</v>
      </c>
      <c r="L257" s="65" t="s">
        <v>1739</v>
      </c>
      <c r="M257" s="66" t="s">
        <v>1740</v>
      </c>
      <c r="N257" s="77">
        <v>17752035</v>
      </c>
      <c r="O257" s="60" t="s">
        <v>1738</v>
      </c>
      <c r="P257" s="67" t="s">
        <v>1741</v>
      </c>
      <c r="Q257" s="68" t="s">
        <v>1733</v>
      </c>
      <c r="R257" s="69" t="s">
        <v>1734</v>
      </c>
      <c r="S257" s="69" t="s">
        <v>138</v>
      </c>
      <c r="T257" s="69"/>
      <c r="U257" s="70"/>
      <c r="V257" s="79"/>
      <c r="W257" s="191">
        <v>45670</v>
      </c>
      <c r="X257" s="69" t="s">
        <v>742</v>
      </c>
      <c r="Y257" s="75" t="s">
        <v>1597</v>
      </c>
      <c r="Z257" s="60"/>
      <c r="AA257" s="60"/>
      <c r="AB257" s="75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80"/>
      <c r="AR257" s="164"/>
    </row>
    <row r="258" spans="1:44" ht="30.75" customHeight="1">
      <c r="A258" s="41"/>
      <c r="B258" s="704"/>
      <c r="C258" s="172">
        <v>12</v>
      </c>
      <c r="D258" s="60" t="s">
        <v>1742</v>
      </c>
      <c r="E258" s="60" t="s">
        <v>1743</v>
      </c>
      <c r="F258" s="60" t="s">
        <v>43</v>
      </c>
      <c r="G258" s="62"/>
      <c r="H258" s="118">
        <v>42604</v>
      </c>
      <c r="I258" s="60">
        <f t="shared" ca="1" si="2"/>
        <v>9</v>
      </c>
      <c r="J258" s="63" t="s">
        <v>1744</v>
      </c>
      <c r="K258" s="64" t="s">
        <v>1745</v>
      </c>
      <c r="L258" s="65" t="s">
        <v>1746</v>
      </c>
      <c r="M258" s="66" t="s">
        <v>1747</v>
      </c>
      <c r="N258" s="77">
        <v>19763072</v>
      </c>
      <c r="O258" s="60" t="s">
        <v>1748</v>
      </c>
      <c r="P258" s="63" t="s">
        <v>1744</v>
      </c>
      <c r="Q258" s="68"/>
      <c r="R258" s="69"/>
      <c r="S258" s="69" t="s">
        <v>138</v>
      </c>
      <c r="T258" s="69"/>
      <c r="U258" s="70"/>
      <c r="V258" s="79"/>
      <c r="W258" s="187">
        <v>45638</v>
      </c>
      <c r="X258" s="69"/>
      <c r="Y258" s="75" t="s">
        <v>1749</v>
      </c>
      <c r="Z258" s="60"/>
      <c r="AA258" s="60"/>
      <c r="AB258" s="75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80"/>
      <c r="AR258" s="164"/>
    </row>
    <row r="259" spans="1:44" ht="30.75" customHeight="1">
      <c r="A259" s="41"/>
      <c r="B259" s="704"/>
      <c r="C259" s="172">
        <v>13</v>
      </c>
      <c r="D259" s="60" t="s">
        <v>1750</v>
      </c>
      <c r="E259" s="60" t="s">
        <v>1751</v>
      </c>
      <c r="F259" s="60" t="s">
        <v>43</v>
      </c>
      <c r="G259" s="62">
        <v>33328747</v>
      </c>
      <c r="H259" s="118">
        <v>40346</v>
      </c>
      <c r="I259" s="60">
        <f t="shared" ca="1" si="2"/>
        <v>15</v>
      </c>
      <c r="J259" s="63"/>
      <c r="K259" s="64"/>
      <c r="L259" s="65"/>
      <c r="M259" s="66"/>
      <c r="N259" s="77"/>
      <c r="O259" s="60"/>
      <c r="P259" s="67"/>
      <c r="Q259" s="68"/>
      <c r="R259" s="69"/>
      <c r="S259" s="69"/>
      <c r="T259" s="69"/>
      <c r="U259" s="70"/>
      <c r="V259" s="79"/>
      <c r="W259" s="66"/>
      <c r="X259" s="69"/>
      <c r="Y259" s="75"/>
      <c r="Z259" s="60"/>
      <c r="AA259" s="60"/>
      <c r="AB259" s="75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80"/>
      <c r="AR259" s="164"/>
    </row>
    <row r="260" spans="1:44" ht="30.75" customHeight="1">
      <c r="A260" s="41"/>
      <c r="B260" s="704"/>
      <c r="C260" s="172">
        <v>14</v>
      </c>
      <c r="D260" s="60" t="s">
        <v>1752</v>
      </c>
      <c r="E260" s="60" t="s">
        <v>1753</v>
      </c>
      <c r="F260" s="60" t="s">
        <v>43</v>
      </c>
      <c r="G260" s="62">
        <v>36192801</v>
      </c>
      <c r="H260" s="118">
        <v>41668</v>
      </c>
      <c r="I260" s="60">
        <f t="shared" ca="1" si="2"/>
        <v>12</v>
      </c>
      <c r="J260" s="63"/>
      <c r="K260" s="64"/>
      <c r="L260" s="65"/>
      <c r="M260" s="66"/>
      <c r="N260" s="77"/>
      <c r="O260" s="60"/>
      <c r="P260" s="67"/>
      <c r="Q260" s="68"/>
      <c r="R260" s="69"/>
      <c r="S260" s="69"/>
      <c r="T260" s="69"/>
      <c r="U260" s="70"/>
      <c r="V260" s="79"/>
      <c r="W260" s="66"/>
      <c r="X260" s="69"/>
      <c r="Y260" s="75"/>
      <c r="Z260" s="60"/>
      <c r="AA260" s="60"/>
      <c r="AB260" s="75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80"/>
      <c r="AR260" s="164"/>
    </row>
    <row r="261" spans="1:44" ht="30.75" customHeight="1">
      <c r="A261" s="41"/>
      <c r="B261" s="704"/>
      <c r="C261" s="172">
        <v>15</v>
      </c>
      <c r="D261" s="60" t="s">
        <v>1754</v>
      </c>
      <c r="E261" s="60" t="s">
        <v>1755</v>
      </c>
      <c r="F261" s="60" t="s">
        <v>43</v>
      </c>
      <c r="G261" s="62"/>
      <c r="H261" s="193">
        <v>43432</v>
      </c>
      <c r="I261" s="60">
        <f t="shared" ca="1" si="2"/>
        <v>7</v>
      </c>
      <c r="J261" s="63"/>
      <c r="K261" s="64"/>
      <c r="L261" s="65" t="s">
        <v>443</v>
      </c>
      <c r="M261" s="66" t="s">
        <v>1756</v>
      </c>
      <c r="N261" s="77">
        <v>25208822</v>
      </c>
      <c r="O261" s="60" t="s">
        <v>1757</v>
      </c>
      <c r="P261" s="67" t="s">
        <v>1758</v>
      </c>
      <c r="Q261" s="68" t="s">
        <v>742</v>
      </c>
      <c r="R261" s="69" t="s">
        <v>1678</v>
      </c>
      <c r="S261" s="69" t="s">
        <v>138</v>
      </c>
      <c r="T261" s="69"/>
      <c r="U261" s="70"/>
      <c r="V261" s="79"/>
      <c r="W261" s="194">
        <v>45671</v>
      </c>
      <c r="X261" s="69" t="s">
        <v>742</v>
      </c>
      <c r="Y261" s="75" t="s">
        <v>1759</v>
      </c>
      <c r="Z261" s="60"/>
      <c r="AA261" s="60"/>
      <c r="AB261" s="75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80"/>
      <c r="AR261" s="164"/>
    </row>
    <row r="262" spans="1:44" ht="30.75" customHeight="1">
      <c r="A262" s="41"/>
      <c r="B262" s="704"/>
      <c r="C262" s="172">
        <v>16</v>
      </c>
      <c r="D262" s="60" t="s">
        <v>1760</v>
      </c>
      <c r="E262" s="60" t="s">
        <v>1761</v>
      </c>
      <c r="F262" s="60" t="s">
        <v>43</v>
      </c>
      <c r="G262" s="62"/>
      <c r="H262" s="195">
        <v>43985</v>
      </c>
      <c r="I262" s="60">
        <f t="shared" ca="1" si="2"/>
        <v>5</v>
      </c>
      <c r="J262" s="63" t="s">
        <v>1762</v>
      </c>
      <c r="K262" s="64" t="s">
        <v>1763</v>
      </c>
      <c r="L262" s="65" t="s">
        <v>443</v>
      </c>
      <c r="M262" s="66" t="s">
        <v>1764</v>
      </c>
      <c r="N262" s="77">
        <v>21349320</v>
      </c>
      <c r="O262" s="60" t="s">
        <v>1765</v>
      </c>
      <c r="P262" s="67" t="s">
        <v>1762</v>
      </c>
      <c r="Q262" s="68" t="s">
        <v>742</v>
      </c>
      <c r="R262" s="69" t="s">
        <v>1678</v>
      </c>
      <c r="S262" s="69" t="s">
        <v>138</v>
      </c>
      <c r="T262" s="69"/>
      <c r="U262" s="70"/>
      <c r="V262" s="79"/>
      <c r="W262" s="191">
        <v>45674</v>
      </c>
      <c r="X262" s="69" t="s">
        <v>742</v>
      </c>
      <c r="Y262" s="75" t="s">
        <v>1766</v>
      </c>
      <c r="Z262" s="60"/>
      <c r="AA262" s="60"/>
      <c r="AB262" s="75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80"/>
      <c r="AR262" s="164"/>
    </row>
    <row r="263" spans="1:44" ht="30.75" customHeight="1">
      <c r="A263" s="41"/>
      <c r="B263" s="704"/>
      <c r="C263" s="172">
        <v>17</v>
      </c>
      <c r="D263" s="60" t="s">
        <v>1767</v>
      </c>
      <c r="E263" s="60" t="s">
        <v>1768</v>
      </c>
      <c r="F263" s="60" t="s">
        <v>43</v>
      </c>
      <c r="G263" s="62"/>
      <c r="H263" s="195">
        <v>42776</v>
      </c>
      <c r="I263" s="60">
        <f t="shared" ca="1" si="2"/>
        <v>9</v>
      </c>
      <c r="J263" s="63" t="s">
        <v>1762</v>
      </c>
      <c r="K263" s="64" t="s">
        <v>1763</v>
      </c>
      <c r="L263" s="65" t="s">
        <v>443</v>
      </c>
      <c r="M263" s="66" t="s">
        <v>1764</v>
      </c>
      <c r="N263" s="77">
        <v>21349320</v>
      </c>
      <c r="O263" s="60" t="s">
        <v>1765</v>
      </c>
      <c r="P263" s="67" t="s">
        <v>1762</v>
      </c>
      <c r="Q263" s="68" t="s">
        <v>1506</v>
      </c>
      <c r="R263" s="69" t="s">
        <v>1769</v>
      </c>
      <c r="S263" s="69" t="s">
        <v>138</v>
      </c>
      <c r="T263" s="69"/>
      <c r="U263" s="70"/>
      <c r="V263" s="79"/>
      <c r="W263" s="191">
        <v>45674</v>
      </c>
      <c r="X263" s="69" t="s">
        <v>1506</v>
      </c>
      <c r="Y263" s="196">
        <v>360</v>
      </c>
      <c r="Z263" s="60"/>
      <c r="AA263" s="60"/>
      <c r="AB263" s="75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80"/>
      <c r="AR263" s="164"/>
    </row>
    <row r="264" spans="1:44" ht="30.75" customHeight="1">
      <c r="A264" s="41"/>
      <c r="B264" s="704"/>
      <c r="C264" s="172">
        <v>18</v>
      </c>
      <c r="D264" s="60" t="s">
        <v>1770</v>
      </c>
      <c r="E264" s="60" t="s">
        <v>1771</v>
      </c>
      <c r="F264" s="60" t="s">
        <v>43</v>
      </c>
      <c r="G264" s="62">
        <v>34428557</v>
      </c>
      <c r="H264" s="118">
        <v>41520</v>
      </c>
      <c r="I264" s="60">
        <f t="shared" ca="1" si="2"/>
        <v>12</v>
      </c>
      <c r="J264" s="63" t="s">
        <v>1772</v>
      </c>
      <c r="K264" s="64" t="s">
        <v>1773</v>
      </c>
      <c r="L264" s="65" t="s">
        <v>1774</v>
      </c>
      <c r="M264" s="66" t="s">
        <v>1775</v>
      </c>
      <c r="N264" s="77">
        <v>19153453</v>
      </c>
      <c r="O264" s="181" t="s">
        <v>1776</v>
      </c>
      <c r="P264" s="67" t="s">
        <v>1777</v>
      </c>
      <c r="Q264" s="68"/>
      <c r="R264" s="69" t="s">
        <v>1178</v>
      </c>
      <c r="S264" s="69" t="s">
        <v>138</v>
      </c>
      <c r="T264" s="69"/>
      <c r="U264" s="70"/>
      <c r="V264" s="79"/>
      <c r="W264" s="191">
        <v>45677</v>
      </c>
      <c r="X264" s="69"/>
      <c r="Y264" s="75" t="s">
        <v>1778</v>
      </c>
      <c r="Z264" s="60"/>
      <c r="AA264" s="60"/>
      <c r="AB264" s="75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80"/>
      <c r="AR264" s="164"/>
    </row>
    <row r="265" spans="1:44" ht="30.75" customHeight="1">
      <c r="A265" s="41"/>
      <c r="B265" s="705"/>
      <c r="C265" s="172">
        <v>19</v>
      </c>
      <c r="D265" s="60" t="s">
        <v>1779</v>
      </c>
      <c r="E265" s="60" t="s">
        <v>1780</v>
      </c>
      <c r="F265" s="60" t="s">
        <v>43</v>
      </c>
      <c r="G265" s="62">
        <v>24285437</v>
      </c>
      <c r="H265" s="195">
        <v>34615</v>
      </c>
      <c r="I265" s="60">
        <f t="shared" ca="1" si="2"/>
        <v>31</v>
      </c>
      <c r="J265" s="63" t="s">
        <v>1781</v>
      </c>
      <c r="K265" s="64" t="s">
        <v>1782</v>
      </c>
      <c r="L265" s="65" t="s">
        <v>1783</v>
      </c>
      <c r="M265" s="66"/>
      <c r="N265" s="77"/>
      <c r="O265" s="60"/>
      <c r="P265" s="67"/>
      <c r="Q265" s="68" t="s">
        <v>50</v>
      </c>
      <c r="R265" s="69" t="s">
        <v>1784</v>
      </c>
      <c r="S265" s="69" t="s">
        <v>138</v>
      </c>
      <c r="T265" s="69"/>
      <c r="U265" s="70"/>
      <c r="V265" s="79"/>
      <c r="W265" s="191">
        <v>45677</v>
      </c>
      <c r="X265" s="69" t="s">
        <v>50</v>
      </c>
      <c r="Y265" s="75" t="s">
        <v>1785</v>
      </c>
      <c r="Z265" s="60"/>
      <c r="AA265" s="60"/>
      <c r="AB265" s="75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80"/>
      <c r="AR265" s="164"/>
    </row>
    <row r="266" spans="1:44" ht="30.75" customHeight="1">
      <c r="A266" s="41"/>
      <c r="B266" s="703" t="s">
        <v>1786</v>
      </c>
      <c r="C266" s="172">
        <v>20</v>
      </c>
      <c r="D266" s="60" t="s">
        <v>1787</v>
      </c>
      <c r="E266" s="60" t="s">
        <v>1788</v>
      </c>
      <c r="F266" s="60" t="s">
        <v>43</v>
      </c>
      <c r="G266" s="62">
        <v>30136875</v>
      </c>
      <c r="H266" s="118">
        <v>37901</v>
      </c>
      <c r="I266" s="60">
        <f t="shared" ca="1" si="2"/>
        <v>22</v>
      </c>
      <c r="J266" s="63" t="s">
        <v>1789</v>
      </c>
      <c r="K266" s="64" t="s">
        <v>1790</v>
      </c>
      <c r="L266" s="65" t="s">
        <v>443</v>
      </c>
      <c r="M266" s="66"/>
      <c r="N266" s="77"/>
      <c r="O266" s="60"/>
      <c r="P266" s="67"/>
      <c r="Q266" s="68" t="s">
        <v>50</v>
      </c>
      <c r="R266" s="69" t="s">
        <v>1784</v>
      </c>
      <c r="S266" s="69" t="s">
        <v>138</v>
      </c>
      <c r="T266" s="69"/>
      <c r="U266" s="70"/>
      <c r="V266" s="79"/>
      <c r="W266" s="191">
        <v>45678</v>
      </c>
      <c r="X266" s="69"/>
      <c r="Y266" s="75" t="s">
        <v>1791</v>
      </c>
      <c r="Z266" s="60"/>
      <c r="AA266" s="60"/>
      <c r="AB266" s="75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80"/>
      <c r="AR266" s="164"/>
    </row>
    <row r="267" spans="1:44" ht="30.75" customHeight="1">
      <c r="A267" s="41"/>
      <c r="B267" s="704"/>
      <c r="C267" s="172">
        <v>1</v>
      </c>
      <c r="D267" s="60" t="s">
        <v>1792</v>
      </c>
      <c r="E267" s="60" t="s">
        <v>1793</v>
      </c>
      <c r="F267" s="60" t="s">
        <v>43</v>
      </c>
      <c r="G267" s="62"/>
      <c r="H267" s="60"/>
      <c r="I267" s="60">
        <f t="shared" ca="1" si="2"/>
        <v>126</v>
      </c>
      <c r="J267" s="63"/>
      <c r="K267" s="64" t="s">
        <v>1794</v>
      </c>
      <c r="L267" s="65" t="s">
        <v>1795</v>
      </c>
      <c r="M267" s="66" t="s">
        <v>1796</v>
      </c>
      <c r="N267" s="77">
        <v>18234581</v>
      </c>
      <c r="O267" s="60">
        <v>4241992230</v>
      </c>
      <c r="P267" s="67" t="s">
        <v>1797</v>
      </c>
      <c r="Q267" s="68" t="s">
        <v>370</v>
      </c>
      <c r="R267" s="69" t="s">
        <v>1678</v>
      </c>
      <c r="S267" s="69" t="s">
        <v>138</v>
      </c>
      <c r="T267" s="69"/>
      <c r="U267" s="70"/>
      <c r="V267" s="79"/>
      <c r="W267" s="191">
        <v>45679</v>
      </c>
      <c r="X267" s="69" t="s">
        <v>370</v>
      </c>
      <c r="Y267" s="75" t="s">
        <v>1798</v>
      </c>
      <c r="Z267" s="60"/>
      <c r="AA267" s="60"/>
      <c r="AB267" s="75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80"/>
      <c r="AR267" s="164"/>
    </row>
    <row r="268" spans="1:44" ht="30.75" customHeight="1">
      <c r="A268" s="41"/>
      <c r="B268" s="704"/>
      <c r="C268" s="172">
        <v>2</v>
      </c>
      <c r="D268" s="60" t="s">
        <v>1799</v>
      </c>
      <c r="E268" s="60" t="s">
        <v>1800</v>
      </c>
      <c r="F268" s="60" t="s">
        <v>43</v>
      </c>
      <c r="G268" s="62">
        <v>35172991</v>
      </c>
      <c r="H268" s="118">
        <v>41543</v>
      </c>
      <c r="I268" s="60">
        <f t="shared" ca="1" si="2"/>
        <v>12</v>
      </c>
      <c r="J268" s="63" t="s">
        <v>1801</v>
      </c>
      <c r="K268" s="64" t="s">
        <v>1802</v>
      </c>
      <c r="L268" s="65" t="s">
        <v>1803</v>
      </c>
      <c r="M268" s="66" t="s">
        <v>1804</v>
      </c>
      <c r="N268" s="77">
        <v>15913450</v>
      </c>
      <c r="O268" s="60" t="s">
        <v>1805</v>
      </c>
      <c r="P268" s="67" t="s">
        <v>1806</v>
      </c>
      <c r="Q268" s="68" t="s">
        <v>370</v>
      </c>
      <c r="R268" s="69" t="s">
        <v>1807</v>
      </c>
      <c r="S268" s="69" t="s">
        <v>138</v>
      </c>
      <c r="T268" s="69"/>
      <c r="U268" s="70"/>
      <c r="V268" s="79"/>
      <c r="W268" s="191">
        <v>45679</v>
      </c>
      <c r="X268" s="69" t="s">
        <v>370</v>
      </c>
      <c r="Y268" s="75" t="s">
        <v>1808</v>
      </c>
      <c r="Z268" s="60"/>
      <c r="AA268" s="60"/>
      <c r="AB268" s="75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80"/>
      <c r="AR268" s="164"/>
    </row>
    <row r="269" spans="1:44" ht="30.75" customHeight="1">
      <c r="A269" s="41"/>
      <c r="B269" s="704"/>
      <c r="C269" s="172">
        <v>3</v>
      </c>
      <c r="D269" s="60" t="s">
        <v>1809</v>
      </c>
      <c r="E269" s="60" t="s">
        <v>1810</v>
      </c>
      <c r="F269" s="60" t="s">
        <v>43</v>
      </c>
      <c r="G269" s="62"/>
      <c r="H269" s="195">
        <v>43484</v>
      </c>
      <c r="I269" s="60">
        <f t="shared" ca="1" si="2"/>
        <v>7</v>
      </c>
      <c r="J269" s="63" t="s">
        <v>1811</v>
      </c>
      <c r="K269" s="64" t="s">
        <v>1812</v>
      </c>
      <c r="L269" s="65" t="s">
        <v>443</v>
      </c>
      <c r="M269" s="66" t="s">
        <v>1813</v>
      </c>
      <c r="N269" s="77">
        <v>22667190</v>
      </c>
      <c r="O269" s="60">
        <v>4241997009</v>
      </c>
      <c r="P269" s="67" t="s">
        <v>1811</v>
      </c>
      <c r="Q269" s="68" t="s">
        <v>1238</v>
      </c>
      <c r="R269" s="69"/>
      <c r="S269" s="69" t="s">
        <v>138</v>
      </c>
      <c r="T269" s="69"/>
      <c r="U269" s="70"/>
      <c r="V269" s="79"/>
      <c r="W269" s="197">
        <v>45685</v>
      </c>
      <c r="X269" s="69" t="s">
        <v>1238</v>
      </c>
      <c r="Y269" s="75" t="s">
        <v>1814</v>
      </c>
      <c r="Z269" s="60"/>
      <c r="AA269" s="60"/>
      <c r="AB269" s="75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80"/>
      <c r="AR269" s="164"/>
    </row>
    <row r="270" spans="1:44" ht="30.75" customHeight="1">
      <c r="A270" s="41"/>
      <c r="B270" s="704"/>
      <c r="C270" s="172">
        <v>4</v>
      </c>
      <c r="D270" s="60" t="s">
        <v>1815</v>
      </c>
      <c r="E270" s="60" t="s">
        <v>1816</v>
      </c>
      <c r="F270" s="60" t="s">
        <v>43</v>
      </c>
      <c r="G270" s="62"/>
      <c r="H270" s="195">
        <v>42899</v>
      </c>
      <c r="I270" s="60">
        <f t="shared" ca="1" si="2"/>
        <v>8</v>
      </c>
      <c r="J270" s="63"/>
      <c r="K270" s="64"/>
      <c r="L270" s="65" t="s">
        <v>1248</v>
      </c>
      <c r="M270" s="66" t="s">
        <v>1817</v>
      </c>
      <c r="N270" s="77">
        <v>20412075</v>
      </c>
      <c r="O270" s="60">
        <v>4241219830</v>
      </c>
      <c r="P270" s="67" t="s">
        <v>1818</v>
      </c>
      <c r="Q270" s="68" t="s">
        <v>1819</v>
      </c>
      <c r="R270" s="69" t="s">
        <v>1820</v>
      </c>
      <c r="S270" s="69" t="s">
        <v>138</v>
      </c>
      <c r="T270" s="69"/>
      <c r="U270" s="70"/>
      <c r="V270" s="79"/>
      <c r="W270" s="198">
        <v>45687</v>
      </c>
      <c r="X270" s="69" t="s">
        <v>1819</v>
      </c>
      <c r="Y270" s="75" t="s">
        <v>1821</v>
      </c>
      <c r="Z270" s="60"/>
      <c r="AA270" s="60"/>
      <c r="AB270" s="75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80"/>
      <c r="AR270" s="164"/>
    </row>
    <row r="271" spans="1:44" ht="30.75" customHeight="1">
      <c r="A271" s="41"/>
      <c r="B271" s="704"/>
      <c r="C271" s="172">
        <v>5</v>
      </c>
      <c r="D271" s="60" t="s">
        <v>1822</v>
      </c>
      <c r="E271" s="60" t="s">
        <v>1823</v>
      </c>
      <c r="F271" s="60" t="s">
        <v>278</v>
      </c>
      <c r="G271" s="62">
        <v>32234921</v>
      </c>
      <c r="H271" s="60"/>
      <c r="I271" s="60">
        <f t="shared" ca="1" si="2"/>
        <v>126</v>
      </c>
      <c r="J271" s="63" t="s">
        <v>1824</v>
      </c>
      <c r="K271" s="64" t="s">
        <v>1825</v>
      </c>
      <c r="L271" s="65" t="s">
        <v>1826</v>
      </c>
      <c r="M271" s="66" t="s">
        <v>1827</v>
      </c>
      <c r="N271" s="77">
        <v>14794867</v>
      </c>
      <c r="O271" s="60">
        <v>4141972099</v>
      </c>
      <c r="P271" s="67" t="s">
        <v>1828</v>
      </c>
      <c r="Q271" s="68" t="s">
        <v>76</v>
      </c>
      <c r="R271" s="69"/>
      <c r="S271" s="69" t="s">
        <v>975</v>
      </c>
      <c r="T271" s="69"/>
      <c r="U271" s="70"/>
      <c r="V271" s="79"/>
      <c r="W271" s="194">
        <v>45356</v>
      </c>
      <c r="X271" s="69" t="s">
        <v>76</v>
      </c>
      <c r="Y271" s="75" t="s">
        <v>68</v>
      </c>
      <c r="Z271" s="60"/>
      <c r="AA271" s="60"/>
      <c r="AB271" s="75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80"/>
      <c r="AR271" s="164"/>
    </row>
    <row r="272" spans="1:44" ht="30.75" customHeight="1">
      <c r="A272" s="41"/>
      <c r="B272" s="704"/>
      <c r="C272" s="172">
        <v>6</v>
      </c>
      <c r="D272" s="60" t="s">
        <v>1829</v>
      </c>
      <c r="E272" s="60" t="s">
        <v>1830</v>
      </c>
      <c r="F272" s="60" t="s">
        <v>43</v>
      </c>
      <c r="G272" s="62">
        <v>31418064</v>
      </c>
      <c r="H272" s="118">
        <v>38909</v>
      </c>
      <c r="I272" s="60">
        <f t="shared" ca="1" si="2"/>
        <v>19</v>
      </c>
      <c r="J272" s="63" t="s">
        <v>1831</v>
      </c>
      <c r="K272" s="64" t="s">
        <v>1832</v>
      </c>
      <c r="L272" s="65" t="s">
        <v>1833</v>
      </c>
      <c r="M272" s="66" t="s">
        <v>1834</v>
      </c>
      <c r="N272" s="77">
        <v>12880206</v>
      </c>
      <c r="O272" s="60" t="s">
        <v>1835</v>
      </c>
      <c r="P272" s="67" t="s">
        <v>1836</v>
      </c>
      <c r="Q272" s="68" t="s">
        <v>281</v>
      </c>
      <c r="R272" s="69" t="s">
        <v>1837</v>
      </c>
      <c r="S272" s="69" t="s">
        <v>138</v>
      </c>
      <c r="T272" s="69"/>
      <c r="U272" s="70"/>
      <c r="V272" s="79"/>
      <c r="W272" s="191">
        <v>45691</v>
      </c>
      <c r="X272" s="69" t="s">
        <v>281</v>
      </c>
      <c r="Y272" s="75" t="s">
        <v>1838</v>
      </c>
      <c r="Z272" s="60"/>
      <c r="AA272" s="60"/>
      <c r="AB272" s="75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80"/>
      <c r="AR272" s="164"/>
    </row>
    <row r="273" spans="1:44" ht="30.75" customHeight="1">
      <c r="A273" s="41"/>
      <c r="B273" s="704"/>
      <c r="C273" s="172">
        <v>7</v>
      </c>
      <c r="D273" s="60" t="s">
        <v>1839</v>
      </c>
      <c r="E273" s="60" t="s">
        <v>1840</v>
      </c>
      <c r="F273" s="60" t="s">
        <v>43</v>
      </c>
      <c r="G273" s="62">
        <v>33042545</v>
      </c>
      <c r="H273" s="186">
        <v>40047</v>
      </c>
      <c r="I273" s="60">
        <f t="shared" ca="1" si="2"/>
        <v>16</v>
      </c>
      <c r="J273" s="63" t="s">
        <v>1841</v>
      </c>
      <c r="K273" s="64" t="s">
        <v>1842</v>
      </c>
      <c r="L273" s="65" t="s">
        <v>1843</v>
      </c>
      <c r="M273" s="66" t="s">
        <v>1844</v>
      </c>
      <c r="N273" s="77">
        <v>10345829</v>
      </c>
      <c r="O273" s="60" t="s">
        <v>1845</v>
      </c>
      <c r="P273" s="67" t="s">
        <v>1846</v>
      </c>
      <c r="Q273" s="68" t="s">
        <v>704</v>
      </c>
      <c r="R273" s="69" t="s">
        <v>1847</v>
      </c>
      <c r="S273" s="69" t="s">
        <v>1041</v>
      </c>
      <c r="T273" s="69"/>
      <c r="U273" s="70"/>
      <c r="V273" s="79"/>
      <c r="W273" s="194"/>
      <c r="X273" s="69"/>
      <c r="Y273" s="75"/>
      <c r="Z273" s="60"/>
      <c r="AA273" s="60"/>
      <c r="AB273" s="75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80"/>
      <c r="AR273" s="164"/>
    </row>
    <row r="274" spans="1:44" ht="30.75" customHeight="1">
      <c r="A274" s="41"/>
      <c r="B274" s="704"/>
      <c r="C274" s="172">
        <v>8</v>
      </c>
      <c r="D274" s="60" t="s">
        <v>1848</v>
      </c>
      <c r="E274" s="60" t="s">
        <v>1849</v>
      </c>
      <c r="F274" s="60" t="s">
        <v>43</v>
      </c>
      <c r="G274" s="62">
        <v>36026539</v>
      </c>
      <c r="H274" s="118">
        <v>41542</v>
      </c>
      <c r="I274" s="60">
        <v>11</v>
      </c>
      <c r="J274" s="63" t="s">
        <v>713</v>
      </c>
      <c r="K274" s="64" t="s">
        <v>1850</v>
      </c>
      <c r="L274" s="65" t="s">
        <v>1851</v>
      </c>
      <c r="M274" s="66" t="s">
        <v>1852</v>
      </c>
      <c r="N274" s="77">
        <v>17533068</v>
      </c>
      <c r="O274" s="60" t="s">
        <v>1853</v>
      </c>
      <c r="P274" s="67" t="s">
        <v>713</v>
      </c>
      <c r="Q274" s="68" t="s">
        <v>1435</v>
      </c>
      <c r="R274" s="69" t="s">
        <v>1854</v>
      </c>
      <c r="S274" s="69" t="s">
        <v>138</v>
      </c>
      <c r="T274" s="69"/>
      <c r="U274" s="70"/>
      <c r="V274" s="79"/>
      <c r="W274" s="194">
        <v>45694</v>
      </c>
      <c r="X274" s="69" t="s">
        <v>1435</v>
      </c>
      <c r="Y274" s="75" t="s">
        <v>1855</v>
      </c>
      <c r="Z274" s="60"/>
      <c r="AA274" s="60"/>
      <c r="AB274" s="75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80"/>
      <c r="AR274" s="164"/>
    </row>
    <row r="275" spans="1:44" ht="30.75" customHeight="1">
      <c r="A275" s="41"/>
      <c r="B275" s="704"/>
      <c r="C275" s="172">
        <v>9</v>
      </c>
      <c r="D275" s="60" t="s">
        <v>1856</v>
      </c>
      <c r="E275" s="60" t="s">
        <v>1857</v>
      </c>
      <c r="F275" s="60" t="s">
        <v>43</v>
      </c>
      <c r="G275" s="62">
        <v>32637681</v>
      </c>
      <c r="H275" s="60" t="s">
        <v>1858</v>
      </c>
      <c r="I275" s="60">
        <v>16</v>
      </c>
      <c r="J275" s="63" t="s">
        <v>1859</v>
      </c>
      <c r="K275" s="64" t="s">
        <v>1860</v>
      </c>
      <c r="L275" s="65" t="s">
        <v>1861</v>
      </c>
      <c r="M275" s="66" t="s">
        <v>1862</v>
      </c>
      <c r="N275" s="77">
        <v>12879039</v>
      </c>
      <c r="O275" s="60" t="s">
        <v>1863</v>
      </c>
      <c r="P275" s="67" t="s">
        <v>1864</v>
      </c>
      <c r="Q275" s="68" t="s">
        <v>1865</v>
      </c>
      <c r="R275" s="69" t="s">
        <v>1866</v>
      </c>
      <c r="S275" s="69" t="s">
        <v>138</v>
      </c>
      <c r="T275" s="69"/>
      <c r="U275" s="70"/>
      <c r="V275" s="79"/>
      <c r="W275" s="191">
        <v>45699</v>
      </c>
      <c r="X275" s="69" t="s">
        <v>1867</v>
      </c>
      <c r="Y275" s="75" t="s">
        <v>1868</v>
      </c>
      <c r="Z275" s="60"/>
      <c r="AA275" s="60"/>
      <c r="AB275" s="75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80"/>
      <c r="AR275" s="164"/>
    </row>
    <row r="276" spans="1:44" ht="30.75" customHeight="1">
      <c r="A276" s="41"/>
      <c r="B276" s="704"/>
      <c r="C276" s="172">
        <v>10</v>
      </c>
      <c r="D276" s="60" t="s">
        <v>1869</v>
      </c>
      <c r="E276" s="60" t="s">
        <v>1870</v>
      </c>
      <c r="F276" s="60" t="s">
        <v>43</v>
      </c>
      <c r="G276" s="62">
        <v>34049062</v>
      </c>
      <c r="H276" s="118">
        <v>40638</v>
      </c>
      <c r="I276" s="60">
        <v>13</v>
      </c>
      <c r="J276" s="63" t="s">
        <v>1871</v>
      </c>
      <c r="K276" s="64" t="s">
        <v>1872</v>
      </c>
      <c r="L276" s="65" t="s">
        <v>1873</v>
      </c>
      <c r="M276" s="66" t="s">
        <v>1874</v>
      </c>
      <c r="N276" s="77">
        <v>17532168</v>
      </c>
      <c r="O276" s="60" t="s">
        <v>1872</v>
      </c>
      <c r="P276" s="67" t="s">
        <v>1871</v>
      </c>
      <c r="Q276" s="68"/>
      <c r="R276" s="69"/>
      <c r="S276" s="69" t="s">
        <v>138</v>
      </c>
      <c r="T276" s="69"/>
      <c r="U276" s="70"/>
      <c r="V276" s="79"/>
      <c r="W276" s="191">
        <v>45700</v>
      </c>
      <c r="X276" s="69"/>
      <c r="Y276" s="75"/>
      <c r="Z276" s="60"/>
      <c r="AA276" s="60"/>
      <c r="AB276" s="75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80"/>
      <c r="AR276" s="164"/>
    </row>
    <row r="277" spans="1:44" ht="30.75" customHeight="1">
      <c r="A277" s="41"/>
      <c r="B277" s="704"/>
      <c r="C277" s="172">
        <v>11</v>
      </c>
      <c r="D277" s="60" t="s">
        <v>1875</v>
      </c>
      <c r="E277" s="60" t="s">
        <v>1876</v>
      </c>
      <c r="F277" s="60" t="s">
        <v>43</v>
      </c>
      <c r="G277" s="62">
        <v>36106502</v>
      </c>
      <c r="H277" s="118">
        <v>41456</v>
      </c>
      <c r="I277" s="60">
        <v>11</v>
      </c>
      <c r="J277" s="63"/>
      <c r="K277" s="64" t="s">
        <v>1877</v>
      </c>
      <c r="L277" s="65" t="s">
        <v>1248</v>
      </c>
      <c r="M277" s="66" t="s">
        <v>1878</v>
      </c>
      <c r="N277" s="77">
        <v>82245041</v>
      </c>
      <c r="O277" s="60" t="s">
        <v>1877</v>
      </c>
      <c r="P277" s="67"/>
      <c r="Q277" s="68" t="s">
        <v>1435</v>
      </c>
      <c r="R277" s="69" t="s">
        <v>1879</v>
      </c>
      <c r="S277" s="69" t="s">
        <v>138</v>
      </c>
      <c r="T277" s="69"/>
      <c r="U277" s="70"/>
      <c r="V277" s="79"/>
      <c r="W277" s="191">
        <v>45701</v>
      </c>
      <c r="X277" s="69" t="s">
        <v>1435</v>
      </c>
      <c r="Y277" s="75" t="s">
        <v>1868</v>
      </c>
      <c r="Z277" s="60"/>
      <c r="AA277" s="60"/>
      <c r="AB277" s="75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80"/>
      <c r="AR277" s="164"/>
    </row>
    <row r="278" spans="1:44" ht="30.75" customHeight="1">
      <c r="A278" s="41"/>
      <c r="B278" s="704"/>
      <c r="C278" s="172">
        <v>12</v>
      </c>
      <c r="D278" s="60" t="s">
        <v>1880</v>
      </c>
      <c r="E278" s="60" t="s">
        <v>1881</v>
      </c>
      <c r="F278" s="60" t="s">
        <v>43</v>
      </c>
      <c r="G278" s="62"/>
      <c r="H278" s="60"/>
      <c r="I278" s="60"/>
      <c r="J278" s="63"/>
      <c r="K278" s="64" t="s">
        <v>1882</v>
      </c>
      <c r="L278" s="65" t="s">
        <v>1883</v>
      </c>
      <c r="M278" s="66" t="s">
        <v>1884</v>
      </c>
      <c r="N278" s="77">
        <v>4846581</v>
      </c>
      <c r="O278" s="60" t="s">
        <v>1885</v>
      </c>
      <c r="P278" s="67" t="s">
        <v>1886</v>
      </c>
      <c r="Q278" s="68" t="s">
        <v>704</v>
      </c>
      <c r="R278" s="69"/>
      <c r="S278" s="69" t="s">
        <v>1887</v>
      </c>
      <c r="T278" s="69"/>
      <c r="U278" s="70"/>
      <c r="V278" s="79"/>
      <c r="W278" s="191">
        <v>45706</v>
      </c>
      <c r="X278" s="69"/>
      <c r="Y278" s="75" t="s">
        <v>1888</v>
      </c>
      <c r="Z278" s="60"/>
      <c r="AA278" s="60"/>
      <c r="AB278" s="75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80"/>
      <c r="AR278" s="164"/>
    </row>
    <row r="279" spans="1:44" ht="30.75" customHeight="1">
      <c r="A279" s="41"/>
      <c r="B279" s="704"/>
      <c r="C279" s="172">
        <v>13</v>
      </c>
      <c r="D279" s="60" t="s">
        <v>1889</v>
      </c>
      <c r="E279" s="60" t="s">
        <v>1890</v>
      </c>
      <c r="F279" s="60" t="s">
        <v>43</v>
      </c>
      <c r="G279" s="62">
        <v>15715178</v>
      </c>
      <c r="H279" s="118">
        <v>30227</v>
      </c>
      <c r="I279" s="60">
        <v>42</v>
      </c>
      <c r="J279" s="63" t="s">
        <v>1891</v>
      </c>
      <c r="K279" s="64" t="s">
        <v>1892</v>
      </c>
      <c r="L279" s="63" t="s">
        <v>1893</v>
      </c>
      <c r="M279" s="66"/>
      <c r="N279" s="77"/>
      <c r="O279" s="60"/>
      <c r="P279" s="67"/>
      <c r="Q279" s="68" t="s">
        <v>281</v>
      </c>
      <c r="R279" s="69" t="s">
        <v>1837</v>
      </c>
      <c r="S279" s="69" t="s">
        <v>138</v>
      </c>
      <c r="T279" s="69"/>
      <c r="U279" s="70"/>
      <c r="V279" s="79"/>
      <c r="W279" s="191">
        <v>45708</v>
      </c>
      <c r="X279" s="69" t="s">
        <v>281</v>
      </c>
      <c r="Y279" s="75" t="s">
        <v>1894</v>
      </c>
      <c r="Z279" s="60"/>
      <c r="AA279" s="60"/>
      <c r="AB279" s="75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80"/>
      <c r="AR279" s="164"/>
    </row>
    <row r="280" spans="1:44" ht="30.75" customHeight="1">
      <c r="A280" s="41"/>
      <c r="B280" s="704"/>
      <c r="C280" s="172">
        <v>14</v>
      </c>
      <c r="D280" s="60" t="s">
        <v>1895</v>
      </c>
      <c r="E280" s="60" t="s">
        <v>1896</v>
      </c>
      <c r="F280" s="60" t="s">
        <v>43</v>
      </c>
      <c r="G280" s="62">
        <v>34029523</v>
      </c>
      <c r="H280" s="118">
        <v>40693</v>
      </c>
      <c r="I280" s="60">
        <v>13</v>
      </c>
      <c r="J280" s="63" t="s">
        <v>1897</v>
      </c>
      <c r="K280" s="64" t="s">
        <v>1898</v>
      </c>
      <c r="L280" s="65" t="s">
        <v>1899</v>
      </c>
      <c r="M280" s="66" t="s">
        <v>1900</v>
      </c>
      <c r="N280" s="77">
        <v>13066018</v>
      </c>
      <c r="O280" s="60" t="s">
        <v>1901</v>
      </c>
      <c r="P280" s="67" t="s">
        <v>1902</v>
      </c>
      <c r="Q280" s="68" t="s">
        <v>704</v>
      </c>
      <c r="R280" s="69" t="s">
        <v>1903</v>
      </c>
      <c r="S280" s="69" t="s">
        <v>138</v>
      </c>
      <c r="T280" s="69"/>
      <c r="U280" s="70"/>
      <c r="V280" s="79"/>
      <c r="W280" s="191">
        <v>45708</v>
      </c>
      <c r="X280" s="69" t="s">
        <v>704</v>
      </c>
      <c r="Y280" s="75" t="s">
        <v>1766</v>
      </c>
      <c r="Z280" s="60"/>
      <c r="AA280" s="60"/>
      <c r="AB280" s="75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80"/>
      <c r="AR280" s="164"/>
    </row>
    <row r="281" spans="1:44" ht="30.75" customHeight="1">
      <c r="A281" s="41"/>
      <c r="B281" s="704"/>
      <c r="C281" s="172">
        <v>15</v>
      </c>
      <c r="D281" s="60" t="s">
        <v>1904</v>
      </c>
      <c r="E281" s="60" t="s">
        <v>1905</v>
      </c>
      <c r="F281" s="60" t="s">
        <v>43</v>
      </c>
      <c r="G281" s="62">
        <v>23608660</v>
      </c>
      <c r="H281" s="118">
        <v>34771</v>
      </c>
      <c r="I281" s="60">
        <v>29</v>
      </c>
      <c r="J281" s="63" t="s">
        <v>1906</v>
      </c>
      <c r="K281" s="64" t="s">
        <v>1907</v>
      </c>
      <c r="L281" s="65" t="s">
        <v>1908</v>
      </c>
      <c r="M281" s="66"/>
      <c r="N281" s="77"/>
      <c r="O281" s="60"/>
      <c r="P281" s="67"/>
      <c r="Q281" s="68" t="s">
        <v>704</v>
      </c>
      <c r="R281" s="69" t="s">
        <v>1837</v>
      </c>
      <c r="S281" s="69" t="s">
        <v>138</v>
      </c>
      <c r="T281" s="69"/>
      <c r="U281" s="70"/>
      <c r="V281" s="79"/>
      <c r="W281" s="191">
        <v>45709</v>
      </c>
      <c r="X281" s="69" t="s">
        <v>704</v>
      </c>
      <c r="Y281" s="75" t="s">
        <v>1909</v>
      </c>
      <c r="Z281" s="60"/>
      <c r="AA281" s="60"/>
      <c r="AB281" s="75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80"/>
      <c r="AR281" s="164"/>
    </row>
    <row r="282" spans="1:44" ht="30.75" customHeight="1">
      <c r="A282" s="41"/>
      <c r="B282" s="704"/>
      <c r="C282" s="172">
        <v>16</v>
      </c>
      <c r="D282" s="60" t="s">
        <v>1910</v>
      </c>
      <c r="E282" s="60" t="s">
        <v>1911</v>
      </c>
      <c r="F282" s="60" t="s">
        <v>278</v>
      </c>
      <c r="G282" s="62"/>
      <c r="H282" s="60"/>
      <c r="I282" s="60"/>
      <c r="J282" s="63"/>
      <c r="K282" s="64"/>
      <c r="L282" s="65" t="s">
        <v>1912</v>
      </c>
      <c r="M282" s="66" t="s">
        <v>1913</v>
      </c>
      <c r="N282" s="77">
        <v>18738040</v>
      </c>
      <c r="O282" s="60">
        <v>4242558187</v>
      </c>
      <c r="P282" s="67"/>
      <c r="Q282" s="68"/>
      <c r="R282" s="69" t="s">
        <v>1854</v>
      </c>
      <c r="S282" s="69"/>
      <c r="T282" s="69"/>
      <c r="U282" s="70"/>
      <c r="V282" s="79"/>
      <c r="W282" s="66"/>
      <c r="X282" s="69"/>
      <c r="Y282" s="75" t="s">
        <v>1914</v>
      </c>
      <c r="Z282" s="60"/>
      <c r="AA282" s="60"/>
      <c r="AB282" s="75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80"/>
      <c r="AR282" s="164"/>
    </row>
    <row r="283" spans="1:44" ht="30.75" customHeight="1">
      <c r="A283" s="41"/>
      <c r="B283" s="704"/>
      <c r="C283" s="172">
        <v>17</v>
      </c>
      <c r="D283" s="60" t="s">
        <v>1915</v>
      </c>
      <c r="E283" s="60" t="s">
        <v>1916</v>
      </c>
      <c r="F283" s="60" t="s">
        <v>43</v>
      </c>
      <c r="G283" s="62">
        <v>33145977</v>
      </c>
      <c r="H283" s="118">
        <v>40037</v>
      </c>
      <c r="I283" s="60">
        <v>15</v>
      </c>
      <c r="J283" s="63"/>
      <c r="K283" s="64"/>
      <c r="L283" s="65"/>
      <c r="M283" s="66" t="s">
        <v>1917</v>
      </c>
      <c r="N283" s="77">
        <v>16591927</v>
      </c>
      <c r="O283" s="60" t="s">
        <v>1918</v>
      </c>
      <c r="P283" s="67" t="s">
        <v>1919</v>
      </c>
      <c r="Q283" s="68"/>
      <c r="R283" s="69" t="s">
        <v>1837</v>
      </c>
      <c r="S283" s="69" t="s">
        <v>138</v>
      </c>
      <c r="T283" s="69"/>
      <c r="U283" s="70"/>
      <c r="V283" s="79"/>
      <c r="W283" s="191">
        <v>45715</v>
      </c>
      <c r="X283" s="69"/>
      <c r="Y283" s="75" t="s">
        <v>1920</v>
      </c>
      <c r="Z283" s="60"/>
      <c r="AA283" s="60"/>
      <c r="AB283" s="75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80"/>
      <c r="AR283" s="164"/>
    </row>
    <row r="284" spans="1:44" ht="30.75" customHeight="1">
      <c r="A284" s="41"/>
      <c r="B284" s="704"/>
      <c r="C284" s="172">
        <v>18</v>
      </c>
      <c r="D284" s="60" t="s">
        <v>1921</v>
      </c>
      <c r="E284" s="60" t="s">
        <v>1922</v>
      </c>
      <c r="F284" s="60" t="s">
        <v>43</v>
      </c>
      <c r="G284" s="62"/>
      <c r="H284" s="118">
        <v>42787</v>
      </c>
      <c r="I284" s="60">
        <v>8</v>
      </c>
      <c r="J284" s="63" t="s">
        <v>1923</v>
      </c>
      <c r="K284" s="64" t="s">
        <v>1924</v>
      </c>
      <c r="L284" s="65" t="s">
        <v>1925</v>
      </c>
      <c r="M284" s="66" t="s">
        <v>1926</v>
      </c>
      <c r="N284" s="77">
        <v>20745695</v>
      </c>
      <c r="O284" s="60">
        <v>4242327536</v>
      </c>
      <c r="P284" s="67" t="s">
        <v>1927</v>
      </c>
      <c r="Q284" s="68" t="s">
        <v>1506</v>
      </c>
      <c r="R284" s="69" t="s">
        <v>1698</v>
      </c>
      <c r="S284" s="69" t="s">
        <v>288</v>
      </c>
      <c r="T284" s="69"/>
      <c r="U284" s="70"/>
      <c r="V284" s="79"/>
      <c r="W284" s="191">
        <v>45726</v>
      </c>
      <c r="X284" s="69" t="s">
        <v>1506</v>
      </c>
      <c r="Y284" s="75" t="s">
        <v>1928</v>
      </c>
      <c r="Z284" s="60"/>
      <c r="AA284" s="60"/>
      <c r="AB284" s="75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80"/>
      <c r="AR284" s="164"/>
    </row>
    <row r="285" spans="1:44" ht="30.75" customHeight="1">
      <c r="A285" s="41"/>
      <c r="B285" s="705"/>
      <c r="C285" s="172">
        <v>19</v>
      </c>
      <c r="D285" s="60" t="s">
        <v>1929</v>
      </c>
      <c r="E285" s="60" t="s">
        <v>1930</v>
      </c>
      <c r="F285" s="60" t="s">
        <v>43</v>
      </c>
      <c r="G285" s="62">
        <v>21536405</v>
      </c>
      <c r="H285" s="118">
        <v>34008</v>
      </c>
      <c r="I285" s="60">
        <v>32</v>
      </c>
      <c r="J285" s="63" t="s">
        <v>1931</v>
      </c>
      <c r="K285" s="64" t="s">
        <v>1932</v>
      </c>
      <c r="L285" s="65" t="s">
        <v>1933</v>
      </c>
      <c r="M285" s="66"/>
      <c r="N285" s="77"/>
      <c r="O285" s="60"/>
      <c r="P285" s="67"/>
      <c r="Q285" s="68" t="s">
        <v>281</v>
      </c>
      <c r="R285" s="69" t="s">
        <v>1837</v>
      </c>
      <c r="S285" s="69" t="s">
        <v>138</v>
      </c>
      <c r="T285" s="69"/>
      <c r="U285" s="70"/>
      <c r="V285" s="79"/>
      <c r="W285" s="191">
        <v>45726</v>
      </c>
      <c r="X285" s="69" t="s">
        <v>281</v>
      </c>
      <c r="Y285" s="75" t="s">
        <v>1934</v>
      </c>
      <c r="Z285" s="60"/>
      <c r="AA285" s="60"/>
      <c r="AB285" s="75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80"/>
      <c r="AR285" s="164"/>
    </row>
    <row r="286" spans="1:44" ht="30.75" customHeight="1">
      <c r="A286" s="41"/>
      <c r="B286" s="703" t="s">
        <v>1935</v>
      </c>
      <c r="C286" s="172">
        <v>20</v>
      </c>
      <c r="D286" s="60" t="s">
        <v>1936</v>
      </c>
      <c r="E286" s="60" t="s">
        <v>1937</v>
      </c>
      <c r="F286" s="60" t="s">
        <v>43</v>
      </c>
      <c r="G286" s="62">
        <v>33328326</v>
      </c>
      <c r="H286" s="118" t="s">
        <v>1938</v>
      </c>
      <c r="I286" s="60">
        <v>17</v>
      </c>
      <c r="J286" s="63"/>
      <c r="K286" s="64" t="s">
        <v>1939</v>
      </c>
      <c r="L286" s="65" t="s">
        <v>1350</v>
      </c>
      <c r="M286" s="66" t="s">
        <v>1940</v>
      </c>
      <c r="N286" s="77">
        <v>18233347</v>
      </c>
      <c r="O286" s="60" t="s">
        <v>1939</v>
      </c>
      <c r="P286" s="67"/>
      <c r="Q286" s="68" t="s">
        <v>281</v>
      </c>
      <c r="R286" s="69" t="s">
        <v>1837</v>
      </c>
      <c r="S286" s="69" t="s">
        <v>138</v>
      </c>
      <c r="T286" s="69"/>
      <c r="U286" s="70"/>
      <c r="V286" s="79"/>
      <c r="W286" s="191">
        <v>45726</v>
      </c>
      <c r="X286" s="69" t="s">
        <v>281</v>
      </c>
      <c r="Y286" s="75" t="s">
        <v>1920</v>
      </c>
      <c r="Z286" s="60"/>
      <c r="AA286" s="60"/>
      <c r="AB286" s="75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80"/>
      <c r="AR286" s="164"/>
    </row>
    <row r="287" spans="1:44" ht="30.75" customHeight="1">
      <c r="A287" s="41"/>
      <c r="B287" s="704"/>
      <c r="C287" s="172">
        <v>1</v>
      </c>
      <c r="D287" s="60" t="s">
        <v>1941</v>
      </c>
      <c r="E287" s="60" t="s">
        <v>1942</v>
      </c>
      <c r="F287" s="60" t="s">
        <v>43</v>
      </c>
      <c r="G287" s="62"/>
      <c r="H287" s="193">
        <v>42698</v>
      </c>
      <c r="I287" s="60">
        <v>8</v>
      </c>
      <c r="J287" s="63"/>
      <c r="K287" s="64" t="s">
        <v>1943</v>
      </c>
      <c r="L287" s="65" t="s">
        <v>1944</v>
      </c>
      <c r="M287" s="66" t="s">
        <v>1945</v>
      </c>
      <c r="N287" s="77">
        <v>13600406</v>
      </c>
      <c r="O287" s="60" t="s">
        <v>1943</v>
      </c>
      <c r="P287" s="67" t="s">
        <v>1946</v>
      </c>
      <c r="Q287" s="68" t="s">
        <v>369</v>
      </c>
      <c r="R287" s="69"/>
      <c r="S287" s="69" t="s">
        <v>138</v>
      </c>
      <c r="T287" s="69"/>
      <c r="U287" s="70"/>
      <c r="V287" s="79"/>
      <c r="W287" s="66"/>
      <c r="X287" s="69"/>
      <c r="Y287" s="75"/>
      <c r="Z287" s="60"/>
      <c r="AA287" s="60"/>
      <c r="AB287" s="75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80"/>
      <c r="AR287" s="164"/>
    </row>
    <row r="288" spans="1:44" ht="30.75" customHeight="1">
      <c r="A288" s="41"/>
      <c r="B288" s="704"/>
      <c r="C288" s="172">
        <v>2</v>
      </c>
      <c r="D288" s="60" t="s">
        <v>1947</v>
      </c>
      <c r="E288" s="60" t="s">
        <v>1948</v>
      </c>
      <c r="F288" s="60" t="s">
        <v>43</v>
      </c>
      <c r="G288" s="62">
        <v>30411888</v>
      </c>
      <c r="H288" s="118">
        <v>38253</v>
      </c>
      <c r="I288" s="60">
        <v>20</v>
      </c>
      <c r="J288" s="63" t="s">
        <v>1949</v>
      </c>
      <c r="K288" s="64" t="s">
        <v>1950</v>
      </c>
      <c r="L288" s="65" t="s">
        <v>1951</v>
      </c>
      <c r="M288" s="66"/>
      <c r="N288" s="77"/>
      <c r="O288" s="60"/>
      <c r="P288" s="67"/>
      <c r="Q288" s="68" t="s">
        <v>1952</v>
      </c>
      <c r="R288" s="69" t="s">
        <v>1953</v>
      </c>
      <c r="S288" s="69"/>
      <c r="T288" s="69"/>
      <c r="U288" s="70"/>
      <c r="V288" s="79"/>
      <c r="W288" s="66"/>
      <c r="X288" s="69"/>
      <c r="Y288" s="75"/>
      <c r="Z288" s="60"/>
      <c r="AA288" s="60"/>
      <c r="AB288" s="75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80"/>
      <c r="AR288" s="164"/>
    </row>
    <row r="289" spans="1:44" ht="30.75" customHeight="1">
      <c r="A289" s="41"/>
      <c r="B289" s="704"/>
      <c r="C289" s="172">
        <v>3</v>
      </c>
      <c r="D289" s="60" t="s">
        <v>1954</v>
      </c>
      <c r="E289" s="60" t="s">
        <v>1955</v>
      </c>
      <c r="F289" s="60" t="s">
        <v>43</v>
      </c>
      <c r="G289" s="62"/>
      <c r="H289" s="199">
        <v>41474</v>
      </c>
      <c r="I289" s="60">
        <v>11</v>
      </c>
      <c r="J289" s="63"/>
      <c r="K289" s="64"/>
      <c r="L289" s="65"/>
      <c r="M289" s="66" t="s">
        <v>1956</v>
      </c>
      <c r="N289" s="77">
        <v>21118135</v>
      </c>
      <c r="O289" s="60" t="s">
        <v>1957</v>
      </c>
      <c r="P289" s="67" t="s">
        <v>1958</v>
      </c>
      <c r="Q289" s="68" t="s">
        <v>369</v>
      </c>
      <c r="R289" s="69" t="s">
        <v>1959</v>
      </c>
      <c r="S289" s="69" t="s">
        <v>138</v>
      </c>
      <c r="T289" s="69"/>
      <c r="U289" s="70"/>
      <c r="V289" s="79"/>
      <c r="W289" s="66"/>
      <c r="X289" s="69"/>
      <c r="Y289" s="75"/>
      <c r="Z289" s="60"/>
      <c r="AA289" s="60"/>
      <c r="AB289" s="75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80"/>
      <c r="AR289" s="164"/>
    </row>
    <row r="290" spans="1:44" ht="30.75" customHeight="1">
      <c r="A290" s="41"/>
      <c r="B290" s="704"/>
      <c r="C290" s="172">
        <v>4</v>
      </c>
      <c r="D290" s="60" t="s">
        <v>1960</v>
      </c>
      <c r="E290" s="60" t="s">
        <v>1961</v>
      </c>
      <c r="F290" s="60" t="s">
        <v>43</v>
      </c>
      <c r="G290" s="62"/>
      <c r="H290" s="118">
        <v>43563</v>
      </c>
      <c r="I290" s="60"/>
      <c r="J290" s="63"/>
      <c r="K290" s="64"/>
      <c r="L290" s="65"/>
      <c r="M290" s="66" t="s">
        <v>1962</v>
      </c>
      <c r="N290" s="77">
        <v>25896874</v>
      </c>
      <c r="O290" s="60">
        <v>4242741581</v>
      </c>
      <c r="P290" s="67" t="s">
        <v>1963</v>
      </c>
      <c r="Q290" s="68"/>
      <c r="R290" s="69"/>
      <c r="S290" s="69" t="s">
        <v>138</v>
      </c>
      <c r="T290" s="69"/>
      <c r="U290" s="70"/>
      <c r="V290" s="79"/>
      <c r="W290" s="66"/>
      <c r="X290" s="69"/>
      <c r="Y290" s="75"/>
      <c r="Z290" s="60"/>
      <c r="AA290" s="60"/>
      <c r="AB290" s="75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80"/>
      <c r="AR290" s="164"/>
    </row>
    <row r="291" spans="1:44" ht="30.75" customHeight="1">
      <c r="A291" s="41"/>
      <c r="B291" s="704"/>
      <c r="C291" s="172">
        <v>5</v>
      </c>
      <c r="D291" s="60" t="s">
        <v>1964</v>
      </c>
      <c r="E291" s="60" t="s">
        <v>1965</v>
      </c>
      <c r="F291" s="60" t="s">
        <v>43</v>
      </c>
      <c r="G291" s="62">
        <v>25237183</v>
      </c>
      <c r="H291" s="118">
        <v>35557</v>
      </c>
      <c r="I291" s="60">
        <v>27</v>
      </c>
      <c r="J291" s="63" t="s">
        <v>1966</v>
      </c>
      <c r="K291" s="64" t="s">
        <v>1967</v>
      </c>
      <c r="L291" s="65" t="s">
        <v>1350</v>
      </c>
      <c r="M291" s="60" t="s">
        <v>1965</v>
      </c>
      <c r="N291" s="77">
        <v>25237183</v>
      </c>
      <c r="O291" s="60" t="s">
        <v>1967</v>
      </c>
      <c r="P291" s="67"/>
      <c r="Q291" s="68" t="s">
        <v>63</v>
      </c>
      <c r="R291" s="69" t="s">
        <v>1968</v>
      </c>
      <c r="S291" s="69"/>
      <c r="T291" s="69"/>
      <c r="U291" s="70"/>
      <c r="V291" s="79"/>
      <c r="W291" s="66"/>
      <c r="X291" s="69"/>
      <c r="Y291" s="75"/>
      <c r="Z291" s="60"/>
      <c r="AA291" s="60"/>
      <c r="AB291" s="75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80"/>
      <c r="AR291" s="164"/>
    </row>
    <row r="292" spans="1:44" ht="30.75" customHeight="1">
      <c r="A292" s="41"/>
      <c r="B292" s="704"/>
      <c r="C292" s="172">
        <v>6</v>
      </c>
      <c r="D292" s="60" t="s">
        <v>1969</v>
      </c>
      <c r="E292" s="60" t="s">
        <v>1970</v>
      </c>
      <c r="F292" s="60" t="s">
        <v>43</v>
      </c>
      <c r="G292" s="62"/>
      <c r="H292" s="118">
        <v>44394</v>
      </c>
      <c r="I292" s="60">
        <v>3</v>
      </c>
      <c r="J292" s="63"/>
      <c r="K292" s="64" t="s">
        <v>1971</v>
      </c>
      <c r="L292" s="65" t="s">
        <v>1972</v>
      </c>
      <c r="M292" s="66" t="s">
        <v>1973</v>
      </c>
      <c r="N292" s="77">
        <v>20746993</v>
      </c>
      <c r="O292" s="60" t="s">
        <v>1971</v>
      </c>
      <c r="P292" s="67"/>
      <c r="Q292" s="68" t="s">
        <v>1238</v>
      </c>
      <c r="R292" s="69" t="s">
        <v>1974</v>
      </c>
      <c r="S292" s="69" t="s">
        <v>138</v>
      </c>
      <c r="T292" s="69"/>
      <c r="U292" s="70"/>
      <c r="V292" s="79"/>
      <c r="W292" s="66"/>
      <c r="X292" s="69"/>
      <c r="Y292" s="75"/>
      <c r="Z292" s="60"/>
      <c r="AA292" s="60"/>
      <c r="AB292" s="75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80"/>
      <c r="AR292" s="164"/>
    </row>
    <row r="293" spans="1:44" ht="30.75" customHeight="1">
      <c r="A293" s="41"/>
      <c r="B293" s="704"/>
      <c r="C293" s="172">
        <v>7</v>
      </c>
      <c r="D293" s="60" t="s">
        <v>1975</v>
      </c>
      <c r="E293" s="60" t="s">
        <v>1976</v>
      </c>
      <c r="F293" s="60" t="s">
        <v>43</v>
      </c>
      <c r="G293" s="62">
        <v>34941913</v>
      </c>
      <c r="H293" s="118">
        <v>41533</v>
      </c>
      <c r="I293" s="60">
        <v>11</v>
      </c>
      <c r="J293" s="63" t="s">
        <v>1977</v>
      </c>
      <c r="K293" s="64" t="s">
        <v>1978</v>
      </c>
      <c r="L293" s="65" t="s">
        <v>610</v>
      </c>
      <c r="M293" s="66" t="s">
        <v>1979</v>
      </c>
      <c r="N293" s="77">
        <v>17051446</v>
      </c>
      <c r="O293" s="60" t="s">
        <v>1980</v>
      </c>
      <c r="P293" s="67" t="s">
        <v>1981</v>
      </c>
      <c r="Q293" s="68" t="s">
        <v>704</v>
      </c>
      <c r="R293" s="69" t="s">
        <v>1968</v>
      </c>
      <c r="S293" s="69" t="s">
        <v>138</v>
      </c>
      <c r="T293" s="69"/>
      <c r="U293" s="70"/>
      <c r="V293" s="79"/>
      <c r="W293" s="66"/>
      <c r="X293" s="69"/>
      <c r="Y293" s="75"/>
      <c r="Z293" s="60"/>
      <c r="AA293" s="60"/>
      <c r="AB293" s="75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80"/>
      <c r="AR293" s="164"/>
    </row>
    <row r="294" spans="1:44" ht="30.75" customHeight="1">
      <c r="A294" s="41"/>
      <c r="B294" s="704"/>
      <c r="C294" s="172">
        <v>8</v>
      </c>
      <c r="D294" s="60" t="s">
        <v>1982</v>
      </c>
      <c r="E294" s="60" t="s">
        <v>1983</v>
      </c>
      <c r="F294" s="60" t="s">
        <v>43</v>
      </c>
      <c r="G294" s="62">
        <v>36397979</v>
      </c>
      <c r="H294" s="118">
        <v>41880</v>
      </c>
      <c r="I294" s="60">
        <v>10</v>
      </c>
      <c r="J294" s="63"/>
      <c r="K294" s="64" t="s">
        <v>1984</v>
      </c>
      <c r="L294" s="65" t="s">
        <v>443</v>
      </c>
      <c r="M294" s="66" t="s">
        <v>1985</v>
      </c>
      <c r="N294" s="77">
        <v>16922690</v>
      </c>
      <c r="O294" s="60" t="s">
        <v>1986</v>
      </c>
      <c r="P294" s="67"/>
      <c r="Q294" s="68" t="s">
        <v>1092</v>
      </c>
      <c r="R294" s="69" t="s">
        <v>1987</v>
      </c>
      <c r="S294" s="69"/>
      <c r="T294" s="69"/>
      <c r="U294" s="70"/>
      <c r="V294" s="79"/>
      <c r="W294" s="66"/>
      <c r="X294" s="69"/>
      <c r="Y294" s="75"/>
      <c r="Z294" s="60"/>
      <c r="AA294" s="60"/>
      <c r="AB294" s="75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80"/>
      <c r="AR294" s="164"/>
    </row>
    <row r="295" spans="1:44" ht="30.75" customHeight="1">
      <c r="A295" s="41"/>
      <c r="B295" s="704"/>
      <c r="C295" s="172">
        <v>9</v>
      </c>
      <c r="D295" s="60" t="s">
        <v>1988</v>
      </c>
      <c r="E295" s="60" t="s">
        <v>1989</v>
      </c>
      <c r="F295" s="60" t="s">
        <v>43</v>
      </c>
      <c r="G295" s="62">
        <v>36698453</v>
      </c>
      <c r="H295" s="118">
        <v>42187</v>
      </c>
      <c r="I295" s="60">
        <v>9</v>
      </c>
      <c r="J295" s="63"/>
      <c r="K295" s="64" t="s">
        <v>1984</v>
      </c>
      <c r="L295" s="65" t="s">
        <v>443</v>
      </c>
      <c r="M295" s="66" t="s">
        <v>1985</v>
      </c>
      <c r="N295" s="77">
        <v>16922690</v>
      </c>
      <c r="O295" s="60" t="s">
        <v>1986</v>
      </c>
      <c r="P295" s="67"/>
      <c r="Q295" s="68" t="s">
        <v>1092</v>
      </c>
      <c r="R295" s="69" t="s">
        <v>1987</v>
      </c>
      <c r="S295" s="69"/>
      <c r="T295" s="69"/>
      <c r="U295" s="70"/>
      <c r="V295" s="79"/>
      <c r="W295" s="66"/>
      <c r="X295" s="69"/>
      <c r="Y295" s="75"/>
      <c r="Z295" s="60"/>
      <c r="AA295" s="60"/>
      <c r="AB295" s="75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80"/>
      <c r="AR295" s="164"/>
    </row>
    <row r="296" spans="1:44" ht="30.75" customHeight="1">
      <c r="A296" s="41"/>
      <c r="B296" s="704"/>
      <c r="C296" s="172">
        <v>10</v>
      </c>
      <c r="D296" s="60" t="s">
        <v>1990</v>
      </c>
      <c r="E296" s="60" t="s">
        <v>1991</v>
      </c>
      <c r="F296" s="60" t="s">
        <v>43</v>
      </c>
      <c r="G296" s="62">
        <v>36888278</v>
      </c>
      <c r="H296" s="118">
        <v>41849</v>
      </c>
      <c r="I296" s="60">
        <v>10</v>
      </c>
      <c r="J296" s="63" t="s">
        <v>1992</v>
      </c>
      <c r="K296" s="64" t="s">
        <v>1993</v>
      </c>
      <c r="L296" s="65" t="s">
        <v>1994</v>
      </c>
      <c r="M296" s="66" t="s">
        <v>1995</v>
      </c>
      <c r="N296" s="77">
        <v>25215716</v>
      </c>
      <c r="O296" s="60" t="s">
        <v>1993</v>
      </c>
      <c r="P296" s="67"/>
      <c r="Q296" s="68"/>
      <c r="R296" s="69"/>
      <c r="S296" s="69"/>
      <c r="T296" s="69"/>
      <c r="U296" s="70"/>
      <c r="V296" s="79"/>
      <c r="W296" s="66"/>
      <c r="X296" s="69"/>
      <c r="Y296" s="75"/>
      <c r="Z296" s="60"/>
      <c r="AA296" s="60"/>
      <c r="AB296" s="75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80"/>
      <c r="AR296" s="164"/>
    </row>
    <row r="297" spans="1:44" ht="30.75" customHeight="1">
      <c r="A297" s="41"/>
      <c r="B297" s="704"/>
      <c r="C297" s="172">
        <v>11</v>
      </c>
      <c r="D297" s="60" t="s">
        <v>1996</v>
      </c>
      <c r="E297" s="60" t="s">
        <v>1997</v>
      </c>
      <c r="F297" s="60" t="s">
        <v>43</v>
      </c>
      <c r="G297" s="62"/>
      <c r="H297" s="195">
        <v>41413</v>
      </c>
      <c r="I297" s="60">
        <v>8</v>
      </c>
      <c r="J297" s="63" t="s">
        <v>1998</v>
      </c>
      <c r="K297" s="64"/>
      <c r="L297" s="65"/>
      <c r="M297" s="66"/>
      <c r="N297" s="77"/>
      <c r="O297" s="60"/>
      <c r="P297" s="67"/>
      <c r="Q297" s="68"/>
      <c r="R297" s="69"/>
      <c r="S297" s="69"/>
      <c r="T297" s="69"/>
      <c r="U297" s="70"/>
      <c r="V297" s="79"/>
      <c r="W297" s="66"/>
      <c r="X297" s="69"/>
      <c r="Y297" s="75"/>
      <c r="Z297" s="60"/>
      <c r="AA297" s="60"/>
      <c r="AB297" s="75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80"/>
      <c r="AR297" s="164"/>
    </row>
    <row r="298" spans="1:44" ht="30.75" customHeight="1">
      <c r="A298" s="41"/>
      <c r="B298" s="704"/>
      <c r="C298" s="172">
        <v>12</v>
      </c>
      <c r="D298" s="60" t="s">
        <v>1999</v>
      </c>
      <c r="E298" s="60" t="s">
        <v>2000</v>
      </c>
      <c r="F298" s="60" t="s">
        <v>43</v>
      </c>
      <c r="G298" s="62">
        <v>34525995</v>
      </c>
      <c r="H298" s="195">
        <v>41106</v>
      </c>
      <c r="I298" s="60">
        <v>12</v>
      </c>
      <c r="J298" s="63" t="s">
        <v>2001</v>
      </c>
      <c r="K298" s="64" t="s">
        <v>2002</v>
      </c>
      <c r="L298" s="65" t="s">
        <v>2003</v>
      </c>
      <c r="M298" s="66" t="s">
        <v>2004</v>
      </c>
      <c r="N298" s="77">
        <v>16044295</v>
      </c>
      <c r="O298" s="60" t="s">
        <v>2002</v>
      </c>
      <c r="P298" s="67"/>
      <c r="Q298" s="68" t="s">
        <v>1865</v>
      </c>
      <c r="R298" s="69" t="s">
        <v>2005</v>
      </c>
      <c r="S298" s="69"/>
      <c r="T298" s="69"/>
      <c r="U298" s="70"/>
      <c r="V298" s="79"/>
      <c r="W298" s="66"/>
      <c r="X298" s="69"/>
      <c r="Y298" s="75"/>
      <c r="Z298" s="60"/>
      <c r="AA298" s="60"/>
      <c r="AB298" s="75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80"/>
      <c r="AR298" s="164"/>
    </row>
    <row r="299" spans="1:44" ht="30.75" customHeight="1">
      <c r="A299" s="41"/>
      <c r="B299" s="704"/>
      <c r="C299" s="172">
        <v>13</v>
      </c>
      <c r="D299" s="60" t="s">
        <v>2006</v>
      </c>
      <c r="E299" s="60" t="s">
        <v>2007</v>
      </c>
      <c r="F299" s="60" t="s">
        <v>43</v>
      </c>
      <c r="G299" s="62">
        <v>31001867</v>
      </c>
      <c r="H299" s="118">
        <v>37755</v>
      </c>
      <c r="I299" s="60">
        <v>21</v>
      </c>
      <c r="J299" s="63" t="s">
        <v>2008</v>
      </c>
      <c r="K299" s="64" t="s">
        <v>2009</v>
      </c>
      <c r="L299" s="65" t="s">
        <v>2010</v>
      </c>
      <c r="M299" s="66" t="s">
        <v>2007</v>
      </c>
      <c r="N299" s="77">
        <v>31001867</v>
      </c>
      <c r="O299" s="60" t="s">
        <v>2009</v>
      </c>
      <c r="P299" s="67" t="s">
        <v>2011</v>
      </c>
      <c r="Q299" s="68"/>
      <c r="R299" s="69" t="s">
        <v>2012</v>
      </c>
      <c r="S299" s="69"/>
      <c r="T299" s="69"/>
      <c r="U299" s="70"/>
      <c r="V299" s="79"/>
      <c r="W299" s="66"/>
      <c r="X299" s="69"/>
      <c r="Y299" s="75"/>
      <c r="Z299" s="60"/>
      <c r="AA299" s="60"/>
      <c r="AB299" s="75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80"/>
      <c r="AR299" s="164"/>
    </row>
    <row r="300" spans="1:44" ht="30.75" customHeight="1">
      <c r="A300" s="41"/>
      <c r="B300" s="704"/>
      <c r="C300" s="172">
        <v>14</v>
      </c>
      <c r="D300" s="60" t="s">
        <v>2013</v>
      </c>
      <c r="E300" s="60" t="s">
        <v>2014</v>
      </c>
      <c r="F300" s="60" t="s">
        <v>43</v>
      </c>
      <c r="G300" s="62">
        <v>36341515</v>
      </c>
      <c r="H300" s="118">
        <v>42012</v>
      </c>
      <c r="I300" s="60">
        <v>10</v>
      </c>
      <c r="J300" s="63" t="s">
        <v>2015</v>
      </c>
      <c r="K300" s="64" t="s">
        <v>2016</v>
      </c>
      <c r="L300" s="65" t="s">
        <v>2017</v>
      </c>
      <c r="M300" s="66" t="s">
        <v>2018</v>
      </c>
      <c r="N300" s="77">
        <v>14585274</v>
      </c>
      <c r="O300" s="60" t="s">
        <v>2019</v>
      </c>
      <c r="P300" s="67"/>
      <c r="Q300" s="68"/>
      <c r="R300" s="69"/>
      <c r="S300" s="69"/>
      <c r="T300" s="69"/>
      <c r="U300" s="70"/>
      <c r="V300" s="79"/>
      <c r="W300" s="66"/>
      <c r="X300" s="69"/>
      <c r="Y300" s="75"/>
      <c r="Z300" s="60"/>
      <c r="AA300" s="60"/>
      <c r="AB300" s="75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80"/>
      <c r="AR300" s="164"/>
    </row>
    <row r="301" spans="1:44" ht="30.75" customHeight="1">
      <c r="A301" s="41"/>
      <c r="B301" s="704"/>
      <c r="C301" s="172">
        <v>15</v>
      </c>
      <c r="D301" s="60" t="s">
        <v>2020</v>
      </c>
      <c r="E301" s="60" t="s">
        <v>2021</v>
      </c>
      <c r="F301" s="60" t="s">
        <v>43</v>
      </c>
      <c r="G301" s="62"/>
      <c r="H301" s="118">
        <v>43015</v>
      </c>
      <c r="I301" s="60">
        <v>7</v>
      </c>
      <c r="J301" s="63"/>
      <c r="K301" s="64" t="s">
        <v>2022</v>
      </c>
      <c r="L301" s="65" t="s">
        <v>2023</v>
      </c>
      <c r="M301" s="66" t="s">
        <v>2024</v>
      </c>
      <c r="N301" s="77">
        <v>16889675</v>
      </c>
      <c r="O301" s="60">
        <v>4125605753</v>
      </c>
      <c r="P301" s="67"/>
      <c r="Q301" s="68"/>
      <c r="R301" s="69" t="s">
        <v>2025</v>
      </c>
      <c r="S301" s="69"/>
      <c r="T301" s="69"/>
      <c r="U301" s="70"/>
      <c r="V301" s="79"/>
      <c r="W301" s="66"/>
      <c r="X301" s="69"/>
      <c r="Y301" s="75"/>
      <c r="Z301" s="60"/>
      <c r="AA301" s="60"/>
      <c r="AB301" s="75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80"/>
      <c r="AR301" s="164"/>
    </row>
    <row r="302" spans="1:44" ht="30.75" customHeight="1">
      <c r="A302" s="41"/>
      <c r="B302" s="704"/>
      <c r="C302" s="172">
        <v>16</v>
      </c>
      <c r="D302" s="60" t="s">
        <v>2026</v>
      </c>
      <c r="E302" s="60" t="s">
        <v>2027</v>
      </c>
      <c r="F302" s="60" t="s">
        <v>43</v>
      </c>
      <c r="G302" s="62">
        <v>34429010</v>
      </c>
      <c r="H302" s="118">
        <v>41444</v>
      </c>
      <c r="I302" s="60">
        <v>11</v>
      </c>
      <c r="J302" s="63"/>
      <c r="K302" s="64" t="s">
        <v>2028</v>
      </c>
      <c r="L302" s="65" t="s">
        <v>2029</v>
      </c>
      <c r="M302" s="66" t="s">
        <v>2030</v>
      </c>
      <c r="N302" s="77">
        <v>13231768</v>
      </c>
      <c r="O302" s="60">
        <v>4126296564</v>
      </c>
      <c r="P302" s="67"/>
      <c r="Q302" s="68" t="s">
        <v>704</v>
      </c>
      <c r="R302" s="69" t="s">
        <v>2031</v>
      </c>
      <c r="S302" s="69"/>
      <c r="T302" s="69"/>
      <c r="U302" s="70"/>
      <c r="V302" s="79"/>
      <c r="W302" s="66"/>
      <c r="X302" s="69"/>
      <c r="Y302" s="75"/>
      <c r="Z302" s="60"/>
      <c r="AA302" s="60"/>
      <c r="AB302" s="75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80"/>
      <c r="AR302" s="164"/>
    </row>
    <row r="303" spans="1:44" ht="30.75" customHeight="1">
      <c r="A303" s="41"/>
      <c r="B303" s="704"/>
      <c r="C303" s="172">
        <v>17</v>
      </c>
      <c r="D303" s="60" t="s">
        <v>2032</v>
      </c>
      <c r="E303" s="60" t="s">
        <v>2033</v>
      </c>
      <c r="F303" s="60" t="s">
        <v>43</v>
      </c>
      <c r="G303" s="62"/>
      <c r="H303" s="118">
        <v>43204</v>
      </c>
      <c r="I303" s="60">
        <v>7</v>
      </c>
      <c r="J303" s="63"/>
      <c r="K303" s="64" t="s">
        <v>2034</v>
      </c>
      <c r="L303" s="65" t="s">
        <v>2029</v>
      </c>
      <c r="M303" s="66" t="s">
        <v>2030</v>
      </c>
      <c r="N303" s="77">
        <v>13231768</v>
      </c>
      <c r="O303" s="60">
        <v>4126296564</v>
      </c>
      <c r="P303" s="67"/>
      <c r="Q303" s="68" t="s">
        <v>1092</v>
      </c>
      <c r="R303" s="69" t="s">
        <v>2031</v>
      </c>
      <c r="S303" s="69"/>
      <c r="T303" s="69"/>
      <c r="U303" s="70"/>
      <c r="V303" s="79"/>
      <c r="W303" s="66"/>
      <c r="X303" s="69"/>
      <c r="Y303" s="75"/>
      <c r="Z303" s="60"/>
      <c r="AA303" s="60"/>
      <c r="AB303" s="75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80"/>
      <c r="AR303" s="164"/>
    </row>
    <row r="304" spans="1:44" ht="30.75" customHeight="1">
      <c r="A304" s="41"/>
      <c r="B304" s="704"/>
      <c r="C304" s="172">
        <v>18</v>
      </c>
      <c r="D304" s="60" t="s">
        <v>2035</v>
      </c>
      <c r="E304" s="60" t="s">
        <v>2036</v>
      </c>
      <c r="F304" s="60" t="s">
        <v>43</v>
      </c>
      <c r="G304" s="62">
        <v>36891964</v>
      </c>
      <c r="H304" s="118">
        <v>42090</v>
      </c>
      <c r="I304" s="60">
        <v>10</v>
      </c>
      <c r="J304" s="63" t="s">
        <v>1871</v>
      </c>
      <c r="K304" s="64" t="s">
        <v>1872</v>
      </c>
      <c r="L304" s="65" t="s">
        <v>610</v>
      </c>
      <c r="M304" s="66" t="s">
        <v>2037</v>
      </c>
      <c r="N304" s="77">
        <v>17532168</v>
      </c>
      <c r="O304" s="60" t="s">
        <v>1872</v>
      </c>
      <c r="P304" s="67"/>
      <c r="Q304" s="68"/>
      <c r="R304" s="69"/>
      <c r="S304" s="69"/>
      <c r="T304" s="69"/>
      <c r="U304" s="70"/>
      <c r="V304" s="79"/>
      <c r="W304" s="66"/>
      <c r="X304" s="69"/>
      <c r="Y304" s="75"/>
      <c r="Z304" s="60"/>
      <c r="AA304" s="60"/>
      <c r="AB304" s="75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80"/>
      <c r="AR304" s="164"/>
    </row>
    <row r="305" spans="1:44" ht="30.75" customHeight="1">
      <c r="A305" s="41"/>
      <c r="B305" s="705"/>
      <c r="C305" s="172">
        <v>19</v>
      </c>
      <c r="D305" s="60" t="s">
        <v>2038</v>
      </c>
      <c r="E305" s="60" t="s">
        <v>2039</v>
      </c>
      <c r="F305" s="60" t="s">
        <v>43</v>
      </c>
      <c r="G305" s="62">
        <v>27597211</v>
      </c>
      <c r="H305" s="118">
        <v>36740</v>
      </c>
      <c r="I305" s="60">
        <v>24</v>
      </c>
      <c r="J305" s="63" t="s">
        <v>2040</v>
      </c>
      <c r="K305" s="64" t="s">
        <v>2041</v>
      </c>
      <c r="L305" s="65" t="s">
        <v>2042</v>
      </c>
      <c r="M305" s="66"/>
      <c r="N305" s="77"/>
      <c r="O305" s="60"/>
      <c r="P305" s="67"/>
      <c r="Q305" s="68"/>
      <c r="R305" s="69"/>
      <c r="S305" s="69"/>
      <c r="T305" s="69"/>
      <c r="U305" s="70"/>
      <c r="V305" s="79"/>
      <c r="W305" s="66"/>
      <c r="X305" s="69"/>
      <c r="Y305" s="75"/>
      <c r="Z305" s="60"/>
      <c r="AA305" s="60"/>
      <c r="AB305" s="75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80"/>
      <c r="AR305" s="164"/>
    </row>
    <row r="306" spans="1:44" ht="30.75" customHeight="1">
      <c r="A306" s="41"/>
      <c r="B306" s="703" t="s">
        <v>2043</v>
      </c>
      <c r="C306" s="172">
        <v>20</v>
      </c>
      <c r="D306" s="60" t="s">
        <v>2044</v>
      </c>
      <c r="E306" s="60" t="s">
        <v>2045</v>
      </c>
      <c r="F306" s="60" t="s">
        <v>43</v>
      </c>
      <c r="G306" s="62">
        <v>28148610</v>
      </c>
      <c r="H306" s="118">
        <v>37002</v>
      </c>
      <c r="I306" s="60">
        <v>24</v>
      </c>
      <c r="J306" s="63" t="s">
        <v>2046</v>
      </c>
      <c r="K306" s="64" t="s">
        <v>2047</v>
      </c>
      <c r="L306" s="65" t="s">
        <v>2048</v>
      </c>
      <c r="M306" s="66"/>
      <c r="N306" s="77"/>
      <c r="O306" s="60"/>
      <c r="P306" s="67"/>
      <c r="Q306" s="68"/>
      <c r="R306" s="69"/>
      <c r="S306" s="69"/>
      <c r="T306" s="69"/>
      <c r="U306" s="70"/>
      <c r="V306" s="79"/>
      <c r="W306" s="66"/>
      <c r="X306" s="69"/>
      <c r="Y306" s="75"/>
      <c r="Z306" s="60"/>
      <c r="AA306" s="60"/>
      <c r="AB306" s="75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80"/>
      <c r="AR306" s="164"/>
    </row>
    <row r="307" spans="1:44" ht="30.75" customHeight="1">
      <c r="A307" s="41"/>
      <c r="B307" s="704"/>
      <c r="C307" s="172">
        <v>1</v>
      </c>
      <c r="D307" s="60" t="s">
        <v>2049</v>
      </c>
      <c r="E307" s="60" t="s">
        <v>2050</v>
      </c>
      <c r="F307" s="60" t="s">
        <v>43</v>
      </c>
      <c r="G307" s="62">
        <v>34694829</v>
      </c>
      <c r="H307" s="118">
        <v>40229</v>
      </c>
      <c r="I307" s="60">
        <v>15</v>
      </c>
      <c r="J307" s="63" t="s">
        <v>2051</v>
      </c>
      <c r="K307" s="64" t="s">
        <v>2052</v>
      </c>
      <c r="L307" s="65" t="s">
        <v>2053</v>
      </c>
      <c r="M307" s="66" t="s">
        <v>2054</v>
      </c>
      <c r="N307" s="77">
        <v>15714752</v>
      </c>
      <c r="O307" s="60" t="s">
        <v>2055</v>
      </c>
      <c r="P307" s="67" t="s">
        <v>2056</v>
      </c>
      <c r="Q307" s="68"/>
      <c r="R307" s="69"/>
      <c r="S307" s="69"/>
      <c r="T307" s="69"/>
      <c r="U307" s="70"/>
      <c r="V307" s="79"/>
      <c r="W307" s="66"/>
      <c r="X307" s="69"/>
      <c r="Y307" s="75"/>
      <c r="Z307" s="60"/>
      <c r="AA307" s="60"/>
      <c r="AB307" s="75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80"/>
      <c r="AR307" s="164"/>
    </row>
    <row r="308" spans="1:44" ht="30.75" customHeight="1">
      <c r="A308" s="41"/>
      <c r="B308" s="704"/>
      <c r="C308" s="172">
        <v>2</v>
      </c>
      <c r="D308" s="60" t="s">
        <v>2057</v>
      </c>
      <c r="E308" s="60" t="s">
        <v>2058</v>
      </c>
      <c r="F308" s="60" t="s">
        <v>43</v>
      </c>
      <c r="G308" s="62">
        <v>33076737</v>
      </c>
      <c r="H308" s="118">
        <v>40855</v>
      </c>
      <c r="I308" s="60">
        <v>13</v>
      </c>
      <c r="J308" s="63" t="s">
        <v>2059</v>
      </c>
      <c r="K308" s="64" t="s">
        <v>2060</v>
      </c>
      <c r="L308" s="65" t="s">
        <v>2061</v>
      </c>
      <c r="M308" s="66" t="s">
        <v>2062</v>
      </c>
      <c r="N308" s="77">
        <v>13776430</v>
      </c>
      <c r="O308" s="60" t="s">
        <v>2063</v>
      </c>
      <c r="P308" s="67" t="s">
        <v>2064</v>
      </c>
      <c r="Q308" s="68" t="s">
        <v>76</v>
      </c>
      <c r="R308" s="69" t="s">
        <v>2065</v>
      </c>
      <c r="S308" s="69"/>
      <c r="T308" s="69"/>
      <c r="U308" s="70"/>
      <c r="V308" s="79"/>
      <c r="W308" s="66"/>
      <c r="X308" s="69"/>
      <c r="Y308" s="75"/>
      <c r="Z308" s="60"/>
      <c r="AA308" s="60"/>
      <c r="AB308" s="75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80"/>
      <c r="AR308" s="164"/>
    </row>
    <row r="309" spans="1:44" ht="30.75" customHeight="1">
      <c r="A309" s="41"/>
      <c r="B309" s="704"/>
      <c r="C309" s="172">
        <v>3</v>
      </c>
      <c r="D309" s="60" t="s">
        <v>2066</v>
      </c>
      <c r="E309" s="60" t="s">
        <v>2067</v>
      </c>
      <c r="F309" s="60" t="s">
        <v>43</v>
      </c>
      <c r="G309" s="62">
        <v>32514978</v>
      </c>
      <c r="H309" s="118">
        <v>39554</v>
      </c>
      <c r="I309" s="60">
        <v>17</v>
      </c>
      <c r="J309" s="63" t="s">
        <v>2068</v>
      </c>
      <c r="K309" s="64" t="s">
        <v>2069</v>
      </c>
      <c r="L309" s="65" t="s">
        <v>2070</v>
      </c>
      <c r="M309" s="66" t="s">
        <v>2071</v>
      </c>
      <c r="N309" s="77">
        <v>11204526</v>
      </c>
      <c r="O309" s="60">
        <v>4241052694</v>
      </c>
      <c r="P309" s="67" t="s">
        <v>2072</v>
      </c>
      <c r="Q309" s="68" t="s">
        <v>2073</v>
      </c>
      <c r="R309" s="69" t="s">
        <v>2074</v>
      </c>
      <c r="S309" s="69"/>
      <c r="T309" s="69"/>
      <c r="U309" s="70"/>
      <c r="V309" s="79"/>
      <c r="W309" s="66"/>
      <c r="X309" s="69"/>
      <c r="Y309" s="75"/>
      <c r="Z309" s="60"/>
      <c r="AA309" s="60"/>
      <c r="AB309" s="75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80"/>
      <c r="AR309" s="164"/>
    </row>
    <row r="310" spans="1:44" ht="30.75" customHeight="1">
      <c r="A310" s="41"/>
      <c r="B310" s="704"/>
      <c r="C310" s="172">
        <v>4</v>
      </c>
      <c r="D310" s="60" t="s">
        <v>2075</v>
      </c>
      <c r="E310" s="60" t="s">
        <v>2076</v>
      </c>
      <c r="F310" s="60" t="s">
        <v>43</v>
      </c>
      <c r="G310" s="62"/>
      <c r="H310" s="193">
        <v>43038</v>
      </c>
      <c r="I310" s="60">
        <v>7</v>
      </c>
      <c r="J310" s="63" t="s">
        <v>2077</v>
      </c>
      <c r="K310" s="64" t="s">
        <v>2078</v>
      </c>
      <c r="L310" s="65" t="s">
        <v>2079</v>
      </c>
      <c r="M310" s="66" t="s">
        <v>2080</v>
      </c>
      <c r="N310" s="77">
        <v>11204526</v>
      </c>
      <c r="O310" s="60">
        <v>4241322789</v>
      </c>
      <c r="P310" s="67" t="s">
        <v>2072</v>
      </c>
      <c r="Q310" s="68" t="s">
        <v>369</v>
      </c>
      <c r="R310" s="69" t="s">
        <v>2081</v>
      </c>
      <c r="S310" s="69"/>
      <c r="T310" s="69"/>
      <c r="U310" s="70"/>
      <c r="V310" s="79"/>
      <c r="W310" s="66"/>
      <c r="X310" s="69"/>
      <c r="Y310" s="75"/>
      <c r="Z310" s="60"/>
      <c r="AA310" s="60"/>
      <c r="AB310" s="75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80"/>
      <c r="AR310" s="164"/>
    </row>
    <row r="311" spans="1:44" ht="30.75" customHeight="1">
      <c r="A311" s="41"/>
      <c r="B311" s="704"/>
      <c r="C311" s="172">
        <v>5</v>
      </c>
      <c r="D311" s="60" t="s">
        <v>2082</v>
      </c>
      <c r="E311" s="60" t="s">
        <v>2083</v>
      </c>
      <c r="F311" s="60" t="s">
        <v>43</v>
      </c>
      <c r="G311" s="62">
        <v>34023563</v>
      </c>
      <c r="H311" s="118">
        <v>40243</v>
      </c>
      <c r="I311" s="60">
        <v>15</v>
      </c>
      <c r="J311" s="63" t="s">
        <v>2084</v>
      </c>
      <c r="K311" s="64" t="s">
        <v>2085</v>
      </c>
      <c r="L311" s="65" t="s">
        <v>2086</v>
      </c>
      <c r="M311" s="66" t="s">
        <v>2087</v>
      </c>
      <c r="N311" s="77">
        <v>15714248</v>
      </c>
      <c r="O311" s="60">
        <v>4242623698</v>
      </c>
      <c r="P311" s="67" t="s">
        <v>2088</v>
      </c>
      <c r="Q311" s="68"/>
      <c r="R311" s="69" t="s">
        <v>2074</v>
      </c>
      <c r="S311" s="69"/>
      <c r="T311" s="69"/>
      <c r="U311" s="70"/>
      <c r="V311" s="79"/>
      <c r="W311" s="66"/>
      <c r="X311" s="69"/>
      <c r="Y311" s="75"/>
      <c r="Z311" s="60"/>
      <c r="AA311" s="60"/>
      <c r="AB311" s="75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80"/>
      <c r="AR311" s="164"/>
    </row>
    <row r="312" spans="1:44" ht="30.75" customHeight="1">
      <c r="A312" s="41"/>
      <c r="B312" s="704"/>
      <c r="C312" s="172">
        <v>6</v>
      </c>
      <c r="D312" s="60" t="s">
        <v>2089</v>
      </c>
      <c r="E312" s="60" t="s">
        <v>2090</v>
      </c>
      <c r="F312" s="60" t="s">
        <v>43</v>
      </c>
      <c r="G312" s="62">
        <v>34497429</v>
      </c>
      <c r="H312" s="118">
        <v>41165</v>
      </c>
      <c r="I312" s="60">
        <v>12</v>
      </c>
      <c r="J312" s="63" t="s">
        <v>2091</v>
      </c>
      <c r="K312" s="64" t="s">
        <v>2092</v>
      </c>
      <c r="L312" s="65" t="s">
        <v>1795</v>
      </c>
      <c r="M312" s="66" t="s">
        <v>2093</v>
      </c>
      <c r="N312" s="77">
        <v>12297552</v>
      </c>
      <c r="O312" s="60" t="s">
        <v>2092</v>
      </c>
      <c r="P312" s="67" t="s">
        <v>2094</v>
      </c>
      <c r="Q312" s="68"/>
      <c r="R312" s="69"/>
      <c r="S312" s="69"/>
      <c r="T312" s="69"/>
      <c r="U312" s="70"/>
      <c r="V312" s="79"/>
      <c r="W312" s="66"/>
      <c r="X312" s="69"/>
      <c r="Y312" s="75"/>
      <c r="Z312" s="60"/>
      <c r="AA312" s="60"/>
      <c r="AB312" s="75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80"/>
      <c r="AR312" s="164"/>
    </row>
    <row r="313" spans="1:44" ht="30.75" customHeight="1">
      <c r="A313" s="41"/>
      <c r="B313" s="704"/>
      <c r="C313" s="172">
        <v>7</v>
      </c>
      <c r="D313" s="60" t="s">
        <v>2095</v>
      </c>
      <c r="E313" s="60" t="s">
        <v>2096</v>
      </c>
      <c r="F313" s="60" t="s">
        <v>43</v>
      </c>
      <c r="G313" s="62">
        <v>33569361</v>
      </c>
      <c r="H313" s="118">
        <v>40451</v>
      </c>
      <c r="I313" s="60">
        <v>14</v>
      </c>
      <c r="J313" s="63"/>
      <c r="K313" s="64" t="s">
        <v>2097</v>
      </c>
      <c r="L313" s="65" t="s">
        <v>2098</v>
      </c>
      <c r="M313" s="66" t="s">
        <v>2099</v>
      </c>
      <c r="N313" s="77">
        <v>12642684</v>
      </c>
      <c r="O313" s="60">
        <v>4120148213</v>
      </c>
      <c r="P313" s="67"/>
      <c r="Q313" s="68"/>
      <c r="R313" s="69" t="s">
        <v>2074</v>
      </c>
      <c r="S313" s="69"/>
      <c r="T313" s="69"/>
      <c r="U313" s="70"/>
      <c r="V313" s="79"/>
      <c r="W313" s="66"/>
      <c r="X313" s="69"/>
      <c r="Y313" s="75"/>
      <c r="Z313" s="60"/>
      <c r="AA313" s="60"/>
      <c r="AB313" s="75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80"/>
      <c r="AR313" s="164"/>
    </row>
    <row r="314" spans="1:44" ht="30.75" customHeight="1">
      <c r="A314" s="41"/>
      <c r="B314" s="704"/>
      <c r="C314" s="172">
        <v>8</v>
      </c>
      <c r="D314" s="60" t="s">
        <v>2100</v>
      </c>
      <c r="E314" s="60" t="s">
        <v>2101</v>
      </c>
      <c r="F314" s="60" t="s">
        <v>43</v>
      </c>
      <c r="G314" s="62">
        <v>32837469</v>
      </c>
      <c r="H314" s="118">
        <v>39985</v>
      </c>
      <c r="I314" s="60">
        <v>16</v>
      </c>
      <c r="J314" s="63" t="s">
        <v>2102</v>
      </c>
      <c r="K314" s="64" t="s">
        <v>2103</v>
      </c>
      <c r="L314" s="65" t="s">
        <v>2104</v>
      </c>
      <c r="M314" s="66" t="s">
        <v>2105</v>
      </c>
      <c r="N314" s="77">
        <v>14059249</v>
      </c>
      <c r="O314" s="60">
        <v>4127043593</v>
      </c>
      <c r="P314" s="67" t="s">
        <v>2106</v>
      </c>
      <c r="Q314" s="68" t="s">
        <v>1389</v>
      </c>
      <c r="R314" s="69" t="s">
        <v>1228</v>
      </c>
      <c r="S314" s="69"/>
      <c r="T314" s="69"/>
      <c r="U314" s="70"/>
      <c r="V314" s="79"/>
      <c r="W314" s="66"/>
      <c r="X314" s="69"/>
      <c r="Y314" s="75"/>
      <c r="Z314" s="60"/>
      <c r="AA314" s="60"/>
      <c r="AB314" s="75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80"/>
      <c r="AR314" s="164"/>
    </row>
    <row r="315" spans="1:44" ht="30.75" customHeight="1">
      <c r="A315" s="41"/>
      <c r="B315" s="704"/>
      <c r="C315" s="172">
        <v>9</v>
      </c>
      <c r="D315" s="60" t="s">
        <v>2107</v>
      </c>
      <c r="E315" s="60" t="s">
        <v>2108</v>
      </c>
      <c r="F315" s="60" t="s">
        <v>43</v>
      </c>
      <c r="G315" s="62">
        <v>34428840</v>
      </c>
      <c r="H315" s="118">
        <v>40607</v>
      </c>
      <c r="I315" s="60">
        <v>14</v>
      </c>
      <c r="J315" s="63" t="s">
        <v>2109</v>
      </c>
      <c r="K315" s="64"/>
      <c r="L315" s="65" t="s">
        <v>2110</v>
      </c>
      <c r="M315" s="66" t="s">
        <v>2111</v>
      </c>
      <c r="N315" s="77">
        <v>17967019</v>
      </c>
      <c r="O315" s="60">
        <v>4143599513</v>
      </c>
      <c r="P315" s="67" t="s">
        <v>2112</v>
      </c>
      <c r="Q315" s="68" t="s">
        <v>2113</v>
      </c>
      <c r="R315" s="69" t="s">
        <v>2074</v>
      </c>
      <c r="S315" s="69"/>
      <c r="T315" s="69"/>
      <c r="U315" s="70"/>
      <c r="V315" s="79"/>
      <c r="W315" s="66"/>
      <c r="X315" s="69"/>
      <c r="Y315" s="75"/>
      <c r="Z315" s="60"/>
      <c r="AA315" s="60"/>
      <c r="AB315" s="75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80"/>
      <c r="AR315" s="164"/>
    </row>
    <row r="316" spans="1:44" ht="30.75" customHeight="1">
      <c r="A316" s="41"/>
      <c r="B316" s="704"/>
      <c r="C316" s="172">
        <v>10</v>
      </c>
      <c r="D316" s="60" t="s">
        <v>2114</v>
      </c>
      <c r="E316" s="60" t="s">
        <v>2115</v>
      </c>
      <c r="F316" s="60" t="s">
        <v>43</v>
      </c>
      <c r="G316" s="62">
        <v>33327099</v>
      </c>
      <c r="H316" s="118">
        <v>39844</v>
      </c>
      <c r="I316" s="60">
        <v>16</v>
      </c>
      <c r="J316" s="63"/>
      <c r="K316" s="64"/>
      <c r="L316" s="65" t="s">
        <v>2116</v>
      </c>
      <c r="M316" s="66" t="s">
        <v>2117</v>
      </c>
      <c r="N316" s="77">
        <v>18539570</v>
      </c>
      <c r="O316" s="60">
        <v>4120191812</v>
      </c>
      <c r="P316" s="67" t="s">
        <v>2118</v>
      </c>
      <c r="Q316" s="68" t="s">
        <v>704</v>
      </c>
      <c r="R316" s="69" t="s">
        <v>2074</v>
      </c>
      <c r="S316" s="69"/>
      <c r="T316" s="69"/>
      <c r="U316" s="70"/>
      <c r="V316" s="79"/>
      <c r="W316" s="66"/>
      <c r="X316" s="69"/>
      <c r="Y316" s="75"/>
      <c r="Z316" s="60"/>
      <c r="AA316" s="60"/>
      <c r="AB316" s="75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80"/>
      <c r="AR316" s="164"/>
    </row>
    <row r="317" spans="1:44" ht="30.75" customHeight="1">
      <c r="A317" s="41"/>
      <c r="B317" s="704"/>
      <c r="C317" s="172">
        <v>11</v>
      </c>
      <c r="D317" s="60" t="s">
        <v>2119</v>
      </c>
      <c r="E317" s="60" t="s">
        <v>2120</v>
      </c>
      <c r="F317" s="60" t="s">
        <v>43</v>
      </c>
      <c r="G317" s="62">
        <v>32356767</v>
      </c>
      <c r="H317" s="193">
        <v>39078</v>
      </c>
      <c r="I317" s="60">
        <v>18</v>
      </c>
      <c r="J317" s="63" t="s">
        <v>2121</v>
      </c>
      <c r="K317" s="64" t="s">
        <v>2122</v>
      </c>
      <c r="L317" s="65" t="s">
        <v>2123</v>
      </c>
      <c r="M317" s="66" t="s">
        <v>2124</v>
      </c>
      <c r="N317" s="77">
        <v>19274287</v>
      </c>
      <c r="O317" s="60">
        <v>4122041995</v>
      </c>
      <c r="P317" s="67" t="s">
        <v>2121</v>
      </c>
      <c r="Q317" s="68" t="s">
        <v>1389</v>
      </c>
      <c r="R317" s="69" t="s">
        <v>1228</v>
      </c>
      <c r="S317" s="69"/>
      <c r="T317" s="69"/>
      <c r="U317" s="70"/>
      <c r="V317" s="79"/>
      <c r="W317" s="66"/>
      <c r="X317" s="69"/>
      <c r="Y317" s="75"/>
      <c r="Z317" s="60"/>
      <c r="AA317" s="60"/>
      <c r="AB317" s="75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80"/>
      <c r="AR317" s="164"/>
    </row>
    <row r="318" spans="1:44" ht="30.75" customHeight="1">
      <c r="A318" s="41"/>
      <c r="B318" s="704"/>
      <c r="C318" s="172">
        <v>12</v>
      </c>
      <c r="D318" s="60" t="s">
        <v>2125</v>
      </c>
      <c r="E318" s="60" t="s">
        <v>2126</v>
      </c>
      <c r="F318" s="60" t="s">
        <v>43</v>
      </c>
      <c r="G318" s="62">
        <v>30328762</v>
      </c>
      <c r="H318" s="193">
        <v>37830</v>
      </c>
      <c r="I318" s="60">
        <v>21</v>
      </c>
      <c r="J318" s="63" t="s">
        <v>2127</v>
      </c>
      <c r="K318" s="64" t="s">
        <v>2128</v>
      </c>
      <c r="L318" s="65" t="s">
        <v>1994</v>
      </c>
      <c r="M318" s="66"/>
      <c r="N318" s="77"/>
      <c r="O318" s="60"/>
      <c r="P318" s="67"/>
      <c r="Q318" s="68"/>
      <c r="R318" s="69" t="s">
        <v>1228</v>
      </c>
      <c r="S318" s="69"/>
      <c r="T318" s="69"/>
      <c r="U318" s="70"/>
      <c r="V318" s="79"/>
      <c r="W318" s="66"/>
      <c r="X318" s="69"/>
      <c r="Y318" s="75"/>
      <c r="Z318" s="60"/>
      <c r="AA318" s="60"/>
      <c r="AB318" s="75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80"/>
      <c r="AR318" s="164"/>
    </row>
    <row r="319" spans="1:44" ht="30.75" customHeight="1">
      <c r="A319" s="41"/>
      <c r="B319" s="704"/>
      <c r="C319" s="172">
        <v>13</v>
      </c>
      <c r="D319" s="60" t="s">
        <v>2129</v>
      </c>
      <c r="E319" s="60" t="s">
        <v>2130</v>
      </c>
      <c r="F319" s="60" t="s">
        <v>43</v>
      </c>
      <c r="G319" s="62">
        <v>29952008</v>
      </c>
      <c r="H319" s="193">
        <v>37848</v>
      </c>
      <c r="I319" s="60">
        <v>21</v>
      </c>
      <c r="J319" s="63" t="s">
        <v>2131</v>
      </c>
      <c r="K319" s="64" t="s">
        <v>2132</v>
      </c>
      <c r="L319" s="65" t="s">
        <v>1248</v>
      </c>
      <c r="M319" s="66" t="s">
        <v>2133</v>
      </c>
      <c r="N319" s="77">
        <v>11036129</v>
      </c>
      <c r="O319" s="60">
        <v>4242573222</v>
      </c>
      <c r="P319" s="67" t="s">
        <v>2134</v>
      </c>
      <c r="Q319" s="68"/>
      <c r="R319" s="69" t="s">
        <v>1228</v>
      </c>
      <c r="S319" s="69"/>
      <c r="T319" s="69"/>
      <c r="U319" s="70"/>
      <c r="V319" s="79"/>
      <c r="W319" s="66"/>
      <c r="X319" s="69"/>
      <c r="Y319" s="75"/>
      <c r="Z319" s="60"/>
      <c r="AA319" s="60"/>
      <c r="AB319" s="75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80"/>
      <c r="AR319" s="164"/>
    </row>
    <row r="320" spans="1:44" ht="30.75" customHeight="1">
      <c r="A320" s="41"/>
      <c r="B320" s="704"/>
      <c r="C320" s="172">
        <v>14</v>
      </c>
      <c r="D320" s="60" t="s">
        <v>2135</v>
      </c>
      <c r="E320" s="60" t="s">
        <v>2136</v>
      </c>
      <c r="F320" s="60" t="s">
        <v>43</v>
      </c>
      <c r="G320" s="62">
        <v>32983204</v>
      </c>
      <c r="H320" s="193">
        <v>39767</v>
      </c>
      <c r="I320" s="60">
        <v>16</v>
      </c>
      <c r="J320" s="63" t="s">
        <v>2137</v>
      </c>
      <c r="K320" s="64" t="s">
        <v>2138</v>
      </c>
      <c r="L320" s="65" t="s">
        <v>725</v>
      </c>
      <c r="M320" s="66" t="s">
        <v>2139</v>
      </c>
      <c r="N320" s="77">
        <v>15912279</v>
      </c>
      <c r="O320" s="60" t="s">
        <v>2140</v>
      </c>
      <c r="P320" s="67" t="s">
        <v>2141</v>
      </c>
      <c r="Q320" s="68" t="s">
        <v>704</v>
      </c>
      <c r="R320" s="69" t="s">
        <v>2142</v>
      </c>
      <c r="S320" s="69"/>
      <c r="T320" s="69"/>
      <c r="U320" s="70"/>
      <c r="V320" s="79"/>
      <c r="W320" s="66"/>
      <c r="X320" s="69"/>
      <c r="Y320" s="75"/>
      <c r="Z320" s="60"/>
      <c r="AA320" s="60"/>
      <c r="AB320" s="75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80"/>
      <c r="AR320" s="164"/>
    </row>
    <row r="321" spans="1:44" ht="30.75" customHeight="1">
      <c r="A321" s="41"/>
      <c r="B321" s="704"/>
      <c r="C321" s="172">
        <v>15</v>
      </c>
      <c r="D321" s="60" t="s">
        <v>2143</v>
      </c>
      <c r="E321" s="60" t="s">
        <v>2144</v>
      </c>
      <c r="F321" s="60" t="s">
        <v>43</v>
      </c>
      <c r="G321" s="62">
        <v>36757665</v>
      </c>
      <c r="H321" s="118">
        <v>41896</v>
      </c>
      <c r="I321" s="60">
        <v>10</v>
      </c>
      <c r="J321" s="63"/>
      <c r="K321" s="64" t="s">
        <v>2145</v>
      </c>
      <c r="L321" s="65" t="s">
        <v>2146</v>
      </c>
      <c r="M321" s="66" t="s">
        <v>2147</v>
      </c>
      <c r="N321" s="77">
        <v>25668253</v>
      </c>
      <c r="O321" s="60">
        <v>4129963201</v>
      </c>
      <c r="P321" s="67" t="s">
        <v>2148</v>
      </c>
      <c r="Q321" s="68" t="s">
        <v>369</v>
      </c>
      <c r="R321" s="69" t="s">
        <v>2081</v>
      </c>
      <c r="S321" s="69"/>
      <c r="T321" s="69"/>
      <c r="U321" s="70"/>
      <c r="V321" s="79"/>
      <c r="W321" s="66"/>
      <c r="X321" s="69"/>
      <c r="Y321" s="75"/>
      <c r="Z321" s="60"/>
      <c r="AA321" s="60"/>
      <c r="AB321" s="75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80"/>
      <c r="AR321" s="164"/>
    </row>
    <row r="322" spans="1:44" ht="30.75" customHeight="1">
      <c r="A322" s="41"/>
      <c r="B322" s="704"/>
      <c r="C322" s="172">
        <v>16</v>
      </c>
      <c r="D322" s="60" t="s">
        <v>2149</v>
      </c>
      <c r="E322" s="60" t="s">
        <v>2150</v>
      </c>
      <c r="F322" s="60" t="s">
        <v>43</v>
      </c>
      <c r="G322" s="62">
        <v>30457590</v>
      </c>
      <c r="H322" s="118">
        <v>38015</v>
      </c>
      <c r="I322" s="60">
        <v>21</v>
      </c>
      <c r="J322" s="63"/>
      <c r="K322" s="64" t="s">
        <v>2151</v>
      </c>
      <c r="L322" s="65" t="s">
        <v>2152</v>
      </c>
      <c r="M322" s="66"/>
      <c r="N322" s="77"/>
      <c r="O322" s="60"/>
      <c r="P322" s="67"/>
      <c r="Q322" s="68" t="s">
        <v>63</v>
      </c>
      <c r="R322" s="69" t="s">
        <v>1228</v>
      </c>
      <c r="S322" s="69"/>
      <c r="T322" s="69"/>
      <c r="U322" s="70"/>
      <c r="V322" s="79"/>
      <c r="W322" s="66"/>
      <c r="X322" s="69"/>
      <c r="Y322" s="75"/>
      <c r="Z322" s="60"/>
      <c r="AA322" s="60"/>
      <c r="AB322" s="75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80"/>
      <c r="AR322" s="164"/>
    </row>
    <row r="323" spans="1:44" ht="30.75" customHeight="1">
      <c r="A323" s="41"/>
      <c r="B323" s="704"/>
      <c r="C323" s="172">
        <v>17</v>
      </c>
      <c r="D323" s="60" t="s">
        <v>2153</v>
      </c>
      <c r="E323" s="60" t="s">
        <v>2154</v>
      </c>
      <c r="F323" s="60" t="s">
        <v>43</v>
      </c>
      <c r="G323" s="62"/>
      <c r="H323" s="118">
        <v>43283</v>
      </c>
      <c r="I323" s="60">
        <v>7</v>
      </c>
      <c r="J323" s="63" t="s">
        <v>2155</v>
      </c>
      <c r="K323" s="64" t="s">
        <v>2156</v>
      </c>
      <c r="L323" s="65" t="s">
        <v>2157</v>
      </c>
      <c r="M323" s="66" t="s">
        <v>2158</v>
      </c>
      <c r="N323" s="77">
        <v>25263691</v>
      </c>
      <c r="O323" s="60">
        <v>4142695541</v>
      </c>
      <c r="P323" s="67"/>
      <c r="Q323" s="68"/>
      <c r="R323" s="69" t="s">
        <v>2159</v>
      </c>
      <c r="S323" s="69"/>
      <c r="T323" s="69"/>
      <c r="U323" s="70"/>
      <c r="V323" s="79"/>
      <c r="W323" s="66"/>
      <c r="X323" s="69"/>
      <c r="Y323" s="75"/>
      <c r="Z323" s="60"/>
      <c r="AA323" s="60"/>
      <c r="AB323" s="75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80"/>
      <c r="AR323" s="164"/>
    </row>
    <row r="324" spans="1:44" ht="30.75" customHeight="1">
      <c r="A324" s="41"/>
      <c r="B324" s="704"/>
      <c r="C324" s="172">
        <v>18</v>
      </c>
      <c r="D324" s="60" t="s">
        <v>2160</v>
      </c>
      <c r="E324" s="60" t="s">
        <v>2161</v>
      </c>
      <c r="F324" s="60" t="s">
        <v>43</v>
      </c>
      <c r="G324" s="62">
        <v>34428134</v>
      </c>
      <c r="H324" s="118">
        <v>41156</v>
      </c>
      <c r="I324" s="60">
        <v>12</v>
      </c>
      <c r="J324" s="63" t="s">
        <v>2162</v>
      </c>
      <c r="K324" s="64" t="s">
        <v>2163</v>
      </c>
      <c r="L324" s="65" t="s">
        <v>725</v>
      </c>
      <c r="M324" s="66" t="s">
        <v>2164</v>
      </c>
      <c r="N324" s="77">
        <v>84413637</v>
      </c>
      <c r="O324" s="60">
        <v>4127210297</v>
      </c>
      <c r="P324" s="67" t="s">
        <v>2165</v>
      </c>
      <c r="Q324" s="68"/>
      <c r="R324" s="69" t="s">
        <v>1228</v>
      </c>
      <c r="S324" s="69"/>
      <c r="T324" s="69"/>
      <c r="U324" s="70"/>
      <c r="V324" s="79"/>
      <c r="W324" s="66"/>
      <c r="X324" s="69"/>
      <c r="Y324" s="75"/>
      <c r="Z324" s="60"/>
      <c r="AA324" s="60"/>
      <c r="AB324" s="75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80"/>
      <c r="AR324" s="164"/>
    </row>
    <row r="325" spans="1:44" ht="30.75" customHeight="1">
      <c r="A325" s="41"/>
      <c r="B325" s="704"/>
      <c r="C325" s="172">
        <v>19</v>
      </c>
      <c r="D325" s="60" t="s">
        <v>2166</v>
      </c>
      <c r="E325" s="60" t="s">
        <v>2167</v>
      </c>
      <c r="F325" s="60" t="s">
        <v>43</v>
      </c>
      <c r="G325" s="62"/>
      <c r="H325" s="118">
        <v>42387</v>
      </c>
      <c r="I325" s="60">
        <v>9</v>
      </c>
      <c r="J325" s="63"/>
      <c r="K325" s="64"/>
      <c r="L325" s="65" t="s">
        <v>2168</v>
      </c>
      <c r="M325" s="66" t="s">
        <v>2169</v>
      </c>
      <c r="N325" s="77">
        <v>8996604</v>
      </c>
      <c r="O325" s="60">
        <v>4121811004</v>
      </c>
      <c r="P325" s="67" t="s">
        <v>2170</v>
      </c>
      <c r="Q325" s="68"/>
      <c r="R325" s="69"/>
      <c r="S325" s="69"/>
      <c r="T325" s="69"/>
      <c r="U325" s="70"/>
      <c r="V325" s="79"/>
      <c r="W325" s="66"/>
      <c r="X325" s="69"/>
      <c r="Y325" s="75"/>
      <c r="Z325" s="60"/>
      <c r="AA325" s="60"/>
      <c r="AB325" s="75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80"/>
      <c r="AR325" s="164"/>
    </row>
    <row r="326" spans="1:44" ht="30.75" customHeight="1">
      <c r="A326" s="41"/>
      <c r="B326" s="703" t="s">
        <v>2171</v>
      </c>
      <c r="C326" s="172">
        <v>20</v>
      </c>
      <c r="D326" s="60" t="s">
        <v>2172</v>
      </c>
      <c r="E326" s="60" t="s">
        <v>2173</v>
      </c>
      <c r="F326" s="60" t="s">
        <v>43</v>
      </c>
      <c r="G326" s="62"/>
      <c r="H326" s="118">
        <v>43580</v>
      </c>
      <c r="I326" s="60">
        <v>6</v>
      </c>
      <c r="J326" s="63"/>
      <c r="K326" s="64"/>
      <c r="L326" s="65" t="s">
        <v>443</v>
      </c>
      <c r="M326" s="66" t="s">
        <v>2169</v>
      </c>
      <c r="N326" s="77">
        <v>8996604</v>
      </c>
      <c r="O326" s="60">
        <v>4121811004</v>
      </c>
      <c r="P326" s="67" t="s">
        <v>2170</v>
      </c>
      <c r="Q326" s="68"/>
      <c r="R326" s="69"/>
      <c r="S326" s="69"/>
      <c r="T326" s="69"/>
      <c r="U326" s="70"/>
      <c r="V326" s="79"/>
      <c r="W326" s="66"/>
      <c r="X326" s="69"/>
      <c r="Y326" s="75"/>
      <c r="Z326" s="60"/>
      <c r="AA326" s="60"/>
      <c r="AB326" s="75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80"/>
      <c r="AR326" s="164"/>
    </row>
    <row r="327" spans="1:44" ht="30.75" customHeight="1">
      <c r="A327" s="41"/>
      <c r="B327" s="704"/>
      <c r="C327" s="172">
        <v>1</v>
      </c>
      <c r="D327" s="60" t="s">
        <v>2174</v>
      </c>
      <c r="E327" s="60" t="s">
        <v>2175</v>
      </c>
      <c r="F327" s="60" t="s">
        <v>43</v>
      </c>
      <c r="G327" s="62">
        <v>32736514</v>
      </c>
      <c r="H327" s="118">
        <v>39593</v>
      </c>
      <c r="I327" s="60">
        <v>17</v>
      </c>
      <c r="J327" s="63" t="s">
        <v>2176</v>
      </c>
      <c r="K327" s="64"/>
      <c r="L327" s="65" t="s">
        <v>2177</v>
      </c>
      <c r="M327" s="66" t="s">
        <v>2178</v>
      </c>
      <c r="N327" s="77">
        <v>6252424</v>
      </c>
      <c r="O327" s="60" t="s">
        <v>2179</v>
      </c>
      <c r="P327" s="67"/>
      <c r="Q327" s="68"/>
      <c r="R327" s="69"/>
      <c r="S327" s="69"/>
      <c r="T327" s="69"/>
      <c r="U327" s="70"/>
      <c r="V327" s="79"/>
      <c r="W327" s="66"/>
      <c r="X327" s="69"/>
      <c r="Y327" s="75"/>
      <c r="Z327" s="60"/>
      <c r="AA327" s="60"/>
      <c r="AB327" s="75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80"/>
      <c r="AR327" s="164"/>
    </row>
    <row r="328" spans="1:44" ht="30.75" customHeight="1">
      <c r="A328" s="41"/>
      <c r="B328" s="704"/>
      <c r="C328" s="172">
        <v>2</v>
      </c>
      <c r="D328" s="60" t="s">
        <v>2180</v>
      </c>
      <c r="E328" s="60" t="s">
        <v>2181</v>
      </c>
      <c r="F328" s="60" t="s">
        <v>43</v>
      </c>
      <c r="G328" s="62">
        <v>36034563</v>
      </c>
      <c r="H328" s="118">
        <v>41731</v>
      </c>
      <c r="I328" s="60">
        <v>11</v>
      </c>
      <c r="J328" s="63" t="s">
        <v>2182</v>
      </c>
      <c r="K328" s="64" t="s">
        <v>2183</v>
      </c>
      <c r="L328" s="65" t="s">
        <v>2184</v>
      </c>
      <c r="M328" s="66" t="s">
        <v>2185</v>
      </c>
      <c r="N328" s="77">
        <v>15913075</v>
      </c>
      <c r="O328" s="60" t="s">
        <v>2186</v>
      </c>
      <c r="P328" s="67"/>
      <c r="Q328" s="68"/>
      <c r="R328" s="69"/>
      <c r="S328" s="69"/>
      <c r="T328" s="69"/>
      <c r="U328" s="70"/>
      <c r="V328" s="79"/>
      <c r="W328" s="66"/>
      <c r="X328" s="69"/>
      <c r="Y328" s="75"/>
      <c r="Z328" s="60"/>
      <c r="AA328" s="60"/>
      <c r="AB328" s="75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80"/>
      <c r="AR328" s="164"/>
    </row>
    <row r="329" spans="1:44" ht="30.75" customHeight="1">
      <c r="A329" s="41"/>
      <c r="B329" s="704"/>
      <c r="C329" s="172">
        <v>3</v>
      </c>
      <c r="D329" s="60" t="s">
        <v>2187</v>
      </c>
      <c r="E329" s="60" t="s">
        <v>2188</v>
      </c>
      <c r="F329" s="60" t="s">
        <v>43</v>
      </c>
      <c r="G329" s="62">
        <v>19763272</v>
      </c>
      <c r="H329" s="193">
        <v>32831</v>
      </c>
      <c r="I329" s="60">
        <v>35</v>
      </c>
      <c r="J329" s="63" t="s">
        <v>2189</v>
      </c>
      <c r="K329" s="64" t="s">
        <v>2190</v>
      </c>
      <c r="L329" s="65" t="s">
        <v>2191</v>
      </c>
      <c r="M329" s="66"/>
      <c r="N329" s="77"/>
      <c r="O329" s="60"/>
      <c r="P329" s="67"/>
      <c r="Q329" s="68"/>
      <c r="R329" s="69"/>
      <c r="S329" s="69"/>
      <c r="T329" s="69"/>
      <c r="U329" s="70"/>
      <c r="V329" s="79"/>
      <c r="W329" s="66"/>
      <c r="X329" s="69"/>
      <c r="Y329" s="75"/>
      <c r="Z329" s="60"/>
      <c r="AA329" s="60"/>
      <c r="AB329" s="75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80"/>
      <c r="AR329" s="164"/>
    </row>
    <row r="330" spans="1:44" ht="30.75" customHeight="1">
      <c r="A330" s="41"/>
      <c r="B330" s="704"/>
      <c r="C330" s="172">
        <v>4</v>
      </c>
      <c r="D330" s="60" t="s">
        <v>2192</v>
      </c>
      <c r="E330" s="60" t="s">
        <v>2193</v>
      </c>
      <c r="F330" s="60" t="s">
        <v>43</v>
      </c>
      <c r="G330" s="62">
        <v>32834102</v>
      </c>
      <c r="H330" s="118">
        <v>39713</v>
      </c>
      <c r="I330" s="60">
        <v>16</v>
      </c>
      <c r="J330" s="63" t="s">
        <v>2194</v>
      </c>
      <c r="K330" s="64" t="s">
        <v>2195</v>
      </c>
      <c r="L330" s="65" t="s">
        <v>2196</v>
      </c>
      <c r="M330" s="66" t="s">
        <v>2197</v>
      </c>
      <c r="N330" s="77">
        <v>10284142</v>
      </c>
      <c r="O330" s="60" t="s">
        <v>2198</v>
      </c>
      <c r="P330" s="67"/>
      <c r="Q330" s="68"/>
      <c r="R330" s="69"/>
      <c r="S330" s="69"/>
      <c r="T330" s="69"/>
      <c r="U330" s="70"/>
      <c r="V330" s="79"/>
      <c r="W330" s="66"/>
      <c r="X330" s="69"/>
      <c r="Y330" s="75"/>
      <c r="Z330" s="60"/>
      <c r="AA330" s="60"/>
      <c r="AB330" s="75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80"/>
      <c r="AR330" s="164"/>
    </row>
    <row r="331" spans="1:44" ht="30.75" customHeight="1">
      <c r="A331" s="41"/>
      <c r="B331" s="704"/>
      <c r="C331" s="172">
        <v>5</v>
      </c>
      <c r="D331" s="60" t="s">
        <v>2199</v>
      </c>
      <c r="E331" s="60" t="s">
        <v>2200</v>
      </c>
      <c r="F331" s="60" t="s">
        <v>43</v>
      </c>
      <c r="G331" s="62">
        <v>31114033</v>
      </c>
      <c r="H331" s="118">
        <v>38300</v>
      </c>
      <c r="I331" s="60">
        <v>20</v>
      </c>
      <c r="J331" s="63" t="s">
        <v>2201</v>
      </c>
      <c r="K331" s="64" t="s">
        <v>2202</v>
      </c>
      <c r="L331" s="65" t="s">
        <v>2203</v>
      </c>
      <c r="M331" s="66"/>
      <c r="N331" s="77"/>
      <c r="O331" s="60"/>
      <c r="P331" s="67"/>
      <c r="Q331" s="68"/>
      <c r="R331" s="69"/>
      <c r="S331" s="69"/>
      <c r="T331" s="69"/>
      <c r="U331" s="70"/>
      <c r="V331" s="79"/>
      <c r="W331" s="66"/>
      <c r="X331" s="69"/>
      <c r="Y331" s="75"/>
      <c r="Z331" s="60"/>
      <c r="AA331" s="60"/>
      <c r="AB331" s="75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80"/>
      <c r="AR331" s="164"/>
    </row>
    <row r="332" spans="1:44" ht="30.75" customHeight="1">
      <c r="A332" s="41"/>
      <c r="B332" s="704"/>
      <c r="C332" s="172">
        <v>6</v>
      </c>
      <c r="D332" s="60" t="s">
        <v>2204</v>
      </c>
      <c r="E332" s="60" t="s">
        <v>2205</v>
      </c>
      <c r="F332" s="60" t="s">
        <v>43</v>
      </c>
      <c r="G332" s="62"/>
      <c r="H332" s="193">
        <v>44164</v>
      </c>
      <c r="I332" s="60">
        <v>4</v>
      </c>
      <c r="J332" s="63"/>
      <c r="K332" s="64" t="s">
        <v>2206</v>
      </c>
      <c r="L332" s="65" t="s">
        <v>2207</v>
      </c>
      <c r="M332" s="66" t="s">
        <v>2208</v>
      </c>
      <c r="N332" s="77">
        <v>24462067</v>
      </c>
      <c r="O332" s="60" t="s">
        <v>2206</v>
      </c>
      <c r="P332" s="67" t="s">
        <v>2209</v>
      </c>
      <c r="Q332" s="68" t="s">
        <v>1238</v>
      </c>
      <c r="R332" s="69"/>
      <c r="S332" s="69"/>
      <c r="T332" s="69"/>
      <c r="U332" s="70"/>
      <c r="V332" s="79"/>
      <c r="W332" s="66"/>
      <c r="X332" s="69"/>
      <c r="Y332" s="75"/>
      <c r="Z332" s="60"/>
      <c r="AA332" s="60"/>
      <c r="AB332" s="75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80"/>
      <c r="AR332" s="164"/>
    </row>
    <row r="333" spans="1:44" ht="30.75" customHeight="1">
      <c r="A333" s="41"/>
      <c r="B333" s="704"/>
      <c r="C333" s="172">
        <v>7</v>
      </c>
      <c r="D333" s="60" t="s">
        <v>2210</v>
      </c>
      <c r="E333" s="60" t="s">
        <v>2211</v>
      </c>
      <c r="F333" s="60" t="s">
        <v>43</v>
      </c>
      <c r="G333" s="62">
        <v>32681618</v>
      </c>
      <c r="H333" s="118">
        <v>39549</v>
      </c>
      <c r="I333" s="60">
        <v>17</v>
      </c>
      <c r="J333" s="63" t="s">
        <v>2212</v>
      </c>
      <c r="K333" s="64" t="s">
        <v>2213</v>
      </c>
      <c r="L333" s="65" t="s">
        <v>1994</v>
      </c>
      <c r="M333" s="66" t="s">
        <v>2214</v>
      </c>
      <c r="N333" s="77">
        <v>5423367</v>
      </c>
      <c r="O333" s="60" t="s">
        <v>2215</v>
      </c>
      <c r="P333" s="67" t="s">
        <v>2216</v>
      </c>
      <c r="Q333" s="68" t="s">
        <v>433</v>
      </c>
      <c r="R333" s="69"/>
      <c r="S333" s="69"/>
      <c r="T333" s="69"/>
      <c r="U333" s="70"/>
      <c r="V333" s="79"/>
      <c r="W333" s="66"/>
      <c r="X333" s="69"/>
      <c r="Y333" s="75"/>
      <c r="Z333" s="60"/>
      <c r="AA333" s="60"/>
      <c r="AB333" s="75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80"/>
      <c r="AR333" s="164"/>
    </row>
    <row r="334" spans="1:44" ht="30.75" customHeight="1">
      <c r="A334" s="41"/>
      <c r="B334" s="704"/>
      <c r="C334" s="172">
        <v>8</v>
      </c>
      <c r="D334" s="60" t="s">
        <v>2217</v>
      </c>
      <c r="E334" s="60" t="s">
        <v>2218</v>
      </c>
      <c r="F334" s="60" t="s">
        <v>43</v>
      </c>
      <c r="G334" s="62">
        <v>34582769</v>
      </c>
      <c r="H334" s="118">
        <v>41220</v>
      </c>
      <c r="I334" s="60">
        <v>12</v>
      </c>
      <c r="J334" s="63" t="s">
        <v>2219</v>
      </c>
      <c r="K334" s="64" t="s">
        <v>2220</v>
      </c>
      <c r="L334" s="65" t="s">
        <v>2221</v>
      </c>
      <c r="M334" s="66"/>
      <c r="N334" s="77"/>
      <c r="O334" s="60"/>
      <c r="P334" s="67"/>
      <c r="Q334" s="68"/>
      <c r="R334" s="69"/>
      <c r="S334" s="69"/>
      <c r="T334" s="69"/>
      <c r="U334" s="70"/>
      <c r="V334" s="79"/>
      <c r="W334" s="66"/>
      <c r="X334" s="69"/>
      <c r="Y334" s="75"/>
      <c r="Z334" s="60"/>
      <c r="AA334" s="60"/>
      <c r="AB334" s="75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80"/>
      <c r="AR334" s="164"/>
    </row>
    <row r="335" spans="1:44" ht="30.75" customHeight="1">
      <c r="A335" s="41"/>
      <c r="B335" s="704"/>
      <c r="C335" s="172">
        <v>9</v>
      </c>
      <c r="D335" s="60" t="s">
        <v>2222</v>
      </c>
      <c r="E335" s="60" t="s">
        <v>2223</v>
      </c>
      <c r="F335" s="60" t="s">
        <v>43</v>
      </c>
      <c r="G335" s="62">
        <v>30966829</v>
      </c>
      <c r="H335" s="118">
        <v>38244</v>
      </c>
      <c r="I335" s="60">
        <v>21</v>
      </c>
      <c r="J335" s="63" t="s">
        <v>2224</v>
      </c>
      <c r="K335" s="64" t="s">
        <v>2225</v>
      </c>
      <c r="L335" s="65" t="s">
        <v>2226</v>
      </c>
      <c r="M335" s="66"/>
      <c r="N335" s="77"/>
      <c r="O335" s="60"/>
      <c r="P335" s="67"/>
      <c r="Q335" s="68"/>
      <c r="R335" s="69"/>
      <c r="S335" s="69"/>
      <c r="T335" s="69"/>
      <c r="U335" s="70"/>
      <c r="V335" s="79"/>
      <c r="W335" s="66"/>
      <c r="X335" s="69"/>
      <c r="Y335" s="75"/>
      <c r="Z335" s="60"/>
      <c r="AA335" s="60"/>
      <c r="AB335" s="75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80"/>
      <c r="AR335" s="164"/>
    </row>
    <row r="336" spans="1:44" ht="30.75" customHeight="1">
      <c r="A336" s="41"/>
      <c r="B336" s="704"/>
      <c r="C336" s="172">
        <v>10</v>
      </c>
      <c r="D336" s="60" t="s">
        <v>2227</v>
      </c>
      <c r="E336" s="60" t="s">
        <v>2228</v>
      </c>
      <c r="F336" s="60" t="s">
        <v>43</v>
      </c>
      <c r="G336" s="62"/>
      <c r="H336" s="118">
        <v>43894</v>
      </c>
      <c r="I336" s="60">
        <v>5</v>
      </c>
      <c r="J336" s="63"/>
      <c r="K336" s="64"/>
      <c r="L336" s="65" t="s">
        <v>2229</v>
      </c>
      <c r="M336" s="66" t="s">
        <v>2230</v>
      </c>
      <c r="N336" s="77">
        <v>23434138</v>
      </c>
      <c r="O336" s="60" t="s">
        <v>2231</v>
      </c>
      <c r="P336" s="67" t="s">
        <v>2232</v>
      </c>
      <c r="Q336" s="68"/>
      <c r="R336" s="69"/>
      <c r="S336" s="69"/>
      <c r="T336" s="69"/>
      <c r="U336" s="70"/>
      <c r="V336" s="79"/>
      <c r="W336" s="66"/>
      <c r="X336" s="69"/>
      <c r="Y336" s="75"/>
      <c r="Z336" s="60"/>
      <c r="AA336" s="60"/>
      <c r="AB336" s="75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80"/>
      <c r="AR336" s="164"/>
    </row>
    <row r="337" spans="1:44" ht="30.75" customHeight="1">
      <c r="A337" s="41"/>
      <c r="B337" s="704"/>
      <c r="C337" s="172">
        <v>11</v>
      </c>
      <c r="D337" s="60" t="s">
        <v>2233</v>
      </c>
      <c r="E337" s="60" t="s">
        <v>2234</v>
      </c>
      <c r="F337" s="60" t="s">
        <v>43</v>
      </c>
      <c r="G337" s="62"/>
      <c r="H337" s="118">
        <v>41690</v>
      </c>
      <c r="I337" s="60">
        <v>11</v>
      </c>
      <c r="J337" s="63"/>
      <c r="K337" s="64" t="s">
        <v>2235</v>
      </c>
      <c r="L337" s="65" t="s">
        <v>1522</v>
      </c>
      <c r="M337" s="66" t="s">
        <v>2236</v>
      </c>
      <c r="N337" s="77">
        <v>17533285</v>
      </c>
      <c r="O337" s="60" t="s">
        <v>2235</v>
      </c>
      <c r="P337" s="67"/>
      <c r="Q337" s="68"/>
      <c r="R337" s="69"/>
      <c r="S337" s="69"/>
      <c r="T337" s="69"/>
      <c r="U337" s="70"/>
      <c r="V337" s="79"/>
      <c r="W337" s="66"/>
      <c r="X337" s="69"/>
      <c r="Y337" s="75"/>
      <c r="Z337" s="60"/>
      <c r="AA337" s="60"/>
      <c r="AB337" s="75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80"/>
      <c r="AR337" s="164"/>
    </row>
    <row r="338" spans="1:44" ht="30.75" customHeight="1">
      <c r="A338" s="41"/>
      <c r="B338" s="704"/>
      <c r="C338" s="172">
        <v>12</v>
      </c>
      <c r="D338" s="60" t="s">
        <v>2237</v>
      </c>
      <c r="E338" s="60" t="s">
        <v>2238</v>
      </c>
      <c r="F338" s="60" t="s">
        <v>43</v>
      </c>
      <c r="G338" s="62"/>
      <c r="H338" s="118">
        <v>42893</v>
      </c>
      <c r="I338" s="60">
        <v>8</v>
      </c>
      <c r="J338" s="63"/>
      <c r="K338" s="64" t="s">
        <v>2235</v>
      </c>
      <c r="L338" s="65" t="s">
        <v>1522</v>
      </c>
      <c r="M338" s="66" t="s">
        <v>2236</v>
      </c>
      <c r="N338" s="77">
        <v>17533285</v>
      </c>
      <c r="O338" s="60" t="s">
        <v>2235</v>
      </c>
      <c r="P338" s="67"/>
      <c r="Q338" s="68"/>
      <c r="R338" s="69"/>
      <c r="S338" s="69"/>
      <c r="T338" s="69"/>
      <c r="U338" s="70"/>
      <c r="V338" s="79"/>
      <c r="W338" s="66"/>
      <c r="X338" s="69"/>
      <c r="Y338" s="75"/>
      <c r="Z338" s="60"/>
      <c r="AA338" s="60"/>
      <c r="AB338" s="75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80"/>
      <c r="AR338" s="164"/>
    </row>
    <row r="339" spans="1:44" ht="30.75" customHeight="1">
      <c r="A339" s="41"/>
      <c r="B339" s="704"/>
      <c r="C339" s="172">
        <v>13</v>
      </c>
      <c r="D339" s="60" t="s">
        <v>2239</v>
      </c>
      <c r="E339" s="60" t="s">
        <v>2240</v>
      </c>
      <c r="F339" s="60" t="s">
        <v>43</v>
      </c>
      <c r="G339" s="62"/>
      <c r="H339" s="118">
        <v>42938</v>
      </c>
      <c r="I339" s="60">
        <v>8</v>
      </c>
      <c r="J339" s="63" t="s">
        <v>2241</v>
      </c>
      <c r="K339" s="64" t="s">
        <v>2242</v>
      </c>
      <c r="L339" s="65" t="s">
        <v>2243</v>
      </c>
      <c r="M339" s="66" t="s">
        <v>2244</v>
      </c>
      <c r="N339" s="77">
        <v>16952469</v>
      </c>
      <c r="O339" s="60" t="s">
        <v>2245</v>
      </c>
      <c r="P339" s="67" t="s">
        <v>2241</v>
      </c>
      <c r="Q339" s="68"/>
      <c r="R339" s="69"/>
      <c r="S339" s="69"/>
      <c r="T339" s="69"/>
      <c r="U339" s="70"/>
      <c r="V339" s="79"/>
      <c r="W339" s="66"/>
      <c r="X339" s="69"/>
      <c r="Y339" s="75"/>
      <c r="Z339" s="60"/>
      <c r="AA339" s="60"/>
      <c r="AB339" s="75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80"/>
      <c r="AR339" s="164"/>
    </row>
    <row r="340" spans="1:44" ht="30.75" customHeight="1">
      <c r="A340" s="41"/>
      <c r="B340" s="704"/>
      <c r="C340" s="172">
        <v>14</v>
      </c>
      <c r="D340" s="60" t="s">
        <v>2246</v>
      </c>
      <c r="E340" s="60" t="s">
        <v>2247</v>
      </c>
      <c r="F340" s="60" t="s">
        <v>43</v>
      </c>
      <c r="G340" s="62"/>
      <c r="H340" s="118">
        <v>41865</v>
      </c>
      <c r="I340" s="60">
        <v>11</v>
      </c>
      <c r="J340" s="63" t="s">
        <v>2241</v>
      </c>
      <c r="K340" s="64"/>
      <c r="L340" s="65" t="s">
        <v>1350</v>
      </c>
      <c r="M340" s="66" t="s">
        <v>2244</v>
      </c>
      <c r="N340" s="77">
        <v>16952469</v>
      </c>
      <c r="O340" s="60" t="s">
        <v>2245</v>
      </c>
      <c r="P340" s="67" t="s">
        <v>2241</v>
      </c>
      <c r="Q340" s="68"/>
      <c r="R340" s="69"/>
      <c r="S340" s="69"/>
      <c r="T340" s="69"/>
      <c r="U340" s="70"/>
      <c r="V340" s="79"/>
      <c r="W340" s="66"/>
      <c r="X340" s="69"/>
      <c r="Y340" s="75"/>
      <c r="Z340" s="60"/>
      <c r="AA340" s="60"/>
      <c r="AB340" s="75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80"/>
      <c r="AR340" s="164"/>
    </row>
    <row r="341" spans="1:44" ht="30.75" customHeight="1">
      <c r="A341" s="41"/>
      <c r="B341" s="704"/>
      <c r="C341" s="172">
        <v>15</v>
      </c>
      <c r="D341" s="60" t="s">
        <v>2248</v>
      </c>
      <c r="E341" s="60" t="s">
        <v>1884</v>
      </c>
      <c r="F341" s="60" t="s">
        <v>43</v>
      </c>
      <c r="G341" s="62">
        <v>34242461</v>
      </c>
      <c r="H341" s="193">
        <v>40841</v>
      </c>
      <c r="I341" s="60">
        <v>13</v>
      </c>
      <c r="J341" s="63" t="s">
        <v>2249</v>
      </c>
      <c r="K341" s="64" t="s">
        <v>2250</v>
      </c>
      <c r="L341" s="65" t="s">
        <v>2251</v>
      </c>
      <c r="M341" s="66" t="s">
        <v>2252</v>
      </c>
      <c r="N341" s="77">
        <v>12161850</v>
      </c>
      <c r="O341" s="60">
        <v>4241762961</v>
      </c>
      <c r="P341" s="67" t="s">
        <v>2253</v>
      </c>
      <c r="Q341" s="68"/>
      <c r="R341" s="69"/>
      <c r="S341" s="69"/>
      <c r="T341" s="69"/>
      <c r="U341" s="70"/>
      <c r="V341" s="79"/>
      <c r="W341" s="66"/>
      <c r="X341" s="69"/>
      <c r="Y341" s="75"/>
      <c r="Z341" s="60"/>
      <c r="AA341" s="60"/>
      <c r="AB341" s="75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80"/>
      <c r="AR341" s="164"/>
    </row>
    <row r="342" spans="1:44" ht="30.75" customHeight="1">
      <c r="A342" s="41"/>
      <c r="B342" s="704"/>
      <c r="C342" s="172">
        <v>16</v>
      </c>
      <c r="D342" s="60" t="s">
        <v>2254</v>
      </c>
      <c r="E342" s="60" t="s">
        <v>2255</v>
      </c>
      <c r="F342" s="60" t="s">
        <v>43</v>
      </c>
      <c r="G342" s="62">
        <v>34427294</v>
      </c>
      <c r="H342" s="118">
        <v>40824</v>
      </c>
      <c r="I342" s="60">
        <v>14</v>
      </c>
      <c r="J342" s="63" t="s">
        <v>2256</v>
      </c>
      <c r="K342" s="64" t="s">
        <v>2257</v>
      </c>
      <c r="L342" s="65" t="s">
        <v>2258</v>
      </c>
      <c r="M342" s="66" t="s">
        <v>2259</v>
      </c>
      <c r="N342" s="77">
        <v>11076837</v>
      </c>
      <c r="O342" s="60" t="s">
        <v>2260</v>
      </c>
      <c r="P342" s="67" t="s">
        <v>2261</v>
      </c>
      <c r="Q342" s="68"/>
      <c r="R342" s="69"/>
      <c r="S342" s="69"/>
      <c r="T342" s="69"/>
      <c r="U342" s="70"/>
      <c r="V342" s="79"/>
      <c r="W342" s="66"/>
      <c r="X342" s="69"/>
      <c r="Y342" s="75"/>
      <c r="Z342" s="60"/>
      <c r="AA342" s="60"/>
      <c r="AB342" s="75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80"/>
      <c r="AR342" s="164"/>
    </row>
    <row r="343" spans="1:44" ht="30.75" customHeight="1">
      <c r="A343" s="41"/>
      <c r="B343" s="704"/>
      <c r="C343" s="172">
        <v>17</v>
      </c>
      <c r="D343" s="60" t="s">
        <v>2262</v>
      </c>
      <c r="E343" s="60" t="s">
        <v>2263</v>
      </c>
      <c r="F343" s="60" t="s">
        <v>43</v>
      </c>
      <c r="G343" s="62">
        <v>33883907</v>
      </c>
      <c r="H343" s="118">
        <v>40124</v>
      </c>
      <c r="I343" s="60">
        <v>15</v>
      </c>
      <c r="J343" s="63" t="s">
        <v>2264</v>
      </c>
      <c r="K343" s="64" t="s">
        <v>2265</v>
      </c>
      <c r="L343" s="65" t="s">
        <v>2266</v>
      </c>
      <c r="M343" s="66" t="s">
        <v>2267</v>
      </c>
      <c r="N343" s="77">
        <v>16366042</v>
      </c>
      <c r="O343" s="60" t="s">
        <v>2268</v>
      </c>
      <c r="P343" s="67"/>
      <c r="Q343" s="68"/>
      <c r="R343" s="69"/>
      <c r="S343" s="69"/>
      <c r="T343" s="69"/>
      <c r="U343" s="70"/>
      <c r="V343" s="79"/>
      <c r="W343" s="66"/>
      <c r="X343" s="69"/>
      <c r="Y343" s="75"/>
      <c r="Z343" s="60"/>
      <c r="AA343" s="60"/>
      <c r="AB343" s="75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80"/>
      <c r="AR343" s="164"/>
    </row>
    <row r="344" spans="1:44" ht="30.75" customHeight="1">
      <c r="A344" s="41"/>
      <c r="B344" s="704"/>
      <c r="C344" s="172">
        <v>18</v>
      </c>
      <c r="D344" s="60" t="s">
        <v>2269</v>
      </c>
      <c r="E344" s="60" t="s">
        <v>2270</v>
      </c>
      <c r="F344" s="60" t="s">
        <v>43</v>
      </c>
      <c r="G344" s="62">
        <v>33329732</v>
      </c>
      <c r="H344" s="193">
        <v>40875</v>
      </c>
      <c r="I344" s="60">
        <v>13</v>
      </c>
      <c r="J344" s="63" t="s">
        <v>2271</v>
      </c>
      <c r="K344" s="64" t="s">
        <v>2272</v>
      </c>
      <c r="L344" s="65" t="s">
        <v>1248</v>
      </c>
      <c r="M344" s="66" t="s">
        <v>2273</v>
      </c>
      <c r="N344" s="77">
        <v>17980485</v>
      </c>
      <c r="O344" s="60" t="s">
        <v>2274</v>
      </c>
      <c r="P344" s="67"/>
      <c r="Q344" s="68"/>
      <c r="R344" s="69"/>
      <c r="S344" s="69"/>
      <c r="T344" s="69"/>
      <c r="U344" s="70"/>
      <c r="V344" s="79"/>
      <c r="W344" s="66"/>
      <c r="X344" s="69"/>
      <c r="Y344" s="75"/>
      <c r="Z344" s="60"/>
      <c r="AA344" s="60"/>
      <c r="AB344" s="75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80"/>
      <c r="AR344" s="164"/>
    </row>
    <row r="345" spans="1:44" ht="30.75" customHeight="1">
      <c r="A345" s="41"/>
      <c r="B345" s="705"/>
      <c r="C345" s="172">
        <v>19</v>
      </c>
      <c r="D345" s="60" t="s">
        <v>2275</v>
      </c>
      <c r="E345" s="60" t="s">
        <v>2276</v>
      </c>
      <c r="F345" s="60" t="s">
        <v>43</v>
      </c>
      <c r="G345" s="62"/>
      <c r="H345" s="118">
        <v>43336</v>
      </c>
      <c r="I345" s="60">
        <v>7</v>
      </c>
      <c r="J345" s="63" t="s">
        <v>2277</v>
      </c>
      <c r="K345" s="64" t="s">
        <v>2278</v>
      </c>
      <c r="L345" s="65" t="s">
        <v>2226</v>
      </c>
      <c r="M345" s="66" t="s">
        <v>2279</v>
      </c>
      <c r="N345" s="77">
        <v>16889376</v>
      </c>
      <c r="O345" s="60" t="s">
        <v>2278</v>
      </c>
      <c r="P345" s="67"/>
      <c r="Q345" s="68"/>
      <c r="R345" s="69"/>
      <c r="S345" s="69"/>
      <c r="T345" s="69"/>
      <c r="U345" s="70"/>
      <c r="V345" s="79"/>
      <c r="W345" s="66"/>
      <c r="X345" s="69"/>
      <c r="Y345" s="75"/>
      <c r="Z345" s="60"/>
      <c r="AA345" s="60"/>
      <c r="AB345" s="75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80"/>
      <c r="AR345" s="164"/>
    </row>
    <row r="346" spans="1:44" ht="30.75" customHeight="1">
      <c r="A346" s="41"/>
      <c r="B346" s="703" t="s">
        <v>2280</v>
      </c>
      <c r="C346" s="172">
        <v>20</v>
      </c>
      <c r="D346" s="60" t="s">
        <v>2281</v>
      </c>
      <c r="E346" s="60" t="s">
        <v>2282</v>
      </c>
      <c r="F346" s="60" t="s">
        <v>43</v>
      </c>
      <c r="G346" s="62">
        <v>34457558</v>
      </c>
      <c r="H346" s="118">
        <v>41014</v>
      </c>
      <c r="I346" s="60">
        <v>13</v>
      </c>
      <c r="J346" s="63"/>
      <c r="K346" s="64" t="s">
        <v>2283</v>
      </c>
      <c r="L346" s="65" t="s">
        <v>1248</v>
      </c>
      <c r="M346" s="66" t="s">
        <v>2284</v>
      </c>
      <c r="N346" s="77">
        <v>16136012</v>
      </c>
      <c r="O346" s="60" t="s">
        <v>2285</v>
      </c>
      <c r="P346" s="67"/>
      <c r="Q346" s="68"/>
      <c r="R346" s="69"/>
      <c r="S346" s="69"/>
      <c r="T346" s="69"/>
      <c r="U346" s="70"/>
      <c r="V346" s="79"/>
      <c r="W346" s="66"/>
      <c r="X346" s="69"/>
      <c r="Y346" s="75"/>
      <c r="Z346" s="60"/>
      <c r="AA346" s="60"/>
      <c r="AB346" s="75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80"/>
      <c r="AR346" s="164"/>
    </row>
    <row r="347" spans="1:44" ht="30.75" customHeight="1">
      <c r="A347" s="41"/>
      <c r="B347" s="704"/>
      <c r="C347" s="172">
        <v>1</v>
      </c>
      <c r="D347" s="60" t="s">
        <v>2286</v>
      </c>
      <c r="E347" s="60" t="s">
        <v>2287</v>
      </c>
      <c r="F347" s="60" t="s">
        <v>43</v>
      </c>
      <c r="G347" s="62"/>
      <c r="H347" s="118">
        <v>43011</v>
      </c>
      <c r="I347" s="60">
        <v>8</v>
      </c>
      <c r="J347" s="63"/>
      <c r="K347" s="64" t="s">
        <v>2285</v>
      </c>
      <c r="L347" s="65" t="s">
        <v>2288</v>
      </c>
      <c r="M347" s="66" t="s">
        <v>2284</v>
      </c>
      <c r="N347" s="77">
        <v>16136012</v>
      </c>
      <c r="O347" s="60" t="s">
        <v>2285</v>
      </c>
      <c r="P347" s="67"/>
      <c r="Q347" s="68"/>
      <c r="R347" s="69"/>
      <c r="S347" s="69"/>
      <c r="T347" s="69"/>
      <c r="U347" s="70"/>
      <c r="V347" s="79"/>
      <c r="W347" s="66"/>
      <c r="X347" s="69"/>
      <c r="Y347" s="75"/>
      <c r="Z347" s="60"/>
      <c r="AA347" s="60"/>
      <c r="AB347" s="75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80"/>
      <c r="AR347" s="164"/>
    </row>
    <row r="348" spans="1:44" ht="30.75" customHeight="1">
      <c r="A348" s="41"/>
      <c r="B348" s="704"/>
      <c r="C348" s="172">
        <v>2</v>
      </c>
      <c r="D348" s="60" t="s">
        <v>2289</v>
      </c>
      <c r="E348" s="60" t="s">
        <v>2290</v>
      </c>
      <c r="F348" s="60" t="s">
        <v>43</v>
      </c>
      <c r="G348" s="62">
        <v>37448417</v>
      </c>
      <c r="H348" s="118">
        <v>42624</v>
      </c>
      <c r="I348" s="60">
        <v>9</v>
      </c>
      <c r="J348" s="63"/>
      <c r="K348" s="64" t="s">
        <v>2291</v>
      </c>
      <c r="L348" s="65" t="s">
        <v>443</v>
      </c>
      <c r="M348" s="66" t="s">
        <v>2292</v>
      </c>
      <c r="N348" s="77">
        <v>18004176</v>
      </c>
      <c r="O348" s="60" t="s">
        <v>2291</v>
      </c>
      <c r="P348" s="67" t="s">
        <v>2293</v>
      </c>
      <c r="Q348" s="68"/>
      <c r="R348" s="69"/>
      <c r="S348" s="69"/>
      <c r="T348" s="69"/>
      <c r="U348" s="70"/>
      <c r="V348" s="79"/>
      <c r="W348" s="66"/>
      <c r="X348" s="69"/>
      <c r="Y348" s="75"/>
      <c r="Z348" s="60"/>
      <c r="AA348" s="60"/>
      <c r="AB348" s="75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80"/>
      <c r="AR348" s="164"/>
    </row>
    <row r="349" spans="1:44" ht="30.75" customHeight="1">
      <c r="A349" s="41"/>
      <c r="B349" s="704"/>
      <c r="C349" s="172">
        <v>3</v>
      </c>
      <c r="D349" s="60" t="s">
        <v>2294</v>
      </c>
      <c r="E349" s="60" t="s">
        <v>2295</v>
      </c>
      <c r="F349" s="60" t="s">
        <v>43</v>
      </c>
      <c r="G349" s="62">
        <v>34321258</v>
      </c>
      <c r="H349" s="118">
        <v>40616</v>
      </c>
      <c r="I349" s="60">
        <v>14</v>
      </c>
      <c r="J349" s="63" t="s">
        <v>2296</v>
      </c>
      <c r="K349" s="64" t="s">
        <v>2297</v>
      </c>
      <c r="L349" s="65" t="s">
        <v>2298</v>
      </c>
      <c r="M349" s="66" t="s">
        <v>2299</v>
      </c>
      <c r="N349" s="77">
        <v>6874363</v>
      </c>
      <c r="O349" s="60" t="s">
        <v>2297</v>
      </c>
      <c r="P349" s="67"/>
      <c r="Q349" s="68"/>
      <c r="R349" s="69"/>
      <c r="S349" s="69"/>
      <c r="T349" s="69"/>
      <c r="U349" s="70"/>
      <c r="V349" s="79"/>
      <c r="W349" s="66"/>
      <c r="X349" s="69"/>
      <c r="Y349" s="75"/>
      <c r="Z349" s="60"/>
      <c r="AA349" s="60"/>
      <c r="AB349" s="75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80"/>
      <c r="AR349" s="164"/>
    </row>
    <row r="350" spans="1:44" ht="30.75" customHeight="1">
      <c r="A350" s="41"/>
      <c r="B350" s="704"/>
      <c r="C350" s="172">
        <v>4</v>
      </c>
      <c r="D350" s="60" t="s">
        <v>2300</v>
      </c>
      <c r="E350" s="60" t="s">
        <v>2301</v>
      </c>
      <c r="F350" s="60" t="s">
        <v>43</v>
      </c>
      <c r="G350" s="62">
        <v>10275981</v>
      </c>
      <c r="H350" s="190">
        <v>25559</v>
      </c>
      <c r="I350" s="60">
        <v>55</v>
      </c>
      <c r="J350" s="63" t="s">
        <v>2302</v>
      </c>
      <c r="K350" s="64" t="s">
        <v>2303</v>
      </c>
      <c r="L350" s="65" t="s">
        <v>1350</v>
      </c>
      <c r="M350" s="66"/>
      <c r="N350" s="77"/>
      <c r="O350" s="60"/>
      <c r="P350" s="67"/>
      <c r="Q350" s="68"/>
      <c r="R350" s="69"/>
      <c r="S350" s="69"/>
      <c r="T350" s="69"/>
      <c r="U350" s="70"/>
      <c r="V350" s="79"/>
      <c r="W350" s="66"/>
      <c r="X350" s="69"/>
      <c r="Y350" s="75"/>
      <c r="Z350" s="60"/>
      <c r="AA350" s="60"/>
      <c r="AB350" s="75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80"/>
      <c r="AR350" s="164"/>
    </row>
    <row r="351" spans="1:44" ht="30.75" customHeight="1">
      <c r="A351" s="41"/>
      <c r="B351" s="704"/>
      <c r="C351" s="172">
        <v>5</v>
      </c>
      <c r="D351" s="60" t="s">
        <v>2304</v>
      </c>
      <c r="E351" s="60" t="s">
        <v>2305</v>
      </c>
      <c r="F351" s="60" t="s">
        <v>43</v>
      </c>
      <c r="G351" s="62">
        <v>17978049</v>
      </c>
      <c r="H351" s="118">
        <v>32041</v>
      </c>
      <c r="I351" s="60">
        <v>38</v>
      </c>
      <c r="J351" s="63" t="s">
        <v>2306</v>
      </c>
      <c r="K351" s="64" t="s">
        <v>2307</v>
      </c>
      <c r="L351" s="65" t="s">
        <v>2308</v>
      </c>
      <c r="M351" s="66"/>
      <c r="N351" s="77"/>
      <c r="O351" s="60"/>
      <c r="P351" s="67"/>
      <c r="Q351" s="68"/>
      <c r="R351" s="69"/>
      <c r="S351" s="69"/>
      <c r="T351" s="69"/>
      <c r="U351" s="70"/>
      <c r="V351" s="79"/>
      <c r="W351" s="66"/>
      <c r="X351" s="69"/>
      <c r="Y351" s="75"/>
      <c r="Z351" s="60"/>
      <c r="AA351" s="60"/>
      <c r="AB351" s="75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80"/>
      <c r="AR351" s="164"/>
    </row>
    <row r="352" spans="1:44" ht="30.75" customHeight="1">
      <c r="A352" s="41"/>
      <c r="B352" s="704"/>
      <c r="C352" s="172">
        <v>6</v>
      </c>
      <c r="D352" s="60" t="s">
        <v>2309</v>
      </c>
      <c r="E352" s="60" t="s">
        <v>2310</v>
      </c>
      <c r="F352" s="60" t="s">
        <v>43</v>
      </c>
      <c r="G352" s="62">
        <v>36316397</v>
      </c>
      <c r="H352" s="190">
        <v>41988</v>
      </c>
      <c r="I352" s="60">
        <v>10</v>
      </c>
      <c r="J352" s="63"/>
      <c r="K352" s="64" t="s">
        <v>2311</v>
      </c>
      <c r="L352" s="65" t="s">
        <v>2312</v>
      </c>
      <c r="M352" s="66" t="s">
        <v>2313</v>
      </c>
      <c r="N352" s="77">
        <v>12414908</v>
      </c>
      <c r="O352" s="60" t="s">
        <v>2314</v>
      </c>
      <c r="P352" s="67" t="s">
        <v>2315</v>
      </c>
      <c r="Q352" s="68"/>
      <c r="R352" s="69"/>
      <c r="S352" s="69"/>
      <c r="T352" s="69"/>
      <c r="U352" s="70"/>
      <c r="V352" s="79"/>
      <c r="W352" s="66"/>
      <c r="X352" s="69"/>
      <c r="Y352" s="75"/>
      <c r="Z352" s="60"/>
      <c r="AA352" s="60"/>
      <c r="AB352" s="75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80"/>
      <c r="AR352" s="164"/>
    </row>
    <row r="353" spans="1:44" ht="30.75" customHeight="1">
      <c r="A353" s="41"/>
      <c r="B353" s="704"/>
      <c r="C353" s="172">
        <v>7</v>
      </c>
      <c r="D353" s="60" t="s">
        <v>2316</v>
      </c>
      <c r="E353" s="60" t="s">
        <v>2317</v>
      </c>
      <c r="F353" s="60" t="s">
        <v>43</v>
      </c>
      <c r="G353" s="62">
        <v>33326842</v>
      </c>
      <c r="H353" s="118">
        <v>39584</v>
      </c>
      <c r="I353" s="60">
        <v>17</v>
      </c>
      <c r="J353" s="63"/>
      <c r="K353" s="64" t="s">
        <v>2318</v>
      </c>
      <c r="L353" s="65" t="s">
        <v>2319</v>
      </c>
      <c r="M353" s="66" t="s">
        <v>2317</v>
      </c>
      <c r="N353" s="77">
        <v>16370641</v>
      </c>
      <c r="O353" s="60" t="s">
        <v>2320</v>
      </c>
      <c r="P353" s="67"/>
      <c r="Q353" s="68"/>
      <c r="R353" s="69"/>
      <c r="S353" s="69"/>
      <c r="T353" s="69"/>
      <c r="U353" s="70"/>
      <c r="V353" s="79"/>
      <c r="W353" s="66"/>
      <c r="X353" s="69"/>
      <c r="Y353" s="75"/>
      <c r="Z353" s="60"/>
      <c r="AA353" s="60"/>
      <c r="AB353" s="75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80"/>
      <c r="AR353" s="164"/>
    </row>
    <row r="354" spans="1:44" ht="30.75" customHeight="1">
      <c r="A354" s="41"/>
      <c r="B354" s="704"/>
      <c r="C354" s="172">
        <v>8</v>
      </c>
      <c r="D354" s="60" t="s">
        <v>2321</v>
      </c>
      <c r="E354" s="60" t="s">
        <v>2322</v>
      </c>
      <c r="F354" s="60" t="s">
        <v>43</v>
      </c>
      <c r="G354" s="62"/>
      <c r="H354" s="118">
        <v>44393</v>
      </c>
      <c r="I354" s="60">
        <v>4</v>
      </c>
      <c r="J354" s="63" t="s">
        <v>2323</v>
      </c>
      <c r="K354" s="64" t="s">
        <v>2324</v>
      </c>
      <c r="L354" s="65" t="s">
        <v>1522</v>
      </c>
      <c r="M354" s="66" t="s">
        <v>2325</v>
      </c>
      <c r="N354" s="77">
        <v>20410154</v>
      </c>
      <c r="O354" s="60" t="s">
        <v>2324</v>
      </c>
      <c r="P354" s="67"/>
      <c r="Q354" s="68"/>
      <c r="R354" s="69"/>
      <c r="S354" s="69"/>
      <c r="T354" s="69"/>
      <c r="U354" s="70"/>
      <c r="V354" s="79"/>
      <c r="W354" s="66"/>
      <c r="X354" s="69"/>
      <c r="Y354" s="75"/>
      <c r="Z354" s="60"/>
      <c r="AA354" s="60"/>
      <c r="AB354" s="75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80"/>
      <c r="AR354" s="164"/>
    </row>
    <row r="355" spans="1:44" ht="30.75" customHeight="1">
      <c r="A355" s="41"/>
      <c r="B355" s="704"/>
      <c r="C355" s="172">
        <v>9</v>
      </c>
      <c r="D355" s="60" t="s">
        <v>2326</v>
      </c>
      <c r="E355" s="60" t="s">
        <v>2327</v>
      </c>
      <c r="F355" s="60" t="s">
        <v>43</v>
      </c>
      <c r="G355" s="62">
        <v>36083226</v>
      </c>
      <c r="H355" s="118">
        <v>41249</v>
      </c>
      <c r="I355" s="60">
        <v>12</v>
      </c>
      <c r="J355" s="63" t="s">
        <v>2328</v>
      </c>
      <c r="K355" s="64" t="s">
        <v>2329</v>
      </c>
      <c r="L355" s="65" t="s">
        <v>2330</v>
      </c>
      <c r="M355" s="66" t="s">
        <v>2331</v>
      </c>
      <c r="N355" s="77">
        <v>21119433</v>
      </c>
      <c r="O355" s="60" t="s">
        <v>2329</v>
      </c>
      <c r="P355" s="67"/>
      <c r="Q355" s="68"/>
      <c r="R355" s="69"/>
      <c r="S355" s="69"/>
      <c r="T355" s="69"/>
      <c r="U355" s="70"/>
      <c r="V355" s="79"/>
      <c r="W355" s="66"/>
      <c r="X355" s="69"/>
      <c r="Y355" s="75"/>
      <c r="Z355" s="60"/>
      <c r="AA355" s="60"/>
      <c r="AB355" s="75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80"/>
      <c r="AR355" s="164"/>
    </row>
    <row r="356" spans="1:44" ht="30.75" customHeight="1">
      <c r="A356" s="41"/>
      <c r="B356" s="704"/>
      <c r="C356" s="172">
        <v>10</v>
      </c>
      <c r="D356" s="60" t="s">
        <v>2332</v>
      </c>
      <c r="E356" s="60" t="s">
        <v>2333</v>
      </c>
      <c r="F356" s="60" t="s">
        <v>43</v>
      </c>
      <c r="G356" s="62">
        <v>36519485</v>
      </c>
      <c r="H356" s="118">
        <v>41664</v>
      </c>
      <c r="I356" s="60">
        <v>11</v>
      </c>
      <c r="J356" s="63" t="s">
        <v>2334</v>
      </c>
      <c r="K356" s="64" t="s">
        <v>2335</v>
      </c>
      <c r="L356" s="65" t="s">
        <v>2336</v>
      </c>
      <c r="M356" s="66" t="s">
        <v>2337</v>
      </c>
      <c r="N356" s="77">
        <v>19014224</v>
      </c>
      <c r="O356" s="60" t="s">
        <v>2335</v>
      </c>
      <c r="P356" s="67"/>
      <c r="Q356" s="68"/>
      <c r="R356" s="69"/>
      <c r="S356" s="69"/>
      <c r="T356" s="69"/>
      <c r="U356" s="70"/>
      <c r="V356" s="79"/>
      <c r="W356" s="66"/>
      <c r="X356" s="69"/>
      <c r="Y356" s="75"/>
      <c r="Z356" s="60"/>
      <c r="AA356" s="60"/>
      <c r="AB356" s="75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80"/>
      <c r="AR356" s="164"/>
    </row>
    <row r="357" spans="1:44" ht="30.75" customHeight="1">
      <c r="A357" s="41"/>
      <c r="B357" s="704"/>
      <c r="C357" s="172">
        <v>11</v>
      </c>
      <c r="D357" s="60" t="s">
        <v>2338</v>
      </c>
      <c r="E357" s="60" t="s">
        <v>2339</v>
      </c>
      <c r="F357" s="60" t="s">
        <v>43</v>
      </c>
      <c r="G357" s="62">
        <v>29751287</v>
      </c>
      <c r="H357" s="60"/>
      <c r="I357" s="60"/>
      <c r="J357" s="63"/>
      <c r="K357" s="64" t="s">
        <v>2340</v>
      </c>
      <c r="L357" s="65" t="s">
        <v>725</v>
      </c>
      <c r="M357" s="66" t="s">
        <v>2341</v>
      </c>
      <c r="N357" s="77">
        <v>9937548</v>
      </c>
      <c r="O357" s="60"/>
      <c r="P357" s="67"/>
      <c r="Q357" s="68"/>
      <c r="R357" s="69"/>
      <c r="S357" s="69"/>
      <c r="T357" s="69"/>
      <c r="U357" s="70"/>
      <c r="V357" s="79"/>
      <c r="W357" s="66"/>
      <c r="X357" s="69"/>
      <c r="Y357" s="75"/>
      <c r="Z357" s="60"/>
      <c r="AA357" s="60"/>
      <c r="AB357" s="75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80"/>
      <c r="AR357" s="164"/>
    </row>
    <row r="358" spans="1:44" ht="30.75" customHeight="1">
      <c r="A358" s="41"/>
      <c r="B358" s="704"/>
      <c r="C358" s="172">
        <v>12</v>
      </c>
      <c r="D358" s="60" t="s">
        <v>2342</v>
      </c>
      <c r="E358" s="60" t="s">
        <v>2343</v>
      </c>
      <c r="F358" s="60" t="s">
        <v>43</v>
      </c>
      <c r="G358" s="62">
        <v>33329108</v>
      </c>
      <c r="H358" s="118">
        <v>39325</v>
      </c>
      <c r="I358" s="60">
        <v>18</v>
      </c>
      <c r="J358" s="63" t="s">
        <v>2344</v>
      </c>
      <c r="K358" s="64" t="s">
        <v>2345</v>
      </c>
      <c r="L358" s="65" t="s">
        <v>1248</v>
      </c>
      <c r="M358" s="66"/>
      <c r="N358" s="77"/>
      <c r="O358" s="60"/>
      <c r="P358" s="67"/>
      <c r="Q358" s="68"/>
      <c r="R358" s="69"/>
      <c r="S358" s="69"/>
      <c r="T358" s="69"/>
      <c r="U358" s="70"/>
      <c r="V358" s="79"/>
      <c r="W358" s="66"/>
      <c r="X358" s="69"/>
      <c r="Y358" s="75"/>
      <c r="Z358" s="60"/>
      <c r="AA358" s="60"/>
      <c r="AB358" s="75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80"/>
      <c r="AR358" s="164"/>
    </row>
    <row r="359" spans="1:44" ht="30.75" customHeight="1">
      <c r="A359" s="41"/>
      <c r="B359" s="704"/>
      <c r="C359" s="172">
        <v>13</v>
      </c>
      <c r="D359" s="60" t="s">
        <v>2346</v>
      </c>
      <c r="E359" s="60" t="s">
        <v>2347</v>
      </c>
      <c r="F359" s="60" t="s">
        <v>43</v>
      </c>
      <c r="G359" s="62"/>
      <c r="H359" s="60"/>
      <c r="I359" s="60"/>
      <c r="J359" s="63"/>
      <c r="K359" s="64"/>
      <c r="L359" s="65"/>
      <c r="M359" s="66" t="s">
        <v>2348</v>
      </c>
      <c r="N359" s="77"/>
      <c r="O359" s="60"/>
      <c r="P359" s="67"/>
      <c r="Q359" s="68"/>
      <c r="R359" s="69"/>
      <c r="S359" s="69"/>
      <c r="T359" s="69"/>
      <c r="U359" s="70"/>
      <c r="V359" s="79"/>
      <c r="W359" s="66"/>
      <c r="X359" s="69"/>
      <c r="Y359" s="75"/>
      <c r="Z359" s="60"/>
      <c r="AA359" s="60"/>
      <c r="AB359" s="75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80"/>
      <c r="AR359" s="164"/>
    </row>
    <row r="360" spans="1:44" ht="30.75" customHeight="1">
      <c r="A360" s="41"/>
      <c r="B360" s="704"/>
      <c r="C360" s="172">
        <v>14</v>
      </c>
      <c r="D360" s="60" t="s">
        <v>2349</v>
      </c>
      <c r="E360" s="60" t="s">
        <v>2350</v>
      </c>
      <c r="F360" s="60" t="s">
        <v>43</v>
      </c>
      <c r="G360" s="62"/>
      <c r="H360" s="118">
        <v>42557</v>
      </c>
      <c r="I360" s="60">
        <v>9</v>
      </c>
      <c r="J360" s="63"/>
      <c r="K360" s="64" t="s">
        <v>2351</v>
      </c>
      <c r="L360" s="65" t="s">
        <v>2352</v>
      </c>
      <c r="M360" s="66" t="s">
        <v>2353</v>
      </c>
      <c r="N360" s="77">
        <v>13846817</v>
      </c>
      <c r="O360" s="60">
        <v>4142354868</v>
      </c>
      <c r="P360" s="67" t="s">
        <v>2354</v>
      </c>
      <c r="Q360" s="68"/>
      <c r="R360" s="69"/>
      <c r="S360" s="69"/>
      <c r="T360" s="69"/>
      <c r="U360" s="70"/>
      <c r="V360" s="79"/>
      <c r="W360" s="66"/>
      <c r="X360" s="69"/>
      <c r="Y360" s="75"/>
      <c r="Z360" s="60"/>
      <c r="AA360" s="60"/>
      <c r="AB360" s="75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80"/>
      <c r="AR360" s="164"/>
    </row>
    <row r="361" spans="1:44" ht="30.75" customHeight="1">
      <c r="A361" s="41"/>
      <c r="B361" s="704"/>
      <c r="C361" s="172">
        <v>15</v>
      </c>
      <c r="D361" s="60" t="s">
        <v>2355</v>
      </c>
      <c r="E361" s="60" t="s">
        <v>2356</v>
      </c>
      <c r="F361" s="60" t="s">
        <v>43</v>
      </c>
      <c r="G361" s="62">
        <v>34818767</v>
      </c>
      <c r="H361" s="118">
        <v>41394</v>
      </c>
      <c r="I361" s="60">
        <v>12</v>
      </c>
      <c r="J361" s="63" t="s">
        <v>2357</v>
      </c>
      <c r="K361" s="64" t="s">
        <v>2358</v>
      </c>
      <c r="L361" s="65" t="s">
        <v>2359</v>
      </c>
      <c r="M361" s="66" t="s">
        <v>2360</v>
      </c>
      <c r="N361" s="77">
        <v>16146853</v>
      </c>
      <c r="O361" s="60" t="s">
        <v>2361</v>
      </c>
      <c r="P361" s="67"/>
      <c r="Q361" s="68"/>
      <c r="R361" s="69"/>
      <c r="S361" s="69"/>
      <c r="T361" s="69"/>
      <c r="U361" s="70"/>
      <c r="V361" s="79"/>
      <c r="W361" s="66"/>
      <c r="X361" s="69"/>
      <c r="Y361" s="75"/>
      <c r="Z361" s="60"/>
      <c r="AA361" s="60"/>
      <c r="AB361" s="75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80"/>
      <c r="AR361" s="164"/>
    </row>
    <row r="362" spans="1:44" ht="30.75" customHeight="1">
      <c r="A362" s="41"/>
      <c r="B362" s="704"/>
      <c r="C362" s="172">
        <v>16</v>
      </c>
      <c r="D362" s="60" t="s">
        <v>2362</v>
      </c>
      <c r="E362" s="60" t="s">
        <v>2363</v>
      </c>
      <c r="F362" s="60" t="s">
        <v>43</v>
      </c>
      <c r="G362" s="62"/>
      <c r="H362" s="118">
        <v>40591</v>
      </c>
      <c r="I362" s="60">
        <v>14</v>
      </c>
      <c r="J362" s="63" t="s">
        <v>2364</v>
      </c>
      <c r="K362" s="64" t="s">
        <v>2365</v>
      </c>
      <c r="L362" s="65" t="s">
        <v>610</v>
      </c>
      <c r="M362" s="66" t="s">
        <v>2366</v>
      </c>
      <c r="N362" s="77">
        <v>13232773</v>
      </c>
      <c r="O362" s="60" t="s">
        <v>2365</v>
      </c>
      <c r="P362" s="67"/>
      <c r="Q362" s="68"/>
      <c r="R362" s="69"/>
      <c r="S362" s="69"/>
      <c r="T362" s="69"/>
      <c r="U362" s="70"/>
      <c r="V362" s="79"/>
      <c r="W362" s="66"/>
      <c r="X362" s="69"/>
      <c r="Y362" s="75"/>
      <c r="Z362" s="60"/>
      <c r="AA362" s="60"/>
      <c r="AB362" s="75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80"/>
      <c r="AR362" s="164"/>
    </row>
    <row r="363" spans="1:44" ht="30.75" customHeight="1">
      <c r="A363" s="41"/>
      <c r="B363" s="704"/>
      <c r="C363" s="172">
        <v>17</v>
      </c>
      <c r="D363" s="60" t="s">
        <v>2367</v>
      </c>
      <c r="E363" s="60" t="s">
        <v>2368</v>
      </c>
      <c r="F363" s="60" t="s">
        <v>43</v>
      </c>
      <c r="G363" s="62"/>
      <c r="H363" s="118">
        <v>42213</v>
      </c>
      <c r="I363" s="60">
        <v>10</v>
      </c>
      <c r="J363" s="63" t="s">
        <v>2369</v>
      </c>
      <c r="K363" s="64" t="s">
        <v>2370</v>
      </c>
      <c r="L363" s="65" t="s">
        <v>2371</v>
      </c>
      <c r="M363" s="66" t="s">
        <v>2372</v>
      </c>
      <c r="N363" s="77">
        <v>24524116</v>
      </c>
      <c r="O363" s="181">
        <v>4127211919</v>
      </c>
      <c r="P363" s="67"/>
      <c r="Q363" s="68"/>
      <c r="R363" s="69"/>
      <c r="S363" s="69"/>
      <c r="T363" s="69"/>
      <c r="U363" s="70"/>
      <c r="V363" s="79"/>
      <c r="W363" s="66"/>
      <c r="X363" s="69"/>
      <c r="Y363" s="75"/>
      <c r="Z363" s="60"/>
      <c r="AA363" s="60"/>
      <c r="AB363" s="75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80"/>
      <c r="AR363" s="164"/>
    </row>
    <row r="364" spans="1:44" ht="30.75" customHeight="1">
      <c r="A364" s="41"/>
      <c r="B364" s="704"/>
      <c r="C364" s="172">
        <v>18</v>
      </c>
      <c r="D364" s="60" t="s">
        <v>2373</v>
      </c>
      <c r="E364" s="60" t="s">
        <v>2374</v>
      </c>
      <c r="F364" s="60" t="s">
        <v>43</v>
      </c>
      <c r="G364" s="62">
        <v>36697786</v>
      </c>
      <c r="H364" s="118">
        <v>41656</v>
      </c>
      <c r="I364" s="60">
        <v>12</v>
      </c>
      <c r="J364" s="63" t="s">
        <v>2369</v>
      </c>
      <c r="K364" s="64" t="s">
        <v>2370</v>
      </c>
      <c r="L364" s="65" t="s">
        <v>2371</v>
      </c>
      <c r="M364" s="66" t="s">
        <v>2372</v>
      </c>
      <c r="N364" s="77">
        <v>24524116</v>
      </c>
      <c r="O364" s="181">
        <v>4127211919</v>
      </c>
      <c r="P364" s="67"/>
      <c r="Q364" s="68"/>
      <c r="R364" s="69"/>
      <c r="S364" s="69"/>
      <c r="T364" s="69"/>
      <c r="U364" s="70"/>
      <c r="V364" s="79"/>
      <c r="W364" s="66"/>
      <c r="X364" s="69"/>
      <c r="Y364" s="75"/>
      <c r="Z364" s="60"/>
      <c r="AA364" s="60"/>
      <c r="AB364" s="75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80"/>
      <c r="AR364" s="164"/>
    </row>
    <row r="365" spans="1:44" ht="30.75" customHeight="1">
      <c r="A365" s="41"/>
      <c r="B365" s="704"/>
      <c r="C365" s="172">
        <v>19</v>
      </c>
      <c r="D365" s="60" t="s">
        <v>2375</v>
      </c>
      <c r="E365" s="60" t="s">
        <v>2376</v>
      </c>
      <c r="F365" s="60" t="s">
        <v>43</v>
      </c>
      <c r="G365" s="62">
        <v>31804593</v>
      </c>
      <c r="H365" s="118">
        <v>39228</v>
      </c>
      <c r="I365" s="60">
        <v>18</v>
      </c>
      <c r="J365" s="63" t="s">
        <v>2377</v>
      </c>
      <c r="K365" s="64" t="s">
        <v>2378</v>
      </c>
      <c r="L365" s="65" t="s">
        <v>2379</v>
      </c>
      <c r="M365" s="66"/>
      <c r="N365" s="77"/>
      <c r="O365" s="60"/>
      <c r="P365" s="67"/>
      <c r="Q365" s="68"/>
      <c r="R365" s="69"/>
      <c r="S365" s="69"/>
      <c r="T365" s="69"/>
      <c r="U365" s="70"/>
      <c r="V365" s="79"/>
      <c r="W365" s="66"/>
      <c r="X365" s="69"/>
      <c r="Y365" s="75"/>
      <c r="Z365" s="60"/>
      <c r="AA365" s="60"/>
      <c r="AB365" s="75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80"/>
      <c r="AR365" s="164"/>
    </row>
    <row r="366" spans="1:44" ht="30.75" customHeight="1">
      <c r="A366" s="41"/>
      <c r="B366" s="704"/>
      <c r="C366" s="172">
        <v>20</v>
      </c>
      <c r="D366" s="60" t="s">
        <v>2380</v>
      </c>
      <c r="E366" s="60" t="s">
        <v>2381</v>
      </c>
      <c r="F366" s="60" t="s">
        <v>43</v>
      </c>
      <c r="G366" s="62">
        <v>36248944</v>
      </c>
      <c r="H366" s="118">
        <v>41913</v>
      </c>
      <c r="I366" s="60">
        <v>11</v>
      </c>
      <c r="J366" s="63" t="s">
        <v>2382</v>
      </c>
      <c r="K366" s="64" t="s">
        <v>2383</v>
      </c>
      <c r="L366" s="65" t="s">
        <v>725</v>
      </c>
      <c r="M366" s="66" t="s">
        <v>2384</v>
      </c>
      <c r="N366" s="77">
        <v>20592757</v>
      </c>
      <c r="O366" s="60" t="s">
        <v>2383</v>
      </c>
      <c r="P366" s="67"/>
      <c r="Q366" s="68"/>
      <c r="R366" s="69"/>
      <c r="S366" s="69"/>
      <c r="T366" s="69"/>
      <c r="U366" s="70"/>
      <c r="V366" s="79"/>
      <c r="W366" s="66"/>
      <c r="X366" s="69"/>
      <c r="Y366" s="75"/>
      <c r="Z366" s="60"/>
      <c r="AA366" s="60"/>
      <c r="AB366" s="75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80"/>
      <c r="AR366" s="164"/>
    </row>
    <row r="367" spans="1:44" ht="30.75" customHeight="1">
      <c r="A367" s="41"/>
      <c r="B367" s="704"/>
      <c r="C367" s="172">
        <v>1</v>
      </c>
      <c r="D367" s="60" t="s">
        <v>2385</v>
      </c>
      <c r="E367" s="60" t="s">
        <v>2386</v>
      </c>
      <c r="F367" s="60" t="s">
        <v>43</v>
      </c>
      <c r="G367" s="62">
        <v>32668704</v>
      </c>
      <c r="H367" s="118">
        <v>39665</v>
      </c>
      <c r="I367" s="60">
        <v>17</v>
      </c>
      <c r="J367" s="63"/>
      <c r="K367" s="64"/>
      <c r="L367" s="65"/>
      <c r="M367" s="66"/>
      <c r="N367" s="77"/>
      <c r="O367" s="60"/>
      <c r="P367" s="67"/>
      <c r="Q367" s="68"/>
      <c r="R367" s="69"/>
      <c r="S367" s="69"/>
      <c r="T367" s="69"/>
      <c r="U367" s="70"/>
      <c r="V367" s="79"/>
      <c r="W367" s="66"/>
      <c r="X367" s="69"/>
      <c r="Y367" s="75"/>
      <c r="Z367" s="60"/>
      <c r="AA367" s="60"/>
      <c r="AB367" s="75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80"/>
      <c r="AR367" s="164"/>
    </row>
    <row r="368" spans="1:44" ht="30.75" customHeight="1">
      <c r="A368" s="41"/>
      <c r="B368" s="704"/>
      <c r="C368" s="172">
        <v>2</v>
      </c>
      <c r="D368" s="60" t="s">
        <v>2387</v>
      </c>
      <c r="E368" s="60" t="s">
        <v>2388</v>
      </c>
      <c r="F368" s="60" t="s">
        <v>43</v>
      </c>
      <c r="G368" s="62">
        <v>36093092</v>
      </c>
      <c r="H368" s="193">
        <v>41558</v>
      </c>
      <c r="I368" s="60">
        <v>12</v>
      </c>
      <c r="J368" s="63" t="s">
        <v>2389</v>
      </c>
      <c r="K368" s="64" t="s">
        <v>2390</v>
      </c>
      <c r="L368" s="65" t="s">
        <v>1248</v>
      </c>
      <c r="M368" s="66" t="s">
        <v>2391</v>
      </c>
      <c r="N368" s="77">
        <v>16924245</v>
      </c>
      <c r="O368" s="60" t="s">
        <v>2392</v>
      </c>
      <c r="P368" s="67"/>
      <c r="Q368" s="68"/>
      <c r="R368" s="69"/>
      <c r="S368" s="69"/>
      <c r="T368" s="69"/>
      <c r="U368" s="70"/>
      <c r="V368" s="79"/>
      <c r="W368" s="66"/>
      <c r="X368" s="69"/>
      <c r="Y368" s="75"/>
      <c r="Z368" s="60"/>
      <c r="AA368" s="60"/>
      <c r="AB368" s="75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80"/>
      <c r="AR368" s="164"/>
    </row>
    <row r="369" spans="1:44" ht="30.75" customHeight="1">
      <c r="A369" s="41"/>
      <c r="B369" s="704"/>
      <c r="C369" s="172">
        <v>3</v>
      </c>
      <c r="D369" s="60" t="s">
        <v>2393</v>
      </c>
      <c r="E369" s="60" t="s">
        <v>2394</v>
      </c>
      <c r="F369" s="60" t="s">
        <v>43</v>
      </c>
      <c r="G369" s="62"/>
      <c r="H369" s="118">
        <v>43701</v>
      </c>
      <c r="I369" s="60">
        <v>6</v>
      </c>
      <c r="J369" s="63" t="s">
        <v>2395</v>
      </c>
      <c r="K369" s="64" t="s">
        <v>2396</v>
      </c>
      <c r="L369" s="65" t="s">
        <v>725</v>
      </c>
      <c r="M369" s="66" t="s">
        <v>2397</v>
      </c>
      <c r="N369" s="77">
        <v>14142714</v>
      </c>
      <c r="O369" s="60" t="s">
        <v>2398</v>
      </c>
      <c r="P369" s="67"/>
      <c r="Q369" s="68"/>
      <c r="R369" s="69"/>
      <c r="S369" s="69"/>
      <c r="T369" s="69"/>
      <c r="U369" s="70"/>
      <c r="V369" s="79"/>
      <c r="W369" s="66"/>
      <c r="X369" s="69"/>
      <c r="Y369" s="75"/>
      <c r="Z369" s="60"/>
      <c r="AA369" s="60"/>
      <c r="AB369" s="75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80"/>
      <c r="AR369" s="164"/>
    </row>
    <row r="370" spans="1:44" ht="30.75" customHeight="1">
      <c r="A370" s="41"/>
      <c r="B370" s="704"/>
      <c r="C370" s="172">
        <v>4</v>
      </c>
      <c r="D370" s="60" t="s">
        <v>2399</v>
      </c>
      <c r="E370" s="60" t="s">
        <v>2400</v>
      </c>
      <c r="F370" s="60" t="s">
        <v>43</v>
      </c>
      <c r="G370" s="62" t="s">
        <v>2401</v>
      </c>
      <c r="H370" s="193">
        <v>42300</v>
      </c>
      <c r="I370" s="60">
        <v>10</v>
      </c>
      <c r="J370" s="63" t="s">
        <v>2402</v>
      </c>
      <c r="K370" s="64" t="s">
        <v>2403</v>
      </c>
      <c r="L370" s="65" t="s">
        <v>443</v>
      </c>
      <c r="M370" s="66" t="s">
        <v>2404</v>
      </c>
      <c r="N370" s="77"/>
      <c r="O370" s="60"/>
      <c r="P370" s="67"/>
      <c r="Q370" s="68"/>
      <c r="R370" s="69"/>
      <c r="S370" s="69"/>
      <c r="T370" s="69"/>
      <c r="U370" s="70"/>
      <c r="V370" s="79"/>
      <c r="W370" s="66"/>
      <c r="X370" s="69"/>
      <c r="Y370" s="75"/>
      <c r="Z370" s="60"/>
      <c r="AA370" s="60"/>
      <c r="AB370" s="75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80"/>
      <c r="AR370" s="164"/>
    </row>
    <row r="371" spans="1:44" ht="30.75" customHeight="1">
      <c r="A371" s="41"/>
      <c r="B371" s="704"/>
      <c r="C371" s="172">
        <v>5</v>
      </c>
      <c r="D371" s="60" t="s">
        <v>2405</v>
      </c>
      <c r="E371" s="60" t="s">
        <v>2406</v>
      </c>
      <c r="F371" s="60" t="s">
        <v>43</v>
      </c>
      <c r="G371" s="62">
        <v>30990896</v>
      </c>
      <c r="H371" s="118">
        <v>38327</v>
      </c>
      <c r="I371" s="60">
        <v>21</v>
      </c>
      <c r="J371" s="63" t="s">
        <v>2407</v>
      </c>
      <c r="K371" s="64" t="s">
        <v>2408</v>
      </c>
      <c r="L371" s="65" t="s">
        <v>2409</v>
      </c>
      <c r="M371" s="66"/>
      <c r="N371" s="77"/>
      <c r="O371" s="60"/>
      <c r="P371" s="67"/>
      <c r="Q371" s="68"/>
      <c r="R371" s="69"/>
      <c r="S371" s="69"/>
      <c r="T371" s="69"/>
      <c r="U371" s="70"/>
      <c r="V371" s="79"/>
      <c r="W371" s="66"/>
      <c r="X371" s="69"/>
      <c r="Y371" s="75"/>
      <c r="Z371" s="60"/>
      <c r="AA371" s="60"/>
      <c r="AB371" s="75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80"/>
      <c r="AR371" s="164"/>
    </row>
    <row r="372" spans="1:44" ht="30.75" customHeight="1">
      <c r="A372" s="41"/>
      <c r="B372" s="704"/>
      <c r="C372" s="172">
        <v>6</v>
      </c>
      <c r="D372" s="60" t="s">
        <v>2410</v>
      </c>
      <c r="E372" s="60" t="s">
        <v>2411</v>
      </c>
      <c r="F372" s="60" t="s">
        <v>43</v>
      </c>
      <c r="G372" s="62">
        <v>32009598</v>
      </c>
      <c r="H372" s="118">
        <v>38947</v>
      </c>
      <c r="I372" s="60">
        <v>19</v>
      </c>
      <c r="J372" s="63" t="s">
        <v>2412</v>
      </c>
      <c r="K372" s="64" t="s">
        <v>2413</v>
      </c>
      <c r="L372" s="65" t="s">
        <v>2184</v>
      </c>
      <c r="M372" s="66" t="s">
        <v>1862</v>
      </c>
      <c r="N372" s="77">
        <v>12879039</v>
      </c>
      <c r="O372" s="60">
        <v>4241547186</v>
      </c>
      <c r="P372" s="67"/>
      <c r="Q372" s="68"/>
      <c r="R372" s="69"/>
      <c r="S372" s="69"/>
      <c r="T372" s="69"/>
      <c r="U372" s="70"/>
      <c r="V372" s="79"/>
      <c r="W372" s="66"/>
      <c r="X372" s="69"/>
      <c r="Y372" s="75"/>
      <c r="Z372" s="60"/>
      <c r="AA372" s="60"/>
      <c r="AB372" s="75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80"/>
      <c r="AR372" s="164"/>
    </row>
    <row r="373" spans="1:44" ht="30.75" customHeight="1">
      <c r="A373" s="41"/>
      <c r="B373" s="704"/>
      <c r="C373" s="172">
        <v>7</v>
      </c>
      <c r="D373" s="60" t="s">
        <v>2414</v>
      </c>
      <c r="E373" s="60" t="s">
        <v>2415</v>
      </c>
      <c r="F373" s="60" t="s">
        <v>43</v>
      </c>
      <c r="G373" s="62">
        <v>26323275</v>
      </c>
      <c r="H373" s="193">
        <v>36124</v>
      </c>
      <c r="I373" s="60">
        <v>27</v>
      </c>
      <c r="J373" s="63" t="s">
        <v>2416</v>
      </c>
      <c r="K373" s="64" t="s">
        <v>2417</v>
      </c>
      <c r="L373" s="65" t="s">
        <v>725</v>
      </c>
      <c r="M373" s="66"/>
      <c r="N373" s="77"/>
      <c r="O373" s="60"/>
      <c r="P373" s="67"/>
      <c r="Q373" s="68"/>
      <c r="R373" s="69"/>
      <c r="S373" s="69"/>
      <c r="T373" s="69"/>
      <c r="U373" s="70"/>
      <c r="V373" s="79"/>
      <c r="W373" s="66"/>
      <c r="X373" s="69"/>
      <c r="Y373" s="75"/>
      <c r="Z373" s="60"/>
      <c r="AA373" s="60"/>
      <c r="AB373" s="75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80"/>
      <c r="AR373" s="164"/>
    </row>
    <row r="374" spans="1:44" ht="30.75" customHeight="1">
      <c r="A374" s="41"/>
      <c r="B374" s="705"/>
      <c r="C374" s="172">
        <v>8</v>
      </c>
      <c r="D374" s="60" t="s">
        <v>2418</v>
      </c>
      <c r="E374" s="60" t="s">
        <v>2419</v>
      </c>
      <c r="F374" s="60" t="s">
        <v>43</v>
      </c>
      <c r="G374" s="62">
        <v>27988404</v>
      </c>
      <c r="H374" s="118">
        <v>36328</v>
      </c>
      <c r="I374" s="60">
        <v>26</v>
      </c>
      <c r="J374" s="63" t="s">
        <v>2420</v>
      </c>
      <c r="K374" s="64" t="s">
        <v>2421</v>
      </c>
      <c r="L374" s="65" t="s">
        <v>1350</v>
      </c>
      <c r="M374" s="66"/>
      <c r="N374" s="77"/>
      <c r="O374" s="60"/>
      <c r="P374" s="67"/>
      <c r="Q374" s="68"/>
      <c r="R374" s="69"/>
      <c r="S374" s="69"/>
      <c r="T374" s="69"/>
      <c r="U374" s="70"/>
      <c r="V374" s="79"/>
      <c r="W374" s="66"/>
      <c r="X374" s="69"/>
      <c r="Y374" s="75"/>
      <c r="Z374" s="60"/>
      <c r="AA374" s="60"/>
      <c r="AB374" s="75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80"/>
      <c r="AR374" s="164"/>
    </row>
    <row r="375" spans="1:44" ht="30.75" customHeight="1">
      <c r="A375" s="41"/>
      <c r="B375" s="200" t="s">
        <v>1935</v>
      </c>
      <c r="C375" s="172">
        <v>9</v>
      </c>
      <c r="D375" s="60" t="s">
        <v>2422</v>
      </c>
      <c r="E375" s="60" t="s">
        <v>2423</v>
      </c>
      <c r="F375" s="60" t="s">
        <v>43</v>
      </c>
      <c r="G375" s="62">
        <v>34253961</v>
      </c>
      <c r="H375" s="118">
        <v>40459</v>
      </c>
      <c r="I375" s="60">
        <v>15</v>
      </c>
      <c r="J375" s="63" t="s">
        <v>2424</v>
      </c>
      <c r="K375" s="64" t="s">
        <v>2425</v>
      </c>
      <c r="L375" s="65" t="s">
        <v>1354</v>
      </c>
      <c r="M375" s="66" t="s">
        <v>2426</v>
      </c>
      <c r="N375" s="77">
        <v>12880587</v>
      </c>
      <c r="O375" s="60" t="s">
        <v>2427</v>
      </c>
      <c r="P375" s="67"/>
      <c r="Q375" s="68"/>
      <c r="R375" s="69"/>
      <c r="S375" s="69"/>
      <c r="T375" s="69"/>
      <c r="U375" s="70"/>
      <c r="V375" s="79"/>
      <c r="W375" s="66"/>
      <c r="X375" s="69"/>
      <c r="Y375" s="75"/>
      <c r="Z375" s="60"/>
      <c r="AA375" s="60"/>
      <c r="AB375" s="75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80"/>
      <c r="AR375" s="164"/>
    </row>
    <row r="376" spans="1:44" ht="30.75" customHeight="1">
      <c r="A376" s="41"/>
      <c r="B376" s="200"/>
      <c r="C376" s="172">
        <v>10</v>
      </c>
      <c r="D376" s="60" t="s">
        <v>2428</v>
      </c>
      <c r="E376" s="60" t="s">
        <v>2429</v>
      </c>
      <c r="F376" s="60" t="s">
        <v>43</v>
      </c>
      <c r="G376" s="62">
        <v>33326883</v>
      </c>
      <c r="H376" s="193">
        <v>39763</v>
      </c>
      <c r="I376" s="60">
        <v>17</v>
      </c>
      <c r="J376" s="63" t="s">
        <v>2430</v>
      </c>
      <c r="K376" s="64" t="s">
        <v>2431</v>
      </c>
      <c r="L376" s="65" t="s">
        <v>1350</v>
      </c>
      <c r="M376" s="66" t="s">
        <v>2432</v>
      </c>
      <c r="N376" s="77">
        <v>12878496</v>
      </c>
      <c r="O376" s="60">
        <v>4140142292</v>
      </c>
      <c r="P376" s="67"/>
      <c r="Q376" s="68"/>
      <c r="R376" s="69"/>
      <c r="S376" s="69"/>
      <c r="T376" s="69"/>
      <c r="U376" s="70"/>
      <c r="V376" s="79"/>
      <c r="W376" s="66"/>
      <c r="X376" s="69"/>
      <c r="Y376" s="75"/>
      <c r="Z376" s="60"/>
      <c r="AA376" s="60"/>
      <c r="AB376" s="75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80"/>
      <c r="AR376" s="164"/>
    </row>
    <row r="377" spans="1:44" ht="30.75" customHeight="1">
      <c r="A377" s="41"/>
      <c r="B377" s="200" t="s">
        <v>1935</v>
      </c>
      <c r="C377" s="172">
        <v>11</v>
      </c>
      <c r="D377" s="60" t="s">
        <v>2433</v>
      </c>
      <c r="E377" s="60" t="s">
        <v>2434</v>
      </c>
      <c r="F377" s="60" t="s">
        <v>43</v>
      </c>
      <c r="G377" s="62">
        <v>12160151</v>
      </c>
      <c r="H377" s="190">
        <v>27753</v>
      </c>
      <c r="I377" s="60">
        <v>49</v>
      </c>
      <c r="J377" s="63" t="s">
        <v>2435</v>
      </c>
      <c r="K377" s="64" t="s">
        <v>2436</v>
      </c>
      <c r="L377" s="65" t="s">
        <v>2437</v>
      </c>
      <c r="M377" s="66"/>
      <c r="N377" s="77"/>
      <c r="O377" s="60"/>
      <c r="P377" s="67"/>
      <c r="Q377" s="68"/>
      <c r="R377" s="69"/>
      <c r="S377" s="69"/>
      <c r="T377" s="69"/>
      <c r="U377" s="70"/>
      <c r="V377" s="79"/>
      <c r="W377" s="66"/>
      <c r="X377" s="69"/>
      <c r="Y377" s="75"/>
      <c r="Z377" s="60"/>
      <c r="AA377" s="60"/>
      <c r="AB377" s="75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80"/>
      <c r="AR377" s="164"/>
    </row>
    <row r="378" spans="1:44" ht="30.75" customHeight="1">
      <c r="A378" s="41"/>
      <c r="B378" s="200"/>
      <c r="C378" s="172">
        <v>12</v>
      </c>
      <c r="D378" s="60" t="s">
        <v>2438</v>
      </c>
      <c r="E378" s="60" t="s">
        <v>2439</v>
      </c>
      <c r="F378" s="60" t="s">
        <v>43</v>
      </c>
      <c r="G378" s="62">
        <v>11836897</v>
      </c>
      <c r="H378" s="193">
        <v>26997</v>
      </c>
      <c r="I378" s="60">
        <v>52</v>
      </c>
      <c r="J378" s="63" t="s">
        <v>2440</v>
      </c>
      <c r="K378" s="64" t="s">
        <v>2441</v>
      </c>
      <c r="L378" s="65" t="s">
        <v>2442</v>
      </c>
      <c r="M378" s="66"/>
      <c r="N378" s="77"/>
      <c r="O378" s="60"/>
      <c r="P378" s="67"/>
      <c r="Q378" s="68"/>
      <c r="R378" s="69"/>
      <c r="S378" s="69"/>
      <c r="T378" s="69"/>
      <c r="U378" s="70"/>
      <c r="V378" s="79"/>
      <c r="W378" s="66"/>
      <c r="X378" s="69"/>
      <c r="Y378" s="75"/>
      <c r="Z378" s="60"/>
      <c r="AA378" s="60"/>
      <c r="AB378" s="75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80"/>
      <c r="AR378" s="164"/>
    </row>
    <row r="379" spans="1:44" ht="30.75" customHeight="1">
      <c r="A379" s="41"/>
      <c r="B379" s="200" t="s">
        <v>1935</v>
      </c>
      <c r="C379" s="172">
        <v>13</v>
      </c>
      <c r="D379" s="60" t="s">
        <v>2443</v>
      </c>
      <c r="E379" s="60" t="s">
        <v>2444</v>
      </c>
      <c r="F379" s="60" t="s">
        <v>43</v>
      </c>
      <c r="G379" s="62">
        <v>11038598</v>
      </c>
      <c r="H379" s="118">
        <v>26145</v>
      </c>
      <c r="I379" s="60">
        <v>54</v>
      </c>
      <c r="J379" s="63" t="s">
        <v>2445</v>
      </c>
      <c r="K379" s="64" t="s">
        <v>2446</v>
      </c>
      <c r="L379" s="65" t="s">
        <v>2447</v>
      </c>
      <c r="M379" s="66"/>
      <c r="N379" s="77"/>
      <c r="O379" s="60"/>
      <c r="P379" s="67"/>
      <c r="Q379" s="68"/>
      <c r="R379" s="69"/>
      <c r="S379" s="69"/>
      <c r="T379" s="69"/>
      <c r="U379" s="70"/>
      <c r="V379" s="79"/>
      <c r="W379" s="66"/>
      <c r="X379" s="69"/>
      <c r="Y379" s="75"/>
      <c r="Z379" s="60"/>
      <c r="AA379" s="60"/>
      <c r="AB379" s="75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80"/>
      <c r="AR379" s="164"/>
    </row>
    <row r="380" spans="1:44" ht="30.75" customHeight="1">
      <c r="A380" s="41"/>
      <c r="B380" s="200"/>
      <c r="C380" s="172">
        <v>14</v>
      </c>
      <c r="D380" s="60" t="s">
        <v>2448</v>
      </c>
      <c r="E380" s="60" t="s">
        <v>2449</v>
      </c>
      <c r="F380" s="60" t="s">
        <v>43</v>
      </c>
      <c r="G380" s="62">
        <v>17532159</v>
      </c>
      <c r="H380" s="118">
        <v>30728</v>
      </c>
      <c r="I380" s="60">
        <v>42</v>
      </c>
      <c r="J380" s="63" t="s">
        <v>2450</v>
      </c>
      <c r="K380" s="64" t="s">
        <v>2451</v>
      </c>
      <c r="L380" s="65" t="s">
        <v>2452</v>
      </c>
      <c r="M380" s="66"/>
      <c r="N380" s="77"/>
      <c r="O380" s="60"/>
      <c r="P380" s="67"/>
      <c r="Q380" s="68"/>
      <c r="R380" s="69"/>
      <c r="S380" s="69"/>
      <c r="T380" s="69"/>
      <c r="U380" s="70"/>
      <c r="V380" s="79"/>
      <c r="W380" s="66"/>
      <c r="X380" s="69"/>
      <c r="Y380" s="75"/>
      <c r="Z380" s="60"/>
      <c r="AA380" s="60"/>
      <c r="AB380" s="75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80"/>
      <c r="AR380" s="164"/>
    </row>
    <row r="381" spans="1:44" ht="30.75" customHeight="1">
      <c r="A381" s="41"/>
      <c r="B381" s="200" t="s">
        <v>1935</v>
      </c>
      <c r="C381" s="172">
        <v>15</v>
      </c>
      <c r="D381" s="60" t="s">
        <v>2453</v>
      </c>
      <c r="E381" s="60" t="s">
        <v>2454</v>
      </c>
      <c r="F381" s="60" t="s">
        <v>43</v>
      </c>
      <c r="G381" s="62">
        <v>6338268</v>
      </c>
      <c r="H381" s="193">
        <v>25554</v>
      </c>
      <c r="I381" s="60">
        <v>56</v>
      </c>
      <c r="J381" s="63"/>
      <c r="K381" s="64" t="s">
        <v>2455</v>
      </c>
      <c r="L381" s="65" t="s">
        <v>443</v>
      </c>
      <c r="M381" s="66"/>
      <c r="N381" s="77"/>
      <c r="O381" s="60"/>
      <c r="P381" s="67"/>
      <c r="Q381" s="68"/>
      <c r="R381" s="69"/>
      <c r="S381" s="69"/>
      <c r="T381" s="69"/>
      <c r="U381" s="70"/>
      <c r="V381" s="79"/>
      <c r="W381" s="66"/>
      <c r="X381" s="69"/>
      <c r="Y381" s="75"/>
      <c r="Z381" s="60"/>
      <c r="AA381" s="60"/>
      <c r="AB381" s="75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80"/>
      <c r="AR381" s="164"/>
    </row>
    <row r="382" spans="1:44" ht="30.75" customHeight="1">
      <c r="A382" s="41"/>
      <c r="B382" s="200"/>
      <c r="C382" s="172">
        <v>16</v>
      </c>
      <c r="D382" s="60" t="s">
        <v>2456</v>
      </c>
      <c r="E382" s="60" t="s">
        <v>2457</v>
      </c>
      <c r="F382" s="60" t="s">
        <v>43</v>
      </c>
      <c r="G382" s="62">
        <v>19892389</v>
      </c>
      <c r="H382" s="118">
        <v>32237</v>
      </c>
      <c r="I382" s="60">
        <v>38</v>
      </c>
      <c r="J382" s="63" t="s">
        <v>2458</v>
      </c>
      <c r="K382" s="64" t="s">
        <v>2459</v>
      </c>
      <c r="L382" s="65" t="s">
        <v>2460</v>
      </c>
      <c r="M382" s="66"/>
      <c r="N382" s="77"/>
      <c r="O382" s="60"/>
      <c r="P382" s="67"/>
      <c r="Q382" s="68"/>
      <c r="R382" s="69"/>
      <c r="S382" s="69"/>
      <c r="T382" s="69"/>
      <c r="U382" s="70"/>
      <c r="V382" s="79"/>
      <c r="W382" s="66"/>
      <c r="X382" s="69"/>
      <c r="Y382" s="75"/>
      <c r="Z382" s="60"/>
      <c r="AA382" s="60"/>
      <c r="AB382" s="75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80"/>
      <c r="AR382" s="164"/>
    </row>
    <row r="383" spans="1:44" ht="30.75" customHeight="1">
      <c r="A383" s="41"/>
      <c r="B383" s="200" t="s">
        <v>1935</v>
      </c>
      <c r="C383" s="172">
        <v>17</v>
      </c>
      <c r="D383" s="60" t="s">
        <v>2461</v>
      </c>
      <c r="E383" s="60" t="s">
        <v>2462</v>
      </c>
      <c r="F383" s="60" t="s">
        <v>43</v>
      </c>
      <c r="G383" s="62">
        <v>26825191</v>
      </c>
      <c r="H383" s="118">
        <v>36188</v>
      </c>
      <c r="I383" s="60">
        <v>27</v>
      </c>
      <c r="J383" s="63" t="s">
        <v>2463</v>
      </c>
      <c r="K383" s="64" t="s">
        <v>2464</v>
      </c>
      <c r="L383" s="65" t="s">
        <v>2465</v>
      </c>
      <c r="M383" s="66"/>
      <c r="N383" s="77"/>
      <c r="O383" s="60"/>
      <c r="P383" s="67"/>
      <c r="Q383" s="68"/>
      <c r="R383" s="69"/>
      <c r="S383" s="69"/>
      <c r="T383" s="69"/>
      <c r="U383" s="70"/>
      <c r="V383" s="79"/>
      <c r="W383" s="66"/>
      <c r="X383" s="69"/>
      <c r="Y383" s="75"/>
      <c r="Z383" s="60"/>
      <c r="AA383" s="60"/>
      <c r="AB383" s="75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80"/>
      <c r="AR383" s="164"/>
    </row>
    <row r="384" spans="1:44" ht="30.75" customHeight="1">
      <c r="A384" s="41"/>
      <c r="B384" s="200"/>
      <c r="C384" s="172">
        <v>18</v>
      </c>
      <c r="D384" s="60" t="s">
        <v>2466</v>
      </c>
      <c r="E384" s="60" t="s">
        <v>2467</v>
      </c>
      <c r="F384" s="60" t="s">
        <v>43</v>
      </c>
      <c r="G384" s="62">
        <v>6843681</v>
      </c>
      <c r="H384" s="118">
        <v>23833</v>
      </c>
      <c r="I384" s="60">
        <v>61</v>
      </c>
      <c r="J384" s="63" t="s">
        <v>2468</v>
      </c>
      <c r="K384" s="64" t="s">
        <v>2469</v>
      </c>
      <c r="L384" s="65" t="s">
        <v>2470</v>
      </c>
      <c r="M384" s="66"/>
      <c r="N384" s="77"/>
      <c r="O384" s="60"/>
      <c r="P384" s="67"/>
      <c r="Q384" s="68"/>
      <c r="R384" s="69"/>
      <c r="S384" s="69"/>
      <c r="T384" s="69"/>
      <c r="U384" s="70"/>
      <c r="V384" s="79"/>
      <c r="W384" s="66"/>
      <c r="X384" s="69"/>
      <c r="Y384" s="75"/>
      <c r="Z384" s="60"/>
      <c r="AA384" s="60"/>
      <c r="AB384" s="75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80"/>
      <c r="AR384" s="164"/>
    </row>
    <row r="385" spans="1:44" ht="30.75" customHeight="1">
      <c r="A385" s="41"/>
      <c r="B385" s="200" t="s">
        <v>1935</v>
      </c>
      <c r="C385" s="172">
        <v>19</v>
      </c>
      <c r="D385" s="60" t="s">
        <v>2471</v>
      </c>
      <c r="E385" s="60" t="s">
        <v>2472</v>
      </c>
      <c r="F385" s="60" t="s">
        <v>43</v>
      </c>
      <c r="G385" s="62">
        <v>17742741</v>
      </c>
      <c r="H385" s="118">
        <v>31843</v>
      </c>
      <c r="I385" s="60">
        <v>39</v>
      </c>
      <c r="J385" s="63" t="s">
        <v>2473</v>
      </c>
      <c r="K385" s="64" t="s">
        <v>2474</v>
      </c>
      <c r="L385" s="65" t="s">
        <v>2475</v>
      </c>
      <c r="M385" s="66"/>
      <c r="N385" s="77"/>
      <c r="O385" s="60"/>
      <c r="P385" s="67"/>
      <c r="Q385" s="68"/>
      <c r="R385" s="69"/>
      <c r="S385" s="69"/>
      <c r="T385" s="69"/>
      <c r="U385" s="70"/>
      <c r="V385" s="79"/>
      <c r="W385" s="66"/>
      <c r="X385" s="69"/>
      <c r="Y385" s="75"/>
      <c r="Z385" s="60"/>
      <c r="AA385" s="60"/>
      <c r="AB385" s="75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80"/>
      <c r="AR385" s="164"/>
    </row>
    <row r="386" spans="1:44" ht="30.75" customHeight="1">
      <c r="A386" s="41"/>
      <c r="B386" s="200"/>
      <c r="C386" s="172">
        <v>20</v>
      </c>
      <c r="D386" s="60" t="s">
        <v>2476</v>
      </c>
      <c r="E386" s="60" t="s">
        <v>2477</v>
      </c>
      <c r="F386" s="60" t="s">
        <v>43</v>
      </c>
      <c r="G386" s="62">
        <v>32113868</v>
      </c>
      <c r="H386" s="118">
        <v>39329</v>
      </c>
      <c r="I386" s="60">
        <v>18</v>
      </c>
      <c r="J386" s="63" t="s">
        <v>2478</v>
      </c>
      <c r="K386" s="64" t="s">
        <v>2479</v>
      </c>
      <c r="L386" s="65" t="s">
        <v>2480</v>
      </c>
      <c r="M386" s="66"/>
      <c r="N386" s="77"/>
      <c r="O386" s="60"/>
      <c r="P386" s="67"/>
      <c r="Q386" s="68"/>
      <c r="R386" s="69"/>
      <c r="S386" s="69"/>
      <c r="T386" s="69"/>
      <c r="U386" s="70"/>
      <c r="V386" s="79"/>
      <c r="W386" s="66"/>
      <c r="X386" s="69"/>
      <c r="Y386" s="75"/>
      <c r="Z386" s="60"/>
      <c r="AA386" s="60"/>
      <c r="AB386" s="75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80"/>
      <c r="AR386" s="164"/>
    </row>
    <row r="387" spans="1:44" ht="30.75" customHeight="1">
      <c r="A387" s="41"/>
      <c r="B387" s="200" t="s">
        <v>1935</v>
      </c>
      <c r="C387" s="172">
        <v>1</v>
      </c>
      <c r="D387" s="60" t="s">
        <v>2481</v>
      </c>
      <c r="E387" s="60" t="s">
        <v>2482</v>
      </c>
      <c r="F387" s="60" t="s">
        <v>43</v>
      </c>
      <c r="G387" s="62">
        <v>13490459</v>
      </c>
      <c r="H387" s="193">
        <v>27379</v>
      </c>
      <c r="I387" s="60">
        <v>51</v>
      </c>
      <c r="J387" s="63"/>
      <c r="K387" s="64" t="s">
        <v>2483</v>
      </c>
      <c r="L387" s="65" t="s">
        <v>2484</v>
      </c>
      <c r="M387" s="66"/>
      <c r="N387" s="77"/>
      <c r="O387" s="60"/>
      <c r="P387" s="67"/>
      <c r="Q387" s="68"/>
      <c r="R387" s="69"/>
      <c r="S387" s="69"/>
      <c r="T387" s="69"/>
      <c r="U387" s="70"/>
      <c r="V387" s="79"/>
      <c r="W387" s="66"/>
      <c r="X387" s="69"/>
      <c r="Y387" s="75"/>
      <c r="Z387" s="60"/>
      <c r="AA387" s="60"/>
      <c r="AB387" s="75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80"/>
      <c r="AR387" s="164"/>
    </row>
    <row r="388" spans="1:44" ht="30.75" customHeight="1">
      <c r="A388" s="41"/>
      <c r="B388" s="200"/>
      <c r="C388" s="172">
        <v>2</v>
      </c>
      <c r="D388" s="60" t="s">
        <v>2485</v>
      </c>
      <c r="E388" s="60" t="s">
        <v>2486</v>
      </c>
      <c r="F388" s="60" t="s">
        <v>43</v>
      </c>
      <c r="G388" s="62">
        <v>11038180</v>
      </c>
      <c r="H388" s="118">
        <v>26033</v>
      </c>
      <c r="I388" s="60">
        <v>55</v>
      </c>
      <c r="J388" s="63" t="s">
        <v>2487</v>
      </c>
      <c r="K388" s="64" t="s">
        <v>2488</v>
      </c>
      <c r="L388" s="65" t="s">
        <v>1248</v>
      </c>
      <c r="M388" s="66"/>
      <c r="N388" s="77"/>
      <c r="O388" s="60"/>
      <c r="P388" s="67"/>
      <c r="Q388" s="68"/>
      <c r="R388" s="69"/>
      <c r="S388" s="69"/>
      <c r="T388" s="69"/>
      <c r="U388" s="70"/>
      <c r="V388" s="79"/>
      <c r="W388" s="66"/>
      <c r="X388" s="69"/>
      <c r="Y388" s="75"/>
      <c r="Z388" s="60"/>
      <c r="AA388" s="60"/>
      <c r="AB388" s="75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80"/>
      <c r="AR388" s="164"/>
    </row>
    <row r="389" spans="1:44" ht="30.75" customHeight="1">
      <c r="A389" s="41"/>
      <c r="B389" s="200" t="s">
        <v>1935</v>
      </c>
      <c r="C389" s="172">
        <v>3</v>
      </c>
      <c r="D389" s="60" t="s">
        <v>2489</v>
      </c>
      <c r="E389" s="60" t="s">
        <v>2490</v>
      </c>
      <c r="F389" s="60" t="s">
        <v>43</v>
      </c>
      <c r="G389" s="62">
        <v>18537365</v>
      </c>
      <c r="H389" s="118">
        <v>31638</v>
      </c>
      <c r="I389" s="60">
        <v>39</v>
      </c>
      <c r="J389" s="63" t="s">
        <v>2491</v>
      </c>
      <c r="K389" s="64" t="s">
        <v>2492</v>
      </c>
      <c r="L389" s="65" t="s">
        <v>725</v>
      </c>
      <c r="M389" s="66"/>
      <c r="N389" s="77"/>
      <c r="O389" s="60"/>
      <c r="P389" s="67"/>
      <c r="Q389" s="68"/>
      <c r="R389" s="69"/>
      <c r="S389" s="69"/>
      <c r="T389" s="69"/>
      <c r="U389" s="70"/>
      <c r="V389" s="79"/>
      <c r="W389" s="66"/>
      <c r="X389" s="69"/>
      <c r="Y389" s="75"/>
      <c r="Z389" s="60"/>
      <c r="AA389" s="60"/>
      <c r="AB389" s="75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80"/>
      <c r="AR389" s="164"/>
    </row>
    <row r="390" spans="1:44" ht="30.75" customHeight="1">
      <c r="A390" s="41"/>
      <c r="B390" s="200"/>
      <c r="C390" s="172">
        <v>4</v>
      </c>
      <c r="D390" s="60" t="s">
        <v>2493</v>
      </c>
      <c r="E390" s="60" t="s">
        <v>2494</v>
      </c>
      <c r="F390" s="60" t="s">
        <v>43</v>
      </c>
      <c r="G390" s="62">
        <v>18327482</v>
      </c>
      <c r="H390" s="118">
        <v>31069</v>
      </c>
      <c r="I390" s="60">
        <v>41</v>
      </c>
      <c r="J390" s="63" t="s">
        <v>2495</v>
      </c>
      <c r="K390" s="64" t="s">
        <v>2496</v>
      </c>
      <c r="L390" s="65" t="s">
        <v>2497</v>
      </c>
      <c r="M390" s="66"/>
      <c r="N390" s="77"/>
      <c r="O390" s="60"/>
      <c r="P390" s="67"/>
      <c r="Q390" s="68"/>
      <c r="R390" s="69"/>
      <c r="S390" s="69"/>
      <c r="T390" s="69"/>
      <c r="U390" s="70"/>
      <c r="V390" s="79"/>
      <c r="W390" s="66"/>
      <c r="X390" s="69"/>
      <c r="Y390" s="75"/>
      <c r="Z390" s="60"/>
      <c r="AA390" s="60"/>
      <c r="AB390" s="75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80"/>
      <c r="AR390" s="164"/>
    </row>
    <row r="391" spans="1:44" ht="30.75" customHeight="1">
      <c r="A391" s="41"/>
      <c r="B391" s="200" t="s">
        <v>1935</v>
      </c>
      <c r="C391" s="172">
        <v>5</v>
      </c>
      <c r="D391" s="60" t="s">
        <v>2498</v>
      </c>
      <c r="E391" s="60" t="s">
        <v>2499</v>
      </c>
      <c r="F391" s="60" t="s">
        <v>43</v>
      </c>
      <c r="G391" s="62">
        <v>15913855</v>
      </c>
      <c r="H391" s="118">
        <v>30593</v>
      </c>
      <c r="I391" s="60">
        <v>42</v>
      </c>
      <c r="J391" s="63" t="s">
        <v>2500</v>
      </c>
      <c r="K391" s="64" t="s">
        <v>2501</v>
      </c>
      <c r="L391" s="65" t="s">
        <v>2502</v>
      </c>
      <c r="M391" s="66"/>
      <c r="N391" s="77"/>
      <c r="O391" s="60"/>
      <c r="P391" s="67"/>
      <c r="Q391" s="68"/>
      <c r="R391" s="69"/>
      <c r="S391" s="69"/>
      <c r="T391" s="69"/>
      <c r="U391" s="70"/>
      <c r="V391" s="79"/>
      <c r="W391" s="66"/>
      <c r="X391" s="69"/>
      <c r="Y391" s="75"/>
      <c r="Z391" s="60"/>
      <c r="AA391" s="60"/>
      <c r="AB391" s="75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80"/>
      <c r="AR391" s="164"/>
    </row>
    <row r="392" spans="1:44" ht="30.75" customHeight="1">
      <c r="A392" s="41"/>
      <c r="B392" s="200"/>
      <c r="C392" s="172">
        <v>6</v>
      </c>
      <c r="D392" s="60" t="s">
        <v>2503</v>
      </c>
      <c r="E392" s="60" t="s">
        <v>2504</v>
      </c>
      <c r="F392" s="60" t="s">
        <v>43</v>
      </c>
      <c r="G392" s="62">
        <v>13477255</v>
      </c>
      <c r="H392" s="118">
        <v>28575</v>
      </c>
      <c r="I392" s="60">
        <v>48</v>
      </c>
      <c r="J392" s="63" t="s">
        <v>2505</v>
      </c>
      <c r="K392" s="64" t="s">
        <v>2506</v>
      </c>
      <c r="L392" s="65" t="s">
        <v>2507</v>
      </c>
      <c r="M392" s="66"/>
      <c r="N392" s="77"/>
      <c r="O392" s="60"/>
      <c r="P392" s="67"/>
      <c r="Q392" s="68"/>
      <c r="R392" s="69"/>
      <c r="S392" s="69"/>
      <c r="T392" s="69"/>
      <c r="U392" s="70"/>
      <c r="V392" s="79"/>
      <c r="W392" s="66"/>
      <c r="X392" s="69"/>
      <c r="Y392" s="75"/>
      <c r="Z392" s="60"/>
      <c r="AA392" s="60"/>
      <c r="AB392" s="75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80"/>
      <c r="AR392" s="164"/>
    </row>
    <row r="393" spans="1:44" ht="30.75" customHeight="1">
      <c r="A393" s="41"/>
      <c r="B393" s="200" t="s">
        <v>1935</v>
      </c>
      <c r="C393" s="172">
        <v>7</v>
      </c>
      <c r="D393" s="60" t="s">
        <v>2508</v>
      </c>
      <c r="E393" s="60" t="s">
        <v>2509</v>
      </c>
      <c r="F393" s="60" t="s">
        <v>43</v>
      </c>
      <c r="G393" s="62">
        <v>14013437</v>
      </c>
      <c r="H393" s="193">
        <v>27350</v>
      </c>
      <c r="I393" s="60">
        <v>51</v>
      </c>
      <c r="J393" s="63" t="s">
        <v>2510</v>
      </c>
      <c r="K393" s="64" t="s">
        <v>2511</v>
      </c>
      <c r="L393" s="65" t="s">
        <v>2512</v>
      </c>
      <c r="M393" s="66"/>
      <c r="N393" s="77"/>
      <c r="O393" s="60"/>
      <c r="P393" s="67"/>
      <c r="Q393" s="68"/>
      <c r="R393" s="69"/>
      <c r="S393" s="69"/>
      <c r="T393" s="69"/>
      <c r="U393" s="70"/>
      <c r="V393" s="79"/>
      <c r="W393" s="66"/>
      <c r="X393" s="69"/>
      <c r="Y393" s="75"/>
      <c r="Z393" s="60"/>
      <c r="AA393" s="60"/>
      <c r="AB393" s="75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80"/>
      <c r="AR393" s="164"/>
    </row>
    <row r="394" spans="1:44" ht="30.75" customHeight="1">
      <c r="A394" s="41"/>
      <c r="B394" s="200"/>
      <c r="C394" s="172">
        <v>8</v>
      </c>
      <c r="D394" s="60" t="s">
        <v>2513</v>
      </c>
      <c r="E394" s="60" t="s">
        <v>2514</v>
      </c>
      <c r="F394" s="60" t="s">
        <v>43</v>
      </c>
      <c r="G394" s="62">
        <v>25840091</v>
      </c>
      <c r="H394" s="118">
        <v>35486</v>
      </c>
      <c r="I394" s="60">
        <v>29</v>
      </c>
      <c r="J394" s="63" t="s">
        <v>2515</v>
      </c>
      <c r="K394" s="64" t="s">
        <v>2516</v>
      </c>
      <c r="L394" s="65" t="s">
        <v>2517</v>
      </c>
      <c r="M394" s="66"/>
      <c r="N394" s="77"/>
      <c r="O394" s="60"/>
      <c r="P394" s="67"/>
      <c r="Q394" s="68"/>
      <c r="R394" s="69"/>
      <c r="S394" s="69"/>
      <c r="T394" s="69"/>
      <c r="U394" s="70"/>
      <c r="V394" s="79"/>
      <c r="W394" s="66"/>
      <c r="X394" s="69"/>
      <c r="Y394" s="75"/>
      <c r="Z394" s="60"/>
      <c r="AA394" s="60"/>
      <c r="AB394" s="75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80"/>
      <c r="AR394" s="164"/>
    </row>
    <row r="395" spans="1:44" ht="30.75" customHeight="1">
      <c r="A395" s="41"/>
      <c r="B395" s="200" t="s">
        <v>1935</v>
      </c>
      <c r="C395" s="172">
        <v>9</v>
      </c>
      <c r="D395" s="60" t="s">
        <v>2518</v>
      </c>
      <c r="E395" s="60" t="s">
        <v>2519</v>
      </c>
      <c r="F395" s="60" t="s">
        <v>43</v>
      </c>
      <c r="G395" s="62">
        <v>23626654</v>
      </c>
      <c r="H395" s="118">
        <v>34787</v>
      </c>
      <c r="I395" s="60">
        <v>31</v>
      </c>
      <c r="J395" s="63" t="s">
        <v>2520</v>
      </c>
      <c r="K395" s="64" t="s">
        <v>2521</v>
      </c>
      <c r="L395" s="65" t="s">
        <v>2522</v>
      </c>
      <c r="M395" s="66"/>
      <c r="N395" s="77"/>
      <c r="O395" s="60"/>
      <c r="P395" s="67"/>
      <c r="Q395" s="68"/>
      <c r="R395" s="69"/>
      <c r="S395" s="69"/>
      <c r="T395" s="69"/>
      <c r="U395" s="70"/>
      <c r="V395" s="79"/>
      <c r="W395" s="66"/>
      <c r="X395" s="69"/>
      <c r="Y395" s="75"/>
      <c r="Z395" s="60"/>
      <c r="AA395" s="60"/>
      <c r="AB395" s="75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80"/>
      <c r="AR395" s="164"/>
    </row>
    <row r="396" spans="1:44" ht="30.75" customHeight="1">
      <c r="A396" s="41"/>
      <c r="B396" s="200"/>
      <c r="C396" s="172">
        <v>10</v>
      </c>
      <c r="D396" s="60" t="s">
        <v>2523</v>
      </c>
      <c r="E396" s="60" t="s">
        <v>2524</v>
      </c>
      <c r="F396" s="60" t="s">
        <v>43</v>
      </c>
      <c r="G396" s="62">
        <v>15618591</v>
      </c>
      <c r="H396" s="193">
        <v>29520</v>
      </c>
      <c r="I396" s="60">
        <v>45</v>
      </c>
      <c r="J396" s="63" t="s">
        <v>2525</v>
      </c>
      <c r="K396" s="64" t="s">
        <v>2526</v>
      </c>
      <c r="L396" s="65" t="s">
        <v>2527</v>
      </c>
      <c r="M396" s="66"/>
      <c r="N396" s="77"/>
      <c r="O396" s="60"/>
      <c r="P396" s="67"/>
      <c r="Q396" s="68"/>
      <c r="R396" s="69"/>
      <c r="S396" s="69"/>
      <c r="T396" s="69"/>
      <c r="U396" s="70"/>
      <c r="V396" s="79"/>
      <c r="W396" s="66"/>
      <c r="X396" s="69"/>
      <c r="Y396" s="75"/>
      <c r="Z396" s="60"/>
      <c r="AA396" s="60"/>
      <c r="AB396" s="75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80"/>
      <c r="AR396" s="164"/>
    </row>
    <row r="397" spans="1:44" ht="30.75" customHeight="1">
      <c r="A397" s="41"/>
      <c r="B397" s="200" t="s">
        <v>1935</v>
      </c>
      <c r="C397" s="172">
        <v>11</v>
      </c>
      <c r="D397" s="60" t="s">
        <v>2528</v>
      </c>
      <c r="E397" s="60" t="s">
        <v>2529</v>
      </c>
      <c r="F397" s="60" t="s">
        <v>43</v>
      </c>
      <c r="G397" s="62">
        <v>19387910</v>
      </c>
      <c r="H397" s="193">
        <v>32100</v>
      </c>
      <c r="I397" s="60">
        <v>38</v>
      </c>
      <c r="J397" s="63" t="s">
        <v>2530</v>
      </c>
      <c r="K397" s="64" t="s">
        <v>2531</v>
      </c>
      <c r="L397" s="65" t="s">
        <v>2532</v>
      </c>
      <c r="M397" s="66"/>
      <c r="N397" s="77"/>
      <c r="O397" s="60"/>
      <c r="P397" s="67"/>
      <c r="Q397" s="68"/>
      <c r="R397" s="69"/>
      <c r="S397" s="69"/>
      <c r="T397" s="69"/>
      <c r="U397" s="70"/>
      <c r="V397" s="79"/>
      <c r="W397" s="66"/>
      <c r="X397" s="69"/>
      <c r="Y397" s="75"/>
      <c r="Z397" s="60"/>
      <c r="AA397" s="60"/>
      <c r="AB397" s="75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80"/>
      <c r="AR397" s="164"/>
    </row>
    <row r="398" spans="1:44" ht="30.75" customHeight="1">
      <c r="A398" s="41"/>
      <c r="B398" s="200"/>
      <c r="C398" s="172">
        <v>12</v>
      </c>
      <c r="D398" s="60" t="s">
        <v>2533</v>
      </c>
      <c r="E398" s="60" t="s">
        <v>2534</v>
      </c>
      <c r="F398" s="60" t="s">
        <v>43</v>
      </c>
      <c r="G398" s="62">
        <v>34489150</v>
      </c>
      <c r="H398" s="193">
        <v>41225</v>
      </c>
      <c r="I398" s="60">
        <v>13</v>
      </c>
      <c r="J398" s="63"/>
      <c r="K398" s="64" t="s">
        <v>2535</v>
      </c>
      <c r="L398" s="65" t="s">
        <v>2029</v>
      </c>
      <c r="M398" s="66" t="s">
        <v>2536</v>
      </c>
      <c r="N398" s="77">
        <v>18096134</v>
      </c>
      <c r="O398" s="60" t="s">
        <v>2537</v>
      </c>
      <c r="P398" s="67"/>
      <c r="Q398" s="68"/>
      <c r="R398" s="69"/>
      <c r="S398" s="69"/>
      <c r="T398" s="69"/>
      <c r="U398" s="70"/>
      <c r="V398" s="79"/>
      <c r="W398" s="66"/>
      <c r="X398" s="69"/>
      <c r="Y398" s="75"/>
      <c r="Z398" s="60"/>
      <c r="AA398" s="60"/>
      <c r="AB398" s="75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80"/>
      <c r="AR398" s="164"/>
    </row>
    <row r="399" spans="1:44" ht="30.75" customHeight="1">
      <c r="A399" s="41"/>
      <c r="B399" s="200" t="s">
        <v>1935</v>
      </c>
      <c r="C399" s="172">
        <v>13</v>
      </c>
      <c r="D399" s="60" t="s">
        <v>2538</v>
      </c>
      <c r="E399" s="60" t="s">
        <v>2539</v>
      </c>
      <c r="F399" s="60" t="s">
        <v>43</v>
      </c>
      <c r="G399" s="62"/>
      <c r="H399" s="118">
        <v>41131</v>
      </c>
      <c r="I399" s="60">
        <v>13</v>
      </c>
      <c r="J399" s="63"/>
      <c r="K399" s="64" t="s">
        <v>2540</v>
      </c>
      <c r="L399" s="65" t="s">
        <v>725</v>
      </c>
      <c r="M399" s="66" t="s">
        <v>2541</v>
      </c>
      <c r="N399" s="77">
        <v>17705813</v>
      </c>
      <c r="O399" s="60" t="s">
        <v>2542</v>
      </c>
      <c r="P399" s="67"/>
      <c r="Q399" s="68"/>
      <c r="R399" s="69"/>
      <c r="S399" s="69"/>
      <c r="T399" s="69"/>
      <c r="U399" s="70"/>
      <c r="V399" s="79"/>
      <c r="W399" s="66"/>
      <c r="X399" s="69"/>
      <c r="Y399" s="75"/>
      <c r="Z399" s="60"/>
      <c r="AA399" s="60"/>
      <c r="AB399" s="75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80"/>
      <c r="AR399" s="164"/>
    </row>
    <row r="400" spans="1:44" ht="30.75" customHeight="1">
      <c r="A400" s="41"/>
      <c r="B400" s="200"/>
      <c r="C400" s="172">
        <v>14</v>
      </c>
      <c r="D400" s="60" t="s">
        <v>2543</v>
      </c>
      <c r="E400" s="60" t="s">
        <v>2544</v>
      </c>
      <c r="F400" s="60" t="s">
        <v>43</v>
      </c>
      <c r="G400" s="62"/>
      <c r="H400" s="118">
        <v>43852</v>
      </c>
      <c r="I400" s="60">
        <v>6</v>
      </c>
      <c r="J400" s="63"/>
      <c r="K400" s="64" t="s">
        <v>2545</v>
      </c>
      <c r="L400" s="65" t="s">
        <v>2546</v>
      </c>
      <c r="M400" s="66" t="s">
        <v>2547</v>
      </c>
      <c r="N400" s="77">
        <v>16265408</v>
      </c>
      <c r="O400" s="60" t="s">
        <v>2545</v>
      </c>
      <c r="P400" s="67"/>
      <c r="Q400" s="68"/>
      <c r="R400" s="69"/>
      <c r="S400" s="69"/>
      <c r="T400" s="69"/>
      <c r="U400" s="70"/>
      <c r="V400" s="79"/>
      <c r="W400" s="66"/>
      <c r="X400" s="69"/>
      <c r="Y400" s="75"/>
      <c r="Z400" s="60"/>
      <c r="AA400" s="60"/>
      <c r="AB400" s="75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80"/>
      <c r="AR400" s="164"/>
    </row>
    <row r="401" spans="1:44" ht="30.75" customHeight="1">
      <c r="A401" s="41"/>
      <c r="B401" s="200" t="s">
        <v>1935</v>
      </c>
      <c r="C401" s="172">
        <v>15</v>
      </c>
      <c r="D401" s="60"/>
      <c r="E401" s="60"/>
      <c r="F401" s="60"/>
      <c r="G401" s="62"/>
      <c r="H401" s="60"/>
      <c r="I401" s="60"/>
      <c r="J401" s="63"/>
      <c r="K401" s="64"/>
      <c r="L401" s="65"/>
      <c r="M401" s="66"/>
      <c r="N401" s="77"/>
      <c r="O401" s="60"/>
      <c r="P401" s="67"/>
      <c r="Q401" s="68"/>
      <c r="R401" s="69"/>
      <c r="S401" s="69"/>
      <c r="T401" s="69"/>
      <c r="U401" s="70"/>
      <c r="V401" s="79"/>
      <c r="W401" s="66"/>
      <c r="X401" s="69"/>
      <c r="Y401" s="75"/>
      <c r="Z401" s="60"/>
      <c r="AA401" s="60"/>
      <c r="AB401" s="75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80"/>
      <c r="AR401" s="164"/>
    </row>
    <row r="402" spans="1:44" ht="30.75" customHeight="1">
      <c r="A402" s="41"/>
      <c r="B402" s="200"/>
      <c r="C402" s="172">
        <v>16</v>
      </c>
      <c r="D402" s="60"/>
      <c r="E402" s="60"/>
      <c r="F402" s="60"/>
      <c r="G402" s="62"/>
      <c r="H402" s="60"/>
      <c r="I402" s="60"/>
      <c r="J402" s="63"/>
      <c r="K402" s="64"/>
      <c r="L402" s="65"/>
      <c r="M402" s="66"/>
      <c r="N402" s="77"/>
      <c r="O402" s="60"/>
      <c r="P402" s="67"/>
      <c r="Q402" s="68"/>
      <c r="R402" s="69"/>
      <c r="S402" s="69"/>
      <c r="T402" s="69"/>
      <c r="U402" s="70"/>
      <c r="V402" s="79"/>
      <c r="W402" s="66"/>
      <c r="X402" s="69"/>
      <c r="Y402" s="75"/>
      <c r="Z402" s="60"/>
      <c r="AA402" s="60"/>
      <c r="AB402" s="75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80"/>
      <c r="AR402" s="164"/>
    </row>
    <row r="403" spans="1:44" ht="30.75" customHeight="1">
      <c r="A403" s="41"/>
      <c r="B403" s="200" t="s">
        <v>1935</v>
      </c>
      <c r="C403" s="172">
        <v>17</v>
      </c>
      <c r="D403" s="60"/>
      <c r="E403" s="60"/>
      <c r="F403" s="60"/>
      <c r="G403" s="62"/>
      <c r="H403" s="60"/>
      <c r="I403" s="60"/>
      <c r="J403" s="63"/>
      <c r="K403" s="64"/>
      <c r="L403" s="65"/>
      <c r="M403" s="66"/>
      <c r="N403" s="77"/>
      <c r="O403" s="60"/>
      <c r="P403" s="67"/>
      <c r="Q403" s="68"/>
      <c r="R403" s="69"/>
      <c r="S403" s="69"/>
      <c r="T403" s="69"/>
      <c r="U403" s="70"/>
      <c r="V403" s="79"/>
      <c r="W403" s="66"/>
      <c r="X403" s="69"/>
      <c r="Y403" s="75"/>
      <c r="Z403" s="60"/>
      <c r="AA403" s="60"/>
      <c r="AB403" s="75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80"/>
      <c r="AR403" s="164"/>
    </row>
    <row r="404" spans="1:44" ht="30.75" customHeight="1">
      <c r="A404" s="41"/>
      <c r="B404" s="200"/>
      <c r="C404" s="172">
        <v>18</v>
      </c>
      <c r="D404" s="60"/>
      <c r="E404" s="60"/>
      <c r="F404" s="60"/>
      <c r="G404" s="62"/>
      <c r="H404" s="60"/>
      <c r="I404" s="60"/>
      <c r="J404" s="63"/>
      <c r="K404" s="64"/>
      <c r="L404" s="65"/>
      <c r="M404" s="66"/>
      <c r="N404" s="77"/>
      <c r="O404" s="60"/>
      <c r="P404" s="67"/>
      <c r="Q404" s="68"/>
      <c r="R404" s="69"/>
      <c r="S404" s="69"/>
      <c r="T404" s="69"/>
      <c r="U404" s="70"/>
      <c r="V404" s="79"/>
      <c r="W404" s="66"/>
      <c r="X404" s="69"/>
      <c r="Y404" s="75"/>
      <c r="Z404" s="60"/>
      <c r="AA404" s="60"/>
      <c r="AB404" s="75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80"/>
      <c r="AR404" s="164"/>
    </row>
    <row r="405" spans="1:44" ht="30.75" customHeight="1">
      <c r="A405" s="41"/>
      <c r="B405" s="200" t="s">
        <v>1935</v>
      </c>
      <c r="C405" s="172">
        <v>19</v>
      </c>
      <c r="D405" s="60"/>
      <c r="E405" s="60"/>
      <c r="F405" s="60"/>
      <c r="G405" s="62"/>
      <c r="H405" s="60"/>
      <c r="I405" s="60"/>
      <c r="J405" s="63"/>
      <c r="K405" s="64"/>
      <c r="L405" s="65"/>
      <c r="M405" s="66"/>
      <c r="N405" s="77"/>
      <c r="O405" s="60"/>
      <c r="P405" s="67"/>
      <c r="Q405" s="68"/>
      <c r="R405" s="69"/>
      <c r="S405" s="69"/>
      <c r="T405" s="69"/>
      <c r="U405" s="70"/>
      <c r="V405" s="79"/>
      <c r="W405" s="66"/>
      <c r="X405" s="69"/>
      <c r="Y405" s="75"/>
      <c r="Z405" s="60"/>
      <c r="AA405" s="60"/>
      <c r="AB405" s="75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80"/>
      <c r="AR405" s="164"/>
    </row>
    <row r="406" spans="1:44" ht="30.75" customHeight="1">
      <c r="A406" s="41"/>
      <c r="B406" s="200"/>
      <c r="C406" s="172">
        <v>20</v>
      </c>
      <c r="D406" s="60"/>
      <c r="E406" s="60"/>
      <c r="F406" s="60"/>
      <c r="G406" s="62"/>
      <c r="H406" s="60"/>
      <c r="I406" s="60"/>
      <c r="J406" s="63"/>
      <c r="K406" s="64"/>
      <c r="L406" s="65"/>
      <c r="M406" s="66"/>
      <c r="N406" s="77"/>
      <c r="O406" s="60"/>
      <c r="P406" s="67"/>
      <c r="Q406" s="68"/>
      <c r="R406" s="69"/>
      <c r="S406" s="69"/>
      <c r="T406" s="69"/>
      <c r="U406" s="70"/>
      <c r="V406" s="79"/>
      <c r="W406" s="66"/>
      <c r="X406" s="69"/>
      <c r="Y406" s="75"/>
      <c r="Z406" s="60"/>
      <c r="AA406" s="60"/>
      <c r="AB406" s="75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80"/>
      <c r="AR406" s="164"/>
    </row>
    <row r="407" spans="1:44" ht="30.75" customHeight="1">
      <c r="A407" s="41"/>
      <c r="B407" s="200" t="s">
        <v>1935</v>
      </c>
      <c r="C407" s="172">
        <v>17</v>
      </c>
      <c r="D407" s="60"/>
      <c r="E407" s="60"/>
      <c r="F407" s="60"/>
      <c r="G407" s="62"/>
      <c r="H407" s="60"/>
      <c r="I407" s="60"/>
      <c r="J407" s="63"/>
      <c r="K407" s="64"/>
      <c r="L407" s="65"/>
      <c r="M407" s="66"/>
      <c r="N407" s="77"/>
      <c r="O407" s="60"/>
      <c r="P407" s="67"/>
      <c r="Q407" s="68"/>
      <c r="R407" s="69"/>
      <c r="S407" s="69"/>
      <c r="T407" s="69"/>
      <c r="U407" s="70"/>
      <c r="V407" s="79"/>
      <c r="W407" s="66"/>
      <c r="X407" s="69"/>
      <c r="Y407" s="75"/>
      <c r="Z407" s="60"/>
      <c r="AA407" s="60"/>
      <c r="AB407" s="75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80"/>
      <c r="AR407" s="164"/>
    </row>
    <row r="408" spans="1:44" ht="30.75" customHeight="1">
      <c r="A408" s="41"/>
      <c r="B408" s="200"/>
      <c r="C408" s="172"/>
      <c r="D408" s="60"/>
      <c r="E408" s="60"/>
      <c r="F408" s="60"/>
      <c r="G408" s="62"/>
      <c r="H408" s="60"/>
      <c r="I408" s="60"/>
      <c r="J408" s="63"/>
      <c r="K408" s="64"/>
      <c r="L408" s="65"/>
      <c r="M408" s="66"/>
      <c r="N408" s="77"/>
      <c r="O408" s="60"/>
      <c r="P408" s="67"/>
      <c r="Q408" s="68"/>
      <c r="R408" s="69"/>
      <c r="S408" s="69"/>
      <c r="T408" s="69"/>
      <c r="U408" s="70"/>
      <c r="V408" s="79"/>
      <c r="W408" s="66"/>
      <c r="X408" s="69"/>
      <c r="Y408" s="75"/>
      <c r="Z408" s="60"/>
      <c r="AA408" s="60"/>
      <c r="AB408" s="75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80"/>
      <c r="AR408" s="164"/>
    </row>
    <row r="409" spans="1:44" ht="30.75" customHeight="1">
      <c r="A409" s="41"/>
      <c r="B409" s="200" t="s">
        <v>1935</v>
      </c>
      <c r="C409" s="172">
        <v>18</v>
      </c>
      <c r="D409" s="60"/>
      <c r="E409" s="60"/>
      <c r="F409" s="60"/>
      <c r="G409" s="62"/>
      <c r="H409" s="60"/>
      <c r="I409" s="60"/>
      <c r="J409" s="63"/>
      <c r="K409" s="64"/>
      <c r="L409" s="65"/>
      <c r="M409" s="66"/>
      <c r="N409" s="77"/>
      <c r="O409" s="60"/>
      <c r="P409" s="67"/>
      <c r="Q409" s="68"/>
      <c r="R409" s="69"/>
      <c r="S409" s="69"/>
      <c r="T409" s="69"/>
      <c r="U409" s="70"/>
      <c r="V409" s="79"/>
      <c r="W409" s="66"/>
      <c r="X409" s="69"/>
      <c r="Y409" s="75"/>
      <c r="Z409" s="60"/>
      <c r="AA409" s="60"/>
      <c r="AB409" s="75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80"/>
      <c r="AR409" s="164"/>
    </row>
    <row r="410" spans="1:44" ht="30.75" customHeight="1">
      <c r="A410" s="41"/>
      <c r="B410" s="200"/>
      <c r="C410" s="172"/>
      <c r="D410" s="60"/>
      <c r="E410" s="60"/>
      <c r="F410" s="60"/>
      <c r="G410" s="62"/>
      <c r="H410" s="60"/>
      <c r="I410" s="60"/>
      <c r="J410" s="63"/>
      <c r="K410" s="64"/>
      <c r="L410" s="65"/>
      <c r="M410" s="66"/>
      <c r="N410" s="77"/>
      <c r="O410" s="60"/>
      <c r="P410" s="67"/>
      <c r="Q410" s="68"/>
      <c r="R410" s="69"/>
      <c r="S410" s="69"/>
      <c r="T410" s="69"/>
      <c r="U410" s="70"/>
      <c r="V410" s="79"/>
      <c r="W410" s="66"/>
      <c r="X410" s="69"/>
      <c r="Y410" s="75"/>
      <c r="Z410" s="60"/>
      <c r="AA410" s="60"/>
      <c r="AB410" s="75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80"/>
      <c r="AR410" s="164"/>
    </row>
    <row r="411" spans="1:44" ht="30.75" customHeight="1">
      <c r="A411" s="41"/>
      <c r="B411" s="200" t="s">
        <v>1935</v>
      </c>
      <c r="C411" s="172">
        <v>19</v>
      </c>
      <c r="D411" s="60"/>
      <c r="E411" s="60"/>
      <c r="F411" s="60"/>
      <c r="G411" s="62"/>
      <c r="H411" s="60"/>
      <c r="I411" s="60"/>
      <c r="J411" s="63"/>
      <c r="K411" s="64"/>
      <c r="L411" s="65"/>
      <c r="M411" s="66"/>
      <c r="N411" s="77"/>
      <c r="O411" s="60"/>
      <c r="P411" s="67"/>
      <c r="Q411" s="68"/>
      <c r="R411" s="69"/>
      <c r="S411" s="69"/>
      <c r="T411" s="69"/>
      <c r="U411" s="70"/>
      <c r="V411" s="79"/>
      <c r="W411" s="66"/>
      <c r="X411" s="69"/>
      <c r="Y411" s="75"/>
      <c r="Z411" s="60"/>
      <c r="AA411" s="60"/>
      <c r="AB411" s="75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80"/>
      <c r="AR411" s="164"/>
    </row>
    <row r="412" spans="1:44" ht="30.75" customHeight="1">
      <c r="A412" s="41"/>
      <c r="B412" s="200"/>
      <c r="C412" s="172"/>
      <c r="D412" s="60"/>
      <c r="E412" s="60"/>
      <c r="F412" s="60"/>
      <c r="G412" s="62"/>
      <c r="H412" s="60"/>
      <c r="I412" s="60"/>
      <c r="J412" s="63"/>
      <c r="K412" s="64"/>
      <c r="L412" s="65"/>
      <c r="M412" s="66"/>
      <c r="N412" s="77"/>
      <c r="O412" s="60"/>
      <c r="P412" s="67"/>
      <c r="Q412" s="68"/>
      <c r="R412" s="69"/>
      <c r="S412" s="69"/>
      <c r="T412" s="69"/>
      <c r="U412" s="70"/>
      <c r="V412" s="79"/>
      <c r="W412" s="66"/>
      <c r="X412" s="69"/>
      <c r="Y412" s="75"/>
      <c r="Z412" s="60"/>
      <c r="AA412" s="60"/>
      <c r="AB412" s="75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80"/>
      <c r="AR412" s="164"/>
    </row>
    <row r="413" spans="1:44" ht="30.75" customHeight="1">
      <c r="A413" s="41"/>
      <c r="B413" s="200" t="s">
        <v>1935</v>
      </c>
      <c r="C413" s="172">
        <v>20</v>
      </c>
      <c r="D413" s="60"/>
      <c r="E413" s="60"/>
      <c r="F413" s="60"/>
      <c r="G413" s="62"/>
      <c r="H413" s="60"/>
      <c r="I413" s="60"/>
      <c r="J413" s="63"/>
      <c r="K413" s="64"/>
      <c r="L413" s="65"/>
      <c r="M413" s="66"/>
      <c r="N413" s="77"/>
      <c r="O413" s="60"/>
      <c r="P413" s="67"/>
      <c r="Q413" s="68"/>
      <c r="R413" s="69"/>
      <c r="S413" s="69"/>
      <c r="T413" s="69"/>
      <c r="U413" s="70"/>
      <c r="V413" s="79"/>
      <c r="W413" s="66"/>
      <c r="X413" s="69"/>
      <c r="Y413" s="75"/>
      <c r="Z413" s="60"/>
      <c r="AA413" s="60"/>
      <c r="AB413" s="75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80"/>
      <c r="AR413" s="164"/>
    </row>
    <row r="414" spans="1:44" ht="30.75" customHeight="1">
      <c r="A414" s="41"/>
      <c r="B414" s="200"/>
      <c r="C414" s="172"/>
      <c r="D414" s="60"/>
      <c r="E414" s="60"/>
      <c r="F414" s="60"/>
      <c r="G414" s="62"/>
      <c r="H414" s="60"/>
      <c r="I414" s="60"/>
      <c r="J414" s="63"/>
      <c r="K414" s="64"/>
      <c r="L414" s="65"/>
      <c r="M414" s="66"/>
      <c r="N414" s="77"/>
      <c r="O414" s="60"/>
      <c r="P414" s="67"/>
      <c r="Q414" s="68"/>
      <c r="R414" s="69"/>
      <c r="S414" s="69"/>
      <c r="T414" s="69"/>
      <c r="U414" s="70"/>
      <c r="V414" s="79"/>
      <c r="W414" s="66"/>
      <c r="X414" s="69"/>
      <c r="Y414" s="75"/>
      <c r="Z414" s="60"/>
      <c r="AA414" s="60"/>
      <c r="AB414" s="75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80"/>
      <c r="AR414" s="164"/>
    </row>
    <row r="415" spans="1:44" ht="30.75" customHeight="1">
      <c r="A415" s="41"/>
      <c r="B415" s="200" t="s">
        <v>1935</v>
      </c>
      <c r="C415" s="172">
        <v>25</v>
      </c>
      <c r="D415" s="60"/>
      <c r="E415" s="60"/>
      <c r="F415" s="60"/>
      <c r="G415" s="62"/>
      <c r="H415" s="60"/>
      <c r="I415" s="60"/>
      <c r="J415" s="63"/>
      <c r="K415" s="64"/>
      <c r="L415" s="65"/>
      <c r="M415" s="66"/>
      <c r="N415" s="77"/>
      <c r="O415" s="60"/>
      <c r="P415" s="67"/>
      <c r="Q415" s="68"/>
      <c r="R415" s="69"/>
      <c r="S415" s="69"/>
      <c r="T415" s="69"/>
      <c r="U415" s="70"/>
      <c r="V415" s="79"/>
      <c r="W415" s="66"/>
      <c r="X415" s="69"/>
      <c r="Y415" s="75"/>
      <c r="Z415" s="60"/>
      <c r="AA415" s="60"/>
      <c r="AB415" s="75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80"/>
      <c r="AR415" s="164"/>
    </row>
    <row r="416" spans="1:44" ht="30.75" customHeight="1">
      <c r="A416" s="41"/>
      <c r="B416" s="200"/>
      <c r="C416" s="172"/>
      <c r="D416" s="60"/>
      <c r="E416" s="60"/>
      <c r="F416" s="60"/>
      <c r="G416" s="62"/>
      <c r="H416" s="60"/>
      <c r="I416" s="60"/>
      <c r="J416" s="63"/>
      <c r="K416" s="64"/>
      <c r="L416" s="65"/>
      <c r="M416" s="66"/>
      <c r="N416" s="77"/>
      <c r="O416" s="60"/>
      <c r="P416" s="67"/>
      <c r="Q416" s="68"/>
      <c r="R416" s="69"/>
      <c r="S416" s="69"/>
      <c r="T416" s="69"/>
      <c r="U416" s="70"/>
      <c r="V416" s="79"/>
      <c r="W416" s="66"/>
      <c r="X416" s="69"/>
      <c r="Y416" s="75"/>
      <c r="Z416" s="60"/>
      <c r="AA416" s="60"/>
      <c r="AB416" s="75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80"/>
      <c r="AR416" s="164"/>
    </row>
    <row r="417" spans="1:44" ht="30.75" customHeight="1">
      <c r="A417" s="41"/>
      <c r="B417" s="200" t="s">
        <v>1935</v>
      </c>
      <c r="C417" s="172">
        <v>22</v>
      </c>
      <c r="D417" s="60"/>
      <c r="E417" s="60"/>
      <c r="F417" s="60"/>
      <c r="G417" s="62"/>
      <c r="H417" s="60"/>
      <c r="I417" s="60"/>
      <c r="J417" s="63"/>
      <c r="K417" s="64"/>
      <c r="L417" s="65"/>
      <c r="M417" s="66"/>
      <c r="N417" s="77"/>
      <c r="O417" s="60"/>
      <c r="P417" s="67"/>
      <c r="Q417" s="68"/>
      <c r="R417" s="69"/>
      <c r="S417" s="69"/>
      <c r="T417" s="69"/>
      <c r="U417" s="70"/>
      <c r="V417" s="79"/>
      <c r="W417" s="66"/>
      <c r="X417" s="69"/>
      <c r="Y417" s="75"/>
      <c r="Z417" s="60"/>
      <c r="AA417" s="60"/>
      <c r="AB417" s="75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80"/>
      <c r="AR417" s="164"/>
    </row>
    <row r="418" spans="1:44" ht="30.75" customHeight="1">
      <c r="A418" s="41"/>
      <c r="B418" s="200"/>
      <c r="C418" s="172"/>
      <c r="D418" s="60"/>
      <c r="E418" s="60"/>
      <c r="F418" s="60"/>
      <c r="G418" s="62"/>
      <c r="H418" s="60"/>
      <c r="I418" s="60"/>
      <c r="J418" s="63"/>
      <c r="K418" s="64"/>
      <c r="L418" s="65"/>
      <c r="M418" s="66"/>
      <c r="N418" s="77"/>
      <c r="O418" s="60"/>
      <c r="P418" s="67"/>
      <c r="Q418" s="68"/>
      <c r="R418" s="69"/>
      <c r="S418" s="69"/>
      <c r="T418" s="69"/>
      <c r="U418" s="70"/>
      <c r="V418" s="79"/>
      <c r="W418" s="66"/>
      <c r="X418" s="69"/>
      <c r="Y418" s="75"/>
      <c r="Z418" s="60"/>
      <c r="AA418" s="60"/>
      <c r="AB418" s="75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80"/>
      <c r="AR418" s="164"/>
    </row>
    <row r="419" spans="1:44" ht="30.75" customHeight="1">
      <c r="A419" s="41"/>
      <c r="B419" s="200" t="s">
        <v>1935</v>
      </c>
      <c r="C419" s="172">
        <v>21</v>
      </c>
      <c r="D419" s="60"/>
      <c r="E419" s="60"/>
      <c r="F419" s="60"/>
      <c r="G419" s="62"/>
      <c r="H419" s="60"/>
      <c r="I419" s="60"/>
      <c r="J419" s="63"/>
      <c r="K419" s="64"/>
      <c r="L419" s="65"/>
      <c r="M419" s="66"/>
      <c r="N419" s="77"/>
      <c r="O419" s="60"/>
      <c r="P419" s="67"/>
      <c r="Q419" s="68"/>
      <c r="R419" s="69"/>
      <c r="S419" s="69"/>
      <c r="T419" s="69"/>
      <c r="U419" s="70"/>
      <c r="V419" s="79"/>
      <c r="W419" s="66"/>
      <c r="X419" s="69"/>
      <c r="Y419" s="75"/>
      <c r="Z419" s="60"/>
      <c r="AA419" s="60"/>
      <c r="AB419" s="75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80"/>
      <c r="AR419" s="164"/>
    </row>
    <row r="420" spans="1:44" ht="30.75" customHeight="1">
      <c r="A420" s="41"/>
      <c r="B420" s="200"/>
      <c r="C420" s="172"/>
      <c r="D420" s="60"/>
      <c r="E420" s="60"/>
      <c r="F420" s="60"/>
      <c r="G420" s="62"/>
      <c r="H420" s="60"/>
      <c r="I420" s="60"/>
      <c r="J420" s="63"/>
      <c r="K420" s="64"/>
      <c r="L420" s="65"/>
      <c r="M420" s="66"/>
      <c r="N420" s="77"/>
      <c r="O420" s="60"/>
      <c r="P420" s="67"/>
      <c r="Q420" s="68"/>
      <c r="R420" s="69"/>
      <c r="S420" s="69"/>
      <c r="T420" s="69"/>
      <c r="U420" s="70"/>
      <c r="V420" s="79"/>
      <c r="W420" s="66"/>
      <c r="X420" s="69"/>
      <c r="Y420" s="75"/>
      <c r="Z420" s="60"/>
      <c r="AA420" s="60"/>
      <c r="AB420" s="75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80"/>
      <c r="AR420" s="164"/>
    </row>
    <row r="421" spans="1:44" ht="30.75" customHeight="1">
      <c r="A421" s="41"/>
      <c r="B421" s="200" t="s">
        <v>1935</v>
      </c>
      <c r="C421" s="172">
        <v>23</v>
      </c>
      <c r="D421" s="60"/>
      <c r="E421" s="60"/>
      <c r="F421" s="60"/>
      <c r="G421" s="62"/>
      <c r="H421" s="60"/>
      <c r="I421" s="60"/>
      <c r="J421" s="63"/>
      <c r="K421" s="64"/>
      <c r="L421" s="65"/>
      <c r="M421" s="66"/>
      <c r="N421" s="77"/>
      <c r="O421" s="60"/>
      <c r="P421" s="67"/>
      <c r="Q421" s="68"/>
      <c r="R421" s="69"/>
      <c r="S421" s="69"/>
      <c r="T421" s="69"/>
      <c r="U421" s="70"/>
      <c r="V421" s="79"/>
      <c r="W421" s="66"/>
      <c r="X421" s="69"/>
      <c r="Y421" s="75"/>
      <c r="Z421" s="60"/>
      <c r="AA421" s="60"/>
      <c r="AB421" s="75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80"/>
      <c r="AR421" s="164"/>
    </row>
    <row r="422" spans="1:44" ht="30.75" customHeight="1">
      <c r="A422" s="41"/>
      <c r="B422" s="200"/>
      <c r="C422" s="172"/>
      <c r="D422" s="60"/>
      <c r="E422" s="60"/>
      <c r="F422" s="60"/>
      <c r="G422" s="62"/>
      <c r="H422" s="60"/>
      <c r="I422" s="60"/>
      <c r="J422" s="63"/>
      <c r="K422" s="64"/>
      <c r="L422" s="65"/>
      <c r="M422" s="66"/>
      <c r="N422" s="77"/>
      <c r="O422" s="60"/>
      <c r="P422" s="67"/>
      <c r="Q422" s="68"/>
      <c r="R422" s="69"/>
      <c r="S422" s="69"/>
      <c r="T422" s="69"/>
      <c r="U422" s="70"/>
      <c r="V422" s="79"/>
      <c r="W422" s="66"/>
      <c r="X422" s="69"/>
      <c r="Y422" s="75"/>
      <c r="Z422" s="60"/>
      <c r="AA422" s="60"/>
      <c r="AB422" s="75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80"/>
      <c r="AR422" s="164"/>
    </row>
    <row r="423" spans="1:44" ht="30.75" customHeight="1">
      <c r="A423" s="41"/>
      <c r="B423" s="200" t="s">
        <v>1935</v>
      </c>
      <c r="C423" s="172">
        <v>24</v>
      </c>
      <c r="D423" s="60"/>
      <c r="E423" s="60"/>
      <c r="F423" s="60"/>
      <c r="G423" s="62"/>
      <c r="H423" s="60"/>
      <c r="I423" s="60"/>
      <c r="J423" s="63"/>
      <c r="K423" s="64"/>
      <c r="L423" s="65"/>
      <c r="M423" s="66"/>
      <c r="N423" s="77"/>
      <c r="O423" s="60"/>
      <c r="P423" s="67"/>
      <c r="Q423" s="68"/>
      <c r="R423" s="69"/>
      <c r="S423" s="69"/>
      <c r="T423" s="69"/>
      <c r="U423" s="70"/>
      <c r="V423" s="79"/>
      <c r="W423" s="66"/>
      <c r="X423" s="69"/>
      <c r="Y423" s="75"/>
      <c r="Z423" s="60"/>
      <c r="AA423" s="60"/>
      <c r="AB423" s="75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80"/>
      <c r="AR423" s="164"/>
    </row>
    <row r="424" spans="1:44" ht="30.75" customHeight="1">
      <c r="A424" s="41"/>
      <c r="B424" s="200"/>
      <c r="C424" s="172"/>
      <c r="D424" s="60"/>
      <c r="E424" s="60"/>
      <c r="F424" s="60"/>
      <c r="G424" s="62"/>
      <c r="H424" s="60"/>
      <c r="I424" s="60"/>
      <c r="J424" s="63"/>
      <c r="K424" s="64"/>
      <c r="L424" s="65"/>
      <c r="M424" s="66"/>
      <c r="N424" s="77"/>
      <c r="O424" s="60"/>
      <c r="P424" s="67"/>
      <c r="Q424" s="68"/>
      <c r="R424" s="69"/>
      <c r="S424" s="69"/>
      <c r="T424" s="69"/>
      <c r="U424" s="70"/>
      <c r="V424" s="79"/>
      <c r="W424" s="66"/>
      <c r="X424" s="69"/>
      <c r="Y424" s="75"/>
      <c r="Z424" s="60"/>
      <c r="AA424" s="60"/>
      <c r="AB424" s="75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80"/>
      <c r="AR424" s="164"/>
    </row>
    <row r="425" spans="1:44" ht="30.75" customHeight="1">
      <c r="A425" s="41"/>
      <c r="B425" s="200" t="s">
        <v>1935</v>
      </c>
      <c r="C425" s="172">
        <v>26</v>
      </c>
      <c r="D425" s="60"/>
      <c r="E425" s="60"/>
      <c r="F425" s="60"/>
      <c r="G425" s="62"/>
      <c r="H425" s="60"/>
      <c r="I425" s="60"/>
      <c r="J425" s="63"/>
      <c r="K425" s="64"/>
      <c r="L425" s="65"/>
      <c r="M425" s="66"/>
      <c r="N425" s="77"/>
      <c r="O425" s="60"/>
      <c r="P425" s="67"/>
      <c r="Q425" s="68"/>
      <c r="R425" s="69"/>
      <c r="S425" s="69"/>
      <c r="T425" s="69"/>
      <c r="U425" s="70"/>
      <c r="V425" s="79"/>
      <c r="W425" s="66"/>
      <c r="X425" s="69"/>
      <c r="Y425" s="75"/>
      <c r="Z425" s="60"/>
      <c r="AA425" s="60"/>
      <c r="AB425" s="75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80"/>
      <c r="AR425" s="164"/>
    </row>
    <row r="426" spans="1:44" ht="30.75" customHeight="1">
      <c r="A426" s="41"/>
      <c r="B426" s="200"/>
      <c r="C426" s="172"/>
      <c r="D426" s="60"/>
      <c r="E426" s="60"/>
      <c r="F426" s="60"/>
      <c r="G426" s="62"/>
      <c r="H426" s="60"/>
      <c r="I426" s="60"/>
      <c r="J426" s="63"/>
      <c r="K426" s="64"/>
      <c r="L426" s="65"/>
      <c r="M426" s="66"/>
      <c r="N426" s="77"/>
      <c r="O426" s="60"/>
      <c r="P426" s="67"/>
      <c r="Q426" s="68"/>
      <c r="R426" s="69"/>
      <c r="S426" s="69"/>
      <c r="T426" s="69"/>
      <c r="U426" s="70"/>
      <c r="V426" s="79"/>
      <c r="W426" s="66"/>
      <c r="X426" s="69"/>
      <c r="Y426" s="75"/>
      <c r="Z426" s="60"/>
      <c r="AA426" s="60"/>
      <c r="AB426" s="75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80"/>
      <c r="AR426" s="164"/>
    </row>
    <row r="427" spans="1:44" ht="30.75" customHeight="1">
      <c r="A427" s="41"/>
      <c r="B427" s="200" t="s">
        <v>1935</v>
      </c>
      <c r="C427" s="172">
        <v>27</v>
      </c>
      <c r="D427" s="60"/>
      <c r="E427" s="60"/>
      <c r="F427" s="60"/>
      <c r="G427" s="62"/>
      <c r="H427" s="60"/>
      <c r="I427" s="60"/>
      <c r="J427" s="63"/>
      <c r="K427" s="64"/>
      <c r="L427" s="65"/>
      <c r="M427" s="66"/>
      <c r="N427" s="77"/>
      <c r="O427" s="60"/>
      <c r="P427" s="67"/>
      <c r="Q427" s="68"/>
      <c r="R427" s="69"/>
      <c r="S427" s="69"/>
      <c r="T427" s="69"/>
      <c r="U427" s="70"/>
      <c r="V427" s="79"/>
      <c r="W427" s="66"/>
      <c r="X427" s="69"/>
      <c r="Y427" s="75"/>
      <c r="Z427" s="60"/>
      <c r="AA427" s="60"/>
      <c r="AB427" s="75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80"/>
      <c r="AR427" s="164"/>
    </row>
    <row r="428" spans="1:44" ht="30.75" customHeight="1">
      <c r="A428" s="41"/>
      <c r="B428" s="200"/>
      <c r="C428" s="172"/>
      <c r="D428" s="60"/>
      <c r="E428" s="60"/>
      <c r="F428" s="60"/>
      <c r="G428" s="62"/>
      <c r="H428" s="60"/>
      <c r="I428" s="60"/>
      <c r="J428" s="63"/>
      <c r="K428" s="64"/>
      <c r="L428" s="65"/>
      <c r="M428" s="66"/>
      <c r="N428" s="77"/>
      <c r="O428" s="60"/>
      <c r="P428" s="67"/>
      <c r="Q428" s="68"/>
      <c r="R428" s="69"/>
      <c r="S428" s="69"/>
      <c r="T428" s="69"/>
      <c r="U428" s="70"/>
      <c r="V428" s="79"/>
      <c r="W428" s="66"/>
      <c r="X428" s="69"/>
      <c r="Y428" s="75"/>
      <c r="Z428" s="60"/>
      <c r="AA428" s="60"/>
      <c r="AB428" s="75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80"/>
      <c r="AR428" s="164"/>
    </row>
    <row r="429" spans="1:44" ht="30.75" customHeight="1">
      <c r="A429" s="41"/>
      <c r="B429" s="200" t="s">
        <v>1935</v>
      </c>
      <c r="C429" s="172">
        <v>28</v>
      </c>
      <c r="D429" s="60"/>
      <c r="E429" s="60"/>
      <c r="F429" s="60"/>
      <c r="G429" s="62"/>
      <c r="H429" s="60"/>
      <c r="I429" s="60"/>
      <c r="J429" s="63"/>
      <c r="K429" s="64"/>
      <c r="L429" s="65"/>
      <c r="M429" s="66"/>
      <c r="N429" s="77"/>
      <c r="O429" s="60"/>
      <c r="P429" s="67"/>
      <c r="Q429" s="68"/>
      <c r="R429" s="69"/>
      <c r="S429" s="69"/>
      <c r="T429" s="69"/>
      <c r="U429" s="70"/>
      <c r="V429" s="79"/>
      <c r="W429" s="66"/>
      <c r="X429" s="69"/>
      <c r="Y429" s="75"/>
      <c r="Z429" s="60"/>
      <c r="AA429" s="60"/>
      <c r="AB429" s="75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80"/>
      <c r="AR429" s="164"/>
    </row>
    <row r="430" spans="1:44" ht="30.75" customHeight="1">
      <c r="A430" s="41"/>
      <c r="B430" s="200"/>
      <c r="C430" s="172"/>
      <c r="D430" s="60"/>
      <c r="E430" s="60"/>
      <c r="F430" s="60"/>
      <c r="G430" s="62"/>
      <c r="H430" s="60"/>
      <c r="I430" s="60"/>
      <c r="J430" s="63"/>
      <c r="K430" s="64"/>
      <c r="L430" s="65"/>
      <c r="M430" s="66"/>
      <c r="N430" s="77"/>
      <c r="O430" s="60"/>
      <c r="P430" s="67"/>
      <c r="Q430" s="68"/>
      <c r="R430" s="69"/>
      <c r="S430" s="69"/>
      <c r="T430" s="69"/>
      <c r="U430" s="70"/>
      <c r="V430" s="79"/>
      <c r="W430" s="66"/>
      <c r="X430" s="69"/>
      <c r="Y430" s="75"/>
      <c r="Z430" s="60"/>
      <c r="AA430" s="60"/>
      <c r="AB430" s="75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80"/>
      <c r="AR430" s="164"/>
    </row>
    <row r="431" spans="1:44" ht="30.75" customHeight="1">
      <c r="A431" s="41"/>
      <c r="B431" s="200" t="s">
        <v>1935</v>
      </c>
      <c r="C431" s="172">
        <v>29</v>
      </c>
      <c r="D431" s="60"/>
      <c r="E431" s="60"/>
      <c r="F431" s="60"/>
      <c r="G431" s="62"/>
      <c r="H431" s="60"/>
      <c r="I431" s="60"/>
      <c r="J431" s="63"/>
      <c r="K431" s="64"/>
      <c r="L431" s="65"/>
      <c r="M431" s="66"/>
      <c r="N431" s="77"/>
      <c r="O431" s="60"/>
      <c r="P431" s="67"/>
      <c r="Q431" s="68"/>
      <c r="R431" s="69"/>
      <c r="S431" s="69"/>
      <c r="T431" s="69"/>
      <c r="U431" s="70"/>
      <c r="V431" s="79"/>
      <c r="W431" s="66"/>
      <c r="X431" s="69"/>
      <c r="Y431" s="75"/>
      <c r="Z431" s="60"/>
      <c r="AA431" s="60"/>
      <c r="AB431" s="75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80"/>
      <c r="AR431" s="164"/>
    </row>
    <row r="432" spans="1:44" ht="30.75" customHeight="1">
      <c r="A432" s="41"/>
      <c r="B432" s="200"/>
      <c r="C432" s="172"/>
      <c r="D432" s="60"/>
      <c r="E432" s="60"/>
      <c r="F432" s="60"/>
      <c r="G432" s="62"/>
      <c r="H432" s="60"/>
      <c r="I432" s="60"/>
      <c r="J432" s="63"/>
      <c r="K432" s="64"/>
      <c r="L432" s="65"/>
      <c r="M432" s="66"/>
      <c r="N432" s="77"/>
      <c r="O432" s="60"/>
      <c r="P432" s="67"/>
      <c r="Q432" s="68"/>
      <c r="R432" s="69"/>
      <c r="S432" s="69"/>
      <c r="T432" s="69"/>
      <c r="U432" s="70"/>
      <c r="V432" s="79"/>
      <c r="W432" s="66"/>
      <c r="X432" s="69"/>
      <c r="Y432" s="75"/>
      <c r="Z432" s="60"/>
      <c r="AA432" s="60"/>
      <c r="AB432" s="75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80"/>
      <c r="AR432" s="164"/>
    </row>
    <row r="433" spans="1:44" ht="30.75" customHeight="1">
      <c r="A433" s="41"/>
      <c r="B433" s="200" t="s">
        <v>2548</v>
      </c>
      <c r="C433" s="172">
        <v>30</v>
      </c>
      <c r="D433" s="60"/>
      <c r="E433" s="60"/>
      <c r="F433" s="60"/>
      <c r="G433" s="62"/>
      <c r="H433" s="60"/>
      <c r="I433" s="60"/>
      <c r="J433" s="63"/>
      <c r="K433" s="64"/>
      <c r="L433" s="65"/>
      <c r="M433" s="66"/>
      <c r="N433" s="77"/>
      <c r="O433" s="60"/>
      <c r="P433" s="67"/>
      <c r="Q433" s="68"/>
      <c r="R433" s="69"/>
      <c r="S433" s="69"/>
      <c r="T433" s="69"/>
      <c r="U433" s="70"/>
      <c r="V433" s="79"/>
      <c r="W433" s="66"/>
      <c r="X433" s="69"/>
      <c r="Y433" s="75"/>
      <c r="Z433" s="60"/>
      <c r="AA433" s="60"/>
      <c r="AB433" s="75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80"/>
      <c r="AR433" s="164"/>
    </row>
    <row r="434" spans="1:44" ht="30.75" customHeight="1">
      <c r="A434" s="41"/>
      <c r="B434" s="200"/>
      <c r="C434" s="172"/>
      <c r="D434" s="60"/>
      <c r="E434" s="60"/>
      <c r="F434" s="60"/>
      <c r="G434" s="62"/>
      <c r="H434" s="60"/>
      <c r="I434" s="60"/>
      <c r="J434" s="63"/>
      <c r="K434" s="64"/>
      <c r="L434" s="65"/>
      <c r="M434" s="66"/>
      <c r="N434" s="77"/>
      <c r="O434" s="60"/>
      <c r="P434" s="67"/>
      <c r="Q434" s="68"/>
      <c r="R434" s="69"/>
      <c r="S434" s="69"/>
      <c r="T434" s="69"/>
      <c r="U434" s="70"/>
      <c r="V434" s="79"/>
      <c r="W434" s="66"/>
      <c r="X434" s="69"/>
      <c r="Y434" s="75"/>
      <c r="Z434" s="60"/>
      <c r="AA434" s="60"/>
      <c r="AB434" s="75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80"/>
      <c r="AR434" s="164"/>
    </row>
    <row r="435" spans="1:44" ht="30.75" customHeight="1">
      <c r="A435" s="41"/>
      <c r="B435" s="200" t="s">
        <v>2548</v>
      </c>
      <c r="C435" s="172">
        <v>1</v>
      </c>
      <c r="D435" s="60"/>
      <c r="E435" s="60"/>
      <c r="F435" s="60"/>
      <c r="G435" s="62"/>
      <c r="H435" s="60"/>
      <c r="I435" s="60"/>
      <c r="J435" s="63"/>
      <c r="K435" s="64"/>
      <c r="L435" s="65"/>
      <c r="M435" s="66"/>
      <c r="N435" s="77"/>
      <c r="O435" s="60"/>
      <c r="P435" s="67"/>
      <c r="Q435" s="68"/>
      <c r="R435" s="69"/>
      <c r="S435" s="69"/>
      <c r="T435" s="69"/>
      <c r="U435" s="70"/>
      <c r="V435" s="79"/>
      <c r="W435" s="66"/>
      <c r="X435" s="69"/>
      <c r="Y435" s="75"/>
      <c r="Z435" s="60"/>
      <c r="AA435" s="60"/>
      <c r="AB435" s="75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80"/>
      <c r="AR435" s="164"/>
    </row>
    <row r="436" spans="1:44" ht="30.75" customHeight="1">
      <c r="A436" s="41"/>
      <c r="B436" s="200"/>
      <c r="C436" s="172"/>
      <c r="D436" s="60"/>
      <c r="E436" s="60"/>
      <c r="F436" s="60"/>
      <c r="G436" s="62"/>
      <c r="H436" s="60"/>
      <c r="I436" s="60"/>
      <c r="J436" s="63"/>
      <c r="K436" s="64"/>
      <c r="L436" s="65"/>
      <c r="M436" s="66"/>
      <c r="N436" s="77"/>
      <c r="O436" s="60"/>
      <c r="P436" s="67"/>
      <c r="Q436" s="68"/>
      <c r="R436" s="69"/>
      <c r="S436" s="69"/>
      <c r="T436" s="69"/>
      <c r="U436" s="70"/>
      <c r="V436" s="79"/>
      <c r="W436" s="66"/>
      <c r="X436" s="69"/>
      <c r="Y436" s="75"/>
      <c r="Z436" s="60"/>
      <c r="AA436" s="60"/>
      <c r="AB436" s="75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80"/>
      <c r="AR436" s="164"/>
    </row>
    <row r="437" spans="1:44" ht="30.75" customHeight="1">
      <c r="A437" s="41"/>
      <c r="B437" s="200" t="s">
        <v>2548</v>
      </c>
      <c r="C437" s="172">
        <v>2</v>
      </c>
      <c r="D437" s="60"/>
      <c r="E437" s="60"/>
      <c r="F437" s="60"/>
      <c r="G437" s="62"/>
      <c r="H437" s="60"/>
      <c r="I437" s="60"/>
      <c r="J437" s="63"/>
      <c r="K437" s="64"/>
      <c r="L437" s="65"/>
      <c r="M437" s="66"/>
      <c r="N437" s="77"/>
      <c r="O437" s="60"/>
      <c r="P437" s="67"/>
      <c r="Q437" s="68"/>
      <c r="R437" s="69"/>
      <c r="S437" s="69"/>
      <c r="T437" s="69"/>
      <c r="U437" s="70"/>
      <c r="V437" s="79"/>
      <c r="W437" s="66"/>
      <c r="X437" s="69"/>
      <c r="Y437" s="75"/>
      <c r="Z437" s="60"/>
      <c r="AA437" s="60"/>
      <c r="AB437" s="75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80"/>
      <c r="AR437" s="164"/>
    </row>
    <row r="438" spans="1:44" ht="30.75" customHeight="1">
      <c r="A438" s="41"/>
      <c r="B438" s="200"/>
      <c r="C438" s="172"/>
      <c r="D438" s="60"/>
      <c r="E438" s="60"/>
      <c r="F438" s="60"/>
      <c r="G438" s="62"/>
      <c r="H438" s="60"/>
      <c r="I438" s="60"/>
      <c r="J438" s="63"/>
      <c r="K438" s="64"/>
      <c r="L438" s="65"/>
      <c r="M438" s="66"/>
      <c r="N438" s="77"/>
      <c r="O438" s="60"/>
      <c r="P438" s="67"/>
      <c r="Q438" s="68"/>
      <c r="R438" s="69"/>
      <c r="S438" s="69"/>
      <c r="T438" s="69"/>
      <c r="U438" s="70"/>
      <c r="V438" s="79"/>
      <c r="W438" s="66"/>
      <c r="X438" s="69"/>
      <c r="Y438" s="75"/>
      <c r="Z438" s="60"/>
      <c r="AA438" s="60"/>
      <c r="AB438" s="75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80"/>
      <c r="AR438" s="164"/>
    </row>
    <row r="439" spans="1:44" ht="30.75" customHeight="1">
      <c r="A439" s="41"/>
      <c r="B439" s="200" t="s">
        <v>2548</v>
      </c>
      <c r="C439" s="172">
        <v>3</v>
      </c>
      <c r="D439" s="60"/>
      <c r="E439" s="60"/>
      <c r="F439" s="60"/>
      <c r="G439" s="62"/>
      <c r="H439" s="60"/>
      <c r="I439" s="60"/>
      <c r="J439" s="63"/>
      <c r="K439" s="64"/>
      <c r="L439" s="65"/>
      <c r="M439" s="66"/>
      <c r="N439" s="77"/>
      <c r="O439" s="60"/>
      <c r="P439" s="67"/>
      <c r="Q439" s="68"/>
      <c r="R439" s="69"/>
      <c r="S439" s="69"/>
      <c r="T439" s="69"/>
      <c r="U439" s="70"/>
      <c r="V439" s="79"/>
      <c r="W439" s="66"/>
      <c r="X439" s="69"/>
      <c r="Y439" s="75"/>
      <c r="Z439" s="60"/>
      <c r="AA439" s="60"/>
      <c r="AB439" s="75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80"/>
      <c r="AR439" s="164"/>
    </row>
    <row r="440" spans="1:44" ht="30.75" customHeight="1">
      <c r="A440" s="41"/>
      <c r="B440" s="200"/>
      <c r="C440" s="172"/>
      <c r="D440" s="60"/>
      <c r="E440" s="60"/>
      <c r="F440" s="60"/>
      <c r="G440" s="62"/>
      <c r="H440" s="60"/>
      <c r="I440" s="60"/>
      <c r="J440" s="63"/>
      <c r="K440" s="64"/>
      <c r="L440" s="65"/>
      <c r="M440" s="66"/>
      <c r="N440" s="77"/>
      <c r="O440" s="60"/>
      <c r="P440" s="67"/>
      <c r="Q440" s="68"/>
      <c r="R440" s="69"/>
      <c r="S440" s="69"/>
      <c r="T440" s="69"/>
      <c r="U440" s="70"/>
      <c r="V440" s="79"/>
      <c r="W440" s="66"/>
      <c r="X440" s="69"/>
      <c r="Y440" s="75"/>
      <c r="Z440" s="60"/>
      <c r="AA440" s="60"/>
      <c r="AB440" s="75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80"/>
      <c r="AR440" s="164"/>
    </row>
    <row r="441" spans="1:44" ht="30.75" customHeight="1">
      <c r="A441" s="41"/>
      <c r="B441" s="200" t="s">
        <v>2548</v>
      </c>
      <c r="C441" s="172">
        <v>4</v>
      </c>
      <c r="D441" s="60"/>
      <c r="E441" s="60"/>
      <c r="F441" s="60"/>
      <c r="G441" s="62"/>
      <c r="H441" s="60"/>
      <c r="I441" s="60"/>
      <c r="J441" s="63"/>
      <c r="K441" s="64"/>
      <c r="L441" s="65"/>
      <c r="M441" s="66"/>
      <c r="N441" s="77"/>
      <c r="O441" s="60"/>
      <c r="P441" s="67"/>
      <c r="Q441" s="68"/>
      <c r="R441" s="69"/>
      <c r="S441" s="69"/>
      <c r="T441" s="69"/>
      <c r="U441" s="70"/>
      <c r="V441" s="79"/>
      <c r="W441" s="66"/>
      <c r="X441" s="69"/>
      <c r="Y441" s="75"/>
      <c r="Z441" s="60"/>
      <c r="AA441" s="60"/>
      <c r="AB441" s="75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80"/>
      <c r="AR441" s="164"/>
    </row>
    <row r="442" spans="1:44" ht="30.75" customHeight="1">
      <c r="A442" s="41"/>
      <c r="B442" s="200"/>
      <c r="C442" s="172"/>
      <c r="D442" s="60"/>
      <c r="E442" s="60"/>
      <c r="F442" s="60"/>
      <c r="G442" s="62"/>
      <c r="H442" s="60"/>
      <c r="I442" s="60"/>
      <c r="J442" s="63"/>
      <c r="K442" s="64"/>
      <c r="L442" s="65"/>
      <c r="M442" s="66"/>
      <c r="N442" s="77"/>
      <c r="O442" s="60"/>
      <c r="P442" s="67"/>
      <c r="Q442" s="68"/>
      <c r="R442" s="69"/>
      <c r="S442" s="69"/>
      <c r="T442" s="69"/>
      <c r="U442" s="70"/>
      <c r="V442" s="79"/>
      <c r="W442" s="66"/>
      <c r="X442" s="69"/>
      <c r="Y442" s="75"/>
      <c r="Z442" s="60"/>
      <c r="AA442" s="60"/>
      <c r="AB442" s="75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80"/>
      <c r="AR442" s="164"/>
    </row>
    <row r="443" spans="1:44" ht="30.75" customHeight="1">
      <c r="A443" s="41"/>
      <c r="B443" s="200" t="s">
        <v>2548</v>
      </c>
      <c r="C443" s="172">
        <v>5</v>
      </c>
      <c r="D443" s="60"/>
      <c r="E443" s="60"/>
      <c r="F443" s="60"/>
      <c r="G443" s="62"/>
      <c r="H443" s="60"/>
      <c r="I443" s="60"/>
      <c r="J443" s="63"/>
      <c r="K443" s="64"/>
      <c r="L443" s="65"/>
      <c r="M443" s="66"/>
      <c r="N443" s="77"/>
      <c r="O443" s="60"/>
      <c r="P443" s="67"/>
      <c r="Q443" s="68"/>
      <c r="R443" s="69"/>
      <c r="S443" s="69"/>
      <c r="T443" s="69"/>
      <c r="U443" s="70"/>
      <c r="V443" s="79"/>
      <c r="W443" s="66"/>
      <c r="X443" s="69"/>
      <c r="Y443" s="75"/>
      <c r="Z443" s="60"/>
      <c r="AA443" s="60"/>
      <c r="AB443" s="75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80"/>
      <c r="AR443" s="164"/>
    </row>
    <row r="444" spans="1:44" ht="30.75" customHeight="1">
      <c r="A444" s="41"/>
      <c r="B444" s="200"/>
      <c r="C444" s="172"/>
      <c r="D444" s="60"/>
      <c r="E444" s="60"/>
      <c r="F444" s="60"/>
      <c r="G444" s="62"/>
      <c r="H444" s="60"/>
      <c r="I444" s="60"/>
      <c r="J444" s="63"/>
      <c r="K444" s="64"/>
      <c r="L444" s="65"/>
      <c r="M444" s="66"/>
      <c r="N444" s="77"/>
      <c r="O444" s="60"/>
      <c r="P444" s="67"/>
      <c r="Q444" s="68"/>
      <c r="R444" s="69"/>
      <c r="S444" s="69"/>
      <c r="T444" s="69"/>
      <c r="U444" s="70"/>
      <c r="V444" s="79"/>
      <c r="W444" s="66"/>
      <c r="X444" s="69"/>
      <c r="Y444" s="75"/>
      <c r="Z444" s="60"/>
      <c r="AA444" s="60"/>
      <c r="AB444" s="75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80"/>
      <c r="AR444" s="164"/>
    </row>
    <row r="445" spans="1:44" ht="30.75" customHeight="1">
      <c r="A445" s="41"/>
      <c r="B445" s="200" t="s">
        <v>2548</v>
      </c>
      <c r="C445" s="172">
        <v>6</v>
      </c>
      <c r="D445" s="60"/>
      <c r="E445" s="60"/>
      <c r="F445" s="60"/>
      <c r="G445" s="62"/>
      <c r="H445" s="60"/>
      <c r="I445" s="60"/>
      <c r="J445" s="63"/>
      <c r="K445" s="64"/>
      <c r="L445" s="65"/>
      <c r="M445" s="66"/>
      <c r="N445" s="77"/>
      <c r="O445" s="60"/>
      <c r="P445" s="67"/>
      <c r="Q445" s="68"/>
      <c r="R445" s="69"/>
      <c r="S445" s="69"/>
      <c r="T445" s="69"/>
      <c r="U445" s="70"/>
      <c r="V445" s="79"/>
      <c r="W445" s="66"/>
      <c r="X445" s="69"/>
      <c r="Y445" s="75"/>
      <c r="Z445" s="60"/>
      <c r="AA445" s="60"/>
      <c r="AB445" s="75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80"/>
      <c r="AR445" s="164"/>
    </row>
    <row r="446" spans="1:44" ht="30.75" customHeight="1">
      <c r="A446" s="41"/>
      <c r="B446" s="200"/>
      <c r="C446" s="172"/>
      <c r="D446" s="60"/>
      <c r="E446" s="60"/>
      <c r="F446" s="60"/>
      <c r="G446" s="62"/>
      <c r="H446" s="60"/>
      <c r="I446" s="60"/>
      <c r="J446" s="63"/>
      <c r="K446" s="64"/>
      <c r="L446" s="65"/>
      <c r="M446" s="66"/>
      <c r="N446" s="77"/>
      <c r="O446" s="60"/>
      <c r="P446" s="67"/>
      <c r="Q446" s="68"/>
      <c r="R446" s="69"/>
      <c r="S446" s="69"/>
      <c r="T446" s="69"/>
      <c r="U446" s="70"/>
      <c r="V446" s="79"/>
      <c r="W446" s="66"/>
      <c r="X446" s="69"/>
      <c r="Y446" s="75"/>
      <c r="Z446" s="60"/>
      <c r="AA446" s="60"/>
      <c r="AB446" s="75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80"/>
      <c r="AR446" s="164"/>
    </row>
    <row r="447" spans="1:44" ht="30.75" customHeight="1">
      <c r="A447" s="41"/>
      <c r="B447" s="200" t="s">
        <v>2548</v>
      </c>
      <c r="C447" s="172">
        <v>7</v>
      </c>
      <c r="D447" s="60"/>
      <c r="E447" s="60"/>
      <c r="F447" s="60"/>
      <c r="G447" s="62"/>
      <c r="H447" s="60"/>
      <c r="I447" s="60"/>
      <c r="J447" s="63"/>
      <c r="K447" s="64"/>
      <c r="L447" s="65"/>
      <c r="M447" s="66"/>
      <c r="N447" s="77"/>
      <c r="O447" s="60"/>
      <c r="P447" s="67"/>
      <c r="Q447" s="68"/>
      <c r="R447" s="69"/>
      <c r="S447" s="69"/>
      <c r="T447" s="69"/>
      <c r="U447" s="70"/>
      <c r="V447" s="79"/>
      <c r="W447" s="66"/>
      <c r="X447" s="69"/>
      <c r="Y447" s="75"/>
      <c r="Z447" s="60"/>
      <c r="AA447" s="60"/>
      <c r="AB447" s="75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80"/>
      <c r="AR447" s="164"/>
    </row>
    <row r="448" spans="1:44" ht="30.75" customHeight="1">
      <c r="A448" s="41"/>
      <c r="B448" s="200"/>
      <c r="C448" s="172"/>
      <c r="D448" s="60"/>
      <c r="E448" s="60"/>
      <c r="F448" s="60"/>
      <c r="G448" s="62"/>
      <c r="H448" s="60"/>
      <c r="I448" s="60"/>
      <c r="J448" s="63"/>
      <c r="K448" s="64"/>
      <c r="L448" s="65"/>
      <c r="M448" s="66"/>
      <c r="N448" s="77"/>
      <c r="O448" s="60"/>
      <c r="P448" s="67"/>
      <c r="Q448" s="68"/>
      <c r="R448" s="69"/>
      <c r="S448" s="69"/>
      <c r="T448" s="69"/>
      <c r="U448" s="70"/>
      <c r="V448" s="79"/>
      <c r="W448" s="66"/>
      <c r="X448" s="69"/>
      <c r="Y448" s="75"/>
      <c r="Z448" s="60"/>
      <c r="AA448" s="60"/>
      <c r="AB448" s="75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80"/>
      <c r="AR448" s="164"/>
    </row>
    <row r="449" spans="1:44" ht="30.75" customHeight="1">
      <c r="A449" s="41"/>
      <c r="B449" s="200" t="s">
        <v>2548</v>
      </c>
      <c r="C449" s="172">
        <v>8</v>
      </c>
      <c r="D449" s="60"/>
      <c r="E449" s="60"/>
      <c r="F449" s="60"/>
      <c r="G449" s="62"/>
      <c r="H449" s="60"/>
      <c r="I449" s="60"/>
      <c r="J449" s="63"/>
      <c r="K449" s="64"/>
      <c r="L449" s="65"/>
      <c r="M449" s="66"/>
      <c r="N449" s="77"/>
      <c r="O449" s="60"/>
      <c r="P449" s="67"/>
      <c r="Q449" s="68"/>
      <c r="R449" s="69"/>
      <c r="S449" s="69"/>
      <c r="T449" s="69"/>
      <c r="U449" s="70"/>
      <c r="V449" s="79"/>
      <c r="W449" s="66"/>
      <c r="X449" s="69"/>
      <c r="Y449" s="75"/>
      <c r="Z449" s="60"/>
      <c r="AA449" s="60"/>
      <c r="AB449" s="75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80"/>
      <c r="AR449" s="164"/>
    </row>
    <row r="450" spans="1:44" ht="30.75" customHeight="1">
      <c r="A450" s="41"/>
      <c r="B450" s="200"/>
      <c r="C450" s="172"/>
      <c r="D450" s="60"/>
      <c r="E450" s="60"/>
      <c r="F450" s="60"/>
      <c r="G450" s="62"/>
      <c r="H450" s="60"/>
      <c r="I450" s="60"/>
      <c r="J450" s="63"/>
      <c r="K450" s="64"/>
      <c r="L450" s="65"/>
      <c r="M450" s="66"/>
      <c r="N450" s="77"/>
      <c r="O450" s="60"/>
      <c r="P450" s="67"/>
      <c r="Q450" s="68"/>
      <c r="R450" s="69"/>
      <c r="S450" s="69"/>
      <c r="T450" s="69"/>
      <c r="U450" s="70"/>
      <c r="V450" s="79"/>
      <c r="W450" s="66"/>
      <c r="X450" s="69"/>
      <c r="Y450" s="75"/>
      <c r="Z450" s="60"/>
      <c r="AA450" s="60"/>
      <c r="AB450" s="75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80"/>
      <c r="AR450" s="164"/>
    </row>
    <row r="451" spans="1:44" ht="30.75" customHeight="1">
      <c r="A451" s="41"/>
      <c r="B451" s="200" t="s">
        <v>2548</v>
      </c>
      <c r="C451" s="172">
        <v>9</v>
      </c>
      <c r="D451" s="60"/>
      <c r="E451" s="60"/>
      <c r="F451" s="60"/>
      <c r="G451" s="62"/>
      <c r="H451" s="60"/>
      <c r="I451" s="60"/>
      <c r="J451" s="63"/>
      <c r="K451" s="64"/>
      <c r="L451" s="65"/>
      <c r="M451" s="66"/>
      <c r="N451" s="77"/>
      <c r="O451" s="60"/>
      <c r="P451" s="67"/>
      <c r="Q451" s="68"/>
      <c r="R451" s="69"/>
      <c r="S451" s="69"/>
      <c r="T451" s="69"/>
      <c r="U451" s="70"/>
      <c r="V451" s="79"/>
      <c r="W451" s="66"/>
      <c r="X451" s="69"/>
      <c r="Y451" s="75"/>
      <c r="Z451" s="60"/>
      <c r="AA451" s="60"/>
      <c r="AB451" s="75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80"/>
      <c r="AR451" s="164"/>
    </row>
    <row r="452" spans="1:44" ht="30.75" customHeight="1">
      <c r="A452" s="41"/>
      <c r="B452" s="200"/>
      <c r="C452" s="172"/>
      <c r="D452" s="60"/>
      <c r="E452" s="60"/>
      <c r="F452" s="60"/>
      <c r="G452" s="62"/>
      <c r="H452" s="60"/>
      <c r="I452" s="60"/>
      <c r="J452" s="63"/>
      <c r="K452" s="64"/>
      <c r="L452" s="65"/>
      <c r="M452" s="66"/>
      <c r="N452" s="77"/>
      <c r="O452" s="60"/>
      <c r="P452" s="67"/>
      <c r="Q452" s="68"/>
      <c r="R452" s="69"/>
      <c r="S452" s="69"/>
      <c r="T452" s="69"/>
      <c r="U452" s="70"/>
      <c r="V452" s="79"/>
      <c r="W452" s="66"/>
      <c r="X452" s="69"/>
      <c r="Y452" s="75"/>
      <c r="Z452" s="60"/>
      <c r="AA452" s="60"/>
      <c r="AB452" s="75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80"/>
      <c r="AR452" s="164"/>
    </row>
    <row r="453" spans="1:44" ht="30.75" customHeight="1">
      <c r="A453" s="41"/>
      <c r="B453" s="200" t="s">
        <v>2548</v>
      </c>
      <c r="C453" s="172">
        <v>10</v>
      </c>
      <c r="D453" s="60"/>
      <c r="E453" s="60"/>
      <c r="F453" s="60"/>
      <c r="G453" s="62"/>
      <c r="H453" s="60"/>
      <c r="I453" s="60"/>
      <c r="J453" s="63"/>
      <c r="K453" s="64"/>
      <c r="L453" s="65"/>
      <c r="M453" s="66"/>
      <c r="N453" s="77"/>
      <c r="O453" s="60"/>
      <c r="P453" s="67"/>
      <c r="Q453" s="68"/>
      <c r="R453" s="69"/>
      <c r="S453" s="69"/>
      <c r="T453" s="69"/>
      <c r="U453" s="70"/>
      <c r="V453" s="79"/>
      <c r="W453" s="66"/>
      <c r="X453" s="69"/>
      <c r="Y453" s="75"/>
      <c r="Z453" s="60"/>
      <c r="AA453" s="60"/>
      <c r="AB453" s="75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80"/>
      <c r="AR453" s="164"/>
    </row>
    <row r="454" spans="1:44" ht="30.75" customHeight="1">
      <c r="A454" s="41"/>
      <c r="B454" s="200"/>
      <c r="C454" s="172"/>
      <c r="D454" s="60"/>
      <c r="E454" s="60"/>
      <c r="F454" s="60"/>
      <c r="G454" s="62"/>
      <c r="H454" s="60"/>
      <c r="I454" s="60"/>
      <c r="J454" s="63"/>
      <c r="K454" s="64"/>
      <c r="L454" s="65"/>
      <c r="M454" s="66"/>
      <c r="N454" s="77"/>
      <c r="O454" s="60"/>
      <c r="P454" s="67"/>
      <c r="Q454" s="68"/>
      <c r="R454" s="69"/>
      <c r="S454" s="69"/>
      <c r="T454" s="69"/>
      <c r="U454" s="70"/>
      <c r="V454" s="79"/>
      <c r="W454" s="66"/>
      <c r="X454" s="69"/>
      <c r="Y454" s="75"/>
      <c r="Z454" s="60"/>
      <c r="AA454" s="60"/>
      <c r="AB454" s="75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80"/>
      <c r="AR454" s="164"/>
    </row>
    <row r="455" spans="1:44" ht="30.75" customHeight="1">
      <c r="A455" s="41"/>
      <c r="B455" s="200" t="s">
        <v>2548</v>
      </c>
      <c r="C455" s="172">
        <v>11</v>
      </c>
      <c r="D455" s="60"/>
      <c r="E455" s="60"/>
      <c r="F455" s="60"/>
      <c r="G455" s="62"/>
      <c r="H455" s="60"/>
      <c r="I455" s="60"/>
      <c r="J455" s="63"/>
      <c r="K455" s="64"/>
      <c r="L455" s="65"/>
      <c r="M455" s="66"/>
      <c r="N455" s="77"/>
      <c r="O455" s="60"/>
      <c r="P455" s="67"/>
      <c r="Q455" s="68"/>
      <c r="R455" s="69"/>
      <c r="S455" s="69"/>
      <c r="T455" s="69"/>
      <c r="U455" s="70"/>
      <c r="V455" s="79"/>
      <c r="W455" s="66"/>
      <c r="X455" s="69"/>
      <c r="Y455" s="75"/>
      <c r="Z455" s="60"/>
      <c r="AA455" s="60"/>
      <c r="AB455" s="75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80"/>
      <c r="AR455" s="164"/>
    </row>
    <row r="456" spans="1:44" ht="30.75" customHeight="1">
      <c r="A456" s="41"/>
      <c r="B456" s="200"/>
      <c r="C456" s="172"/>
      <c r="D456" s="60"/>
      <c r="E456" s="60"/>
      <c r="F456" s="60"/>
      <c r="G456" s="62"/>
      <c r="H456" s="60"/>
      <c r="I456" s="60"/>
      <c r="J456" s="63"/>
      <c r="K456" s="64"/>
      <c r="L456" s="65"/>
      <c r="M456" s="66"/>
      <c r="N456" s="77"/>
      <c r="O456" s="60"/>
      <c r="P456" s="67"/>
      <c r="Q456" s="68"/>
      <c r="R456" s="69"/>
      <c r="S456" s="69"/>
      <c r="T456" s="69"/>
      <c r="U456" s="70"/>
      <c r="V456" s="79"/>
      <c r="W456" s="66"/>
      <c r="X456" s="69"/>
      <c r="Y456" s="75"/>
      <c r="Z456" s="60"/>
      <c r="AA456" s="60"/>
      <c r="AB456" s="75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80"/>
      <c r="AR456" s="164"/>
    </row>
    <row r="457" spans="1:44" ht="30.75" customHeight="1">
      <c r="A457" s="41"/>
      <c r="B457" s="200" t="s">
        <v>2548</v>
      </c>
      <c r="C457" s="172">
        <v>12</v>
      </c>
      <c r="D457" s="60"/>
      <c r="E457" s="60"/>
      <c r="F457" s="60"/>
      <c r="G457" s="62"/>
      <c r="H457" s="60"/>
      <c r="I457" s="60"/>
      <c r="J457" s="63"/>
      <c r="K457" s="64"/>
      <c r="L457" s="65"/>
      <c r="M457" s="66"/>
      <c r="N457" s="77"/>
      <c r="O457" s="60"/>
      <c r="P457" s="67"/>
      <c r="Q457" s="68"/>
      <c r="R457" s="69"/>
      <c r="S457" s="69"/>
      <c r="T457" s="69"/>
      <c r="U457" s="70"/>
      <c r="V457" s="79"/>
      <c r="W457" s="66"/>
      <c r="X457" s="69"/>
      <c r="Y457" s="75"/>
      <c r="Z457" s="60"/>
      <c r="AA457" s="60"/>
      <c r="AB457" s="75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80"/>
      <c r="AR457" s="164"/>
    </row>
    <row r="458" spans="1:44" ht="30.75" customHeight="1">
      <c r="A458" s="41"/>
      <c r="B458" s="200"/>
      <c r="C458" s="172"/>
      <c r="D458" s="60"/>
      <c r="E458" s="60"/>
      <c r="F458" s="60"/>
      <c r="G458" s="62"/>
      <c r="H458" s="60"/>
      <c r="I458" s="60"/>
      <c r="J458" s="63"/>
      <c r="K458" s="64"/>
      <c r="L458" s="65"/>
      <c r="M458" s="66"/>
      <c r="N458" s="77"/>
      <c r="O458" s="60"/>
      <c r="P458" s="67"/>
      <c r="Q458" s="68"/>
      <c r="R458" s="69"/>
      <c r="S458" s="69"/>
      <c r="T458" s="69"/>
      <c r="U458" s="70"/>
      <c r="V458" s="79"/>
      <c r="W458" s="66"/>
      <c r="X458" s="69"/>
      <c r="Y458" s="75"/>
      <c r="Z458" s="60"/>
      <c r="AA458" s="60"/>
      <c r="AB458" s="75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80"/>
      <c r="AR458" s="164"/>
    </row>
    <row r="459" spans="1:44" ht="30.75" customHeight="1">
      <c r="A459" s="41"/>
      <c r="B459" s="200" t="s">
        <v>2548</v>
      </c>
      <c r="C459" s="172">
        <v>13</v>
      </c>
      <c r="D459" s="60"/>
      <c r="E459" s="60"/>
      <c r="F459" s="60"/>
      <c r="G459" s="62"/>
      <c r="H459" s="60"/>
      <c r="I459" s="60"/>
      <c r="J459" s="63"/>
      <c r="K459" s="64"/>
      <c r="L459" s="65"/>
      <c r="M459" s="66"/>
      <c r="N459" s="77"/>
      <c r="O459" s="60"/>
      <c r="P459" s="67"/>
      <c r="Q459" s="68"/>
      <c r="R459" s="69"/>
      <c r="S459" s="69"/>
      <c r="T459" s="69"/>
      <c r="U459" s="70"/>
      <c r="V459" s="79"/>
      <c r="W459" s="66"/>
      <c r="X459" s="69"/>
      <c r="Y459" s="75"/>
      <c r="Z459" s="60"/>
      <c r="AA459" s="60"/>
      <c r="AB459" s="75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80"/>
      <c r="AR459" s="164"/>
    </row>
    <row r="460" spans="1:44" ht="30.75" customHeight="1">
      <c r="A460" s="41"/>
      <c r="B460" s="200"/>
      <c r="C460" s="172"/>
      <c r="D460" s="60"/>
      <c r="E460" s="60"/>
      <c r="F460" s="60"/>
      <c r="G460" s="62"/>
      <c r="H460" s="60"/>
      <c r="I460" s="60"/>
      <c r="J460" s="63"/>
      <c r="K460" s="64"/>
      <c r="L460" s="65"/>
      <c r="M460" s="66"/>
      <c r="N460" s="77"/>
      <c r="O460" s="60"/>
      <c r="P460" s="67"/>
      <c r="Q460" s="68"/>
      <c r="R460" s="69"/>
      <c r="S460" s="69"/>
      <c r="T460" s="69"/>
      <c r="U460" s="70"/>
      <c r="V460" s="79"/>
      <c r="W460" s="66"/>
      <c r="X460" s="69"/>
      <c r="Y460" s="75"/>
      <c r="Z460" s="60"/>
      <c r="AA460" s="60"/>
      <c r="AB460" s="75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80"/>
      <c r="AR460" s="164"/>
    </row>
    <row r="461" spans="1:44" ht="30.75" customHeight="1">
      <c r="A461" s="41"/>
      <c r="B461" s="200" t="s">
        <v>2548</v>
      </c>
      <c r="C461" s="172">
        <v>14</v>
      </c>
      <c r="D461" s="60"/>
      <c r="E461" s="60"/>
      <c r="F461" s="60"/>
      <c r="G461" s="62"/>
      <c r="H461" s="60"/>
      <c r="I461" s="60"/>
      <c r="J461" s="63"/>
      <c r="K461" s="64"/>
      <c r="L461" s="65"/>
      <c r="M461" s="66"/>
      <c r="N461" s="77"/>
      <c r="O461" s="60"/>
      <c r="P461" s="67"/>
      <c r="Q461" s="68"/>
      <c r="R461" s="69"/>
      <c r="S461" s="69"/>
      <c r="T461" s="69"/>
      <c r="U461" s="70"/>
      <c r="V461" s="79"/>
      <c r="W461" s="66"/>
      <c r="X461" s="69"/>
      <c r="Y461" s="75"/>
      <c r="Z461" s="60"/>
      <c r="AA461" s="60"/>
      <c r="AB461" s="75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80"/>
      <c r="AR461" s="164"/>
    </row>
    <row r="462" spans="1:44" ht="30.75" customHeight="1">
      <c r="A462" s="41"/>
      <c r="B462" s="200"/>
      <c r="C462" s="172"/>
      <c r="D462" s="60"/>
      <c r="E462" s="60"/>
      <c r="F462" s="60"/>
      <c r="G462" s="62"/>
      <c r="H462" s="60"/>
      <c r="I462" s="60"/>
      <c r="J462" s="63"/>
      <c r="K462" s="64"/>
      <c r="L462" s="65"/>
      <c r="M462" s="66"/>
      <c r="N462" s="77"/>
      <c r="O462" s="60"/>
      <c r="P462" s="67"/>
      <c r="Q462" s="68"/>
      <c r="R462" s="69"/>
      <c r="S462" s="69"/>
      <c r="T462" s="69"/>
      <c r="U462" s="70"/>
      <c r="V462" s="79"/>
      <c r="W462" s="66"/>
      <c r="X462" s="69"/>
      <c r="Y462" s="75"/>
      <c r="Z462" s="60"/>
      <c r="AA462" s="60"/>
      <c r="AB462" s="75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80"/>
      <c r="AR462" s="164"/>
    </row>
    <row r="463" spans="1:44" ht="30.75" customHeight="1">
      <c r="A463" s="41"/>
      <c r="B463" s="200" t="s">
        <v>2548</v>
      </c>
      <c r="C463" s="172">
        <v>15</v>
      </c>
      <c r="D463" s="60"/>
      <c r="E463" s="60"/>
      <c r="F463" s="60"/>
      <c r="G463" s="62"/>
      <c r="H463" s="60"/>
      <c r="I463" s="60"/>
      <c r="J463" s="63"/>
      <c r="K463" s="64"/>
      <c r="L463" s="65"/>
      <c r="M463" s="66"/>
      <c r="N463" s="77"/>
      <c r="O463" s="60"/>
      <c r="P463" s="67"/>
      <c r="Q463" s="68"/>
      <c r="R463" s="69"/>
      <c r="S463" s="69"/>
      <c r="T463" s="69"/>
      <c r="U463" s="70"/>
      <c r="V463" s="79"/>
      <c r="W463" s="66"/>
      <c r="X463" s="69"/>
      <c r="Y463" s="75"/>
      <c r="Z463" s="60"/>
      <c r="AA463" s="60"/>
      <c r="AB463" s="75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80"/>
      <c r="AR463" s="164"/>
    </row>
    <row r="464" spans="1:44" ht="30.75" customHeight="1">
      <c r="A464" s="41"/>
      <c r="B464" s="200"/>
      <c r="C464" s="172"/>
      <c r="D464" s="60"/>
      <c r="E464" s="60"/>
      <c r="F464" s="60"/>
      <c r="G464" s="62"/>
      <c r="H464" s="60"/>
      <c r="I464" s="60"/>
      <c r="J464" s="63"/>
      <c r="K464" s="64"/>
      <c r="L464" s="65"/>
      <c r="M464" s="66"/>
      <c r="N464" s="77"/>
      <c r="O464" s="60"/>
      <c r="P464" s="67"/>
      <c r="Q464" s="68"/>
      <c r="R464" s="69"/>
      <c r="S464" s="69"/>
      <c r="T464" s="69"/>
      <c r="U464" s="70"/>
      <c r="V464" s="79"/>
      <c r="W464" s="66"/>
      <c r="X464" s="69"/>
      <c r="Y464" s="75"/>
      <c r="Z464" s="60"/>
      <c r="AA464" s="60"/>
      <c r="AB464" s="75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80"/>
      <c r="AR464" s="164"/>
    </row>
    <row r="465" spans="1:44" ht="30.75" customHeight="1">
      <c r="A465" s="41"/>
      <c r="B465" s="200" t="s">
        <v>2548</v>
      </c>
      <c r="C465" s="172">
        <v>16</v>
      </c>
      <c r="D465" s="60"/>
      <c r="E465" s="60"/>
      <c r="F465" s="60"/>
      <c r="G465" s="62"/>
      <c r="H465" s="60"/>
      <c r="I465" s="60"/>
      <c r="J465" s="63"/>
      <c r="K465" s="64"/>
      <c r="L465" s="65"/>
      <c r="M465" s="66"/>
      <c r="N465" s="77"/>
      <c r="O465" s="60"/>
      <c r="P465" s="67"/>
      <c r="Q465" s="68"/>
      <c r="R465" s="69"/>
      <c r="S465" s="69"/>
      <c r="T465" s="69"/>
      <c r="U465" s="70"/>
      <c r="V465" s="79"/>
      <c r="W465" s="66"/>
      <c r="X465" s="69"/>
      <c r="Y465" s="75"/>
      <c r="Z465" s="60"/>
      <c r="AA465" s="60"/>
      <c r="AB465" s="75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80"/>
      <c r="AR465" s="164"/>
    </row>
    <row r="466" spans="1:44" ht="30.75" customHeight="1">
      <c r="A466" s="41"/>
      <c r="B466" s="200"/>
      <c r="C466" s="172"/>
      <c r="D466" s="60"/>
      <c r="E466" s="60"/>
      <c r="F466" s="60"/>
      <c r="G466" s="62"/>
      <c r="H466" s="60"/>
      <c r="I466" s="60"/>
      <c r="J466" s="63"/>
      <c r="K466" s="64"/>
      <c r="L466" s="65"/>
      <c r="M466" s="66"/>
      <c r="N466" s="77"/>
      <c r="O466" s="60"/>
      <c r="P466" s="67"/>
      <c r="Q466" s="68"/>
      <c r="R466" s="69"/>
      <c r="S466" s="69"/>
      <c r="T466" s="69"/>
      <c r="U466" s="70"/>
      <c r="V466" s="79"/>
      <c r="W466" s="66"/>
      <c r="X466" s="69"/>
      <c r="Y466" s="75"/>
      <c r="Z466" s="60"/>
      <c r="AA466" s="60"/>
      <c r="AB466" s="75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80"/>
      <c r="AR466" s="164"/>
    </row>
    <row r="467" spans="1:44" ht="30.75" customHeight="1">
      <c r="A467" s="41"/>
      <c r="B467" s="200" t="s">
        <v>2548</v>
      </c>
      <c r="C467" s="172">
        <v>17</v>
      </c>
      <c r="D467" s="60"/>
      <c r="E467" s="60"/>
      <c r="F467" s="60"/>
      <c r="G467" s="62"/>
      <c r="H467" s="60"/>
      <c r="I467" s="60"/>
      <c r="J467" s="63"/>
      <c r="K467" s="64"/>
      <c r="L467" s="65"/>
      <c r="M467" s="66"/>
      <c r="N467" s="77"/>
      <c r="O467" s="60"/>
      <c r="P467" s="67"/>
      <c r="Q467" s="68"/>
      <c r="R467" s="69"/>
      <c r="S467" s="69"/>
      <c r="T467" s="69"/>
      <c r="U467" s="70"/>
      <c r="V467" s="79"/>
      <c r="W467" s="66"/>
      <c r="X467" s="69"/>
      <c r="Y467" s="75"/>
      <c r="Z467" s="60"/>
      <c r="AA467" s="60"/>
      <c r="AB467" s="75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80"/>
      <c r="AR467" s="164"/>
    </row>
    <row r="468" spans="1:44" ht="30.75" customHeight="1">
      <c r="A468" s="41"/>
      <c r="B468" s="200"/>
      <c r="C468" s="172"/>
      <c r="D468" s="60"/>
      <c r="E468" s="60"/>
      <c r="F468" s="60"/>
      <c r="G468" s="62"/>
      <c r="H468" s="60"/>
      <c r="I468" s="60"/>
      <c r="J468" s="63"/>
      <c r="K468" s="64"/>
      <c r="L468" s="65"/>
      <c r="M468" s="66"/>
      <c r="N468" s="77"/>
      <c r="O468" s="60"/>
      <c r="P468" s="67"/>
      <c r="Q468" s="68"/>
      <c r="R468" s="69"/>
      <c r="S468" s="69"/>
      <c r="T468" s="69"/>
      <c r="U468" s="70"/>
      <c r="V468" s="79"/>
      <c r="W468" s="66"/>
      <c r="X468" s="69"/>
      <c r="Y468" s="75"/>
      <c r="Z468" s="60"/>
      <c r="AA468" s="60"/>
      <c r="AB468" s="75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80"/>
      <c r="AR468" s="164"/>
    </row>
    <row r="469" spans="1:44" ht="30.75" customHeight="1">
      <c r="A469" s="41"/>
      <c r="B469" s="200" t="s">
        <v>2548</v>
      </c>
      <c r="C469" s="172">
        <v>18</v>
      </c>
      <c r="D469" s="60"/>
      <c r="E469" s="60"/>
      <c r="F469" s="60"/>
      <c r="G469" s="62"/>
      <c r="H469" s="60"/>
      <c r="I469" s="60"/>
      <c r="J469" s="63"/>
      <c r="K469" s="64"/>
      <c r="L469" s="65"/>
      <c r="M469" s="66"/>
      <c r="N469" s="77"/>
      <c r="O469" s="60"/>
      <c r="P469" s="67"/>
      <c r="Q469" s="68"/>
      <c r="R469" s="69"/>
      <c r="S469" s="69"/>
      <c r="T469" s="69"/>
      <c r="U469" s="70"/>
      <c r="V469" s="79"/>
      <c r="W469" s="66"/>
      <c r="X469" s="69"/>
      <c r="Y469" s="75"/>
      <c r="Z469" s="60"/>
      <c r="AA469" s="60"/>
      <c r="AB469" s="75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80"/>
      <c r="AR469" s="164"/>
    </row>
    <row r="470" spans="1:44" ht="30.75" customHeight="1">
      <c r="A470" s="41"/>
      <c r="B470" s="200"/>
      <c r="C470" s="172"/>
      <c r="D470" s="60"/>
      <c r="E470" s="60"/>
      <c r="F470" s="60"/>
      <c r="G470" s="62"/>
      <c r="H470" s="60"/>
      <c r="I470" s="60"/>
      <c r="J470" s="63"/>
      <c r="K470" s="64"/>
      <c r="L470" s="65"/>
      <c r="M470" s="66"/>
      <c r="N470" s="77"/>
      <c r="O470" s="60"/>
      <c r="P470" s="67"/>
      <c r="Q470" s="68"/>
      <c r="R470" s="69"/>
      <c r="S470" s="69"/>
      <c r="T470" s="69"/>
      <c r="U470" s="70"/>
      <c r="V470" s="79"/>
      <c r="W470" s="66"/>
      <c r="X470" s="69"/>
      <c r="Y470" s="75"/>
      <c r="Z470" s="60"/>
      <c r="AA470" s="60"/>
      <c r="AB470" s="75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80"/>
      <c r="AR470" s="164"/>
    </row>
    <row r="471" spans="1:44" ht="30.75" customHeight="1">
      <c r="A471" s="41"/>
      <c r="B471" s="200" t="s">
        <v>2548</v>
      </c>
      <c r="C471" s="172">
        <v>19</v>
      </c>
      <c r="D471" s="60"/>
      <c r="E471" s="60"/>
      <c r="F471" s="60"/>
      <c r="G471" s="62"/>
      <c r="H471" s="60"/>
      <c r="I471" s="60"/>
      <c r="J471" s="63"/>
      <c r="K471" s="64"/>
      <c r="L471" s="65"/>
      <c r="M471" s="66"/>
      <c r="N471" s="77"/>
      <c r="O471" s="60"/>
      <c r="P471" s="67"/>
      <c r="Q471" s="68"/>
      <c r="R471" s="69"/>
      <c r="S471" s="69"/>
      <c r="T471" s="69"/>
      <c r="U471" s="70"/>
      <c r="V471" s="79"/>
      <c r="W471" s="66"/>
      <c r="X471" s="69"/>
      <c r="Y471" s="75"/>
      <c r="Z471" s="60"/>
      <c r="AA471" s="60"/>
      <c r="AB471" s="75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80"/>
      <c r="AR471" s="164"/>
    </row>
    <row r="472" spans="1:44" ht="30.75" customHeight="1">
      <c r="A472" s="41"/>
      <c r="B472" s="200"/>
      <c r="C472" s="172"/>
      <c r="D472" s="60"/>
      <c r="E472" s="60"/>
      <c r="F472" s="60"/>
      <c r="G472" s="62"/>
      <c r="H472" s="60"/>
      <c r="I472" s="60"/>
      <c r="J472" s="63"/>
      <c r="K472" s="64"/>
      <c r="L472" s="65"/>
      <c r="M472" s="66"/>
      <c r="N472" s="77"/>
      <c r="O472" s="60"/>
      <c r="P472" s="67"/>
      <c r="Q472" s="68"/>
      <c r="R472" s="69"/>
      <c r="S472" s="69"/>
      <c r="T472" s="69"/>
      <c r="U472" s="70"/>
      <c r="V472" s="79"/>
      <c r="W472" s="66"/>
      <c r="X472" s="69"/>
      <c r="Y472" s="75"/>
      <c r="Z472" s="60"/>
      <c r="AA472" s="60"/>
      <c r="AB472" s="75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80"/>
      <c r="AR472" s="164"/>
    </row>
    <row r="473" spans="1:44" ht="30.75" customHeight="1">
      <c r="A473" s="41"/>
      <c r="B473" s="200" t="s">
        <v>2548</v>
      </c>
      <c r="C473" s="172">
        <v>20</v>
      </c>
      <c r="D473" s="60"/>
      <c r="E473" s="60"/>
      <c r="F473" s="60"/>
      <c r="G473" s="62"/>
      <c r="H473" s="60"/>
      <c r="I473" s="60"/>
      <c r="J473" s="63"/>
      <c r="K473" s="64"/>
      <c r="L473" s="65"/>
      <c r="M473" s="66"/>
      <c r="N473" s="77"/>
      <c r="O473" s="60"/>
      <c r="P473" s="67"/>
      <c r="Q473" s="68"/>
      <c r="R473" s="69"/>
      <c r="S473" s="69"/>
      <c r="T473" s="69"/>
      <c r="U473" s="70"/>
      <c r="V473" s="79"/>
      <c r="W473" s="66"/>
      <c r="X473" s="69"/>
      <c r="Y473" s="75"/>
      <c r="Z473" s="60"/>
      <c r="AA473" s="60"/>
      <c r="AB473" s="75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80"/>
      <c r="AR473" s="164"/>
    </row>
    <row r="474" spans="1:44" ht="30.75" customHeight="1">
      <c r="A474" s="41"/>
      <c r="B474" s="200"/>
      <c r="C474" s="172"/>
      <c r="D474" s="60"/>
      <c r="E474" s="60"/>
      <c r="F474" s="60"/>
      <c r="G474" s="62"/>
      <c r="H474" s="60"/>
      <c r="I474" s="60"/>
      <c r="J474" s="63"/>
      <c r="K474" s="64"/>
      <c r="L474" s="65"/>
      <c r="M474" s="66"/>
      <c r="N474" s="77"/>
      <c r="O474" s="60"/>
      <c r="P474" s="67"/>
      <c r="Q474" s="68"/>
      <c r="R474" s="69"/>
      <c r="S474" s="69"/>
      <c r="T474" s="69"/>
      <c r="U474" s="70"/>
      <c r="V474" s="79"/>
      <c r="W474" s="66"/>
      <c r="X474" s="69"/>
      <c r="Y474" s="75"/>
      <c r="Z474" s="60"/>
      <c r="AA474" s="60"/>
      <c r="AB474" s="75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80"/>
      <c r="AR474" s="164"/>
    </row>
    <row r="475" spans="1:44" ht="30.75" customHeight="1">
      <c r="A475" s="41"/>
      <c r="B475" s="200" t="s">
        <v>2548</v>
      </c>
      <c r="C475" s="172">
        <v>21</v>
      </c>
      <c r="D475" s="60"/>
      <c r="E475" s="60"/>
      <c r="F475" s="60"/>
      <c r="G475" s="62"/>
      <c r="H475" s="60"/>
      <c r="I475" s="60"/>
      <c r="J475" s="63"/>
      <c r="K475" s="64"/>
      <c r="L475" s="65"/>
      <c r="M475" s="66"/>
      <c r="N475" s="77"/>
      <c r="O475" s="60"/>
      <c r="P475" s="67"/>
      <c r="Q475" s="68"/>
      <c r="R475" s="69"/>
      <c r="S475" s="69"/>
      <c r="T475" s="69"/>
      <c r="U475" s="70"/>
      <c r="V475" s="79"/>
      <c r="W475" s="66"/>
      <c r="X475" s="69"/>
      <c r="Y475" s="75"/>
      <c r="Z475" s="60"/>
      <c r="AA475" s="60"/>
      <c r="AB475" s="75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80"/>
      <c r="AR475" s="164"/>
    </row>
    <row r="476" spans="1:44" ht="30.75" customHeight="1">
      <c r="A476" s="41"/>
      <c r="B476" s="200"/>
      <c r="C476" s="172"/>
      <c r="D476" s="60"/>
      <c r="E476" s="60"/>
      <c r="F476" s="60"/>
      <c r="G476" s="62"/>
      <c r="H476" s="60"/>
      <c r="I476" s="60"/>
      <c r="J476" s="63"/>
      <c r="K476" s="64"/>
      <c r="L476" s="65"/>
      <c r="M476" s="66"/>
      <c r="N476" s="77"/>
      <c r="O476" s="60"/>
      <c r="P476" s="67"/>
      <c r="Q476" s="68"/>
      <c r="R476" s="69"/>
      <c r="S476" s="69"/>
      <c r="T476" s="69"/>
      <c r="U476" s="70"/>
      <c r="V476" s="79"/>
      <c r="W476" s="66"/>
      <c r="X476" s="69"/>
      <c r="Y476" s="75"/>
      <c r="Z476" s="60"/>
      <c r="AA476" s="60"/>
      <c r="AB476" s="75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80"/>
      <c r="AR476" s="164"/>
    </row>
    <row r="477" spans="1:44" ht="30.75" customHeight="1">
      <c r="A477" s="41"/>
      <c r="B477" s="200" t="s">
        <v>2548</v>
      </c>
      <c r="C477" s="172">
        <v>22</v>
      </c>
      <c r="D477" s="60"/>
      <c r="E477" s="60"/>
      <c r="F477" s="60"/>
      <c r="G477" s="62"/>
      <c r="H477" s="60"/>
      <c r="I477" s="60"/>
      <c r="J477" s="63"/>
      <c r="K477" s="64"/>
      <c r="L477" s="65"/>
      <c r="M477" s="66"/>
      <c r="N477" s="77"/>
      <c r="O477" s="60"/>
      <c r="P477" s="67"/>
      <c r="Q477" s="68"/>
      <c r="R477" s="69"/>
      <c r="S477" s="69"/>
      <c r="T477" s="69"/>
      <c r="U477" s="70"/>
      <c r="V477" s="79"/>
      <c r="W477" s="66"/>
      <c r="X477" s="69"/>
      <c r="Y477" s="75"/>
      <c r="Z477" s="60"/>
      <c r="AA477" s="60"/>
      <c r="AB477" s="75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80"/>
      <c r="AR477" s="164"/>
    </row>
    <row r="478" spans="1:44" ht="30.75" customHeight="1">
      <c r="A478" s="41"/>
      <c r="B478" s="200"/>
      <c r="C478" s="172"/>
      <c r="D478" s="60"/>
      <c r="E478" s="60"/>
      <c r="F478" s="60"/>
      <c r="G478" s="62"/>
      <c r="H478" s="60"/>
      <c r="I478" s="60"/>
      <c r="J478" s="63"/>
      <c r="K478" s="64"/>
      <c r="L478" s="65"/>
      <c r="M478" s="66"/>
      <c r="N478" s="77"/>
      <c r="O478" s="60"/>
      <c r="P478" s="67"/>
      <c r="Q478" s="68"/>
      <c r="R478" s="69"/>
      <c r="S478" s="69"/>
      <c r="T478" s="69"/>
      <c r="U478" s="70"/>
      <c r="V478" s="79"/>
      <c r="W478" s="66"/>
      <c r="X478" s="69"/>
      <c r="Y478" s="75"/>
      <c r="Z478" s="60"/>
      <c r="AA478" s="60"/>
      <c r="AB478" s="75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80"/>
      <c r="AR478" s="164"/>
    </row>
    <row r="479" spans="1:44" ht="30.75" customHeight="1">
      <c r="A479" s="41"/>
      <c r="B479" s="200" t="s">
        <v>2548</v>
      </c>
      <c r="C479" s="172">
        <v>23</v>
      </c>
      <c r="D479" s="60"/>
      <c r="E479" s="60"/>
      <c r="F479" s="60"/>
      <c r="G479" s="62"/>
      <c r="H479" s="60"/>
      <c r="I479" s="60"/>
      <c r="J479" s="63"/>
      <c r="K479" s="64"/>
      <c r="L479" s="65"/>
      <c r="M479" s="66"/>
      <c r="N479" s="77"/>
      <c r="O479" s="60"/>
      <c r="P479" s="67"/>
      <c r="Q479" s="68"/>
      <c r="R479" s="69"/>
      <c r="S479" s="69"/>
      <c r="T479" s="69"/>
      <c r="U479" s="70"/>
      <c r="V479" s="79"/>
      <c r="W479" s="66"/>
      <c r="X479" s="69"/>
      <c r="Y479" s="75"/>
      <c r="Z479" s="60"/>
      <c r="AA479" s="60"/>
      <c r="AB479" s="75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80"/>
      <c r="AR479" s="164"/>
    </row>
    <row r="480" spans="1:44" ht="30.75" customHeight="1">
      <c r="A480" s="41"/>
      <c r="B480" s="200"/>
      <c r="C480" s="172"/>
      <c r="D480" s="60"/>
      <c r="E480" s="60"/>
      <c r="F480" s="60"/>
      <c r="G480" s="62"/>
      <c r="H480" s="60"/>
      <c r="I480" s="60"/>
      <c r="J480" s="63"/>
      <c r="K480" s="64"/>
      <c r="L480" s="65"/>
      <c r="M480" s="66"/>
      <c r="N480" s="77"/>
      <c r="O480" s="60"/>
      <c r="P480" s="67"/>
      <c r="Q480" s="68"/>
      <c r="R480" s="69"/>
      <c r="S480" s="69"/>
      <c r="T480" s="69"/>
      <c r="U480" s="70"/>
      <c r="V480" s="79"/>
      <c r="W480" s="66"/>
      <c r="X480" s="69"/>
      <c r="Y480" s="75"/>
      <c r="Z480" s="60"/>
      <c r="AA480" s="60"/>
      <c r="AB480" s="75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80"/>
      <c r="AR480" s="164"/>
    </row>
    <row r="481" spans="1:44" ht="30.75" customHeight="1">
      <c r="A481" s="41"/>
      <c r="B481" s="200" t="s">
        <v>2548</v>
      </c>
      <c r="C481" s="172">
        <v>24</v>
      </c>
      <c r="D481" s="60"/>
      <c r="E481" s="60"/>
      <c r="F481" s="60"/>
      <c r="G481" s="62"/>
      <c r="H481" s="60"/>
      <c r="I481" s="60"/>
      <c r="J481" s="63"/>
      <c r="K481" s="64"/>
      <c r="L481" s="65"/>
      <c r="M481" s="66"/>
      <c r="N481" s="77"/>
      <c r="O481" s="60"/>
      <c r="P481" s="67"/>
      <c r="Q481" s="68"/>
      <c r="R481" s="69"/>
      <c r="S481" s="69"/>
      <c r="T481" s="69"/>
      <c r="U481" s="70"/>
      <c r="V481" s="79"/>
      <c r="W481" s="66"/>
      <c r="X481" s="69"/>
      <c r="Y481" s="75"/>
      <c r="Z481" s="60"/>
      <c r="AA481" s="60"/>
      <c r="AB481" s="75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80"/>
      <c r="AR481" s="164"/>
    </row>
    <row r="482" spans="1:44" ht="30.75" customHeight="1">
      <c r="A482" s="41"/>
      <c r="B482" s="200"/>
      <c r="C482" s="172"/>
      <c r="D482" s="60"/>
      <c r="E482" s="60"/>
      <c r="F482" s="60"/>
      <c r="G482" s="62"/>
      <c r="H482" s="60"/>
      <c r="I482" s="60"/>
      <c r="J482" s="63"/>
      <c r="K482" s="64"/>
      <c r="L482" s="65"/>
      <c r="M482" s="66"/>
      <c r="N482" s="77"/>
      <c r="O482" s="60"/>
      <c r="P482" s="67"/>
      <c r="Q482" s="68"/>
      <c r="R482" s="69"/>
      <c r="S482" s="69"/>
      <c r="T482" s="69"/>
      <c r="U482" s="70"/>
      <c r="V482" s="79"/>
      <c r="W482" s="66"/>
      <c r="X482" s="69"/>
      <c r="Y482" s="75"/>
      <c r="Z482" s="60"/>
      <c r="AA482" s="60"/>
      <c r="AB482" s="75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80"/>
      <c r="AR482" s="164"/>
    </row>
    <row r="483" spans="1:44" ht="30.75" customHeight="1">
      <c r="A483" s="41"/>
      <c r="B483" s="200" t="s">
        <v>2548</v>
      </c>
      <c r="C483" s="172">
        <v>25</v>
      </c>
      <c r="D483" s="60"/>
      <c r="E483" s="60"/>
      <c r="F483" s="60"/>
      <c r="G483" s="62"/>
      <c r="H483" s="60"/>
      <c r="I483" s="60"/>
      <c r="J483" s="63"/>
      <c r="K483" s="64"/>
      <c r="L483" s="65"/>
      <c r="M483" s="66"/>
      <c r="N483" s="77"/>
      <c r="O483" s="60"/>
      <c r="P483" s="67"/>
      <c r="Q483" s="68"/>
      <c r="R483" s="69"/>
      <c r="S483" s="69"/>
      <c r="T483" s="69"/>
      <c r="U483" s="70"/>
      <c r="V483" s="79"/>
      <c r="W483" s="66"/>
      <c r="X483" s="69"/>
      <c r="Y483" s="75"/>
      <c r="Z483" s="60"/>
      <c r="AA483" s="60"/>
      <c r="AB483" s="75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80"/>
      <c r="AR483" s="164"/>
    </row>
    <row r="484" spans="1:44" ht="30.75" customHeight="1">
      <c r="A484" s="41"/>
      <c r="B484" s="200"/>
      <c r="C484" s="172"/>
      <c r="D484" s="60"/>
      <c r="E484" s="60"/>
      <c r="F484" s="60"/>
      <c r="G484" s="62"/>
      <c r="H484" s="60"/>
      <c r="I484" s="60"/>
      <c r="J484" s="63"/>
      <c r="K484" s="64"/>
      <c r="L484" s="65"/>
      <c r="M484" s="66"/>
      <c r="N484" s="77"/>
      <c r="O484" s="60"/>
      <c r="P484" s="67"/>
      <c r="Q484" s="68"/>
      <c r="R484" s="69"/>
      <c r="S484" s="69"/>
      <c r="T484" s="69"/>
      <c r="U484" s="70"/>
      <c r="V484" s="79"/>
      <c r="W484" s="66"/>
      <c r="X484" s="69"/>
      <c r="Y484" s="75"/>
      <c r="Z484" s="60"/>
      <c r="AA484" s="60"/>
      <c r="AB484" s="75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80"/>
      <c r="AR484" s="164"/>
    </row>
    <row r="485" spans="1:44" ht="30.75" customHeight="1">
      <c r="A485" s="41"/>
      <c r="B485" s="200" t="s">
        <v>2548</v>
      </c>
      <c r="C485" s="172">
        <v>26</v>
      </c>
      <c r="D485" s="60"/>
      <c r="E485" s="60"/>
      <c r="F485" s="60"/>
      <c r="G485" s="62"/>
      <c r="H485" s="60"/>
      <c r="I485" s="60"/>
      <c r="J485" s="63"/>
      <c r="K485" s="64"/>
      <c r="L485" s="65"/>
      <c r="M485" s="66"/>
      <c r="N485" s="77"/>
      <c r="O485" s="60"/>
      <c r="P485" s="67"/>
      <c r="Q485" s="68"/>
      <c r="R485" s="69"/>
      <c r="S485" s="69"/>
      <c r="T485" s="69"/>
      <c r="U485" s="70"/>
      <c r="V485" s="79"/>
      <c r="W485" s="66"/>
      <c r="X485" s="69"/>
      <c r="Y485" s="75"/>
      <c r="Z485" s="60"/>
      <c r="AA485" s="60"/>
      <c r="AB485" s="75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80"/>
      <c r="AR485" s="164"/>
    </row>
    <row r="486" spans="1:44" ht="30.75" customHeight="1">
      <c r="A486" s="41"/>
      <c r="B486" s="200"/>
      <c r="C486" s="172"/>
      <c r="D486" s="60"/>
      <c r="E486" s="60"/>
      <c r="F486" s="60"/>
      <c r="G486" s="62"/>
      <c r="H486" s="60"/>
      <c r="I486" s="60"/>
      <c r="J486" s="63"/>
      <c r="K486" s="64"/>
      <c r="L486" s="65"/>
      <c r="M486" s="66"/>
      <c r="N486" s="77"/>
      <c r="O486" s="60"/>
      <c r="P486" s="67"/>
      <c r="Q486" s="68"/>
      <c r="R486" s="69"/>
      <c r="S486" s="69"/>
      <c r="T486" s="69"/>
      <c r="U486" s="70"/>
      <c r="V486" s="79"/>
      <c r="W486" s="66"/>
      <c r="X486" s="69"/>
      <c r="Y486" s="75"/>
      <c r="Z486" s="60"/>
      <c r="AA486" s="60"/>
      <c r="AB486" s="75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80"/>
      <c r="AR486" s="164"/>
    </row>
    <row r="487" spans="1:44" ht="30.75" customHeight="1">
      <c r="A487" s="41"/>
      <c r="B487" s="200" t="s">
        <v>2548</v>
      </c>
      <c r="C487" s="172">
        <v>27</v>
      </c>
      <c r="D487" s="60"/>
      <c r="E487" s="60"/>
      <c r="F487" s="60"/>
      <c r="G487" s="62"/>
      <c r="H487" s="60"/>
      <c r="I487" s="60"/>
      <c r="J487" s="63"/>
      <c r="K487" s="64"/>
      <c r="L487" s="65"/>
      <c r="M487" s="66"/>
      <c r="N487" s="77"/>
      <c r="O487" s="60"/>
      <c r="P487" s="67"/>
      <c r="Q487" s="68"/>
      <c r="R487" s="69"/>
      <c r="S487" s="69"/>
      <c r="T487" s="69"/>
      <c r="U487" s="70"/>
      <c r="V487" s="79"/>
      <c r="W487" s="66"/>
      <c r="X487" s="69"/>
      <c r="Y487" s="75"/>
      <c r="Z487" s="60"/>
      <c r="AA487" s="60"/>
      <c r="AB487" s="75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80"/>
      <c r="AR487" s="164"/>
    </row>
    <row r="488" spans="1:44" ht="30.75" customHeight="1">
      <c r="A488" s="41"/>
      <c r="B488" s="200"/>
      <c r="C488" s="172"/>
      <c r="D488" s="60"/>
      <c r="E488" s="60"/>
      <c r="F488" s="60"/>
      <c r="G488" s="62"/>
      <c r="H488" s="60"/>
      <c r="I488" s="60"/>
      <c r="J488" s="63"/>
      <c r="K488" s="64"/>
      <c r="L488" s="65"/>
      <c r="M488" s="66"/>
      <c r="N488" s="77"/>
      <c r="O488" s="60"/>
      <c r="P488" s="67"/>
      <c r="Q488" s="68"/>
      <c r="R488" s="69"/>
      <c r="S488" s="69"/>
      <c r="T488" s="69"/>
      <c r="U488" s="70"/>
      <c r="V488" s="79"/>
      <c r="W488" s="66"/>
      <c r="X488" s="69"/>
      <c r="Y488" s="75"/>
      <c r="Z488" s="60"/>
      <c r="AA488" s="60"/>
      <c r="AB488" s="75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80"/>
      <c r="AR488" s="164"/>
    </row>
    <row r="489" spans="1:44" ht="30.75" customHeight="1">
      <c r="A489" s="41"/>
      <c r="B489" s="200" t="s">
        <v>2548</v>
      </c>
      <c r="C489" s="172">
        <v>28</v>
      </c>
      <c r="D489" s="60"/>
      <c r="E489" s="60"/>
      <c r="F489" s="60"/>
      <c r="G489" s="62"/>
      <c r="H489" s="60"/>
      <c r="I489" s="60"/>
      <c r="J489" s="63"/>
      <c r="K489" s="64"/>
      <c r="L489" s="65"/>
      <c r="M489" s="66"/>
      <c r="N489" s="77"/>
      <c r="O489" s="60"/>
      <c r="P489" s="67"/>
      <c r="Q489" s="68"/>
      <c r="R489" s="69"/>
      <c r="S489" s="69"/>
      <c r="T489" s="69"/>
      <c r="U489" s="70"/>
      <c r="V489" s="79"/>
      <c r="W489" s="66"/>
      <c r="X489" s="69"/>
      <c r="Y489" s="75"/>
      <c r="Z489" s="60"/>
      <c r="AA489" s="60"/>
      <c r="AB489" s="75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80"/>
      <c r="AR489" s="164"/>
    </row>
    <row r="490" spans="1:44" ht="30.75" customHeight="1">
      <c r="A490" s="41"/>
      <c r="B490" s="200"/>
      <c r="C490" s="172"/>
      <c r="D490" s="60"/>
      <c r="E490" s="60"/>
      <c r="F490" s="60"/>
      <c r="G490" s="62"/>
      <c r="H490" s="60"/>
      <c r="I490" s="60"/>
      <c r="J490" s="63"/>
      <c r="K490" s="64"/>
      <c r="L490" s="65"/>
      <c r="M490" s="66"/>
      <c r="N490" s="77"/>
      <c r="O490" s="60"/>
      <c r="P490" s="67"/>
      <c r="Q490" s="68"/>
      <c r="R490" s="69"/>
      <c r="S490" s="69"/>
      <c r="T490" s="69"/>
      <c r="U490" s="70"/>
      <c r="V490" s="79"/>
      <c r="W490" s="66"/>
      <c r="X490" s="69"/>
      <c r="Y490" s="75"/>
      <c r="Z490" s="60"/>
      <c r="AA490" s="60"/>
      <c r="AB490" s="75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80"/>
      <c r="AR490" s="164"/>
    </row>
    <row r="491" spans="1:44" ht="30.75" customHeight="1">
      <c r="A491" s="41"/>
      <c r="B491" s="200" t="s">
        <v>2548</v>
      </c>
      <c r="C491" s="172">
        <v>29</v>
      </c>
      <c r="D491" s="60"/>
      <c r="E491" s="60"/>
      <c r="F491" s="60"/>
      <c r="G491" s="62"/>
      <c r="H491" s="60"/>
      <c r="I491" s="60"/>
      <c r="J491" s="63"/>
      <c r="K491" s="64"/>
      <c r="L491" s="65"/>
      <c r="M491" s="66"/>
      <c r="N491" s="77"/>
      <c r="O491" s="60"/>
      <c r="P491" s="67"/>
      <c r="Q491" s="68"/>
      <c r="R491" s="69"/>
      <c r="S491" s="69"/>
      <c r="T491" s="69"/>
      <c r="U491" s="70"/>
      <c r="V491" s="79"/>
      <c r="W491" s="66"/>
      <c r="X491" s="69"/>
      <c r="Y491" s="75"/>
      <c r="Z491" s="60"/>
      <c r="AA491" s="60"/>
      <c r="AB491" s="75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80"/>
      <c r="AR491" s="164"/>
    </row>
    <row r="492" spans="1:44" ht="30.75" customHeight="1">
      <c r="A492" s="41"/>
      <c r="B492" s="200"/>
      <c r="C492" s="172"/>
      <c r="D492" s="60"/>
      <c r="E492" s="60"/>
      <c r="F492" s="60"/>
      <c r="G492" s="62"/>
      <c r="H492" s="60"/>
      <c r="I492" s="60"/>
      <c r="J492" s="63"/>
      <c r="K492" s="64"/>
      <c r="L492" s="65"/>
      <c r="M492" s="66"/>
      <c r="N492" s="77"/>
      <c r="O492" s="60"/>
      <c r="P492" s="67"/>
      <c r="Q492" s="68"/>
      <c r="R492" s="69"/>
      <c r="S492" s="69"/>
      <c r="T492" s="69"/>
      <c r="U492" s="70"/>
      <c r="V492" s="79"/>
      <c r="W492" s="66"/>
      <c r="X492" s="69"/>
      <c r="Y492" s="75"/>
      <c r="Z492" s="60"/>
      <c r="AA492" s="60"/>
      <c r="AB492" s="75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80"/>
      <c r="AR492" s="164"/>
    </row>
    <row r="493" spans="1:44" ht="30.75" customHeight="1">
      <c r="A493" s="41"/>
      <c r="B493" s="200" t="s">
        <v>2549</v>
      </c>
      <c r="C493" s="172">
        <v>30</v>
      </c>
      <c r="D493" s="60"/>
      <c r="E493" s="60"/>
      <c r="F493" s="60"/>
      <c r="G493" s="62"/>
      <c r="H493" s="60"/>
      <c r="I493" s="60"/>
      <c r="J493" s="63"/>
      <c r="K493" s="64"/>
      <c r="L493" s="65"/>
      <c r="M493" s="66"/>
      <c r="N493" s="77"/>
      <c r="O493" s="60"/>
      <c r="P493" s="67"/>
      <c r="Q493" s="68"/>
      <c r="R493" s="69"/>
      <c r="S493" s="69"/>
      <c r="T493" s="69"/>
      <c r="U493" s="70"/>
      <c r="V493" s="79"/>
      <c r="W493" s="66"/>
      <c r="X493" s="69"/>
      <c r="Y493" s="75"/>
      <c r="Z493" s="60"/>
      <c r="AA493" s="60"/>
      <c r="AB493" s="75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80"/>
      <c r="AR493" s="164"/>
    </row>
    <row r="494" spans="1:44" ht="30.75" customHeight="1">
      <c r="A494" s="41"/>
      <c r="B494" s="200"/>
      <c r="C494" s="172"/>
      <c r="D494" s="60"/>
      <c r="E494" s="60"/>
      <c r="F494" s="60"/>
      <c r="G494" s="62"/>
      <c r="H494" s="60"/>
      <c r="I494" s="60"/>
      <c r="J494" s="63"/>
      <c r="K494" s="64"/>
      <c r="L494" s="65"/>
      <c r="M494" s="66"/>
      <c r="N494" s="77"/>
      <c r="O494" s="60"/>
      <c r="P494" s="67"/>
      <c r="Q494" s="68"/>
      <c r="R494" s="69"/>
      <c r="S494" s="69"/>
      <c r="T494" s="69"/>
      <c r="U494" s="70"/>
      <c r="V494" s="79"/>
      <c r="W494" s="66"/>
      <c r="X494" s="69"/>
      <c r="Y494" s="75"/>
      <c r="Z494" s="60"/>
      <c r="AA494" s="60"/>
      <c r="AB494" s="75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80"/>
      <c r="AR494" s="164"/>
    </row>
    <row r="495" spans="1:44" ht="30.75" customHeight="1">
      <c r="A495" s="41"/>
      <c r="B495" s="200" t="s">
        <v>2549</v>
      </c>
      <c r="C495" s="172">
        <v>1</v>
      </c>
      <c r="D495" s="60"/>
      <c r="E495" s="60"/>
      <c r="F495" s="60"/>
      <c r="G495" s="62"/>
      <c r="H495" s="60"/>
      <c r="I495" s="60"/>
      <c r="J495" s="63"/>
      <c r="K495" s="64"/>
      <c r="L495" s="65"/>
      <c r="M495" s="66"/>
      <c r="N495" s="77"/>
      <c r="O495" s="60"/>
      <c r="P495" s="67"/>
      <c r="Q495" s="68"/>
      <c r="R495" s="69"/>
      <c r="S495" s="69"/>
      <c r="T495" s="69"/>
      <c r="U495" s="70"/>
      <c r="V495" s="79"/>
      <c r="W495" s="66"/>
      <c r="X495" s="69"/>
      <c r="Y495" s="75"/>
      <c r="Z495" s="60"/>
      <c r="AA495" s="60"/>
      <c r="AB495" s="75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80"/>
      <c r="AR495" s="164"/>
    </row>
    <row r="496" spans="1:44" ht="30.75" customHeight="1">
      <c r="A496" s="41"/>
      <c r="B496" s="200"/>
      <c r="C496" s="172"/>
      <c r="D496" s="60"/>
      <c r="E496" s="60"/>
      <c r="F496" s="60"/>
      <c r="G496" s="62"/>
      <c r="H496" s="60"/>
      <c r="I496" s="60"/>
      <c r="J496" s="63"/>
      <c r="K496" s="64"/>
      <c r="L496" s="65"/>
      <c r="M496" s="66"/>
      <c r="N496" s="77"/>
      <c r="O496" s="60"/>
      <c r="P496" s="67"/>
      <c r="Q496" s="68"/>
      <c r="R496" s="69"/>
      <c r="S496" s="69"/>
      <c r="T496" s="69"/>
      <c r="U496" s="70"/>
      <c r="V496" s="79"/>
      <c r="W496" s="66"/>
      <c r="X496" s="69"/>
      <c r="Y496" s="75"/>
      <c r="Z496" s="60"/>
      <c r="AA496" s="60"/>
      <c r="AB496" s="75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80"/>
      <c r="AR496" s="164"/>
    </row>
    <row r="497" spans="1:44" ht="30.75" customHeight="1">
      <c r="A497" s="41"/>
      <c r="B497" s="200" t="s">
        <v>2549</v>
      </c>
      <c r="C497" s="172">
        <v>2</v>
      </c>
      <c r="D497" s="60"/>
      <c r="E497" s="60"/>
      <c r="F497" s="60"/>
      <c r="G497" s="62"/>
      <c r="H497" s="60"/>
      <c r="I497" s="60"/>
      <c r="J497" s="63"/>
      <c r="K497" s="64"/>
      <c r="L497" s="65"/>
      <c r="M497" s="66"/>
      <c r="N497" s="77"/>
      <c r="O497" s="60"/>
      <c r="P497" s="67"/>
      <c r="Q497" s="68"/>
      <c r="R497" s="69"/>
      <c r="S497" s="69"/>
      <c r="T497" s="69"/>
      <c r="U497" s="70"/>
      <c r="V497" s="79"/>
      <c r="W497" s="66"/>
      <c r="X497" s="69"/>
      <c r="Y497" s="75"/>
      <c r="Z497" s="60"/>
      <c r="AA497" s="60"/>
      <c r="AB497" s="75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80"/>
      <c r="AR497" s="164"/>
    </row>
    <row r="498" spans="1:44" ht="30.75" customHeight="1">
      <c r="A498" s="41"/>
      <c r="B498" s="200"/>
      <c r="C498" s="172"/>
      <c r="D498" s="60"/>
      <c r="E498" s="60"/>
      <c r="F498" s="60"/>
      <c r="G498" s="62"/>
      <c r="H498" s="60"/>
      <c r="I498" s="60"/>
      <c r="J498" s="63"/>
      <c r="K498" s="64"/>
      <c r="L498" s="65"/>
      <c r="M498" s="66"/>
      <c r="N498" s="77"/>
      <c r="O498" s="60"/>
      <c r="P498" s="67"/>
      <c r="Q498" s="68"/>
      <c r="R498" s="69"/>
      <c r="S498" s="69"/>
      <c r="T498" s="69"/>
      <c r="U498" s="70"/>
      <c r="V498" s="79"/>
      <c r="W498" s="66"/>
      <c r="X498" s="69"/>
      <c r="Y498" s="75"/>
      <c r="Z498" s="60"/>
      <c r="AA498" s="60"/>
      <c r="AB498" s="75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80"/>
      <c r="AR498" s="164"/>
    </row>
    <row r="499" spans="1:44" ht="30.75" customHeight="1">
      <c r="A499" s="41"/>
      <c r="B499" s="200" t="s">
        <v>2549</v>
      </c>
      <c r="C499" s="172">
        <v>3</v>
      </c>
      <c r="D499" s="60"/>
      <c r="E499" s="60"/>
      <c r="F499" s="60"/>
      <c r="G499" s="62"/>
      <c r="H499" s="60"/>
      <c r="I499" s="60"/>
      <c r="J499" s="63"/>
      <c r="K499" s="64"/>
      <c r="L499" s="65"/>
      <c r="M499" s="66"/>
      <c r="N499" s="77"/>
      <c r="O499" s="60"/>
      <c r="P499" s="67"/>
      <c r="Q499" s="68"/>
      <c r="R499" s="69"/>
      <c r="S499" s="69"/>
      <c r="T499" s="69"/>
      <c r="U499" s="70"/>
      <c r="V499" s="79"/>
      <c r="W499" s="66"/>
      <c r="X499" s="69"/>
      <c r="Y499" s="75"/>
      <c r="Z499" s="60"/>
      <c r="AA499" s="60"/>
      <c r="AB499" s="75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80"/>
      <c r="AR499" s="164"/>
    </row>
    <row r="500" spans="1:44" ht="30.75" customHeight="1">
      <c r="A500" s="41"/>
      <c r="B500" s="200"/>
      <c r="C500" s="172"/>
      <c r="D500" s="60"/>
      <c r="E500" s="60"/>
      <c r="F500" s="60"/>
      <c r="G500" s="62"/>
      <c r="H500" s="60"/>
      <c r="I500" s="60"/>
      <c r="J500" s="63"/>
      <c r="K500" s="64"/>
      <c r="L500" s="65"/>
      <c r="M500" s="66"/>
      <c r="N500" s="77"/>
      <c r="O500" s="60"/>
      <c r="P500" s="67"/>
      <c r="Q500" s="68"/>
      <c r="R500" s="69"/>
      <c r="S500" s="69"/>
      <c r="T500" s="69"/>
      <c r="U500" s="70"/>
      <c r="V500" s="79"/>
      <c r="W500" s="66"/>
      <c r="X500" s="69"/>
      <c r="Y500" s="75"/>
      <c r="Z500" s="60"/>
      <c r="AA500" s="60"/>
      <c r="AB500" s="75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80"/>
      <c r="AR500" s="164"/>
    </row>
    <row r="501" spans="1:44" ht="30.75" customHeight="1">
      <c r="A501" s="41"/>
      <c r="B501" s="200" t="s">
        <v>2549</v>
      </c>
      <c r="C501" s="172">
        <v>4</v>
      </c>
      <c r="D501" s="60"/>
      <c r="E501" s="60"/>
      <c r="F501" s="60"/>
      <c r="G501" s="62"/>
      <c r="H501" s="60"/>
      <c r="I501" s="60"/>
      <c r="J501" s="63"/>
      <c r="K501" s="64"/>
      <c r="L501" s="65"/>
      <c r="M501" s="66"/>
      <c r="N501" s="77"/>
      <c r="O501" s="60"/>
      <c r="P501" s="67"/>
      <c r="Q501" s="68"/>
      <c r="R501" s="69"/>
      <c r="S501" s="69"/>
      <c r="T501" s="69"/>
      <c r="U501" s="70"/>
      <c r="V501" s="79"/>
      <c r="W501" s="66"/>
      <c r="X501" s="69"/>
      <c r="Y501" s="75"/>
      <c r="Z501" s="60"/>
      <c r="AA501" s="60"/>
      <c r="AB501" s="75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80"/>
      <c r="AR501" s="164"/>
    </row>
    <row r="502" spans="1:44" ht="30.75" customHeight="1">
      <c r="A502" s="41"/>
      <c r="B502" s="200"/>
      <c r="C502" s="172"/>
      <c r="D502" s="60"/>
      <c r="E502" s="60"/>
      <c r="F502" s="60"/>
      <c r="G502" s="62"/>
      <c r="H502" s="60"/>
      <c r="I502" s="60"/>
      <c r="J502" s="63"/>
      <c r="K502" s="64"/>
      <c r="L502" s="65"/>
      <c r="M502" s="66"/>
      <c r="N502" s="77"/>
      <c r="O502" s="60"/>
      <c r="P502" s="67"/>
      <c r="Q502" s="68"/>
      <c r="R502" s="69"/>
      <c r="S502" s="69"/>
      <c r="T502" s="69"/>
      <c r="U502" s="70"/>
      <c r="V502" s="79"/>
      <c r="W502" s="66"/>
      <c r="X502" s="69"/>
      <c r="Y502" s="75"/>
      <c r="Z502" s="60"/>
      <c r="AA502" s="60"/>
      <c r="AB502" s="75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80"/>
      <c r="AR502" s="164"/>
    </row>
    <row r="503" spans="1:44" ht="30.75" customHeight="1">
      <c r="A503" s="41"/>
      <c r="B503" s="200" t="s">
        <v>2549</v>
      </c>
      <c r="C503" s="172">
        <v>5</v>
      </c>
      <c r="D503" s="60"/>
      <c r="E503" s="60"/>
      <c r="F503" s="60"/>
      <c r="G503" s="62"/>
      <c r="H503" s="60"/>
      <c r="I503" s="60"/>
      <c r="J503" s="63"/>
      <c r="K503" s="64"/>
      <c r="L503" s="65"/>
      <c r="M503" s="66"/>
      <c r="N503" s="77"/>
      <c r="O503" s="60"/>
      <c r="P503" s="67"/>
      <c r="Q503" s="68"/>
      <c r="R503" s="69"/>
      <c r="S503" s="69"/>
      <c r="T503" s="69"/>
      <c r="U503" s="70"/>
      <c r="V503" s="79"/>
      <c r="W503" s="66"/>
      <c r="X503" s="69"/>
      <c r="Y503" s="75"/>
      <c r="Z503" s="60"/>
      <c r="AA503" s="60"/>
      <c r="AB503" s="75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80"/>
      <c r="AR503" s="164"/>
    </row>
    <row r="504" spans="1:44" ht="30.75" customHeight="1">
      <c r="A504" s="41"/>
      <c r="B504" s="200"/>
      <c r="C504" s="172"/>
      <c r="D504" s="60"/>
      <c r="E504" s="60"/>
      <c r="F504" s="60"/>
      <c r="G504" s="62"/>
      <c r="H504" s="60"/>
      <c r="I504" s="60"/>
      <c r="J504" s="63"/>
      <c r="K504" s="64"/>
      <c r="L504" s="65"/>
      <c r="M504" s="66"/>
      <c r="N504" s="77"/>
      <c r="O504" s="60"/>
      <c r="P504" s="67"/>
      <c r="Q504" s="68"/>
      <c r="R504" s="69"/>
      <c r="S504" s="69"/>
      <c r="T504" s="69"/>
      <c r="U504" s="70"/>
      <c r="V504" s="79"/>
      <c r="W504" s="66"/>
      <c r="X504" s="69"/>
      <c r="Y504" s="75"/>
      <c r="Z504" s="60"/>
      <c r="AA504" s="60"/>
      <c r="AB504" s="75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80"/>
      <c r="AR504" s="164"/>
    </row>
    <row r="505" spans="1:44" ht="30.75" customHeight="1">
      <c r="A505" s="41"/>
      <c r="B505" s="200" t="s">
        <v>2549</v>
      </c>
      <c r="C505" s="172">
        <v>6</v>
      </c>
      <c r="D505" s="60"/>
      <c r="E505" s="60"/>
      <c r="F505" s="60"/>
      <c r="G505" s="62"/>
      <c r="H505" s="60"/>
      <c r="I505" s="60"/>
      <c r="J505" s="63"/>
      <c r="K505" s="64"/>
      <c r="L505" s="65"/>
      <c r="M505" s="66"/>
      <c r="N505" s="77"/>
      <c r="O505" s="60"/>
      <c r="P505" s="67"/>
      <c r="Q505" s="68"/>
      <c r="R505" s="69"/>
      <c r="S505" s="69"/>
      <c r="T505" s="69"/>
      <c r="U505" s="70"/>
      <c r="V505" s="79"/>
      <c r="W505" s="66"/>
      <c r="X505" s="69"/>
      <c r="Y505" s="75"/>
      <c r="Z505" s="60"/>
      <c r="AA505" s="60"/>
      <c r="AB505" s="75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80"/>
      <c r="AR505" s="164"/>
    </row>
    <row r="506" spans="1:44" ht="30.75" customHeight="1">
      <c r="A506" s="41"/>
      <c r="B506" s="200"/>
      <c r="C506" s="172"/>
      <c r="D506" s="60"/>
      <c r="E506" s="60"/>
      <c r="F506" s="60"/>
      <c r="G506" s="62"/>
      <c r="H506" s="60"/>
      <c r="I506" s="60"/>
      <c r="J506" s="63"/>
      <c r="K506" s="64"/>
      <c r="L506" s="65"/>
      <c r="M506" s="66"/>
      <c r="N506" s="77"/>
      <c r="O506" s="60"/>
      <c r="P506" s="67"/>
      <c r="Q506" s="68"/>
      <c r="R506" s="69"/>
      <c r="S506" s="69"/>
      <c r="T506" s="69"/>
      <c r="U506" s="70"/>
      <c r="V506" s="79"/>
      <c r="W506" s="66"/>
      <c r="X506" s="69"/>
      <c r="Y506" s="75"/>
      <c r="Z506" s="60"/>
      <c r="AA506" s="60"/>
      <c r="AB506" s="75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80"/>
      <c r="AR506" s="164"/>
    </row>
    <row r="507" spans="1:44" ht="30.75" customHeight="1">
      <c r="A507" s="41"/>
      <c r="B507" s="200" t="s">
        <v>2549</v>
      </c>
      <c r="C507" s="172">
        <v>7</v>
      </c>
      <c r="D507" s="60"/>
      <c r="E507" s="60"/>
      <c r="F507" s="60"/>
      <c r="G507" s="62"/>
      <c r="H507" s="60"/>
      <c r="I507" s="60"/>
      <c r="J507" s="63"/>
      <c r="K507" s="64"/>
      <c r="L507" s="65"/>
      <c r="M507" s="66"/>
      <c r="N507" s="77"/>
      <c r="O507" s="60"/>
      <c r="P507" s="67"/>
      <c r="Q507" s="68"/>
      <c r="R507" s="69"/>
      <c r="S507" s="69"/>
      <c r="T507" s="69"/>
      <c r="U507" s="70"/>
      <c r="V507" s="79"/>
      <c r="W507" s="66"/>
      <c r="X507" s="69"/>
      <c r="Y507" s="75"/>
      <c r="Z507" s="60"/>
      <c r="AA507" s="60"/>
      <c r="AB507" s="75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80"/>
      <c r="AR507" s="164"/>
    </row>
    <row r="508" spans="1:44" ht="30.75" customHeight="1">
      <c r="A508" s="41"/>
      <c r="B508" s="200"/>
      <c r="C508" s="172"/>
      <c r="D508" s="60"/>
      <c r="E508" s="60"/>
      <c r="F508" s="60"/>
      <c r="G508" s="62"/>
      <c r="H508" s="60"/>
      <c r="I508" s="60"/>
      <c r="J508" s="63"/>
      <c r="K508" s="64"/>
      <c r="L508" s="65"/>
      <c r="M508" s="66"/>
      <c r="N508" s="77"/>
      <c r="O508" s="60"/>
      <c r="P508" s="67"/>
      <c r="Q508" s="68"/>
      <c r="R508" s="69"/>
      <c r="S508" s="69"/>
      <c r="T508" s="69"/>
      <c r="U508" s="70"/>
      <c r="V508" s="79"/>
      <c r="W508" s="66"/>
      <c r="X508" s="69"/>
      <c r="Y508" s="75"/>
      <c r="Z508" s="60"/>
      <c r="AA508" s="60"/>
      <c r="AB508" s="75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80"/>
      <c r="AR508" s="164"/>
    </row>
    <row r="509" spans="1:44" ht="30.75" customHeight="1">
      <c r="A509" s="41"/>
      <c r="B509" s="200" t="s">
        <v>2549</v>
      </c>
      <c r="C509" s="172">
        <v>8</v>
      </c>
      <c r="D509" s="60"/>
      <c r="E509" s="60"/>
      <c r="F509" s="60"/>
      <c r="G509" s="62"/>
      <c r="H509" s="60"/>
      <c r="I509" s="60"/>
      <c r="J509" s="63"/>
      <c r="K509" s="64"/>
      <c r="L509" s="65"/>
      <c r="M509" s="66"/>
      <c r="N509" s="77"/>
      <c r="O509" s="60"/>
      <c r="P509" s="67"/>
      <c r="Q509" s="68"/>
      <c r="R509" s="69"/>
      <c r="S509" s="69"/>
      <c r="T509" s="69"/>
      <c r="U509" s="70"/>
      <c r="V509" s="79"/>
      <c r="W509" s="66"/>
      <c r="X509" s="69"/>
      <c r="Y509" s="75"/>
      <c r="Z509" s="60"/>
      <c r="AA509" s="60"/>
      <c r="AB509" s="75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80"/>
      <c r="AR509" s="164"/>
    </row>
    <row r="510" spans="1:44" ht="30.75" customHeight="1">
      <c r="A510" s="41"/>
      <c r="B510" s="200"/>
      <c r="C510" s="172"/>
      <c r="D510" s="60"/>
      <c r="E510" s="60"/>
      <c r="F510" s="60"/>
      <c r="G510" s="62"/>
      <c r="H510" s="60"/>
      <c r="I510" s="60"/>
      <c r="J510" s="63"/>
      <c r="K510" s="64"/>
      <c r="L510" s="65"/>
      <c r="M510" s="66"/>
      <c r="N510" s="77"/>
      <c r="O510" s="60"/>
      <c r="P510" s="67"/>
      <c r="Q510" s="68"/>
      <c r="R510" s="69"/>
      <c r="S510" s="69"/>
      <c r="T510" s="69"/>
      <c r="U510" s="70"/>
      <c r="V510" s="79"/>
      <c r="W510" s="66"/>
      <c r="X510" s="69"/>
      <c r="Y510" s="75"/>
      <c r="Z510" s="60"/>
      <c r="AA510" s="60"/>
      <c r="AB510" s="75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80"/>
      <c r="AR510" s="164"/>
    </row>
    <row r="511" spans="1:44" ht="30.75" customHeight="1">
      <c r="A511" s="41"/>
      <c r="B511" s="200" t="s">
        <v>2549</v>
      </c>
      <c r="C511" s="172">
        <v>9</v>
      </c>
      <c r="D511" s="60"/>
      <c r="E511" s="60"/>
      <c r="F511" s="60"/>
      <c r="G511" s="62"/>
      <c r="H511" s="60"/>
      <c r="I511" s="60"/>
      <c r="J511" s="63"/>
      <c r="K511" s="64"/>
      <c r="L511" s="65"/>
      <c r="M511" s="66"/>
      <c r="N511" s="77"/>
      <c r="O511" s="60"/>
      <c r="P511" s="67"/>
      <c r="Q511" s="68"/>
      <c r="R511" s="69"/>
      <c r="S511" s="69"/>
      <c r="T511" s="69"/>
      <c r="U511" s="70"/>
      <c r="V511" s="79"/>
      <c r="W511" s="66"/>
      <c r="X511" s="69"/>
      <c r="Y511" s="75"/>
      <c r="Z511" s="60"/>
      <c r="AA511" s="60"/>
      <c r="AB511" s="75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80"/>
      <c r="AR511" s="164"/>
    </row>
    <row r="512" spans="1:44" ht="30.75" customHeight="1">
      <c r="A512" s="41"/>
      <c r="B512" s="200"/>
      <c r="C512" s="172"/>
      <c r="D512" s="60"/>
      <c r="E512" s="60"/>
      <c r="F512" s="60"/>
      <c r="G512" s="62"/>
      <c r="H512" s="60"/>
      <c r="I512" s="60"/>
      <c r="J512" s="63"/>
      <c r="K512" s="64"/>
      <c r="L512" s="65"/>
      <c r="M512" s="66"/>
      <c r="N512" s="77"/>
      <c r="O512" s="60"/>
      <c r="P512" s="67"/>
      <c r="Q512" s="68"/>
      <c r="R512" s="69"/>
      <c r="S512" s="69"/>
      <c r="T512" s="69"/>
      <c r="U512" s="70"/>
      <c r="V512" s="79"/>
      <c r="W512" s="66"/>
      <c r="X512" s="69"/>
      <c r="Y512" s="75"/>
      <c r="Z512" s="60"/>
      <c r="AA512" s="60"/>
      <c r="AB512" s="75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80"/>
      <c r="AR512" s="164"/>
    </row>
    <row r="513" spans="1:44" ht="30.75" customHeight="1">
      <c r="A513" s="41"/>
      <c r="B513" s="200" t="s">
        <v>2549</v>
      </c>
      <c r="C513" s="172">
        <v>10</v>
      </c>
      <c r="D513" s="60"/>
      <c r="E513" s="60"/>
      <c r="F513" s="60"/>
      <c r="G513" s="62"/>
      <c r="H513" s="60"/>
      <c r="I513" s="60"/>
      <c r="J513" s="63"/>
      <c r="K513" s="64"/>
      <c r="L513" s="65"/>
      <c r="M513" s="66"/>
      <c r="N513" s="77"/>
      <c r="O513" s="60"/>
      <c r="P513" s="67"/>
      <c r="Q513" s="68"/>
      <c r="R513" s="69"/>
      <c r="S513" s="69"/>
      <c r="T513" s="69"/>
      <c r="U513" s="70"/>
      <c r="V513" s="79"/>
      <c r="W513" s="66"/>
      <c r="X513" s="69"/>
      <c r="Y513" s="75"/>
      <c r="Z513" s="60"/>
      <c r="AA513" s="60"/>
      <c r="AB513" s="75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80"/>
      <c r="AR513" s="164"/>
    </row>
    <row r="514" spans="1:44" ht="30.75" customHeight="1">
      <c r="A514" s="41"/>
      <c r="B514" s="200"/>
      <c r="C514" s="172"/>
      <c r="D514" s="60"/>
      <c r="E514" s="60"/>
      <c r="F514" s="60"/>
      <c r="G514" s="62"/>
      <c r="H514" s="60"/>
      <c r="I514" s="60"/>
      <c r="J514" s="63"/>
      <c r="K514" s="64"/>
      <c r="L514" s="65"/>
      <c r="M514" s="66"/>
      <c r="N514" s="77"/>
      <c r="O514" s="60"/>
      <c r="P514" s="67"/>
      <c r="Q514" s="68"/>
      <c r="R514" s="69"/>
      <c r="S514" s="69"/>
      <c r="T514" s="69"/>
      <c r="U514" s="70"/>
      <c r="V514" s="79"/>
      <c r="W514" s="66"/>
      <c r="X514" s="69"/>
      <c r="Y514" s="75"/>
      <c r="Z514" s="60"/>
      <c r="AA514" s="60"/>
      <c r="AB514" s="75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80"/>
      <c r="AR514" s="164"/>
    </row>
    <row r="515" spans="1:44" ht="30.75" customHeight="1">
      <c r="A515" s="41"/>
      <c r="B515" s="200" t="s">
        <v>2549</v>
      </c>
      <c r="C515" s="172">
        <v>11</v>
      </c>
      <c r="D515" s="60"/>
      <c r="E515" s="60"/>
      <c r="F515" s="60"/>
      <c r="G515" s="62"/>
      <c r="H515" s="60"/>
      <c r="I515" s="60"/>
      <c r="J515" s="63"/>
      <c r="K515" s="64"/>
      <c r="L515" s="65"/>
      <c r="M515" s="66"/>
      <c r="N515" s="77"/>
      <c r="O515" s="60"/>
      <c r="P515" s="67"/>
      <c r="Q515" s="68"/>
      <c r="R515" s="69"/>
      <c r="S515" s="69"/>
      <c r="T515" s="69"/>
      <c r="U515" s="70"/>
      <c r="V515" s="79"/>
      <c r="W515" s="66"/>
      <c r="X515" s="69"/>
      <c r="Y515" s="75"/>
      <c r="Z515" s="60"/>
      <c r="AA515" s="60"/>
      <c r="AB515" s="75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80"/>
      <c r="AR515" s="164"/>
    </row>
    <row r="516" spans="1:44" ht="30.75" customHeight="1">
      <c r="A516" s="41"/>
      <c r="B516" s="200"/>
      <c r="C516" s="172"/>
      <c r="D516" s="60"/>
      <c r="E516" s="60"/>
      <c r="F516" s="60"/>
      <c r="G516" s="62"/>
      <c r="H516" s="60"/>
      <c r="I516" s="60"/>
      <c r="J516" s="63"/>
      <c r="K516" s="64"/>
      <c r="L516" s="65"/>
      <c r="M516" s="66"/>
      <c r="N516" s="77"/>
      <c r="O516" s="60"/>
      <c r="P516" s="67"/>
      <c r="Q516" s="68"/>
      <c r="R516" s="69"/>
      <c r="S516" s="69"/>
      <c r="T516" s="69"/>
      <c r="U516" s="70"/>
      <c r="V516" s="79"/>
      <c r="W516" s="66"/>
      <c r="X516" s="69"/>
      <c r="Y516" s="75"/>
      <c r="Z516" s="60"/>
      <c r="AA516" s="60"/>
      <c r="AB516" s="75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80"/>
      <c r="AR516" s="164"/>
    </row>
    <row r="517" spans="1:44" ht="30.75" customHeight="1">
      <c r="A517" s="41"/>
      <c r="B517" s="200" t="s">
        <v>2549</v>
      </c>
      <c r="C517" s="172">
        <v>12</v>
      </c>
      <c r="D517" s="60"/>
      <c r="E517" s="60"/>
      <c r="F517" s="60"/>
      <c r="G517" s="62"/>
      <c r="H517" s="60"/>
      <c r="I517" s="60"/>
      <c r="J517" s="63"/>
      <c r="K517" s="64"/>
      <c r="L517" s="65"/>
      <c r="M517" s="66"/>
      <c r="N517" s="77"/>
      <c r="O517" s="60"/>
      <c r="P517" s="67"/>
      <c r="Q517" s="68"/>
      <c r="R517" s="69"/>
      <c r="S517" s="69"/>
      <c r="T517" s="69"/>
      <c r="U517" s="70"/>
      <c r="V517" s="79"/>
      <c r="W517" s="66"/>
      <c r="X517" s="69"/>
      <c r="Y517" s="75"/>
      <c r="Z517" s="60"/>
      <c r="AA517" s="60"/>
      <c r="AB517" s="75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80"/>
      <c r="AR517" s="164"/>
    </row>
    <row r="518" spans="1:44" ht="30.75" customHeight="1">
      <c r="A518" s="41"/>
      <c r="B518" s="200"/>
      <c r="C518" s="172"/>
      <c r="D518" s="60"/>
      <c r="E518" s="60"/>
      <c r="F518" s="60"/>
      <c r="G518" s="62"/>
      <c r="H518" s="60"/>
      <c r="I518" s="60"/>
      <c r="J518" s="63"/>
      <c r="K518" s="64"/>
      <c r="L518" s="65"/>
      <c r="M518" s="66"/>
      <c r="N518" s="77"/>
      <c r="O518" s="60"/>
      <c r="P518" s="67"/>
      <c r="Q518" s="68"/>
      <c r="R518" s="69"/>
      <c r="S518" s="69"/>
      <c r="T518" s="69"/>
      <c r="U518" s="70"/>
      <c r="V518" s="79"/>
      <c r="W518" s="66"/>
      <c r="X518" s="69"/>
      <c r="Y518" s="75"/>
      <c r="Z518" s="60"/>
      <c r="AA518" s="60"/>
      <c r="AB518" s="75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80"/>
      <c r="AR518" s="164"/>
    </row>
    <row r="519" spans="1:44" ht="30.75" customHeight="1">
      <c r="A519" s="41"/>
      <c r="B519" s="200" t="s">
        <v>2549</v>
      </c>
      <c r="C519" s="172">
        <v>13</v>
      </c>
      <c r="D519" s="60"/>
      <c r="E519" s="60"/>
      <c r="F519" s="60"/>
      <c r="G519" s="62"/>
      <c r="H519" s="60"/>
      <c r="I519" s="60"/>
      <c r="J519" s="63"/>
      <c r="K519" s="64"/>
      <c r="L519" s="65"/>
      <c r="M519" s="66"/>
      <c r="N519" s="77"/>
      <c r="O519" s="60"/>
      <c r="P519" s="67"/>
      <c r="Q519" s="68"/>
      <c r="R519" s="69"/>
      <c r="S519" s="69"/>
      <c r="T519" s="69"/>
      <c r="U519" s="70"/>
      <c r="V519" s="79"/>
      <c r="W519" s="66"/>
      <c r="X519" s="69"/>
      <c r="Y519" s="75"/>
      <c r="Z519" s="60"/>
      <c r="AA519" s="60"/>
      <c r="AB519" s="75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80"/>
      <c r="AR519" s="164"/>
    </row>
    <row r="520" spans="1:44" ht="30.75" customHeight="1">
      <c r="A520" s="41"/>
      <c r="B520" s="200"/>
      <c r="C520" s="172"/>
      <c r="D520" s="60"/>
      <c r="E520" s="60"/>
      <c r="F520" s="60"/>
      <c r="G520" s="62"/>
      <c r="H520" s="60"/>
      <c r="I520" s="60"/>
      <c r="J520" s="63"/>
      <c r="K520" s="64"/>
      <c r="L520" s="65"/>
      <c r="M520" s="66"/>
      <c r="N520" s="77"/>
      <c r="O520" s="60"/>
      <c r="P520" s="67"/>
      <c r="Q520" s="68"/>
      <c r="R520" s="69"/>
      <c r="S520" s="69"/>
      <c r="T520" s="69"/>
      <c r="U520" s="70"/>
      <c r="V520" s="79"/>
      <c r="W520" s="66"/>
      <c r="X520" s="69"/>
      <c r="Y520" s="75"/>
      <c r="Z520" s="60"/>
      <c r="AA520" s="60"/>
      <c r="AB520" s="75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80"/>
      <c r="AR520" s="164"/>
    </row>
    <row r="521" spans="1:44" ht="30.75" customHeight="1">
      <c r="A521" s="41"/>
      <c r="B521" s="200" t="s">
        <v>2549</v>
      </c>
      <c r="C521" s="172">
        <v>14</v>
      </c>
      <c r="D521" s="60"/>
      <c r="E521" s="60"/>
      <c r="F521" s="60"/>
      <c r="G521" s="62"/>
      <c r="H521" s="60"/>
      <c r="I521" s="60"/>
      <c r="J521" s="63"/>
      <c r="K521" s="64"/>
      <c r="L521" s="65"/>
      <c r="M521" s="66"/>
      <c r="N521" s="77"/>
      <c r="O521" s="60"/>
      <c r="P521" s="67"/>
      <c r="Q521" s="68"/>
      <c r="R521" s="69"/>
      <c r="S521" s="69"/>
      <c r="T521" s="69"/>
      <c r="U521" s="70"/>
      <c r="V521" s="79"/>
      <c r="W521" s="66"/>
      <c r="X521" s="69"/>
      <c r="Y521" s="75"/>
      <c r="Z521" s="60"/>
      <c r="AA521" s="60"/>
      <c r="AB521" s="75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80"/>
      <c r="AR521" s="164"/>
    </row>
    <row r="522" spans="1:44" ht="30.75" customHeight="1">
      <c r="A522" s="41"/>
      <c r="B522" s="200"/>
      <c r="C522" s="172"/>
      <c r="D522" s="60"/>
      <c r="E522" s="60"/>
      <c r="F522" s="60"/>
      <c r="G522" s="62"/>
      <c r="H522" s="60"/>
      <c r="I522" s="60"/>
      <c r="J522" s="63"/>
      <c r="K522" s="64"/>
      <c r="L522" s="65"/>
      <c r="M522" s="66"/>
      <c r="N522" s="77"/>
      <c r="O522" s="60"/>
      <c r="P522" s="67"/>
      <c r="Q522" s="68"/>
      <c r="R522" s="69"/>
      <c r="S522" s="69"/>
      <c r="T522" s="69"/>
      <c r="U522" s="70"/>
      <c r="V522" s="79"/>
      <c r="W522" s="66"/>
      <c r="X522" s="69"/>
      <c r="Y522" s="75"/>
      <c r="Z522" s="60"/>
      <c r="AA522" s="60"/>
      <c r="AB522" s="75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80"/>
      <c r="AR522" s="164"/>
    </row>
    <row r="523" spans="1:44" ht="30.75" customHeight="1">
      <c r="A523" s="41"/>
      <c r="B523" s="200" t="s">
        <v>2549</v>
      </c>
      <c r="C523" s="172">
        <v>15</v>
      </c>
      <c r="D523" s="60"/>
      <c r="E523" s="60"/>
      <c r="F523" s="60"/>
      <c r="G523" s="62"/>
      <c r="H523" s="60"/>
      <c r="I523" s="60"/>
      <c r="J523" s="63"/>
      <c r="K523" s="64"/>
      <c r="L523" s="65"/>
      <c r="M523" s="66"/>
      <c r="N523" s="77"/>
      <c r="O523" s="60"/>
      <c r="P523" s="67"/>
      <c r="Q523" s="68"/>
      <c r="R523" s="69"/>
      <c r="S523" s="69"/>
      <c r="T523" s="69"/>
      <c r="U523" s="70"/>
      <c r="V523" s="79"/>
      <c r="W523" s="66"/>
      <c r="X523" s="69"/>
      <c r="Y523" s="75"/>
      <c r="Z523" s="60"/>
      <c r="AA523" s="60"/>
      <c r="AB523" s="75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80"/>
      <c r="AR523" s="164"/>
    </row>
    <row r="524" spans="1:44" ht="30.75" customHeight="1">
      <c r="A524" s="41"/>
      <c r="B524" s="200"/>
      <c r="C524" s="172"/>
      <c r="D524" s="60"/>
      <c r="E524" s="60"/>
      <c r="F524" s="60"/>
      <c r="G524" s="62"/>
      <c r="H524" s="60"/>
      <c r="I524" s="60"/>
      <c r="J524" s="63"/>
      <c r="K524" s="64"/>
      <c r="L524" s="65"/>
      <c r="M524" s="66"/>
      <c r="N524" s="77"/>
      <c r="O524" s="60"/>
      <c r="P524" s="67"/>
      <c r="Q524" s="68"/>
      <c r="R524" s="69"/>
      <c r="S524" s="69"/>
      <c r="T524" s="69"/>
      <c r="U524" s="70"/>
      <c r="V524" s="79"/>
      <c r="W524" s="66"/>
      <c r="X524" s="69"/>
      <c r="Y524" s="75"/>
      <c r="Z524" s="60"/>
      <c r="AA524" s="60"/>
      <c r="AB524" s="75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80"/>
      <c r="AR524" s="164"/>
    </row>
    <row r="525" spans="1:44" ht="30.75" customHeight="1">
      <c r="A525" s="41"/>
      <c r="B525" s="200" t="s">
        <v>2549</v>
      </c>
      <c r="C525" s="172">
        <v>16</v>
      </c>
      <c r="D525" s="60"/>
      <c r="E525" s="60"/>
      <c r="F525" s="60"/>
      <c r="G525" s="62"/>
      <c r="H525" s="60"/>
      <c r="I525" s="60"/>
      <c r="J525" s="63"/>
      <c r="K525" s="64"/>
      <c r="L525" s="65"/>
      <c r="M525" s="66"/>
      <c r="N525" s="77"/>
      <c r="O525" s="60"/>
      <c r="P525" s="67"/>
      <c r="Q525" s="68"/>
      <c r="R525" s="69"/>
      <c r="S525" s="69"/>
      <c r="T525" s="69"/>
      <c r="U525" s="70"/>
      <c r="V525" s="79"/>
      <c r="W525" s="66"/>
      <c r="X525" s="69"/>
      <c r="Y525" s="75"/>
      <c r="Z525" s="60"/>
      <c r="AA525" s="60"/>
      <c r="AB525" s="75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80"/>
      <c r="AR525" s="164"/>
    </row>
    <row r="526" spans="1:44" ht="30.75" customHeight="1">
      <c r="A526" s="41"/>
      <c r="B526" s="200"/>
      <c r="C526" s="172"/>
      <c r="D526" s="60"/>
      <c r="E526" s="60"/>
      <c r="F526" s="60"/>
      <c r="G526" s="62"/>
      <c r="H526" s="60"/>
      <c r="I526" s="60"/>
      <c r="J526" s="63"/>
      <c r="K526" s="64"/>
      <c r="L526" s="65"/>
      <c r="M526" s="66"/>
      <c r="N526" s="77"/>
      <c r="O526" s="60"/>
      <c r="P526" s="67"/>
      <c r="Q526" s="68"/>
      <c r="R526" s="69"/>
      <c r="S526" s="69"/>
      <c r="T526" s="69"/>
      <c r="U526" s="70"/>
      <c r="V526" s="79"/>
      <c r="W526" s="66"/>
      <c r="X526" s="69"/>
      <c r="Y526" s="75"/>
      <c r="Z526" s="60"/>
      <c r="AA526" s="60"/>
      <c r="AB526" s="75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80"/>
      <c r="AR526" s="164"/>
    </row>
    <row r="527" spans="1:44" ht="30.75" customHeight="1">
      <c r="A527" s="41"/>
      <c r="B527" s="200" t="s">
        <v>2549</v>
      </c>
      <c r="C527" s="172">
        <v>17</v>
      </c>
      <c r="D527" s="60"/>
      <c r="E527" s="60"/>
      <c r="F527" s="60"/>
      <c r="G527" s="62"/>
      <c r="H527" s="60"/>
      <c r="I527" s="60"/>
      <c r="J527" s="63"/>
      <c r="K527" s="64"/>
      <c r="L527" s="65"/>
      <c r="M527" s="66"/>
      <c r="N527" s="77"/>
      <c r="O527" s="60"/>
      <c r="P527" s="67"/>
      <c r="Q527" s="68"/>
      <c r="R527" s="69"/>
      <c r="S527" s="69"/>
      <c r="T527" s="69"/>
      <c r="U527" s="70"/>
      <c r="V527" s="79"/>
      <c r="W527" s="66"/>
      <c r="X527" s="69"/>
      <c r="Y527" s="75"/>
      <c r="Z527" s="60"/>
      <c r="AA527" s="60"/>
      <c r="AB527" s="75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80"/>
      <c r="AR527" s="164"/>
    </row>
    <row r="528" spans="1:44" ht="30.75" customHeight="1">
      <c r="A528" s="41"/>
      <c r="B528" s="200"/>
      <c r="C528" s="172"/>
      <c r="D528" s="60"/>
      <c r="E528" s="60"/>
      <c r="F528" s="60"/>
      <c r="G528" s="62"/>
      <c r="H528" s="60"/>
      <c r="I528" s="60"/>
      <c r="J528" s="63"/>
      <c r="K528" s="64"/>
      <c r="L528" s="65"/>
      <c r="M528" s="66"/>
      <c r="N528" s="77"/>
      <c r="O528" s="60"/>
      <c r="P528" s="67"/>
      <c r="Q528" s="68"/>
      <c r="R528" s="69"/>
      <c r="S528" s="69"/>
      <c r="T528" s="69"/>
      <c r="U528" s="70"/>
      <c r="V528" s="79"/>
      <c r="W528" s="66"/>
      <c r="X528" s="69"/>
      <c r="Y528" s="75"/>
      <c r="Z528" s="60"/>
      <c r="AA528" s="60"/>
      <c r="AB528" s="75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80"/>
      <c r="AR528" s="164"/>
    </row>
    <row r="529" spans="1:44" ht="30.75" customHeight="1">
      <c r="A529" s="41"/>
      <c r="B529" s="200" t="s">
        <v>2549</v>
      </c>
      <c r="C529" s="172">
        <v>18</v>
      </c>
      <c r="D529" s="60"/>
      <c r="E529" s="60"/>
      <c r="F529" s="60"/>
      <c r="G529" s="62"/>
      <c r="H529" s="60"/>
      <c r="I529" s="60"/>
      <c r="J529" s="63"/>
      <c r="K529" s="64"/>
      <c r="L529" s="65"/>
      <c r="M529" s="66"/>
      <c r="N529" s="77"/>
      <c r="O529" s="60"/>
      <c r="P529" s="67"/>
      <c r="Q529" s="68"/>
      <c r="R529" s="69"/>
      <c r="S529" s="69"/>
      <c r="T529" s="69"/>
      <c r="U529" s="70"/>
      <c r="V529" s="79"/>
      <c r="W529" s="66"/>
      <c r="X529" s="69"/>
      <c r="Y529" s="75"/>
      <c r="Z529" s="60"/>
      <c r="AA529" s="60"/>
      <c r="AB529" s="75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80"/>
      <c r="AR529" s="164"/>
    </row>
    <row r="530" spans="1:44" ht="30.75" customHeight="1">
      <c r="A530" s="41"/>
      <c r="B530" s="200"/>
      <c r="C530" s="172"/>
      <c r="D530" s="60"/>
      <c r="E530" s="60"/>
      <c r="F530" s="60"/>
      <c r="G530" s="62"/>
      <c r="H530" s="60"/>
      <c r="I530" s="60"/>
      <c r="J530" s="63"/>
      <c r="K530" s="64"/>
      <c r="L530" s="65"/>
      <c r="M530" s="66"/>
      <c r="N530" s="77"/>
      <c r="O530" s="60"/>
      <c r="P530" s="67"/>
      <c r="Q530" s="68"/>
      <c r="R530" s="69"/>
      <c r="S530" s="69"/>
      <c r="T530" s="69"/>
      <c r="U530" s="70"/>
      <c r="V530" s="79"/>
      <c r="W530" s="66"/>
      <c r="X530" s="69"/>
      <c r="Y530" s="75"/>
      <c r="Z530" s="60"/>
      <c r="AA530" s="60"/>
      <c r="AB530" s="75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80"/>
      <c r="AR530" s="164"/>
    </row>
    <row r="531" spans="1:44" ht="30.75" customHeight="1">
      <c r="A531" s="41"/>
      <c r="B531" s="200" t="s">
        <v>2549</v>
      </c>
      <c r="C531" s="172">
        <v>19</v>
      </c>
      <c r="D531" s="60"/>
      <c r="E531" s="60"/>
      <c r="F531" s="60"/>
      <c r="G531" s="62"/>
      <c r="H531" s="60"/>
      <c r="I531" s="60"/>
      <c r="J531" s="63"/>
      <c r="K531" s="64"/>
      <c r="L531" s="65"/>
      <c r="M531" s="66"/>
      <c r="N531" s="77"/>
      <c r="O531" s="60"/>
      <c r="P531" s="67"/>
      <c r="Q531" s="68"/>
      <c r="R531" s="69"/>
      <c r="S531" s="69"/>
      <c r="T531" s="69"/>
      <c r="U531" s="70"/>
      <c r="V531" s="79"/>
      <c r="W531" s="66"/>
      <c r="X531" s="69"/>
      <c r="Y531" s="75"/>
      <c r="Z531" s="60"/>
      <c r="AA531" s="60"/>
      <c r="AB531" s="75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80"/>
      <c r="AR531" s="164"/>
    </row>
    <row r="532" spans="1:44" ht="30.75" customHeight="1">
      <c r="A532" s="41"/>
      <c r="B532" s="200"/>
      <c r="C532" s="172"/>
      <c r="D532" s="60"/>
      <c r="E532" s="60"/>
      <c r="F532" s="60"/>
      <c r="G532" s="62"/>
      <c r="H532" s="60"/>
      <c r="I532" s="60"/>
      <c r="J532" s="63"/>
      <c r="K532" s="64"/>
      <c r="L532" s="65"/>
      <c r="M532" s="66"/>
      <c r="N532" s="77"/>
      <c r="O532" s="60"/>
      <c r="P532" s="67"/>
      <c r="Q532" s="68"/>
      <c r="R532" s="69"/>
      <c r="S532" s="69"/>
      <c r="T532" s="69"/>
      <c r="U532" s="70"/>
      <c r="V532" s="79"/>
      <c r="W532" s="66"/>
      <c r="X532" s="69"/>
      <c r="Y532" s="75"/>
      <c r="Z532" s="60"/>
      <c r="AA532" s="60"/>
      <c r="AB532" s="75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80"/>
      <c r="AR532" s="164"/>
    </row>
    <row r="533" spans="1:44" ht="30.75" customHeight="1">
      <c r="A533" s="41"/>
      <c r="B533" s="200" t="s">
        <v>2549</v>
      </c>
      <c r="C533" s="172">
        <v>20</v>
      </c>
      <c r="D533" s="60"/>
      <c r="E533" s="60"/>
      <c r="F533" s="60"/>
      <c r="G533" s="62"/>
      <c r="H533" s="60"/>
      <c r="I533" s="60"/>
      <c r="J533" s="63"/>
      <c r="K533" s="64"/>
      <c r="L533" s="65"/>
      <c r="M533" s="66"/>
      <c r="N533" s="77"/>
      <c r="O533" s="60"/>
      <c r="P533" s="67"/>
      <c r="Q533" s="68"/>
      <c r="R533" s="69"/>
      <c r="S533" s="69"/>
      <c r="T533" s="69"/>
      <c r="U533" s="70"/>
      <c r="V533" s="79"/>
      <c r="W533" s="66"/>
      <c r="X533" s="69"/>
      <c r="Y533" s="75"/>
      <c r="Z533" s="60"/>
      <c r="AA533" s="60"/>
      <c r="AB533" s="75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80"/>
      <c r="AR533" s="164"/>
    </row>
    <row r="534" spans="1:44" ht="30.75" customHeight="1">
      <c r="A534" s="41"/>
      <c r="B534" s="200"/>
      <c r="C534" s="172"/>
      <c r="D534" s="60"/>
      <c r="E534" s="60"/>
      <c r="F534" s="60"/>
      <c r="G534" s="62"/>
      <c r="H534" s="60"/>
      <c r="I534" s="60"/>
      <c r="J534" s="63"/>
      <c r="K534" s="64"/>
      <c r="L534" s="65"/>
      <c r="M534" s="66"/>
      <c r="N534" s="77"/>
      <c r="O534" s="60"/>
      <c r="P534" s="67"/>
      <c r="Q534" s="68"/>
      <c r="R534" s="69"/>
      <c r="S534" s="69"/>
      <c r="T534" s="69"/>
      <c r="U534" s="70"/>
      <c r="V534" s="79"/>
      <c r="W534" s="66"/>
      <c r="X534" s="69"/>
      <c r="Y534" s="75"/>
      <c r="Z534" s="60"/>
      <c r="AA534" s="60"/>
      <c r="AB534" s="75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80"/>
      <c r="AR534" s="164"/>
    </row>
    <row r="535" spans="1:44" ht="30.75" customHeight="1">
      <c r="A535" s="41"/>
      <c r="B535" s="200" t="s">
        <v>2549</v>
      </c>
      <c r="C535" s="172">
        <v>21</v>
      </c>
      <c r="D535" s="60"/>
      <c r="E535" s="60"/>
      <c r="F535" s="60"/>
      <c r="G535" s="62"/>
      <c r="H535" s="60"/>
      <c r="I535" s="60"/>
      <c r="J535" s="63"/>
      <c r="K535" s="64"/>
      <c r="L535" s="65"/>
      <c r="M535" s="66"/>
      <c r="N535" s="77"/>
      <c r="O535" s="60"/>
      <c r="P535" s="67"/>
      <c r="Q535" s="68"/>
      <c r="R535" s="69"/>
      <c r="S535" s="69"/>
      <c r="T535" s="69"/>
      <c r="U535" s="70"/>
      <c r="V535" s="79"/>
      <c r="W535" s="66"/>
      <c r="X535" s="69"/>
      <c r="Y535" s="75"/>
      <c r="Z535" s="60"/>
      <c r="AA535" s="60"/>
      <c r="AB535" s="75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80"/>
      <c r="AR535" s="164"/>
    </row>
    <row r="536" spans="1:44" ht="30.75" customHeight="1">
      <c r="A536" s="41"/>
      <c r="B536" s="200"/>
      <c r="C536" s="172"/>
      <c r="D536" s="60"/>
      <c r="E536" s="60"/>
      <c r="F536" s="60"/>
      <c r="G536" s="62"/>
      <c r="H536" s="60"/>
      <c r="I536" s="60"/>
      <c r="J536" s="63"/>
      <c r="K536" s="64"/>
      <c r="L536" s="65"/>
      <c r="M536" s="66"/>
      <c r="N536" s="77"/>
      <c r="O536" s="60"/>
      <c r="P536" s="67"/>
      <c r="Q536" s="68"/>
      <c r="R536" s="69"/>
      <c r="S536" s="69"/>
      <c r="T536" s="69"/>
      <c r="U536" s="70"/>
      <c r="V536" s="79"/>
      <c r="W536" s="66"/>
      <c r="X536" s="69"/>
      <c r="Y536" s="75"/>
      <c r="Z536" s="60"/>
      <c r="AA536" s="60"/>
      <c r="AB536" s="75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80"/>
      <c r="AR536" s="164"/>
    </row>
    <row r="537" spans="1:44" ht="30.75" customHeight="1">
      <c r="A537" s="41"/>
      <c r="B537" s="200" t="s">
        <v>2549</v>
      </c>
      <c r="C537" s="172">
        <v>22</v>
      </c>
      <c r="D537" s="60"/>
      <c r="E537" s="60"/>
      <c r="F537" s="60"/>
      <c r="G537" s="62"/>
      <c r="H537" s="60"/>
      <c r="I537" s="60"/>
      <c r="J537" s="63"/>
      <c r="K537" s="64"/>
      <c r="L537" s="65"/>
      <c r="M537" s="66"/>
      <c r="N537" s="77"/>
      <c r="O537" s="60"/>
      <c r="P537" s="67"/>
      <c r="Q537" s="68"/>
      <c r="R537" s="69"/>
      <c r="S537" s="69"/>
      <c r="T537" s="69"/>
      <c r="U537" s="70"/>
      <c r="V537" s="79"/>
      <c r="W537" s="66"/>
      <c r="X537" s="69"/>
      <c r="Y537" s="75"/>
      <c r="Z537" s="60"/>
      <c r="AA537" s="60"/>
      <c r="AB537" s="75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80"/>
      <c r="AR537" s="164"/>
    </row>
    <row r="538" spans="1:44" ht="30.75" customHeight="1">
      <c r="A538" s="41"/>
      <c r="B538" s="200"/>
      <c r="C538" s="172"/>
      <c r="D538" s="60"/>
      <c r="E538" s="60"/>
      <c r="F538" s="60"/>
      <c r="G538" s="62"/>
      <c r="H538" s="60"/>
      <c r="I538" s="60"/>
      <c r="J538" s="63"/>
      <c r="K538" s="64"/>
      <c r="L538" s="65"/>
      <c r="M538" s="66"/>
      <c r="N538" s="77"/>
      <c r="O538" s="60"/>
      <c r="P538" s="67"/>
      <c r="Q538" s="68"/>
      <c r="R538" s="69"/>
      <c r="S538" s="69"/>
      <c r="T538" s="69"/>
      <c r="U538" s="70"/>
      <c r="V538" s="79"/>
      <c r="W538" s="66"/>
      <c r="X538" s="69"/>
      <c r="Y538" s="75"/>
      <c r="Z538" s="60"/>
      <c r="AA538" s="60"/>
      <c r="AB538" s="75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80"/>
      <c r="AR538" s="164"/>
    </row>
    <row r="539" spans="1:44" ht="30.75" customHeight="1">
      <c r="A539" s="41"/>
      <c r="B539" s="200" t="s">
        <v>2549</v>
      </c>
      <c r="C539" s="172">
        <v>23</v>
      </c>
      <c r="D539" s="60"/>
      <c r="E539" s="60"/>
      <c r="F539" s="60"/>
      <c r="G539" s="62"/>
      <c r="H539" s="60"/>
      <c r="I539" s="60"/>
      <c r="J539" s="63"/>
      <c r="K539" s="64"/>
      <c r="L539" s="65"/>
      <c r="M539" s="66"/>
      <c r="N539" s="77"/>
      <c r="O539" s="60"/>
      <c r="P539" s="67"/>
      <c r="Q539" s="68"/>
      <c r="R539" s="69"/>
      <c r="S539" s="69"/>
      <c r="T539" s="69"/>
      <c r="U539" s="70"/>
      <c r="V539" s="79"/>
      <c r="W539" s="66"/>
      <c r="X539" s="69"/>
      <c r="Y539" s="75"/>
      <c r="Z539" s="60"/>
      <c r="AA539" s="60"/>
      <c r="AB539" s="75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80"/>
      <c r="AR539" s="164"/>
    </row>
    <row r="540" spans="1:44" ht="30.75" customHeight="1">
      <c r="A540" s="41"/>
      <c r="B540" s="200"/>
      <c r="C540" s="172"/>
      <c r="D540" s="60"/>
      <c r="E540" s="60"/>
      <c r="F540" s="60"/>
      <c r="G540" s="62"/>
      <c r="H540" s="60"/>
      <c r="I540" s="60"/>
      <c r="J540" s="63"/>
      <c r="K540" s="64"/>
      <c r="L540" s="65"/>
      <c r="M540" s="66"/>
      <c r="N540" s="77"/>
      <c r="O540" s="60"/>
      <c r="P540" s="67"/>
      <c r="Q540" s="68"/>
      <c r="R540" s="69"/>
      <c r="S540" s="69"/>
      <c r="T540" s="69"/>
      <c r="U540" s="70"/>
      <c r="V540" s="79"/>
      <c r="W540" s="66"/>
      <c r="X540" s="69"/>
      <c r="Y540" s="75"/>
      <c r="Z540" s="60"/>
      <c r="AA540" s="60"/>
      <c r="AB540" s="75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80"/>
      <c r="AR540" s="164"/>
    </row>
    <row r="541" spans="1:44" ht="30.75" customHeight="1">
      <c r="A541" s="41"/>
      <c r="B541" s="200" t="s">
        <v>2549</v>
      </c>
      <c r="C541" s="172">
        <v>24</v>
      </c>
      <c r="D541" s="60"/>
      <c r="E541" s="60"/>
      <c r="F541" s="60"/>
      <c r="G541" s="62"/>
      <c r="H541" s="60"/>
      <c r="I541" s="60"/>
      <c r="J541" s="63"/>
      <c r="K541" s="64"/>
      <c r="L541" s="65"/>
      <c r="M541" s="66"/>
      <c r="N541" s="77"/>
      <c r="O541" s="60"/>
      <c r="P541" s="67"/>
      <c r="Q541" s="68"/>
      <c r="R541" s="69"/>
      <c r="S541" s="69"/>
      <c r="T541" s="69"/>
      <c r="U541" s="70"/>
      <c r="V541" s="79"/>
      <c r="W541" s="66"/>
      <c r="X541" s="69"/>
      <c r="Y541" s="75"/>
      <c r="Z541" s="60"/>
      <c r="AA541" s="60"/>
      <c r="AB541" s="75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80"/>
      <c r="AR541" s="164"/>
    </row>
    <row r="542" spans="1:44" ht="30.75" customHeight="1">
      <c r="A542" s="41"/>
      <c r="B542" s="200"/>
      <c r="C542" s="172"/>
      <c r="D542" s="60"/>
      <c r="E542" s="60"/>
      <c r="F542" s="60"/>
      <c r="G542" s="62"/>
      <c r="H542" s="60"/>
      <c r="I542" s="60"/>
      <c r="J542" s="63"/>
      <c r="K542" s="64"/>
      <c r="L542" s="65"/>
      <c r="M542" s="66"/>
      <c r="N542" s="77"/>
      <c r="O542" s="60"/>
      <c r="P542" s="67"/>
      <c r="Q542" s="68"/>
      <c r="R542" s="69"/>
      <c r="S542" s="69"/>
      <c r="T542" s="69"/>
      <c r="U542" s="70"/>
      <c r="V542" s="79"/>
      <c r="W542" s="66"/>
      <c r="X542" s="69"/>
      <c r="Y542" s="75"/>
      <c r="Z542" s="60"/>
      <c r="AA542" s="60"/>
      <c r="AB542" s="75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80"/>
      <c r="AR542" s="164"/>
    </row>
    <row r="543" spans="1:44" ht="30.75" customHeight="1">
      <c r="A543" s="41"/>
      <c r="B543" s="200" t="s">
        <v>2549</v>
      </c>
      <c r="C543" s="172">
        <v>25</v>
      </c>
      <c r="D543" s="60"/>
      <c r="E543" s="60"/>
      <c r="F543" s="60"/>
      <c r="G543" s="62"/>
      <c r="H543" s="60"/>
      <c r="I543" s="60"/>
      <c r="J543" s="63"/>
      <c r="K543" s="64"/>
      <c r="L543" s="65"/>
      <c r="M543" s="66"/>
      <c r="N543" s="77"/>
      <c r="O543" s="60"/>
      <c r="P543" s="67"/>
      <c r="Q543" s="68"/>
      <c r="R543" s="69"/>
      <c r="S543" s="69"/>
      <c r="T543" s="69"/>
      <c r="U543" s="70"/>
      <c r="V543" s="79"/>
      <c r="W543" s="66"/>
      <c r="X543" s="69"/>
      <c r="Y543" s="75"/>
      <c r="Z543" s="60"/>
      <c r="AA543" s="60"/>
      <c r="AB543" s="75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80"/>
      <c r="AR543" s="164"/>
    </row>
    <row r="544" spans="1:44" ht="30.75" customHeight="1">
      <c r="A544" s="41"/>
      <c r="B544" s="200"/>
      <c r="C544" s="172"/>
      <c r="D544" s="60"/>
      <c r="E544" s="60"/>
      <c r="F544" s="60"/>
      <c r="G544" s="62"/>
      <c r="H544" s="60"/>
      <c r="I544" s="60"/>
      <c r="J544" s="63"/>
      <c r="K544" s="64"/>
      <c r="L544" s="65"/>
      <c r="M544" s="66"/>
      <c r="N544" s="77"/>
      <c r="O544" s="60"/>
      <c r="P544" s="67"/>
      <c r="Q544" s="68"/>
      <c r="R544" s="69"/>
      <c r="S544" s="69"/>
      <c r="T544" s="69"/>
      <c r="U544" s="70"/>
      <c r="V544" s="79"/>
      <c r="W544" s="66"/>
      <c r="X544" s="69"/>
      <c r="Y544" s="75"/>
      <c r="Z544" s="60"/>
      <c r="AA544" s="60"/>
      <c r="AB544" s="75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80"/>
      <c r="AR544" s="164"/>
    </row>
    <row r="545" spans="1:44" ht="30.75" customHeight="1">
      <c r="A545" s="41"/>
      <c r="B545" s="200" t="s">
        <v>2549</v>
      </c>
      <c r="C545" s="172">
        <v>26</v>
      </c>
      <c r="D545" s="60"/>
      <c r="E545" s="60"/>
      <c r="F545" s="60"/>
      <c r="G545" s="62"/>
      <c r="H545" s="60"/>
      <c r="I545" s="60"/>
      <c r="J545" s="63"/>
      <c r="K545" s="64"/>
      <c r="L545" s="65"/>
      <c r="M545" s="66"/>
      <c r="N545" s="77"/>
      <c r="O545" s="60"/>
      <c r="P545" s="67"/>
      <c r="Q545" s="68"/>
      <c r="R545" s="69"/>
      <c r="S545" s="69"/>
      <c r="T545" s="69"/>
      <c r="U545" s="70"/>
      <c r="V545" s="79"/>
      <c r="W545" s="66"/>
      <c r="X545" s="69"/>
      <c r="Y545" s="75"/>
      <c r="Z545" s="60"/>
      <c r="AA545" s="60"/>
      <c r="AB545" s="75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80"/>
      <c r="AR545" s="164"/>
    </row>
    <row r="546" spans="1:44" ht="30.75" customHeight="1">
      <c r="A546" s="41"/>
      <c r="B546" s="200"/>
      <c r="C546" s="172"/>
      <c r="D546" s="60"/>
      <c r="E546" s="60"/>
      <c r="F546" s="60"/>
      <c r="G546" s="62"/>
      <c r="H546" s="60"/>
      <c r="I546" s="60"/>
      <c r="J546" s="63"/>
      <c r="K546" s="64"/>
      <c r="L546" s="65"/>
      <c r="M546" s="66"/>
      <c r="N546" s="77"/>
      <c r="O546" s="60"/>
      <c r="P546" s="67"/>
      <c r="Q546" s="68"/>
      <c r="R546" s="69"/>
      <c r="S546" s="69"/>
      <c r="T546" s="69"/>
      <c r="U546" s="70"/>
      <c r="V546" s="79"/>
      <c r="W546" s="66"/>
      <c r="X546" s="69"/>
      <c r="Y546" s="75"/>
      <c r="Z546" s="60"/>
      <c r="AA546" s="60"/>
      <c r="AB546" s="75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80"/>
      <c r="AR546" s="164"/>
    </row>
    <row r="547" spans="1:44" ht="30.75" customHeight="1">
      <c r="A547" s="41"/>
      <c r="B547" s="200" t="s">
        <v>2549</v>
      </c>
      <c r="C547" s="172">
        <v>27</v>
      </c>
      <c r="D547" s="60"/>
      <c r="E547" s="60"/>
      <c r="F547" s="60"/>
      <c r="G547" s="62"/>
      <c r="H547" s="60"/>
      <c r="I547" s="60"/>
      <c r="J547" s="63"/>
      <c r="K547" s="64"/>
      <c r="L547" s="65"/>
      <c r="M547" s="66"/>
      <c r="N547" s="77"/>
      <c r="O547" s="60"/>
      <c r="P547" s="67"/>
      <c r="Q547" s="68"/>
      <c r="R547" s="69"/>
      <c r="S547" s="69"/>
      <c r="T547" s="69"/>
      <c r="U547" s="70"/>
      <c r="V547" s="79"/>
      <c r="W547" s="66"/>
      <c r="X547" s="69"/>
      <c r="Y547" s="75"/>
      <c r="Z547" s="60"/>
      <c r="AA547" s="60"/>
      <c r="AB547" s="75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80"/>
      <c r="AR547" s="164"/>
    </row>
    <row r="548" spans="1:44" ht="30.75" customHeight="1">
      <c r="A548" s="41"/>
      <c r="B548" s="200"/>
      <c r="C548" s="172"/>
      <c r="D548" s="60"/>
      <c r="E548" s="60"/>
      <c r="F548" s="60"/>
      <c r="G548" s="62"/>
      <c r="H548" s="60"/>
      <c r="I548" s="60"/>
      <c r="J548" s="63"/>
      <c r="K548" s="64"/>
      <c r="L548" s="65"/>
      <c r="M548" s="66"/>
      <c r="N548" s="77"/>
      <c r="O548" s="60"/>
      <c r="P548" s="67"/>
      <c r="Q548" s="68"/>
      <c r="R548" s="69"/>
      <c r="S548" s="69"/>
      <c r="T548" s="69"/>
      <c r="U548" s="70"/>
      <c r="V548" s="79"/>
      <c r="W548" s="66"/>
      <c r="X548" s="69"/>
      <c r="Y548" s="75"/>
      <c r="Z548" s="60"/>
      <c r="AA548" s="60"/>
      <c r="AB548" s="75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80"/>
      <c r="AR548" s="164"/>
    </row>
    <row r="549" spans="1:44" ht="30.75" customHeight="1">
      <c r="A549" s="41"/>
      <c r="B549" s="200" t="s">
        <v>2549</v>
      </c>
      <c r="C549" s="172">
        <v>28</v>
      </c>
      <c r="D549" s="60"/>
      <c r="E549" s="60"/>
      <c r="F549" s="60"/>
      <c r="G549" s="62"/>
      <c r="H549" s="60"/>
      <c r="I549" s="60"/>
      <c r="J549" s="63"/>
      <c r="K549" s="64"/>
      <c r="L549" s="65"/>
      <c r="M549" s="66"/>
      <c r="N549" s="77"/>
      <c r="O549" s="60"/>
      <c r="P549" s="67"/>
      <c r="Q549" s="68"/>
      <c r="R549" s="69"/>
      <c r="S549" s="69"/>
      <c r="T549" s="69"/>
      <c r="U549" s="70"/>
      <c r="V549" s="79"/>
      <c r="W549" s="66"/>
      <c r="X549" s="69"/>
      <c r="Y549" s="75"/>
      <c r="Z549" s="60"/>
      <c r="AA549" s="60"/>
      <c r="AB549" s="75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80"/>
      <c r="AR549" s="164"/>
    </row>
    <row r="550" spans="1:44" ht="30.75" customHeight="1">
      <c r="A550" s="41"/>
      <c r="B550" s="200"/>
      <c r="C550" s="172"/>
      <c r="D550" s="60"/>
      <c r="E550" s="60"/>
      <c r="F550" s="60"/>
      <c r="G550" s="62"/>
      <c r="H550" s="60"/>
      <c r="I550" s="60"/>
      <c r="J550" s="63"/>
      <c r="K550" s="64"/>
      <c r="L550" s="65"/>
      <c r="M550" s="66"/>
      <c r="N550" s="77"/>
      <c r="O550" s="60"/>
      <c r="P550" s="67"/>
      <c r="Q550" s="68"/>
      <c r="R550" s="69"/>
      <c r="S550" s="69"/>
      <c r="T550" s="69"/>
      <c r="U550" s="70"/>
      <c r="V550" s="79"/>
      <c r="W550" s="66"/>
      <c r="X550" s="69"/>
      <c r="Y550" s="75"/>
      <c r="Z550" s="60"/>
      <c r="AA550" s="60"/>
      <c r="AB550" s="75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80"/>
      <c r="AR550" s="164"/>
    </row>
    <row r="551" spans="1:44" ht="30.75" customHeight="1">
      <c r="A551" s="41"/>
      <c r="B551" s="200" t="s">
        <v>2549</v>
      </c>
      <c r="C551" s="172">
        <v>29</v>
      </c>
      <c r="D551" s="60"/>
      <c r="E551" s="60"/>
      <c r="F551" s="60"/>
      <c r="G551" s="62"/>
      <c r="H551" s="60"/>
      <c r="I551" s="60"/>
      <c r="J551" s="63"/>
      <c r="K551" s="64"/>
      <c r="L551" s="65"/>
      <c r="M551" s="66"/>
      <c r="N551" s="77"/>
      <c r="O551" s="60"/>
      <c r="P551" s="67"/>
      <c r="Q551" s="68"/>
      <c r="R551" s="69"/>
      <c r="S551" s="69"/>
      <c r="T551" s="69"/>
      <c r="U551" s="70"/>
      <c r="V551" s="79"/>
      <c r="W551" s="66"/>
      <c r="X551" s="69"/>
      <c r="Y551" s="75"/>
      <c r="Z551" s="60"/>
      <c r="AA551" s="60"/>
      <c r="AB551" s="75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80"/>
      <c r="AR551" s="164"/>
    </row>
    <row r="552" spans="1:44" ht="30.75" customHeight="1">
      <c r="A552" s="41"/>
      <c r="B552" s="200"/>
      <c r="C552" s="172"/>
      <c r="D552" s="60"/>
      <c r="E552" s="60"/>
      <c r="F552" s="60"/>
      <c r="G552" s="62"/>
      <c r="H552" s="60"/>
      <c r="I552" s="60"/>
      <c r="J552" s="63"/>
      <c r="K552" s="64"/>
      <c r="L552" s="65"/>
      <c r="M552" s="66"/>
      <c r="N552" s="77"/>
      <c r="O552" s="60"/>
      <c r="P552" s="67"/>
      <c r="Q552" s="68"/>
      <c r="R552" s="69"/>
      <c r="S552" s="69"/>
      <c r="T552" s="69"/>
      <c r="U552" s="70"/>
      <c r="V552" s="79"/>
      <c r="W552" s="66"/>
      <c r="X552" s="69"/>
      <c r="Y552" s="75"/>
      <c r="Z552" s="60"/>
      <c r="AA552" s="60"/>
      <c r="AB552" s="75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80"/>
      <c r="AR552" s="164"/>
    </row>
    <row r="553" spans="1:44" ht="30.75" customHeight="1">
      <c r="A553" s="41"/>
      <c r="B553" s="200" t="s">
        <v>2550</v>
      </c>
      <c r="C553" s="172">
        <v>30</v>
      </c>
      <c r="D553" s="60"/>
      <c r="E553" s="60"/>
      <c r="F553" s="60"/>
      <c r="G553" s="62"/>
      <c r="H553" s="60"/>
      <c r="I553" s="60"/>
      <c r="J553" s="63"/>
      <c r="K553" s="64"/>
      <c r="L553" s="65"/>
      <c r="M553" s="66"/>
      <c r="N553" s="77"/>
      <c r="O553" s="60"/>
      <c r="P553" s="67"/>
      <c r="Q553" s="68"/>
      <c r="R553" s="69"/>
      <c r="S553" s="69"/>
      <c r="T553" s="69"/>
      <c r="U553" s="70"/>
      <c r="V553" s="79"/>
      <c r="W553" s="66"/>
      <c r="X553" s="69"/>
      <c r="Y553" s="75"/>
      <c r="Z553" s="60"/>
      <c r="AA553" s="60"/>
      <c r="AB553" s="75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80"/>
      <c r="AR553" s="164"/>
    </row>
    <row r="554" spans="1:44" ht="30.75" customHeight="1">
      <c r="A554" s="41"/>
      <c r="B554" s="200"/>
      <c r="C554" s="172"/>
      <c r="D554" s="60"/>
      <c r="E554" s="60"/>
      <c r="F554" s="60"/>
      <c r="G554" s="62"/>
      <c r="H554" s="60"/>
      <c r="I554" s="60"/>
      <c r="J554" s="63"/>
      <c r="K554" s="64"/>
      <c r="L554" s="65"/>
      <c r="M554" s="66"/>
      <c r="N554" s="77"/>
      <c r="O554" s="60"/>
      <c r="P554" s="67"/>
      <c r="Q554" s="68"/>
      <c r="R554" s="69"/>
      <c r="S554" s="69"/>
      <c r="T554" s="69"/>
      <c r="U554" s="70"/>
      <c r="V554" s="79"/>
      <c r="W554" s="66"/>
      <c r="X554" s="69"/>
      <c r="Y554" s="75"/>
      <c r="Z554" s="60"/>
      <c r="AA554" s="60"/>
      <c r="AB554" s="75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80"/>
      <c r="AR554" s="164"/>
    </row>
    <row r="555" spans="1:44" ht="30.75" customHeight="1">
      <c r="A555" s="41"/>
      <c r="B555" s="200" t="s">
        <v>2550</v>
      </c>
      <c r="C555" s="172">
        <v>1</v>
      </c>
      <c r="D555" s="60"/>
      <c r="E555" s="60"/>
      <c r="F555" s="60"/>
      <c r="G555" s="62"/>
      <c r="H555" s="60"/>
      <c r="I555" s="60"/>
      <c r="J555" s="63"/>
      <c r="K555" s="64"/>
      <c r="L555" s="65"/>
      <c r="M555" s="66"/>
      <c r="N555" s="77"/>
      <c r="O555" s="60"/>
      <c r="P555" s="67"/>
      <c r="Q555" s="68"/>
      <c r="R555" s="69"/>
      <c r="S555" s="69"/>
      <c r="T555" s="69"/>
      <c r="U555" s="70"/>
      <c r="V555" s="79"/>
      <c r="W555" s="66"/>
      <c r="X555" s="69"/>
      <c r="Y555" s="75"/>
      <c r="Z555" s="60"/>
      <c r="AA555" s="60"/>
      <c r="AB555" s="75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80"/>
      <c r="AR555" s="164"/>
    </row>
    <row r="556" spans="1:44" ht="30.75" customHeight="1">
      <c r="A556" s="41"/>
      <c r="B556" s="200"/>
      <c r="C556" s="172"/>
      <c r="D556" s="60"/>
      <c r="E556" s="60"/>
      <c r="F556" s="60"/>
      <c r="G556" s="62"/>
      <c r="H556" s="60"/>
      <c r="I556" s="60"/>
      <c r="J556" s="63"/>
      <c r="K556" s="64"/>
      <c r="L556" s="65"/>
      <c r="M556" s="66"/>
      <c r="N556" s="77"/>
      <c r="O556" s="60"/>
      <c r="P556" s="67"/>
      <c r="Q556" s="68"/>
      <c r="R556" s="69"/>
      <c r="S556" s="69"/>
      <c r="T556" s="69"/>
      <c r="U556" s="70"/>
      <c r="V556" s="79"/>
      <c r="W556" s="66"/>
      <c r="X556" s="69"/>
      <c r="Y556" s="75"/>
      <c r="Z556" s="60"/>
      <c r="AA556" s="60"/>
      <c r="AB556" s="75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80"/>
      <c r="AR556" s="164"/>
    </row>
    <row r="557" spans="1:44" ht="30.75" customHeight="1">
      <c r="A557" s="41"/>
      <c r="B557" s="200" t="s">
        <v>2550</v>
      </c>
      <c r="C557" s="172">
        <v>2</v>
      </c>
      <c r="D557" s="60"/>
      <c r="E557" s="60"/>
      <c r="F557" s="60"/>
      <c r="G557" s="62"/>
      <c r="H557" s="60"/>
      <c r="I557" s="60"/>
      <c r="J557" s="63"/>
      <c r="K557" s="64"/>
      <c r="L557" s="65"/>
      <c r="M557" s="66"/>
      <c r="N557" s="77"/>
      <c r="O557" s="60"/>
      <c r="P557" s="67"/>
      <c r="Q557" s="68"/>
      <c r="R557" s="69"/>
      <c r="S557" s="69"/>
      <c r="T557" s="69"/>
      <c r="U557" s="70"/>
      <c r="V557" s="79"/>
      <c r="W557" s="66"/>
      <c r="X557" s="69"/>
      <c r="Y557" s="75"/>
      <c r="Z557" s="60"/>
      <c r="AA557" s="60"/>
      <c r="AB557" s="75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80"/>
      <c r="AR557" s="164"/>
    </row>
    <row r="558" spans="1:44" ht="30.75" customHeight="1">
      <c r="A558" s="41"/>
      <c r="B558" s="200"/>
      <c r="C558" s="172"/>
      <c r="D558" s="60"/>
      <c r="E558" s="60"/>
      <c r="F558" s="60"/>
      <c r="G558" s="62"/>
      <c r="H558" s="60"/>
      <c r="I558" s="60"/>
      <c r="J558" s="63"/>
      <c r="K558" s="64"/>
      <c r="L558" s="65"/>
      <c r="M558" s="66"/>
      <c r="N558" s="77"/>
      <c r="O558" s="60"/>
      <c r="P558" s="67"/>
      <c r="Q558" s="68"/>
      <c r="R558" s="69"/>
      <c r="S558" s="69"/>
      <c r="T558" s="69"/>
      <c r="U558" s="70"/>
      <c r="V558" s="79"/>
      <c r="W558" s="66"/>
      <c r="X558" s="69"/>
      <c r="Y558" s="75"/>
      <c r="Z558" s="60"/>
      <c r="AA558" s="60"/>
      <c r="AB558" s="75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80"/>
      <c r="AR558" s="164"/>
    </row>
    <row r="559" spans="1:44" ht="30.75" customHeight="1">
      <c r="A559" s="41"/>
      <c r="B559" s="200" t="s">
        <v>2550</v>
      </c>
      <c r="C559" s="172">
        <v>3</v>
      </c>
      <c r="D559" s="60"/>
      <c r="E559" s="60"/>
      <c r="F559" s="60"/>
      <c r="G559" s="62"/>
      <c r="H559" s="60"/>
      <c r="I559" s="60"/>
      <c r="J559" s="63"/>
      <c r="K559" s="64"/>
      <c r="L559" s="65"/>
      <c r="M559" s="66"/>
      <c r="N559" s="77"/>
      <c r="O559" s="60"/>
      <c r="P559" s="67"/>
      <c r="Q559" s="68"/>
      <c r="R559" s="69"/>
      <c r="S559" s="69"/>
      <c r="T559" s="69"/>
      <c r="U559" s="70"/>
      <c r="V559" s="79"/>
      <c r="W559" s="66"/>
      <c r="X559" s="69"/>
      <c r="Y559" s="75"/>
      <c r="Z559" s="60"/>
      <c r="AA559" s="60"/>
      <c r="AB559" s="75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80"/>
      <c r="AR559" s="164"/>
    </row>
    <row r="560" spans="1:44" ht="30.75" customHeight="1">
      <c r="A560" s="41"/>
      <c r="B560" s="200"/>
      <c r="C560" s="172"/>
      <c r="D560" s="60"/>
      <c r="E560" s="60"/>
      <c r="F560" s="60"/>
      <c r="G560" s="62"/>
      <c r="H560" s="60"/>
      <c r="I560" s="60"/>
      <c r="J560" s="63"/>
      <c r="K560" s="64"/>
      <c r="L560" s="65"/>
      <c r="M560" s="66"/>
      <c r="N560" s="77"/>
      <c r="O560" s="60"/>
      <c r="P560" s="67"/>
      <c r="Q560" s="68"/>
      <c r="R560" s="69"/>
      <c r="S560" s="69"/>
      <c r="T560" s="69"/>
      <c r="U560" s="70"/>
      <c r="V560" s="79"/>
      <c r="W560" s="66"/>
      <c r="X560" s="69"/>
      <c r="Y560" s="75"/>
      <c r="Z560" s="60"/>
      <c r="AA560" s="60"/>
      <c r="AB560" s="75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80"/>
      <c r="AR560" s="164"/>
    </row>
    <row r="561" spans="1:44" ht="30.75" customHeight="1">
      <c r="A561" s="41"/>
      <c r="B561" s="200" t="s">
        <v>2550</v>
      </c>
      <c r="C561" s="172">
        <v>4</v>
      </c>
      <c r="D561" s="60"/>
      <c r="E561" s="60"/>
      <c r="F561" s="60"/>
      <c r="G561" s="62"/>
      <c r="H561" s="60"/>
      <c r="I561" s="60"/>
      <c r="J561" s="63"/>
      <c r="K561" s="64"/>
      <c r="L561" s="65"/>
      <c r="M561" s="66"/>
      <c r="N561" s="77"/>
      <c r="O561" s="60"/>
      <c r="P561" s="67"/>
      <c r="Q561" s="68"/>
      <c r="R561" s="69"/>
      <c r="S561" s="69"/>
      <c r="T561" s="69"/>
      <c r="U561" s="70"/>
      <c r="V561" s="79"/>
      <c r="W561" s="66"/>
      <c r="X561" s="69"/>
      <c r="Y561" s="75"/>
      <c r="Z561" s="60"/>
      <c r="AA561" s="60"/>
      <c r="AB561" s="75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80"/>
      <c r="AR561" s="164"/>
    </row>
    <row r="562" spans="1:44" ht="30.75" customHeight="1">
      <c r="A562" s="41"/>
      <c r="B562" s="200"/>
      <c r="C562" s="172"/>
      <c r="D562" s="60"/>
      <c r="E562" s="60"/>
      <c r="F562" s="60"/>
      <c r="G562" s="62"/>
      <c r="H562" s="60"/>
      <c r="I562" s="60"/>
      <c r="J562" s="63"/>
      <c r="K562" s="64"/>
      <c r="L562" s="65"/>
      <c r="M562" s="66"/>
      <c r="N562" s="77"/>
      <c r="O562" s="60"/>
      <c r="P562" s="67"/>
      <c r="Q562" s="68"/>
      <c r="R562" s="69"/>
      <c r="S562" s="69"/>
      <c r="T562" s="69"/>
      <c r="U562" s="70"/>
      <c r="V562" s="79"/>
      <c r="W562" s="66"/>
      <c r="X562" s="69"/>
      <c r="Y562" s="75"/>
      <c r="Z562" s="60"/>
      <c r="AA562" s="60"/>
      <c r="AB562" s="75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80"/>
      <c r="AR562" s="164"/>
    </row>
    <row r="563" spans="1:44" ht="30.75" customHeight="1">
      <c r="A563" s="41"/>
      <c r="B563" s="200" t="s">
        <v>2550</v>
      </c>
      <c r="C563" s="172">
        <v>5</v>
      </c>
      <c r="D563" s="60"/>
      <c r="E563" s="60"/>
      <c r="F563" s="60"/>
      <c r="G563" s="62"/>
      <c r="H563" s="60"/>
      <c r="I563" s="60"/>
      <c r="J563" s="63"/>
      <c r="K563" s="64"/>
      <c r="L563" s="65"/>
      <c r="M563" s="66"/>
      <c r="N563" s="77"/>
      <c r="O563" s="60"/>
      <c r="P563" s="67"/>
      <c r="Q563" s="68"/>
      <c r="R563" s="69"/>
      <c r="S563" s="69"/>
      <c r="T563" s="69"/>
      <c r="U563" s="70"/>
      <c r="V563" s="79"/>
      <c r="W563" s="66"/>
      <c r="X563" s="69"/>
      <c r="Y563" s="75"/>
      <c r="Z563" s="60"/>
      <c r="AA563" s="60"/>
      <c r="AB563" s="75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80"/>
      <c r="AR563" s="164"/>
    </row>
    <row r="564" spans="1:44" ht="30.75" customHeight="1">
      <c r="A564" s="41"/>
      <c r="B564" s="200"/>
      <c r="C564" s="172"/>
      <c r="D564" s="60"/>
      <c r="E564" s="60"/>
      <c r="F564" s="60"/>
      <c r="G564" s="62"/>
      <c r="H564" s="60"/>
      <c r="I564" s="60"/>
      <c r="J564" s="63"/>
      <c r="K564" s="64"/>
      <c r="L564" s="65"/>
      <c r="M564" s="66"/>
      <c r="N564" s="77"/>
      <c r="O564" s="60"/>
      <c r="P564" s="67"/>
      <c r="Q564" s="68"/>
      <c r="R564" s="69"/>
      <c r="S564" s="69"/>
      <c r="T564" s="69"/>
      <c r="U564" s="70"/>
      <c r="V564" s="79"/>
      <c r="W564" s="66"/>
      <c r="X564" s="69"/>
      <c r="Y564" s="75"/>
      <c r="Z564" s="60"/>
      <c r="AA564" s="60"/>
      <c r="AB564" s="75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80"/>
      <c r="AR564" s="164"/>
    </row>
    <row r="565" spans="1:44" ht="30.75" customHeight="1">
      <c r="A565" s="41"/>
      <c r="B565" s="200" t="s">
        <v>2550</v>
      </c>
      <c r="C565" s="172">
        <v>6</v>
      </c>
      <c r="D565" s="60"/>
      <c r="E565" s="60"/>
      <c r="F565" s="60"/>
      <c r="G565" s="62"/>
      <c r="H565" s="60"/>
      <c r="I565" s="60">
        <f ca="1">+DATEDIF(H565,TODAY(),"Y")</f>
        <v>126</v>
      </c>
      <c r="J565" s="63"/>
      <c r="K565" s="64"/>
      <c r="L565" s="65"/>
      <c r="M565" s="66"/>
      <c r="N565" s="77"/>
      <c r="O565" s="60"/>
      <c r="P565" s="67"/>
      <c r="Q565" s="68"/>
      <c r="R565" s="69"/>
      <c r="S565" s="69"/>
      <c r="T565" s="69"/>
      <c r="U565" s="70"/>
      <c r="V565" s="79"/>
      <c r="W565" s="66"/>
      <c r="X565" s="69"/>
      <c r="Y565" s="75"/>
      <c r="Z565" s="60"/>
      <c r="AA565" s="60"/>
      <c r="AB565" s="75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80"/>
      <c r="AR565" s="164"/>
    </row>
    <row r="566" spans="1:44" ht="30.75" customHeight="1">
      <c r="A566" s="41"/>
      <c r="B566" s="200"/>
      <c r="C566" s="172"/>
      <c r="D566" s="60"/>
      <c r="E566" s="60"/>
      <c r="F566" s="60"/>
      <c r="G566" s="62"/>
      <c r="H566" s="60"/>
      <c r="I566" s="60"/>
      <c r="J566" s="63"/>
      <c r="K566" s="64"/>
      <c r="L566" s="65"/>
      <c r="M566" s="66"/>
      <c r="N566" s="77"/>
      <c r="O566" s="60"/>
      <c r="P566" s="67"/>
      <c r="Q566" s="68"/>
      <c r="R566" s="69"/>
      <c r="S566" s="69"/>
      <c r="T566" s="69"/>
      <c r="U566" s="70"/>
      <c r="V566" s="79"/>
      <c r="W566" s="66"/>
      <c r="X566" s="69"/>
      <c r="Y566" s="75"/>
      <c r="Z566" s="60"/>
      <c r="AA566" s="60"/>
      <c r="AB566" s="75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80"/>
      <c r="AR566" s="164"/>
    </row>
    <row r="567" spans="1:44" ht="30.75" customHeight="1">
      <c r="A567" s="41"/>
      <c r="B567" s="200" t="s">
        <v>2550</v>
      </c>
      <c r="C567" s="172">
        <v>7</v>
      </c>
      <c r="D567" s="60"/>
      <c r="E567" s="60"/>
      <c r="F567" s="60"/>
      <c r="G567" s="62"/>
      <c r="H567" s="60"/>
      <c r="I567" s="60">
        <f ca="1">+DATEDIF(H567,TODAY(),"Y")</f>
        <v>126</v>
      </c>
      <c r="J567" s="63"/>
      <c r="K567" s="64"/>
      <c r="L567" s="65"/>
      <c r="M567" s="66"/>
      <c r="N567" s="77"/>
      <c r="O567" s="60"/>
      <c r="P567" s="67"/>
      <c r="Q567" s="68"/>
      <c r="R567" s="69"/>
      <c r="S567" s="69"/>
      <c r="T567" s="69"/>
      <c r="U567" s="70"/>
      <c r="V567" s="79"/>
      <c r="W567" s="66"/>
      <c r="X567" s="69"/>
      <c r="Y567" s="75"/>
      <c r="Z567" s="60"/>
      <c r="AA567" s="60"/>
      <c r="AB567" s="75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80"/>
      <c r="AR567" s="164"/>
    </row>
    <row r="568" spans="1:44" ht="30.75" customHeight="1">
      <c r="A568" s="41"/>
      <c r="B568" s="200"/>
      <c r="C568" s="172"/>
      <c r="D568" s="60"/>
      <c r="E568" s="60"/>
      <c r="F568" s="60"/>
      <c r="G568" s="62"/>
      <c r="H568" s="60"/>
      <c r="I568" s="60"/>
      <c r="J568" s="63"/>
      <c r="K568" s="64"/>
      <c r="L568" s="65"/>
      <c r="M568" s="66"/>
      <c r="N568" s="77"/>
      <c r="O568" s="60"/>
      <c r="P568" s="67"/>
      <c r="Q568" s="68"/>
      <c r="R568" s="69"/>
      <c r="S568" s="69"/>
      <c r="T568" s="69"/>
      <c r="U568" s="70"/>
      <c r="V568" s="79"/>
      <c r="W568" s="66"/>
      <c r="X568" s="69"/>
      <c r="Y568" s="75"/>
      <c r="Z568" s="60"/>
      <c r="AA568" s="60"/>
      <c r="AB568" s="75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80"/>
      <c r="AR568" s="164"/>
    </row>
    <row r="569" spans="1:44" ht="30.75" customHeight="1">
      <c r="A569" s="41"/>
      <c r="B569" s="200" t="s">
        <v>2550</v>
      </c>
      <c r="C569" s="172">
        <v>8</v>
      </c>
      <c r="D569" s="60"/>
      <c r="E569" s="60"/>
      <c r="F569" s="60"/>
      <c r="G569" s="62"/>
      <c r="H569" s="60"/>
      <c r="I569" s="60">
        <f ca="1">+DATEDIF(H569,TODAY(),"Y")</f>
        <v>126</v>
      </c>
      <c r="J569" s="63"/>
      <c r="K569" s="64"/>
      <c r="L569" s="65"/>
      <c r="M569" s="66"/>
      <c r="N569" s="77"/>
      <c r="O569" s="60"/>
      <c r="P569" s="67"/>
      <c r="Q569" s="68"/>
      <c r="R569" s="69"/>
      <c r="S569" s="69"/>
      <c r="T569" s="69"/>
      <c r="U569" s="70"/>
      <c r="V569" s="79"/>
      <c r="W569" s="66"/>
      <c r="X569" s="69"/>
      <c r="Y569" s="75"/>
      <c r="Z569" s="60"/>
      <c r="AA569" s="60"/>
      <c r="AB569" s="75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80"/>
      <c r="AR569" s="164"/>
    </row>
    <row r="570" spans="1:44" ht="30.75" customHeight="1">
      <c r="A570" s="41"/>
      <c r="B570" s="200"/>
      <c r="C570" s="172"/>
      <c r="D570" s="60"/>
      <c r="E570" s="60"/>
      <c r="F570" s="60"/>
      <c r="G570" s="62"/>
      <c r="H570" s="60"/>
      <c r="I570" s="60"/>
      <c r="J570" s="63"/>
      <c r="K570" s="64"/>
      <c r="L570" s="65"/>
      <c r="M570" s="66"/>
      <c r="N570" s="77"/>
      <c r="O570" s="60"/>
      <c r="P570" s="67"/>
      <c r="Q570" s="68"/>
      <c r="R570" s="69"/>
      <c r="S570" s="69"/>
      <c r="T570" s="69"/>
      <c r="U570" s="70"/>
      <c r="V570" s="79"/>
      <c r="W570" s="66"/>
      <c r="X570" s="69"/>
      <c r="Y570" s="75"/>
      <c r="Z570" s="60"/>
      <c r="AA570" s="60"/>
      <c r="AB570" s="75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80"/>
      <c r="AR570" s="164"/>
    </row>
    <row r="571" spans="1:44" ht="30.75" customHeight="1">
      <c r="A571" s="41"/>
      <c r="B571" s="200" t="s">
        <v>2550</v>
      </c>
      <c r="C571" s="172">
        <v>9</v>
      </c>
      <c r="D571" s="60"/>
      <c r="E571" s="60"/>
      <c r="F571" s="60"/>
      <c r="G571" s="62"/>
      <c r="H571" s="60"/>
      <c r="I571" s="60">
        <f ca="1">+DATEDIF(H571,TODAY(),"Y")</f>
        <v>126</v>
      </c>
      <c r="J571" s="63"/>
      <c r="K571" s="64"/>
      <c r="L571" s="65"/>
      <c r="M571" s="66"/>
      <c r="N571" s="77"/>
      <c r="O571" s="60"/>
      <c r="P571" s="67"/>
      <c r="Q571" s="68"/>
      <c r="R571" s="69"/>
      <c r="S571" s="69"/>
      <c r="T571" s="69"/>
      <c r="U571" s="70"/>
      <c r="V571" s="79"/>
      <c r="W571" s="66"/>
      <c r="X571" s="69"/>
      <c r="Y571" s="75"/>
      <c r="Z571" s="60"/>
      <c r="AA571" s="60"/>
      <c r="AB571" s="75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80"/>
      <c r="AR571" s="164"/>
    </row>
    <row r="572" spans="1:44" ht="30.75" customHeight="1">
      <c r="A572" s="41"/>
      <c r="B572" s="200"/>
      <c r="C572" s="172"/>
      <c r="D572" s="60"/>
      <c r="E572" s="60"/>
      <c r="F572" s="60"/>
      <c r="G572" s="62"/>
      <c r="H572" s="60"/>
      <c r="I572" s="60"/>
      <c r="J572" s="63"/>
      <c r="K572" s="64"/>
      <c r="L572" s="65"/>
      <c r="M572" s="66"/>
      <c r="N572" s="77"/>
      <c r="O572" s="60"/>
      <c r="P572" s="67"/>
      <c r="Q572" s="68"/>
      <c r="R572" s="69"/>
      <c r="S572" s="69"/>
      <c r="T572" s="69"/>
      <c r="U572" s="70"/>
      <c r="V572" s="79"/>
      <c r="W572" s="66"/>
      <c r="X572" s="69"/>
      <c r="Y572" s="75"/>
      <c r="Z572" s="60"/>
      <c r="AA572" s="60"/>
      <c r="AB572" s="75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80"/>
      <c r="AR572" s="164"/>
    </row>
    <row r="573" spans="1:44" ht="30.75" customHeight="1">
      <c r="A573" s="41"/>
      <c r="B573" s="200" t="s">
        <v>2550</v>
      </c>
      <c r="C573" s="172">
        <v>10</v>
      </c>
      <c r="D573" s="60"/>
      <c r="E573" s="60"/>
      <c r="F573" s="60"/>
      <c r="G573" s="62"/>
      <c r="H573" s="60"/>
      <c r="I573" s="60">
        <f ca="1">+DATEDIF(H573,TODAY(),"Y")</f>
        <v>126</v>
      </c>
      <c r="J573" s="63"/>
      <c r="K573" s="64"/>
      <c r="L573" s="65"/>
      <c r="M573" s="66"/>
      <c r="N573" s="77"/>
      <c r="O573" s="60"/>
      <c r="P573" s="67"/>
      <c r="Q573" s="68"/>
      <c r="R573" s="69"/>
      <c r="S573" s="69"/>
      <c r="T573" s="69"/>
      <c r="U573" s="70"/>
      <c r="V573" s="79"/>
      <c r="W573" s="66"/>
      <c r="X573" s="69"/>
      <c r="Y573" s="75"/>
      <c r="Z573" s="60"/>
      <c r="AA573" s="60"/>
      <c r="AB573" s="75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80"/>
      <c r="AR573" s="164"/>
    </row>
    <row r="574" spans="1:44" ht="30.75" customHeight="1">
      <c r="A574" s="41"/>
      <c r="B574" s="200"/>
      <c r="C574" s="172"/>
      <c r="D574" s="60"/>
      <c r="E574" s="60"/>
      <c r="F574" s="60"/>
      <c r="G574" s="62"/>
      <c r="H574" s="60"/>
      <c r="I574" s="60"/>
      <c r="J574" s="63"/>
      <c r="K574" s="64"/>
      <c r="L574" s="65"/>
      <c r="M574" s="66"/>
      <c r="N574" s="77"/>
      <c r="O574" s="60"/>
      <c r="P574" s="67"/>
      <c r="Q574" s="68"/>
      <c r="R574" s="69"/>
      <c r="S574" s="69"/>
      <c r="T574" s="69"/>
      <c r="U574" s="70"/>
      <c r="V574" s="79"/>
      <c r="W574" s="66"/>
      <c r="X574" s="69"/>
      <c r="Y574" s="75"/>
      <c r="Z574" s="60"/>
      <c r="AA574" s="60"/>
      <c r="AB574" s="75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80"/>
      <c r="AR574" s="164"/>
    </row>
    <row r="575" spans="1:44" ht="30.75" customHeight="1">
      <c r="A575" s="41"/>
      <c r="B575" s="200" t="s">
        <v>2550</v>
      </c>
      <c r="C575" s="172">
        <v>11</v>
      </c>
      <c r="D575" s="60"/>
      <c r="E575" s="60"/>
      <c r="F575" s="60"/>
      <c r="G575" s="62"/>
      <c r="H575" s="60"/>
      <c r="I575" s="60">
        <f ca="1">+DATEDIF(H575,TODAY(),"Y")</f>
        <v>126</v>
      </c>
      <c r="J575" s="63"/>
      <c r="K575" s="64"/>
      <c r="L575" s="65"/>
      <c r="M575" s="66"/>
      <c r="N575" s="77"/>
      <c r="O575" s="60"/>
      <c r="P575" s="67"/>
      <c r="Q575" s="68"/>
      <c r="R575" s="69"/>
      <c r="S575" s="69"/>
      <c r="T575" s="69"/>
      <c r="U575" s="70"/>
      <c r="V575" s="79"/>
      <c r="W575" s="66"/>
      <c r="X575" s="69"/>
      <c r="Y575" s="75"/>
      <c r="Z575" s="60"/>
      <c r="AA575" s="60"/>
      <c r="AB575" s="75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80"/>
      <c r="AR575" s="164"/>
    </row>
    <row r="576" spans="1:44" ht="30.75" customHeight="1">
      <c r="A576" s="41"/>
      <c r="B576" s="200"/>
      <c r="C576" s="172"/>
      <c r="D576" s="60"/>
      <c r="E576" s="60"/>
      <c r="F576" s="60"/>
      <c r="G576" s="62"/>
      <c r="H576" s="60"/>
      <c r="I576" s="60"/>
      <c r="J576" s="63"/>
      <c r="K576" s="64"/>
      <c r="L576" s="65"/>
      <c r="M576" s="66"/>
      <c r="N576" s="77"/>
      <c r="O576" s="60"/>
      <c r="P576" s="67"/>
      <c r="Q576" s="68"/>
      <c r="R576" s="69"/>
      <c r="S576" s="69"/>
      <c r="T576" s="69"/>
      <c r="U576" s="70"/>
      <c r="V576" s="79"/>
      <c r="W576" s="66"/>
      <c r="X576" s="69"/>
      <c r="Y576" s="75"/>
      <c r="Z576" s="60"/>
      <c r="AA576" s="60"/>
      <c r="AB576" s="75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80"/>
      <c r="AR576" s="164"/>
    </row>
    <row r="577" spans="1:44" ht="30.75" customHeight="1">
      <c r="A577" s="41"/>
      <c r="B577" s="200" t="s">
        <v>2550</v>
      </c>
      <c r="C577" s="172">
        <v>12</v>
      </c>
      <c r="D577" s="60"/>
      <c r="E577" s="60"/>
      <c r="F577" s="60"/>
      <c r="G577" s="62"/>
      <c r="H577" s="60"/>
      <c r="I577" s="60">
        <f ca="1">+DATEDIF(H577,TODAY(),"Y")</f>
        <v>126</v>
      </c>
      <c r="J577" s="63"/>
      <c r="K577" s="64"/>
      <c r="L577" s="65"/>
      <c r="M577" s="66"/>
      <c r="N577" s="77"/>
      <c r="O577" s="60"/>
      <c r="P577" s="67"/>
      <c r="Q577" s="68"/>
      <c r="R577" s="69"/>
      <c r="S577" s="69"/>
      <c r="T577" s="69"/>
      <c r="U577" s="70"/>
      <c r="V577" s="79"/>
      <c r="W577" s="66"/>
      <c r="X577" s="69"/>
      <c r="Y577" s="75"/>
      <c r="Z577" s="60"/>
      <c r="AA577" s="60"/>
      <c r="AB577" s="75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80"/>
      <c r="AR577" s="164"/>
    </row>
    <row r="578" spans="1:44" ht="30.75" customHeight="1">
      <c r="A578" s="41"/>
      <c r="B578" s="200"/>
      <c r="C578" s="172"/>
      <c r="D578" s="60"/>
      <c r="E578" s="60"/>
      <c r="F578" s="60"/>
      <c r="G578" s="62"/>
      <c r="H578" s="60"/>
      <c r="I578" s="60"/>
      <c r="J578" s="63"/>
      <c r="K578" s="64"/>
      <c r="L578" s="65"/>
      <c r="M578" s="66"/>
      <c r="N578" s="77"/>
      <c r="O578" s="60"/>
      <c r="P578" s="67"/>
      <c r="Q578" s="68"/>
      <c r="R578" s="69"/>
      <c r="S578" s="69"/>
      <c r="T578" s="69"/>
      <c r="U578" s="70"/>
      <c r="V578" s="79"/>
      <c r="W578" s="66"/>
      <c r="X578" s="69"/>
      <c r="Y578" s="75"/>
      <c r="Z578" s="60"/>
      <c r="AA578" s="60"/>
      <c r="AB578" s="75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80"/>
      <c r="AR578" s="164"/>
    </row>
    <row r="579" spans="1:44" ht="30.75" customHeight="1">
      <c r="A579" s="41"/>
      <c r="B579" s="200" t="s">
        <v>2550</v>
      </c>
      <c r="C579" s="172">
        <v>13</v>
      </c>
      <c r="D579" s="60"/>
      <c r="E579" s="60"/>
      <c r="F579" s="60"/>
      <c r="G579" s="62"/>
      <c r="H579" s="60"/>
      <c r="I579" s="60">
        <f ca="1">+DATEDIF(H579,TODAY(),"Y")</f>
        <v>126</v>
      </c>
      <c r="J579" s="63"/>
      <c r="K579" s="64"/>
      <c r="L579" s="65"/>
      <c r="M579" s="66"/>
      <c r="N579" s="77"/>
      <c r="O579" s="60"/>
      <c r="P579" s="67"/>
      <c r="Q579" s="68"/>
      <c r="R579" s="69"/>
      <c r="S579" s="69"/>
      <c r="T579" s="69"/>
      <c r="U579" s="70"/>
      <c r="V579" s="79"/>
      <c r="W579" s="66"/>
      <c r="X579" s="69"/>
      <c r="Y579" s="75"/>
      <c r="Z579" s="60"/>
      <c r="AA579" s="60"/>
      <c r="AB579" s="75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80"/>
      <c r="AR579" s="164"/>
    </row>
    <row r="580" spans="1:44" ht="30.75" customHeight="1">
      <c r="A580" s="41"/>
      <c r="B580" s="200"/>
      <c r="C580" s="172"/>
      <c r="D580" s="60"/>
      <c r="E580" s="60"/>
      <c r="F580" s="60"/>
      <c r="G580" s="62"/>
      <c r="H580" s="60"/>
      <c r="I580" s="60"/>
      <c r="J580" s="63"/>
      <c r="K580" s="64"/>
      <c r="L580" s="65"/>
      <c r="M580" s="66"/>
      <c r="N580" s="77"/>
      <c r="O580" s="60"/>
      <c r="P580" s="67"/>
      <c r="Q580" s="68"/>
      <c r="R580" s="69"/>
      <c r="S580" s="69"/>
      <c r="T580" s="69"/>
      <c r="U580" s="70"/>
      <c r="V580" s="79"/>
      <c r="W580" s="66"/>
      <c r="X580" s="69"/>
      <c r="Y580" s="75"/>
      <c r="Z580" s="60"/>
      <c r="AA580" s="60"/>
      <c r="AB580" s="75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80"/>
      <c r="AR580" s="164"/>
    </row>
    <row r="581" spans="1:44" ht="30.75" customHeight="1">
      <c r="A581" s="41"/>
      <c r="B581" s="200" t="s">
        <v>2550</v>
      </c>
      <c r="C581" s="172">
        <v>14</v>
      </c>
      <c r="D581" s="60"/>
      <c r="E581" s="60"/>
      <c r="F581" s="60"/>
      <c r="G581" s="62"/>
      <c r="H581" s="60"/>
      <c r="I581" s="60">
        <f ca="1">+DATEDIF(H581,TODAY(),"Y")</f>
        <v>126</v>
      </c>
      <c r="J581" s="63"/>
      <c r="K581" s="64"/>
      <c r="L581" s="65"/>
      <c r="M581" s="66"/>
      <c r="N581" s="77"/>
      <c r="O581" s="60"/>
      <c r="P581" s="67"/>
      <c r="Q581" s="68"/>
      <c r="R581" s="69"/>
      <c r="S581" s="69"/>
      <c r="T581" s="69"/>
      <c r="U581" s="70"/>
      <c r="V581" s="79"/>
      <c r="W581" s="66"/>
      <c r="X581" s="69"/>
      <c r="Y581" s="75"/>
      <c r="Z581" s="60"/>
      <c r="AA581" s="60"/>
      <c r="AB581" s="75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80"/>
      <c r="AR581" s="164"/>
    </row>
    <row r="582" spans="1:44" ht="30.75" customHeight="1">
      <c r="A582" s="41"/>
      <c r="B582" s="200"/>
      <c r="C582" s="172"/>
      <c r="D582" s="60"/>
      <c r="E582" s="60"/>
      <c r="F582" s="60"/>
      <c r="G582" s="62"/>
      <c r="H582" s="60"/>
      <c r="I582" s="60"/>
      <c r="J582" s="63"/>
      <c r="K582" s="64"/>
      <c r="L582" s="65"/>
      <c r="M582" s="66"/>
      <c r="N582" s="77"/>
      <c r="O582" s="60"/>
      <c r="P582" s="67"/>
      <c r="Q582" s="68"/>
      <c r="R582" s="69"/>
      <c r="S582" s="69"/>
      <c r="T582" s="69"/>
      <c r="U582" s="70"/>
      <c r="V582" s="79"/>
      <c r="W582" s="66"/>
      <c r="X582" s="69"/>
      <c r="Y582" s="75"/>
      <c r="Z582" s="60"/>
      <c r="AA582" s="60"/>
      <c r="AB582" s="75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80"/>
      <c r="AR582" s="164"/>
    </row>
    <row r="583" spans="1:44" ht="30.75" customHeight="1">
      <c r="A583" s="41"/>
      <c r="B583" s="200" t="s">
        <v>2550</v>
      </c>
      <c r="C583" s="172">
        <v>15</v>
      </c>
      <c r="D583" s="60"/>
      <c r="E583" s="60"/>
      <c r="F583" s="60"/>
      <c r="G583" s="62"/>
      <c r="H583" s="60"/>
      <c r="I583" s="60">
        <f ca="1">+DATEDIF(H583,TODAY(),"Y")</f>
        <v>126</v>
      </c>
      <c r="J583" s="63"/>
      <c r="K583" s="64"/>
      <c r="L583" s="65"/>
      <c r="M583" s="66"/>
      <c r="N583" s="77"/>
      <c r="O583" s="60"/>
      <c r="P583" s="67"/>
      <c r="Q583" s="68"/>
      <c r="R583" s="69"/>
      <c r="S583" s="69"/>
      <c r="T583" s="69"/>
      <c r="U583" s="70"/>
      <c r="V583" s="79"/>
      <c r="W583" s="66"/>
      <c r="X583" s="69"/>
      <c r="Y583" s="75"/>
      <c r="Z583" s="60"/>
      <c r="AA583" s="60"/>
      <c r="AB583" s="75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80"/>
      <c r="AR583" s="164"/>
    </row>
    <row r="584" spans="1:44" ht="30.75" customHeight="1">
      <c r="A584" s="41"/>
      <c r="B584" s="200"/>
      <c r="C584" s="172"/>
      <c r="D584" s="60"/>
      <c r="E584" s="60"/>
      <c r="F584" s="60"/>
      <c r="G584" s="62"/>
      <c r="H584" s="60"/>
      <c r="I584" s="60"/>
      <c r="J584" s="63"/>
      <c r="K584" s="64"/>
      <c r="L584" s="65"/>
      <c r="M584" s="66"/>
      <c r="N584" s="77"/>
      <c r="O584" s="60"/>
      <c r="P584" s="67"/>
      <c r="Q584" s="68"/>
      <c r="R584" s="69"/>
      <c r="S584" s="69"/>
      <c r="T584" s="69"/>
      <c r="U584" s="70"/>
      <c r="V584" s="79"/>
      <c r="W584" s="66"/>
      <c r="X584" s="69"/>
      <c r="Y584" s="75"/>
      <c r="Z584" s="60"/>
      <c r="AA584" s="60"/>
      <c r="AB584" s="75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80"/>
      <c r="AR584" s="164"/>
    </row>
    <row r="585" spans="1:44" ht="30.75" customHeight="1">
      <c r="A585" s="41"/>
      <c r="B585" s="200" t="s">
        <v>2550</v>
      </c>
      <c r="C585" s="172">
        <v>16</v>
      </c>
      <c r="D585" s="60"/>
      <c r="E585" s="60"/>
      <c r="F585" s="60"/>
      <c r="G585" s="62"/>
      <c r="H585" s="60"/>
      <c r="I585" s="60">
        <f ca="1">+DATEDIF(H585,TODAY(),"Y")</f>
        <v>126</v>
      </c>
      <c r="J585" s="63"/>
      <c r="K585" s="64"/>
      <c r="L585" s="65"/>
      <c r="M585" s="66"/>
      <c r="N585" s="77"/>
      <c r="O585" s="60"/>
      <c r="P585" s="67"/>
      <c r="Q585" s="68"/>
      <c r="R585" s="69"/>
      <c r="S585" s="69"/>
      <c r="T585" s="69"/>
      <c r="U585" s="70"/>
      <c r="V585" s="79"/>
      <c r="W585" s="66"/>
      <c r="X585" s="69"/>
      <c r="Y585" s="75"/>
      <c r="Z585" s="60"/>
      <c r="AA585" s="60"/>
      <c r="AB585" s="75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80"/>
      <c r="AR585" s="164"/>
    </row>
    <row r="586" spans="1:44" ht="30.75" customHeight="1">
      <c r="A586" s="41"/>
      <c r="B586" s="200"/>
      <c r="C586" s="172"/>
      <c r="D586" s="60"/>
      <c r="E586" s="60"/>
      <c r="F586" s="60"/>
      <c r="G586" s="62"/>
      <c r="H586" s="60"/>
      <c r="I586" s="60"/>
      <c r="J586" s="63"/>
      <c r="K586" s="64"/>
      <c r="L586" s="65"/>
      <c r="M586" s="66"/>
      <c r="N586" s="77"/>
      <c r="O586" s="60"/>
      <c r="P586" s="67"/>
      <c r="Q586" s="68"/>
      <c r="R586" s="69"/>
      <c r="S586" s="69"/>
      <c r="T586" s="69"/>
      <c r="U586" s="70"/>
      <c r="V586" s="79"/>
      <c r="W586" s="66"/>
      <c r="X586" s="69"/>
      <c r="Y586" s="75"/>
      <c r="Z586" s="60"/>
      <c r="AA586" s="60"/>
      <c r="AB586" s="75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80"/>
      <c r="AR586" s="164"/>
    </row>
    <row r="587" spans="1:44" ht="30.75" customHeight="1">
      <c r="A587" s="41"/>
      <c r="B587" s="200" t="s">
        <v>2550</v>
      </c>
      <c r="C587" s="172">
        <v>17</v>
      </c>
      <c r="D587" s="60"/>
      <c r="E587" s="60"/>
      <c r="F587" s="60"/>
      <c r="G587" s="62"/>
      <c r="H587" s="60"/>
      <c r="I587" s="60">
        <f ca="1">+DATEDIF(H587,TODAY(),"Y")</f>
        <v>126</v>
      </c>
      <c r="J587" s="63"/>
      <c r="K587" s="64"/>
      <c r="L587" s="65"/>
      <c r="M587" s="66"/>
      <c r="N587" s="77"/>
      <c r="O587" s="60"/>
      <c r="P587" s="67"/>
      <c r="Q587" s="68"/>
      <c r="R587" s="69"/>
      <c r="S587" s="69"/>
      <c r="T587" s="69"/>
      <c r="U587" s="70"/>
      <c r="V587" s="79"/>
      <c r="W587" s="66"/>
      <c r="X587" s="69"/>
      <c r="Y587" s="75"/>
      <c r="Z587" s="60"/>
      <c r="AA587" s="60"/>
      <c r="AB587" s="75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80"/>
      <c r="AR587" s="164"/>
    </row>
    <row r="588" spans="1:44" ht="30.75" customHeight="1">
      <c r="A588" s="41"/>
      <c r="B588" s="200"/>
      <c r="C588" s="172"/>
      <c r="D588" s="60"/>
      <c r="E588" s="60"/>
      <c r="F588" s="60"/>
      <c r="G588" s="62"/>
      <c r="H588" s="60"/>
      <c r="I588" s="60"/>
      <c r="J588" s="63"/>
      <c r="K588" s="64"/>
      <c r="L588" s="65"/>
      <c r="M588" s="66"/>
      <c r="N588" s="77"/>
      <c r="O588" s="60"/>
      <c r="P588" s="67"/>
      <c r="Q588" s="68"/>
      <c r="R588" s="69"/>
      <c r="S588" s="69"/>
      <c r="T588" s="69"/>
      <c r="U588" s="70"/>
      <c r="V588" s="79"/>
      <c r="W588" s="66"/>
      <c r="X588" s="69"/>
      <c r="Y588" s="75"/>
      <c r="Z588" s="60"/>
      <c r="AA588" s="60"/>
      <c r="AB588" s="75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80"/>
      <c r="AR588" s="164"/>
    </row>
    <row r="589" spans="1:44" ht="30.75" customHeight="1">
      <c r="A589" s="41"/>
      <c r="B589" s="200" t="s">
        <v>2550</v>
      </c>
      <c r="C589" s="172">
        <v>18</v>
      </c>
      <c r="D589" s="60"/>
      <c r="E589" s="60"/>
      <c r="F589" s="60"/>
      <c r="G589" s="62"/>
      <c r="H589" s="60"/>
      <c r="I589" s="60">
        <f ca="1">+DATEDIF(H589,TODAY(),"Y")</f>
        <v>126</v>
      </c>
      <c r="J589" s="63"/>
      <c r="K589" s="64"/>
      <c r="L589" s="65"/>
      <c r="M589" s="66"/>
      <c r="N589" s="77"/>
      <c r="O589" s="60"/>
      <c r="P589" s="67"/>
      <c r="Q589" s="68"/>
      <c r="R589" s="69"/>
      <c r="S589" s="69"/>
      <c r="T589" s="69"/>
      <c r="U589" s="70"/>
      <c r="V589" s="79"/>
      <c r="W589" s="66"/>
      <c r="X589" s="69"/>
      <c r="Y589" s="75"/>
      <c r="Z589" s="60"/>
      <c r="AA589" s="60"/>
      <c r="AB589" s="75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80"/>
      <c r="AR589" s="164"/>
    </row>
    <row r="590" spans="1:44" ht="30.75" customHeight="1">
      <c r="A590" s="41"/>
      <c r="B590" s="200"/>
      <c r="C590" s="172"/>
      <c r="D590" s="60"/>
      <c r="E590" s="60"/>
      <c r="F590" s="60"/>
      <c r="G590" s="62"/>
      <c r="H590" s="60"/>
      <c r="I590" s="60"/>
      <c r="J590" s="63"/>
      <c r="K590" s="64"/>
      <c r="L590" s="65"/>
      <c r="M590" s="66"/>
      <c r="N590" s="77"/>
      <c r="O590" s="60"/>
      <c r="P590" s="67"/>
      <c r="Q590" s="68"/>
      <c r="R590" s="69"/>
      <c r="S590" s="69"/>
      <c r="T590" s="69"/>
      <c r="U590" s="70"/>
      <c r="V590" s="79"/>
      <c r="W590" s="66"/>
      <c r="X590" s="69"/>
      <c r="Y590" s="75"/>
      <c r="Z590" s="60"/>
      <c r="AA590" s="60"/>
      <c r="AB590" s="75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80"/>
      <c r="AR590" s="164"/>
    </row>
    <row r="591" spans="1:44" ht="30.75" customHeight="1">
      <c r="A591" s="41"/>
      <c r="B591" s="200" t="s">
        <v>2550</v>
      </c>
      <c r="C591" s="172">
        <v>19</v>
      </c>
      <c r="D591" s="60"/>
      <c r="E591" s="60"/>
      <c r="F591" s="60"/>
      <c r="G591" s="62"/>
      <c r="H591" s="60"/>
      <c r="I591" s="60">
        <f ca="1">+DATEDIF(H591,TODAY(),"Y")</f>
        <v>126</v>
      </c>
      <c r="J591" s="63"/>
      <c r="K591" s="64"/>
      <c r="L591" s="65"/>
      <c r="M591" s="66"/>
      <c r="N591" s="77"/>
      <c r="O591" s="60"/>
      <c r="P591" s="67"/>
      <c r="Q591" s="68"/>
      <c r="R591" s="69"/>
      <c r="S591" s="69"/>
      <c r="T591" s="69"/>
      <c r="U591" s="70"/>
      <c r="V591" s="79"/>
      <c r="W591" s="66"/>
      <c r="X591" s="69"/>
      <c r="Y591" s="75"/>
      <c r="Z591" s="60"/>
      <c r="AA591" s="60"/>
      <c r="AB591" s="75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80"/>
      <c r="AR591" s="164"/>
    </row>
    <row r="592" spans="1:44" ht="30.75" customHeight="1">
      <c r="A592" s="41"/>
      <c r="B592" s="200"/>
      <c r="C592" s="172"/>
      <c r="D592" s="60"/>
      <c r="E592" s="60"/>
      <c r="F592" s="60"/>
      <c r="G592" s="62"/>
      <c r="H592" s="60"/>
      <c r="I592" s="60"/>
      <c r="J592" s="63"/>
      <c r="K592" s="64"/>
      <c r="L592" s="65"/>
      <c r="M592" s="66"/>
      <c r="N592" s="77"/>
      <c r="O592" s="60"/>
      <c r="P592" s="67"/>
      <c r="Q592" s="68"/>
      <c r="R592" s="69"/>
      <c r="S592" s="69"/>
      <c r="T592" s="69"/>
      <c r="U592" s="70"/>
      <c r="V592" s="79"/>
      <c r="W592" s="66"/>
      <c r="X592" s="69"/>
      <c r="Y592" s="75"/>
      <c r="Z592" s="60"/>
      <c r="AA592" s="60"/>
      <c r="AB592" s="75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80"/>
      <c r="AR592" s="164"/>
    </row>
    <row r="593" spans="1:44" ht="30.75" customHeight="1">
      <c r="A593" s="41"/>
      <c r="B593" s="200" t="s">
        <v>2550</v>
      </c>
      <c r="C593" s="172">
        <v>20</v>
      </c>
      <c r="D593" s="60"/>
      <c r="E593" s="60"/>
      <c r="F593" s="60"/>
      <c r="G593" s="62"/>
      <c r="H593" s="60"/>
      <c r="I593" s="60">
        <f ca="1">+DATEDIF(H593,TODAY(),"Y")</f>
        <v>126</v>
      </c>
      <c r="J593" s="63"/>
      <c r="K593" s="64"/>
      <c r="L593" s="65"/>
      <c r="M593" s="66"/>
      <c r="N593" s="77"/>
      <c r="O593" s="60"/>
      <c r="P593" s="67"/>
      <c r="Q593" s="68"/>
      <c r="R593" s="69"/>
      <c r="S593" s="69"/>
      <c r="T593" s="69"/>
      <c r="U593" s="70"/>
      <c r="V593" s="79"/>
      <c r="W593" s="66"/>
      <c r="X593" s="69"/>
      <c r="Y593" s="75"/>
      <c r="Z593" s="60"/>
      <c r="AA593" s="60"/>
      <c r="AB593" s="75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80"/>
      <c r="AR593" s="164"/>
    </row>
    <row r="594" spans="1:44" ht="30.75" customHeight="1">
      <c r="A594" s="41"/>
      <c r="B594" s="200"/>
      <c r="C594" s="172"/>
      <c r="D594" s="60"/>
      <c r="E594" s="60"/>
      <c r="F594" s="60"/>
      <c r="G594" s="62"/>
      <c r="H594" s="60"/>
      <c r="I594" s="60"/>
      <c r="J594" s="63"/>
      <c r="K594" s="64"/>
      <c r="L594" s="65"/>
      <c r="M594" s="66"/>
      <c r="N594" s="77"/>
      <c r="O594" s="60"/>
      <c r="P594" s="67"/>
      <c r="Q594" s="68"/>
      <c r="R594" s="69"/>
      <c r="S594" s="69"/>
      <c r="T594" s="69"/>
      <c r="U594" s="70"/>
      <c r="V594" s="79"/>
      <c r="W594" s="66"/>
      <c r="X594" s="69"/>
      <c r="Y594" s="75"/>
      <c r="Z594" s="60"/>
      <c r="AA594" s="60"/>
      <c r="AB594" s="75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80"/>
      <c r="AR594" s="164"/>
    </row>
    <row r="595" spans="1:44" ht="30.75" customHeight="1">
      <c r="A595" s="41"/>
      <c r="B595" s="200" t="s">
        <v>2550</v>
      </c>
      <c r="C595" s="172">
        <v>21</v>
      </c>
      <c r="D595" s="60"/>
      <c r="E595" s="60"/>
      <c r="F595" s="60"/>
      <c r="G595" s="62"/>
      <c r="H595" s="60"/>
      <c r="I595" s="60">
        <f ca="1">+DATEDIF(H595,TODAY(),"Y")</f>
        <v>126</v>
      </c>
      <c r="J595" s="63"/>
      <c r="K595" s="64"/>
      <c r="L595" s="65"/>
      <c r="M595" s="66"/>
      <c r="N595" s="77"/>
      <c r="O595" s="60"/>
      <c r="P595" s="67"/>
      <c r="Q595" s="68"/>
      <c r="R595" s="69"/>
      <c r="S595" s="69"/>
      <c r="T595" s="69"/>
      <c r="U595" s="70"/>
      <c r="V595" s="79"/>
      <c r="W595" s="66"/>
      <c r="X595" s="69"/>
      <c r="Y595" s="75"/>
      <c r="Z595" s="60"/>
      <c r="AA595" s="60"/>
      <c r="AB595" s="75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80"/>
      <c r="AR595" s="164"/>
    </row>
    <row r="596" spans="1:44" ht="30.75" customHeight="1">
      <c r="A596" s="41"/>
      <c r="B596" s="200"/>
      <c r="C596" s="172"/>
      <c r="D596" s="60"/>
      <c r="E596" s="60"/>
      <c r="F596" s="60"/>
      <c r="G596" s="62"/>
      <c r="H596" s="60"/>
      <c r="I596" s="60"/>
      <c r="J596" s="63"/>
      <c r="K596" s="64"/>
      <c r="L596" s="65"/>
      <c r="M596" s="66"/>
      <c r="N596" s="77"/>
      <c r="O596" s="60"/>
      <c r="P596" s="67"/>
      <c r="Q596" s="68"/>
      <c r="R596" s="69"/>
      <c r="S596" s="69"/>
      <c r="T596" s="69"/>
      <c r="U596" s="70"/>
      <c r="V596" s="79"/>
      <c r="W596" s="66"/>
      <c r="X596" s="69"/>
      <c r="Y596" s="75"/>
      <c r="Z596" s="60"/>
      <c r="AA596" s="60"/>
      <c r="AB596" s="75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80"/>
      <c r="AR596" s="164"/>
    </row>
    <row r="597" spans="1:44" ht="30.75" customHeight="1">
      <c r="A597" s="41"/>
      <c r="B597" s="200" t="s">
        <v>2550</v>
      </c>
      <c r="C597" s="172">
        <v>22</v>
      </c>
      <c r="D597" s="60"/>
      <c r="E597" s="60"/>
      <c r="F597" s="60"/>
      <c r="G597" s="62"/>
      <c r="H597" s="60"/>
      <c r="I597" s="60">
        <f ca="1">+DATEDIF(H597,TODAY(),"Y")</f>
        <v>126</v>
      </c>
      <c r="J597" s="63"/>
      <c r="K597" s="64"/>
      <c r="L597" s="65"/>
      <c r="M597" s="66"/>
      <c r="N597" s="77"/>
      <c r="O597" s="60"/>
      <c r="P597" s="67"/>
      <c r="Q597" s="68"/>
      <c r="R597" s="69"/>
      <c r="S597" s="69"/>
      <c r="T597" s="69"/>
      <c r="U597" s="70"/>
      <c r="V597" s="79"/>
      <c r="W597" s="66"/>
      <c r="X597" s="69"/>
      <c r="Y597" s="75"/>
      <c r="Z597" s="60"/>
      <c r="AA597" s="60"/>
      <c r="AB597" s="75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80"/>
      <c r="AR597" s="164"/>
    </row>
    <row r="598" spans="1:44" ht="30.75" customHeight="1">
      <c r="A598" s="41"/>
      <c r="B598" s="200"/>
      <c r="C598" s="172"/>
      <c r="D598" s="60"/>
      <c r="E598" s="60"/>
      <c r="F598" s="60"/>
      <c r="G598" s="62"/>
      <c r="H598" s="60"/>
      <c r="I598" s="60"/>
      <c r="J598" s="63"/>
      <c r="K598" s="64"/>
      <c r="L598" s="65"/>
      <c r="M598" s="66"/>
      <c r="N598" s="77"/>
      <c r="O598" s="60"/>
      <c r="P598" s="67"/>
      <c r="Q598" s="68"/>
      <c r="R598" s="69"/>
      <c r="S598" s="69"/>
      <c r="T598" s="69"/>
      <c r="U598" s="70"/>
      <c r="V598" s="79"/>
      <c r="W598" s="66"/>
      <c r="X598" s="69"/>
      <c r="Y598" s="75"/>
      <c r="Z598" s="60"/>
      <c r="AA598" s="60"/>
      <c r="AB598" s="75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80"/>
      <c r="AR598" s="164"/>
    </row>
    <row r="599" spans="1:44" ht="30.75" customHeight="1">
      <c r="A599" s="41"/>
      <c r="B599" s="200" t="s">
        <v>2550</v>
      </c>
      <c r="C599" s="172">
        <v>23</v>
      </c>
      <c r="D599" s="60"/>
      <c r="E599" s="60"/>
      <c r="F599" s="60"/>
      <c r="G599" s="62"/>
      <c r="H599" s="60"/>
      <c r="I599" s="60">
        <f ca="1">+DATEDIF(H599,TODAY(),"Y")</f>
        <v>126</v>
      </c>
      <c r="J599" s="63"/>
      <c r="K599" s="64"/>
      <c r="L599" s="65"/>
      <c r="M599" s="66"/>
      <c r="N599" s="77"/>
      <c r="O599" s="60"/>
      <c r="P599" s="67"/>
      <c r="Q599" s="68"/>
      <c r="R599" s="69"/>
      <c r="S599" s="69"/>
      <c r="T599" s="69"/>
      <c r="U599" s="70"/>
      <c r="V599" s="79"/>
      <c r="W599" s="66"/>
      <c r="X599" s="69"/>
      <c r="Y599" s="75"/>
      <c r="Z599" s="60"/>
      <c r="AA599" s="60"/>
      <c r="AB599" s="75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80"/>
      <c r="AR599" s="164"/>
    </row>
    <row r="600" spans="1:44" ht="30.75" customHeight="1">
      <c r="A600" s="41"/>
      <c r="B600" s="200"/>
      <c r="C600" s="172"/>
      <c r="D600" s="60"/>
      <c r="E600" s="60"/>
      <c r="F600" s="60"/>
      <c r="G600" s="62"/>
      <c r="H600" s="60"/>
      <c r="I600" s="60"/>
      <c r="J600" s="63"/>
      <c r="K600" s="64"/>
      <c r="L600" s="65"/>
      <c r="M600" s="66"/>
      <c r="N600" s="77"/>
      <c r="O600" s="60"/>
      <c r="P600" s="67"/>
      <c r="Q600" s="68"/>
      <c r="R600" s="69"/>
      <c r="S600" s="69"/>
      <c r="T600" s="69"/>
      <c r="U600" s="70"/>
      <c r="V600" s="79"/>
      <c r="W600" s="66"/>
      <c r="X600" s="69"/>
      <c r="Y600" s="75"/>
      <c r="Z600" s="60"/>
      <c r="AA600" s="60"/>
      <c r="AB600" s="75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80"/>
      <c r="AR600" s="164"/>
    </row>
    <row r="601" spans="1:44" ht="30.75" customHeight="1">
      <c r="A601" s="41"/>
      <c r="B601" s="200" t="s">
        <v>2550</v>
      </c>
      <c r="C601" s="172">
        <v>24</v>
      </c>
      <c r="D601" s="60"/>
      <c r="E601" s="60"/>
      <c r="F601" s="60"/>
      <c r="G601" s="62"/>
      <c r="H601" s="60"/>
      <c r="I601" s="60">
        <f ca="1">+DATEDIF(H601,TODAY(),"Y")</f>
        <v>126</v>
      </c>
      <c r="J601" s="63"/>
      <c r="K601" s="64"/>
      <c r="L601" s="65"/>
      <c r="M601" s="66"/>
      <c r="N601" s="77"/>
      <c r="O601" s="60"/>
      <c r="P601" s="67"/>
      <c r="Q601" s="68"/>
      <c r="R601" s="69"/>
      <c r="S601" s="69"/>
      <c r="T601" s="69"/>
      <c r="U601" s="70"/>
      <c r="V601" s="79"/>
      <c r="W601" s="66"/>
      <c r="X601" s="69"/>
      <c r="Y601" s="75"/>
      <c r="Z601" s="60"/>
      <c r="AA601" s="60"/>
      <c r="AB601" s="75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80"/>
      <c r="AR601" s="164"/>
    </row>
    <row r="602" spans="1:44" ht="30.75" customHeight="1">
      <c r="A602" s="41"/>
      <c r="B602" s="200"/>
      <c r="C602" s="172"/>
      <c r="D602" s="60"/>
      <c r="E602" s="60"/>
      <c r="F602" s="60"/>
      <c r="G602" s="62"/>
      <c r="H602" s="60"/>
      <c r="I602" s="60"/>
      <c r="J602" s="63"/>
      <c r="K602" s="64"/>
      <c r="L602" s="65"/>
      <c r="M602" s="66"/>
      <c r="N602" s="77"/>
      <c r="O602" s="60"/>
      <c r="P602" s="67"/>
      <c r="Q602" s="68"/>
      <c r="R602" s="69"/>
      <c r="S602" s="69"/>
      <c r="T602" s="69"/>
      <c r="U602" s="70"/>
      <c r="V602" s="79"/>
      <c r="W602" s="66"/>
      <c r="X602" s="69"/>
      <c r="Y602" s="75"/>
      <c r="Z602" s="60"/>
      <c r="AA602" s="60"/>
      <c r="AB602" s="75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80"/>
      <c r="AR602" s="164"/>
    </row>
    <row r="603" spans="1:44" ht="30.75" customHeight="1">
      <c r="A603" s="41"/>
      <c r="B603" s="200" t="s">
        <v>2550</v>
      </c>
      <c r="C603" s="172">
        <v>25</v>
      </c>
      <c r="D603" s="60"/>
      <c r="E603" s="60"/>
      <c r="F603" s="60"/>
      <c r="G603" s="62"/>
      <c r="H603" s="60"/>
      <c r="I603" s="60">
        <f ca="1">+DATEDIF(H603,TODAY(),"Y")</f>
        <v>126</v>
      </c>
      <c r="J603" s="63"/>
      <c r="K603" s="64"/>
      <c r="L603" s="65"/>
      <c r="M603" s="66"/>
      <c r="N603" s="77"/>
      <c r="O603" s="60"/>
      <c r="P603" s="67"/>
      <c r="Q603" s="68"/>
      <c r="R603" s="69"/>
      <c r="S603" s="69"/>
      <c r="T603" s="69"/>
      <c r="U603" s="70"/>
      <c r="V603" s="79"/>
      <c r="W603" s="66"/>
      <c r="X603" s="69"/>
      <c r="Y603" s="75"/>
      <c r="Z603" s="60"/>
      <c r="AA603" s="60"/>
      <c r="AB603" s="75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80"/>
      <c r="AR603" s="164"/>
    </row>
    <row r="604" spans="1:44" ht="30.75" customHeight="1">
      <c r="A604" s="41"/>
      <c r="B604" s="200"/>
      <c r="C604" s="172"/>
      <c r="D604" s="60"/>
      <c r="E604" s="60"/>
      <c r="F604" s="60"/>
      <c r="G604" s="62"/>
      <c r="H604" s="60"/>
      <c r="I604" s="60"/>
      <c r="J604" s="63"/>
      <c r="K604" s="64"/>
      <c r="L604" s="65"/>
      <c r="M604" s="66"/>
      <c r="N604" s="77"/>
      <c r="O604" s="60"/>
      <c r="P604" s="67"/>
      <c r="Q604" s="68"/>
      <c r="R604" s="69"/>
      <c r="S604" s="69"/>
      <c r="T604" s="69"/>
      <c r="U604" s="70"/>
      <c r="V604" s="79"/>
      <c r="W604" s="66"/>
      <c r="X604" s="69"/>
      <c r="Y604" s="75"/>
      <c r="Z604" s="60"/>
      <c r="AA604" s="60"/>
      <c r="AB604" s="75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80"/>
      <c r="AR604" s="164"/>
    </row>
    <row r="605" spans="1:44" ht="30.75" customHeight="1">
      <c r="A605" s="41"/>
      <c r="B605" s="200" t="s">
        <v>2550</v>
      </c>
      <c r="C605" s="172">
        <v>26</v>
      </c>
      <c r="D605" s="60"/>
      <c r="E605" s="60"/>
      <c r="F605" s="60"/>
      <c r="G605" s="62"/>
      <c r="H605" s="60"/>
      <c r="I605" s="60">
        <f ca="1">+DATEDIF(H605,TODAY(),"Y")</f>
        <v>126</v>
      </c>
      <c r="J605" s="63"/>
      <c r="K605" s="64"/>
      <c r="L605" s="65"/>
      <c r="M605" s="66"/>
      <c r="N605" s="77"/>
      <c r="O605" s="60"/>
      <c r="P605" s="67"/>
      <c r="Q605" s="68"/>
      <c r="R605" s="69"/>
      <c r="S605" s="69"/>
      <c r="T605" s="69"/>
      <c r="U605" s="70"/>
      <c r="V605" s="79"/>
      <c r="W605" s="66"/>
      <c r="X605" s="69"/>
      <c r="Y605" s="75"/>
      <c r="Z605" s="60"/>
      <c r="AA605" s="60"/>
      <c r="AB605" s="75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80"/>
      <c r="AR605" s="164"/>
    </row>
    <row r="606" spans="1:44" ht="30.75" customHeight="1">
      <c r="A606" s="41"/>
      <c r="B606" s="200"/>
      <c r="C606" s="172"/>
      <c r="D606" s="60"/>
      <c r="E606" s="60"/>
      <c r="F606" s="60"/>
      <c r="G606" s="62"/>
      <c r="H606" s="60"/>
      <c r="I606" s="60"/>
      <c r="J606" s="63"/>
      <c r="K606" s="64"/>
      <c r="L606" s="65"/>
      <c r="M606" s="66"/>
      <c r="N606" s="77"/>
      <c r="O606" s="60"/>
      <c r="P606" s="67"/>
      <c r="Q606" s="68"/>
      <c r="R606" s="69"/>
      <c r="S606" s="69"/>
      <c r="T606" s="69"/>
      <c r="U606" s="70"/>
      <c r="V606" s="79"/>
      <c r="W606" s="66"/>
      <c r="X606" s="69"/>
      <c r="Y606" s="75"/>
      <c r="Z606" s="60"/>
      <c r="AA606" s="60"/>
      <c r="AB606" s="75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80"/>
      <c r="AR606" s="164"/>
    </row>
    <row r="607" spans="1:44" ht="30.75" customHeight="1">
      <c r="A607" s="41"/>
      <c r="B607" s="200" t="s">
        <v>2550</v>
      </c>
      <c r="C607" s="172">
        <v>27</v>
      </c>
      <c r="D607" s="60"/>
      <c r="E607" s="60"/>
      <c r="F607" s="60"/>
      <c r="G607" s="62"/>
      <c r="H607" s="60"/>
      <c r="I607" s="60">
        <f ca="1">+DATEDIF(H607,TODAY(),"Y")</f>
        <v>126</v>
      </c>
      <c r="J607" s="63"/>
      <c r="K607" s="64"/>
      <c r="L607" s="65"/>
      <c r="M607" s="66"/>
      <c r="N607" s="77"/>
      <c r="O607" s="60"/>
      <c r="P607" s="67"/>
      <c r="Q607" s="68"/>
      <c r="R607" s="69"/>
      <c r="S607" s="69"/>
      <c r="T607" s="69"/>
      <c r="U607" s="70"/>
      <c r="V607" s="79"/>
      <c r="W607" s="66"/>
      <c r="X607" s="69"/>
      <c r="Y607" s="75"/>
      <c r="Z607" s="60"/>
      <c r="AA607" s="60"/>
      <c r="AB607" s="75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80"/>
      <c r="AR607" s="164"/>
    </row>
    <row r="608" spans="1:44" ht="30.75" customHeight="1">
      <c r="A608" s="41"/>
      <c r="B608" s="200"/>
      <c r="C608" s="172"/>
      <c r="D608" s="60"/>
      <c r="E608" s="60"/>
      <c r="F608" s="60"/>
      <c r="G608" s="62"/>
      <c r="H608" s="60"/>
      <c r="I608" s="60"/>
      <c r="J608" s="63"/>
      <c r="K608" s="64"/>
      <c r="L608" s="65"/>
      <c r="M608" s="66"/>
      <c r="N608" s="77"/>
      <c r="O608" s="60"/>
      <c r="P608" s="67"/>
      <c r="Q608" s="68"/>
      <c r="R608" s="69"/>
      <c r="S608" s="69"/>
      <c r="T608" s="69"/>
      <c r="U608" s="70"/>
      <c r="V608" s="79"/>
      <c r="W608" s="66"/>
      <c r="X608" s="69"/>
      <c r="Y608" s="75"/>
      <c r="Z608" s="60"/>
      <c r="AA608" s="60"/>
      <c r="AB608" s="75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80"/>
      <c r="AR608" s="164"/>
    </row>
    <row r="609" spans="1:44" ht="30.75" customHeight="1">
      <c r="A609" s="41"/>
      <c r="B609" s="200" t="s">
        <v>2550</v>
      </c>
      <c r="C609" s="172">
        <v>28</v>
      </c>
      <c r="D609" s="60"/>
      <c r="E609" s="60"/>
      <c r="F609" s="60"/>
      <c r="G609" s="62"/>
      <c r="H609" s="60"/>
      <c r="I609" s="60">
        <f ca="1">+DATEDIF(H609,TODAY(),"Y")</f>
        <v>126</v>
      </c>
      <c r="J609" s="63"/>
      <c r="K609" s="64"/>
      <c r="L609" s="65"/>
      <c r="M609" s="66"/>
      <c r="N609" s="77"/>
      <c r="O609" s="60"/>
      <c r="P609" s="67"/>
      <c r="Q609" s="68"/>
      <c r="R609" s="69"/>
      <c r="S609" s="69"/>
      <c r="T609" s="69"/>
      <c r="U609" s="70"/>
      <c r="V609" s="79"/>
      <c r="W609" s="66"/>
      <c r="X609" s="69"/>
      <c r="Y609" s="75"/>
      <c r="Z609" s="60"/>
      <c r="AA609" s="60"/>
      <c r="AB609" s="75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80"/>
      <c r="AR609" s="164"/>
    </row>
    <row r="610" spans="1:44" ht="30.75" customHeight="1">
      <c r="A610" s="41"/>
      <c r="B610" s="200"/>
      <c r="C610" s="172"/>
      <c r="D610" s="60"/>
      <c r="E610" s="60"/>
      <c r="F610" s="60"/>
      <c r="G610" s="62"/>
      <c r="H610" s="60"/>
      <c r="I610" s="60"/>
      <c r="J610" s="63"/>
      <c r="K610" s="64"/>
      <c r="L610" s="65"/>
      <c r="M610" s="66"/>
      <c r="N610" s="77"/>
      <c r="O610" s="60"/>
      <c r="P610" s="67"/>
      <c r="Q610" s="68"/>
      <c r="R610" s="69"/>
      <c r="S610" s="69"/>
      <c r="T610" s="69"/>
      <c r="U610" s="70"/>
      <c r="V610" s="79"/>
      <c r="W610" s="66"/>
      <c r="X610" s="69"/>
      <c r="Y610" s="75"/>
      <c r="Z610" s="60"/>
      <c r="AA610" s="60"/>
      <c r="AB610" s="75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80"/>
      <c r="AR610" s="164"/>
    </row>
    <row r="611" spans="1:44" ht="30.75" customHeight="1">
      <c r="A611" s="41"/>
      <c r="B611" s="200" t="s">
        <v>2550</v>
      </c>
      <c r="C611" s="172">
        <v>29</v>
      </c>
      <c r="D611" s="60"/>
      <c r="E611" s="60"/>
      <c r="F611" s="60"/>
      <c r="G611" s="62"/>
      <c r="H611" s="60"/>
      <c r="I611" s="60">
        <f ca="1">+DATEDIF(H611,TODAY(),"Y")</f>
        <v>126</v>
      </c>
      <c r="J611" s="63"/>
      <c r="K611" s="64"/>
      <c r="L611" s="65"/>
      <c r="M611" s="66"/>
      <c r="N611" s="77"/>
      <c r="O611" s="60"/>
      <c r="P611" s="67"/>
      <c r="Q611" s="68"/>
      <c r="R611" s="69"/>
      <c r="S611" s="69"/>
      <c r="T611" s="69"/>
      <c r="U611" s="70"/>
      <c r="V611" s="79"/>
      <c r="W611" s="66"/>
      <c r="X611" s="69"/>
      <c r="Y611" s="75"/>
      <c r="Z611" s="60"/>
      <c r="AA611" s="60"/>
      <c r="AB611" s="75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80"/>
      <c r="AR611" s="164"/>
    </row>
    <row r="612" spans="1:44" ht="30.75" customHeight="1">
      <c r="A612" s="41"/>
      <c r="B612" s="200"/>
      <c r="C612" s="172"/>
      <c r="D612" s="60"/>
      <c r="E612" s="60"/>
      <c r="F612" s="60"/>
      <c r="G612" s="62"/>
      <c r="H612" s="60"/>
      <c r="I612" s="60"/>
      <c r="J612" s="63"/>
      <c r="K612" s="64"/>
      <c r="L612" s="65"/>
      <c r="M612" s="66"/>
      <c r="N612" s="77"/>
      <c r="O612" s="60"/>
      <c r="P612" s="67"/>
      <c r="Q612" s="68"/>
      <c r="R612" s="69"/>
      <c r="S612" s="69"/>
      <c r="T612" s="69"/>
      <c r="U612" s="70"/>
      <c r="V612" s="79"/>
      <c r="W612" s="66"/>
      <c r="X612" s="69"/>
      <c r="Y612" s="75"/>
      <c r="Z612" s="60"/>
      <c r="AA612" s="60"/>
      <c r="AB612" s="75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80"/>
      <c r="AR612" s="164"/>
    </row>
    <row r="613" spans="1:44" ht="30.75" customHeight="1">
      <c r="A613" s="41"/>
      <c r="C613" s="172">
        <v>30</v>
      </c>
      <c r="D613" s="60"/>
      <c r="E613" s="60"/>
      <c r="F613" s="60"/>
      <c r="G613" s="62"/>
      <c r="H613" s="60"/>
      <c r="I613" s="60">
        <f ca="1">+DATEDIF(H613,TODAY(),"Y")</f>
        <v>126</v>
      </c>
      <c r="J613" s="63"/>
      <c r="K613" s="64"/>
      <c r="L613" s="65"/>
      <c r="M613" s="66"/>
      <c r="N613" s="77"/>
      <c r="O613" s="60"/>
      <c r="P613" s="67"/>
      <c r="Q613" s="68"/>
      <c r="R613" s="69"/>
      <c r="S613" s="69"/>
      <c r="T613" s="69"/>
      <c r="U613" s="70"/>
      <c r="V613" s="79"/>
      <c r="W613" s="66"/>
      <c r="X613" s="69"/>
      <c r="Y613" s="75"/>
      <c r="Z613" s="60"/>
      <c r="AA613" s="60"/>
      <c r="AB613" s="75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80"/>
      <c r="AR613" s="164"/>
    </row>
    <row r="614" spans="1:44" ht="30.75" customHeight="1">
      <c r="A614" s="41"/>
      <c r="C614" s="172"/>
      <c r="D614" s="84"/>
      <c r="E614" s="84"/>
      <c r="F614" s="84"/>
      <c r="G614" s="85"/>
      <c r="H614" s="84"/>
      <c r="I614" s="84"/>
      <c r="J614" s="86"/>
      <c r="K614" s="87"/>
      <c r="L614" s="88"/>
      <c r="M614" s="89"/>
      <c r="N614" s="90"/>
      <c r="O614" s="84"/>
      <c r="P614" s="91"/>
      <c r="Q614" s="92"/>
      <c r="R614" s="93"/>
      <c r="S614" s="93"/>
      <c r="T614" s="93"/>
      <c r="U614" s="94"/>
      <c r="V614" s="79"/>
      <c r="W614" s="89"/>
      <c r="X614" s="93"/>
      <c r="Y614" s="96"/>
      <c r="Z614" s="84"/>
      <c r="AA614" s="84"/>
      <c r="AB614" s="96"/>
      <c r="AC614" s="97"/>
      <c r="AD614" s="97"/>
      <c r="AE614" s="97"/>
      <c r="AF614" s="97"/>
      <c r="AG614" s="97"/>
      <c r="AH614" s="97"/>
      <c r="AI614" s="97"/>
      <c r="AJ614" s="97"/>
      <c r="AK614" s="97"/>
      <c r="AL614" s="97"/>
      <c r="AM614" s="97"/>
      <c r="AN614" s="97"/>
      <c r="AO614" s="97"/>
      <c r="AP614" s="97"/>
      <c r="AQ614" s="98"/>
      <c r="AR614" s="164"/>
    </row>
  </sheetData>
  <mergeCells count="31">
    <mergeCell ref="B346:B374"/>
    <mergeCell ref="B107:B126"/>
    <mergeCell ref="B127:B146"/>
    <mergeCell ref="B147:B166"/>
    <mergeCell ref="B167:B186"/>
    <mergeCell ref="B187:B206"/>
    <mergeCell ref="B207:B226"/>
    <mergeCell ref="B227:B245"/>
    <mergeCell ref="B246:B265"/>
    <mergeCell ref="B266:B285"/>
    <mergeCell ref="B286:B305"/>
    <mergeCell ref="B306:B325"/>
    <mergeCell ref="B326:B345"/>
    <mergeCell ref="B7:B26"/>
    <mergeCell ref="B27:B46"/>
    <mergeCell ref="B47:B66"/>
    <mergeCell ref="B67:B86"/>
    <mergeCell ref="B87:B106"/>
    <mergeCell ref="AF5:AH5"/>
    <mergeCell ref="AI5:AK5"/>
    <mergeCell ref="AL5:AN5"/>
    <mergeCell ref="AO5:AQ5"/>
    <mergeCell ref="B1:C5"/>
    <mergeCell ref="D1:S3"/>
    <mergeCell ref="D4:L5"/>
    <mergeCell ref="M4:S4"/>
    <mergeCell ref="V4:V6"/>
    <mergeCell ref="W4:AQ4"/>
    <mergeCell ref="W5:Y5"/>
    <mergeCell ref="Z5:AB5"/>
    <mergeCell ref="AC5:AE5"/>
  </mergeCells>
  <conditionalFormatting sqref="A11">
    <cfRule type="expression" dxfId="1449" priority="1" stopIfTrue="1">
      <formula>NOT(ISERROR(SEARCH("renovar",A11)))</formula>
    </cfRule>
  </conditionalFormatting>
  <conditionalFormatting sqref="A11">
    <cfRule type="expression" dxfId="1448" priority="2" stopIfTrue="1">
      <formula>NOT(ISERROR(SEARCH("Renovar",A11)))</formula>
    </cfRule>
  </conditionalFormatting>
  <conditionalFormatting sqref="A19">
    <cfRule type="expression" dxfId="1447" priority="3" stopIfTrue="1">
      <formula>NOT(ISERROR(SEARCH("renovar",A19)))</formula>
    </cfRule>
  </conditionalFormatting>
  <conditionalFormatting sqref="A19">
    <cfRule type="expression" dxfId="1446" priority="4" stopIfTrue="1">
      <formula>NOT(ISERROR(SEARCH("Renovar",A19)))</formula>
    </cfRule>
  </conditionalFormatting>
  <conditionalFormatting sqref="A20">
    <cfRule type="expression" dxfId="1445" priority="5" stopIfTrue="1">
      <formula>NOT(ISERROR(SEARCH("renovar",A20)))</formula>
    </cfRule>
  </conditionalFormatting>
  <conditionalFormatting sqref="A20">
    <cfRule type="expression" dxfId="1444" priority="6" stopIfTrue="1">
      <formula>NOT(ISERROR(SEARCH("Renovar",A20)))</formula>
    </cfRule>
  </conditionalFormatting>
  <conditionalFormatting sqref="A32">
    <cfRule type="expression" dxfId="1443" priority="7" stopIfTrue="1">
      <formula>NOT(ISERROR(SEARCH("renovar",A32)))</formula>
    </cfRule>
  </conditionalFormatting>
  <conditionalFormatting sqref="A32">
    <cfRule type="expression" dxfId="1442" priority="8" stopIfTrue="1">
      <formula>NOT(ISERROR(SEARCH("Renovar",A32)))</formula>
    </cfRule>
  </conditionalFormatting>
  <conditionalFormatting sqref="A33">
    <cfRule type="expression" dxfId="1441" priority="9" stopIfTrue="1">
      <formula>NOT(ISERROR(SEARCH("renovar",A33)))</formula>
    </cfRule>
  </conditionalFormatting>
  <conditionalFormatting sqref="A33">
    <cfRule type="expression" dxfId="1440" priority="10" stopIfTrue="1">
      <formula>NOT(ISERROR(SEARCH("Renovar",A33)))</formula>
    </cfRule>
  </conditionalFormatting>
  <conditionalFormatting sqref="A34">
    <cfRule type="expression" dxfId="1439" priority="11" stopIfTrue="1">
      <formula>NOT(ISERROR(SEARCH("renovar",A34)))</formula>
    </cfRule>
  </conditionalFormatting>
  <conditionalFormatting sqref="A34">
    <cfRule type="expression" dxfId="1438" priority="12" stopIfTrue="1">
      <formula>NOT(ISERROR(SEARCH("Renovar",A34)))</formula>
    </cfRule>
  </conditionalFormatting>
  <conditionalFormatting sqref="A35">
    <cfRule type="expression" dxfId="1437" priority="13" stopIfTrue="1">
      <formula>NOT(ISERROR(SEARCH("renovar",A35)))</formula>
    </cfRule>
  </conditionalFormatting>
  <conditionalFormatting sqref="A35">
    <cfRule type="expression" dxfId="1436" priority="14" stopIfTrue="1">
      <formula>NOT(ISERROR(SEARCH("Renovar",A35)))</formula>
    </cfRule>
  </conditionalFormatting>
  <conditionalFormatting sqref="A36">
    <cfRule type="expression" dxfId="1435" priority="15" stopIfTrue="1">
      <formula>NOT(ISERROR(SEARCH("renovar",A36)))</formula>
    </cfRule>
  </conditionalFormatting>
  <conditionalFormatting sqref="A36">
    <cfRule type="expression" dxfId="1434" priority="16" stopIfTrue="1">
      <formula>NOT(ISERROR(SEARCH("Renovar",A36)))</formula>
    </cfRule>
  </conditionalFormatting>
  <conditionalFormatting sqref="A37">
    <cfRule type="expression" dxfId="1433" priority="17" stopIfTrue="1">
      <formula>NOT(ISERROR(SEARCH("renovar",A37)))</formula>
    </cfRule>
  </conditionalFormatting>
  <conditionalFormatting sqref="A37">
    <cfRule type="expression" dxfId="1432" priority="18" stopIfTrue="1">
      <formula>NOT(ISERROR(SEARCH("Renovar",A37)))</formula>
    </cfRule>
  </conditionalFormatting>
  <conditionalFormatting sqref="A38">
    <cfRule type="expression" dxfId="1431" priority="19" stopIfTrue="1">
      <formula>NOT(ISERROR(SEARCH("renovar",A38)))</formula>
    </cfRule>
  </conditionalFormatting>
  <conditionalFormatting sqref="A38">
    <cfRule type="expression" dxfId="1430" priority="20" stopIfTrue="1">
      <formula>NOT(ISERROR(SEARCH("Renovar",A38)))</formula>
    </cfRule>
  </conditionalFormatting>
  <conditionalFormatting sqref="A39">
    <cfRule type="expression" dxfId="1429" priority="21" stopIfTrue="1">
      <formula>NOT(ISERROR(SEARCH("renovar",A39)))</formula>
    </cfRule>
  </conditionalFormatting>
  <conditionalFormatting sqref="A39">
    <cfRule type="expression" dxfId="1428" priority="22" stopIfTrue="1">
      <formula>NOT(ISERROR(SEARCH("Renovar",A39)))</formula>
    </cfRule>
  </conditionalFormatting>
  <conditionalFormatting sqref="A40">
    <cfRule type="expression" dxfId="1427" priority="23" stopIfTrue="1">
      <formula>NOT(ISERROR(SEARCH("renovar",A40)))</formula>
    </cfRule>
  </conditionalFormatting>
  <conditionalFormatting sqref="A40">
    <cfRule type="expression" dxfId="1426" priority="24" stopIfTrue="1">
      <formula>NOT(ISERROR(SEARCH("Renovar",A40)))</formula>
    </cfRule>
  </conditionalFormatting>
  <conditionalFormatting sqref="A41">
    <cfRule type="expression" dxfId="1425" priority="25" stopIfTrue="1">
      <formula>NOT(ISERROR(SEARCH("renovar",A41)))</formula>
    </cfRule>
  </conditionalFormatting>
  <conditionalFormatting sqref="A41">
    <cfRule type="expression" dxfId="1424" priority="26" stopIfTrue="1">
      <formula>NOT(ISERROR(SEARCH("Renovar",A41)))</formula>
    </cfRule>
  </conditionalFormatting>
  <conditionalFormatting sqref="A63">
    <cfRule type="expression" dxfId="1423" priority="27" stopIfTrue="1">
      <formula>NOT(ISERROR(SEARCH("renovar",A63)))</formula>
    </cfRule>
  </conditionalFormatting>
  <conditionalFormatting sqref="A63">
    <cfRule type="expression" dxfId="1422" priority="28" stopIfTrue="1">
      <formula>NOT(ISERROR(SEARCH("Renovar",A63)))</formula>
    </cfRule>
  </conditionalFormatting>
  <conditionalFormatting sqref="A64">
    <cfRule type="expression" dxfId="1421" priority="29" stopIfTrue="1">
      <formula>NOT(ISERROR(SEARCH("renovar",A64)))</formula>
    </cfRule>
  </conditionalFormatting>
  <conditionalFormatting sqref="A64">
    <cfRule type="expression" dxfId="1420" priority="30" stopIfTrue="1">
      <formula>NOT(ISERROR(SEARCH("Renovar",A64)))</formula>
    </cfRule>
  </conditionalFormatting>
  <conditionalFormatting sqref="A100">
    <cfRule type="expression" dxfId="1419" priority="31" stopIfTrue="1">
      <formula>NOT(ISERROR(SEARCH("renovar",A100)))</formula>
    </cfRule>
  </conditionalFormatting>
  <conditionalFormatting sqref="A100">
    <cfRule type="expression" dxfId="1418" priority="32" stopIfTrue="1">
      <formula>NOT(ISERROR(SEARCH("Renovar",A100)))</formula>
    </cfRule>
  </conditionalFormatting>
  <conditionalFormatting sqref="A170">
    <cfRule type="expression" dxfId="1417" priority="33" stopIfTrue="1">
      <formula>NOT(ISERROR(SEARCH("renovar",A170)))</formula>
    </cfRule>
  </conditionalFormatting>
  <conditionalFormatting sqref="A170">
    <cfRule type="expression" dxfId="1416" priority="34" stopIfTrue="1">
      <formula>NOT(ISERROR(SEARCH("Renovar",A170)))</formula>
    </cfRule>
  </conditionalFormatting>
  <conditionalFormatting sqref="A173">
    <cfRule type="expression" dxfId="1415" priority="35" stopIfTrue="1">
      <formula>NOT(ISERROR(SEARCH("renovar",A173)))</formula>
    </cfRule>
  </conditionalFormatting>
  <conditionalFormatting sqref="A173">
    <cfRule type="expression" dxfId="1414" priority="36" stopIfTrue="1">
      <formula>NOT(ISERROR(SEARCH("Renovar",A173)))</formula>
    </cfRule>
  </conditionalFormatting>
  <conditionalFormatting sqref="A174">
    <cfRule type="expression" dxfId="1413" priority="37" stopIfTrue="1">
      <formula>NOT(ISERROR(SEARCH("renovar",A174)))</formula>
    </cfRule>
  </conditionalFormatting>
  <conditionalFormatting sqref="A174">
    <cfRule type="expression" dxfId="1412" priority="38" stopIfTrue="1">
      <formula>NOT(ISERROR(SEARCH("Renovar",A174)))</formula>
    </cfRule>
  </conditionalFormatting>
  <conditionalFormatting sqref="A175">
    <cfRule type="expression" dxfId="1411" priority="39" stopIfTrue="1">
      <formula>NOT(ISERROR(SEARCH("renovar",A175)))</formula>
    </cfRule>
  </conditionalFormatting>
  <conditionalFormatting sqref="A175">
    <cfRule type="expression" dxfId="1410" priority="40" stopIfTrue="1">
      <formula>NOT(ISERROR(SEARCH("Renovar",A175)))</formula>
    </cfRule>
  </conditionalFormatting>
  <conditionalFormatting sqref="A176">
    <cfRule type="expression" dxfId="1409" priority="41" stopIfTrue="1">
      <formula>NOT(ISERROR(SEARCH("renovar",A176)))</formula>
    </cfRule>
  </conditionalFormatting>
  <conditionalFormatting sqref="A176">
    <cfRule type="expression" dxfId="1408" priority="42" stopIfTrue="1">
      <formula>NOT(ISERROR(SEARCH("Renovar",A176)))</formula>
    </cfRule>
  </conditionalFormatting>
  <conditionalFormatting sqref="A177">
    <cfRule type="expression" dxfId="1407" priority="43" stopIfTrue="1">
      <formula>NOT(ISERROR(SEARCH("renovar",A177)))</formula>
    </cfRule>
  </conditionalFormatting>
  <conditionalFormatting sqref="A177">
    <cfRule type="expression" dxfId="1406" priority="44" stopIfTrue="1">
      <formula>NOT(ISERROR(SEARCH("Renovar",A177)))</formula>
    </cfRule>
  </conditionalFormatting>
  <conditionalFormatting sqref="A178">
    <cfRule type="expression" dxfId="1405" priority="45" stopIfTrue="1">
      <formula>NOT(ISERROR(SEARCH("renovar",A178)))</formula>
    </cfRule>
  </conditionalFormatting>
  <conditionalFormatting sqref="A178">
    <cfRule type="expression" dxfId="1404" priority="46" stopIfTrue="1">
      <formula>NOT(ISERROR(SEARCH("Renovar",A178)))</formula>
    </cfRule>
  </conditionalFormatting>
  <conditionalFormatting sqref="A179">
    <cfRule type="expression" dxfId="1403" priority="47" stopIfTrue="1">
      <formula>NOT(ISERROR(SEARCH("renovar",A179)))</formula>
    </cfRule>
  </conditionalFormatting>
  <conditionalFormatting sqref="A179">
    <cfRule type="expression" dxfId="1402" priority="48" stopIfTrue="1">
      <formula>NOT(ISERROR(SEARCH("Renovar",A179)))</formula>
    </cfRule>
  </conditionalFormatting>
  <conditionalFormatting sqref="A180">
    <cfRule type="expression" dxfId="1401" priority="49" stopIfTrue="1">
      <formula>NOT(ISERROR(SEARCH("renovar",A180)))</formula>
    </cfRule>
  </conditionalFormatting>
  <conditionalFormatting sqref="A180">
    <cfRule type="expression" dxfId="1400" priority="50" stopIfTrue="1">
      <formula>NOT(ISERROR(SEARCH("Renovar",A180)))</formula>
    </cfRule>
  </conditionalFormatting>
  <conditionalFormatting sqref="A181">
    <cfRule type="expression" dxfId="1399" priority="51" stopIfTrue="1">
      <formula>NOT(ISERROR(SEARCH("renovar",A181)))</formula>
    </cfRule>
  </conditionalFormatting>
  <conditionalFormatting sqref="A181">
    <cfRule type="expression" dxfId="1398" priority="52" stopIfTrue="1">
      <formula>NOT(ISERROR(SEARCH("Renovar",A181)))</formula>
    </cfRule>
  </conditionalFormatting>
  <conditionalFormatting sqref="A182">
    <cfRule type="expression" dxfId="1397" priority="53" stopIfTrue="1">
      <formula>NOT(ISERROR(SEARCH("renovar",A182)))</formula>
    </cfRule>
  </conditionalFormatting>
  <conditionalFormatting sqref="A182">
    <cfRule type="expression" dxfId="1396" priority="54" stopIfTrue="1">
      <formula>NOT(ISERROR(SEARCH("Renovar",A182)))</formula>
    </cfRule>
  </conditionalFormatting>
  <conditionalFormatting sqref="A183">
    <cfRule type="expression" dxfId="1395" priority="55" stopIfTrue="1">
      <formula>NOT(ISERROR(SEARCH("renovar",A183)))</formula>
    </cfRule>
  </conditionalFormatting>
  <conditionalFormatting sqref="A183">
    <cfRule type="expression" dxfId="1394" priority="56" stopIfTrue="1">
      <formula>NOT(ISERROR(SEARCH("Renovar",A183)))</formula>
    </cfRule>
  </conditionalFormatting>
  <conditionalFormatting sqref="A184">
    <cfRule type="expression" dxfId="1393" priority="57" stopIfTrue="1">
      <formula>NOT(ISERROR(SEARCH("renovar",A184)))</formula>
    </cfRule>
  </conditionalFormatting>
  <conditionalFormatting sqref="A184">
    <cfRule type="expression" dxfId="1392" priority="58" stopIfTrue="1">
      <formula>NOT(ISERROR(SEARCH("Renovar",A184)))</formula>
    </cfRule>
  </conditionalFormatting>
  <conditionalFormatting sqref="A185">
    <cfRule type="expression" dxfId="1391" priority="59" stopIfTrue="1">
      <formula>NOT(ISERROR(SEARCH("renovar",A185)))</formula>
    </cfRule>
  </conditionalFormatting>
  <conditionalFormatting sqref="A185">
    <cfRule type="expression" dxfId="1390" priority="60" stopIfTrue="1">
      <formula>NOT(ISERROR(SEARCH("Renovar",A185)))</formula>
    </cfRule>
  </conditionalFormatting>
  <conditionalFormatting sqref="A186">
    <cfRule type="expression" dxfId="1389" priority="61" stopIfTrue="1">
      <formula>NOT(ISERROR(SEARCH("renovar",A186)))</formula>
    </cfRule>
  </conditionalFormatting>
  <conditionalFormatting sqref="A186">
    <cfRule type="expression" dxfId="1388" priority="62" stopIfTrue="1">
      <formula>NOT(ISERROR(SEARCH("Renovar",A186)))</formula>
    </cfRule>
  </conditionalFormatting>
  <conditionalFormatting sqref="A187">
    <cfRule type="expression" dxfId="1387" priority="63" stopIfTrue="1">
      <formula>NOT(ISERROR(SEARCH("renovar",A187)))</formula>
    </cfRule>
  </conditionalFormatting>
  <conditionalFormatting sqref="A187">
    <cfRule type="expression" dxfId="1386" priority="64" stopIfTrue="1">
      <formula>NOT(ISERROR(SEARCH("Renovar",A187)))</formula>
    </cfRule>
  </conditionalFormatting>
  <conditionalFormatting sqref="A188">
    <cfRule type="expression" dxfId="1385" priority="65" stopIfTrue="1">
      <formula>NOT(ISERROR(SEARCH("renovar",A188)))</formula>
    </cfRule>
  </conditionalFormatting>
  <conditionalFormatting sqref="A188">
    <cfRule type="expression" dxfId="1384" priority="66" stopIfTrue="1">
      <formula>NOT(ISERROR(SEARCH("Renovar",A188)))</formula>
    </cfRule>
  </conditionalFormatting>
  <conditionalFormatting sqref="A189">
    <cfRule type="expression" dxfId="1383" priority="67" stopIfTrue="1">
      <formula>NOT(ISERROR(SEARCH("renovar",A189)))</formula>
    </cfRule>
  </conditionalFormatting>
  <conditionalFormatting sqref="A189">
    <cfRule type="expression" dxfId="1382" priority="68" stopIfTrue="1">
      <formula>NOT(ISERROR(SEARCH("Renovar",A189)))</formula>
    </cfRule>
  </conditionalFormatting>
  <conditionalFormatting sqref="A190">
    <cfRule type="expression" dxfId="1381" priority="69" stopIfTrue="1">
      <formula>NOT(ISERROR(SEARCH("renovar",A190)))</formula>
    </cfRule>
  </conditionalFormatting>
  <conditionalFormatting sqref="A190">
    <cfRule type="expression" dxfId="1380" priority="70" stopIfTrue="1">
      <formula>NOT(ISERROR(SEARCH("Renovar",A190)))</formula>
    </cfRule>
  </conditionalFormatting>
  <conditionalFormatting sqref="A191">
    <cfRule type="expression" dxfId="1379" priority="71" stopIfTrue="1">
      <formula>NOT(ISERROR(SEARCH("renovar",A191)))</formula>
    </cfRule>
  </conditionalFormatting>
  <conditionalFormatting sqref="A191">
    <cfRule type="expression" dxfId="1378" priority="72" stopIfTrue="1">
      <formula>NOT(ISERROR(SEARCH("Renovar",A191)))</formula>
    </cfRule>
  </conditionalFormatting>
  <conditionalFormatting sqref="A192">
    <cfRule type="expression" dxfId="1377" priority="73" stopIfTrue="1">
      <formula>NOT(ISERROR(SEARCH("renovar",A192)))</formula>
    </cfRule>
  </conditionalFormatting>
  <conditionalFormatting sqref="A192">
    <cfRule type="expression" dxfId="1376" priority="74" stopIfTrue="1">
      <formula>NOT(ISERROR(SEARCH("Renovar",A192)))</formula>
    </cfRule>
  </conditionalFormatting>
  <conditionalFormatting sqref="A193">
    <cfRule type="expression" dxfId="1375" priority="75" stopIfTrue="1">
      <formula>NOT(ISERROR(SEARCH("renovar",A193)))</formula>
    </cfRule>
  </conditionalFormatting>
  <conditionalFormatting sqref="A193">
    <cfRule type="expression" dxfId="1374" priority="76" stopIfTrue="1">
      <formula>NOT(ISERROR(SEARCH("Renovar",A193)))</formula>
    </cfRule>
  </conditionalFormatting>
  <conditionalFormatting sqref="A194">
    <cfRule type="expression" dxfId="1373" priority="77" stopIfTrue="1">
      <formula>NOT(ISERROR(SEARCH("renovar",A194)))</formula>
    </cfRule>
  </conditionalFormatting>
  <conditionalFormatting sqref="A194">
    <cfRule type="expression" dxfId="1372" priority="78" stopIfTrue="1">
      <formula>NOT(ISERROR(SEARCH("Renovar",A194)))</formula>
    </cfRule>
  </conditionalFormatting>
  <conditionalFormatting sqref="A195">
    <cfRule type="expression" dxfId="1371" priority="79" stopIfTrue="1">
      <formula>NOT(ISERROR(SEARCH("renovar",A195)))</formula>
    </cfRule>
  </conditionalFormatting>
  <conditionalFormatting sqref="A195">
    <cfRule type="expression" dxfId="1370" priority="80" stopIfTrue="1">
      <formula>NOT(ISERROR(SEARCH("Renovar",A195)))</formula>
    </cfRule>
  </conditionalFormatting>
  <conditionalFormatting sqref="A196">
    <cfRule type="expression" dxfId="1369" priority="81" stopIfTrue="1">
      <formula>NOT(ISERROR(SEARCH("renovar",A196)))</formula>
    </cfRule>
  </conditionalFormatting>
  <conditionalFormatting sqref="A196">
    <cfRule type="expression" dxfId="1368" priority="82" stopIfTrue="1">
      <formula>NOT(ISERROR(SEARCH("Renovar",A196)))</formula>
    </cfRule>
  </conditionalFormatting>
  <conditionalFormatting sqref="A197">
    <cfRule type="expression" dxfId="1367" priority="83" stopIfTrue="1">
      <formula>NOT(ISERROR(SEARCH("renovar",A197)))</formula>
    </cfRule>
  </conditionalFormatting>
  <conditionalFormatting sqref="A197">
    <cfRule type="expression" dxfId="1366" priority="84" stopIfTrue="1">
      <formula>NOT(ISERROR(SEARCH("Renovar",A197)))</formula>
    </cfRule>
  </conditionalFormatting>
  <conditionalFormatting sqref="A198">
    <cfRule type="expression" dxfId="1365" priority="85" stopIfTrue="1">
      <formula>NOT(ISERROR(SEARCH("renovar",A198)))</formula>
    </cfRule>
  </conditionalFormatting>
  <conditionalFormatting sqref="A198">
    <cfRule type="expression" dxfId="1364" priority="86" stopIfTrue="1">
      <formula>NOT(ISERROR(SEARCH("Renovar",A198)))</formula>
    </cfRule>
  </conditionalFormatting>
  <conditionalFormatting sqref="A199">
    <cfRule type="expression" dxfId="1363" priority="87" stopIfTrue="1">
      <formula>NOT(ISERROR(SEARCH("renovar",A199)))</formula>
    </cfRule>
  </conditionalFormatting>
  <conditionalFormatting sqref="A199">
    <cfRule type="expression" dxfId="1362" priority="88" stopIfTrue="1">
      <formula>NOT(ISERROR(SEARCH("Renovar",A199)))</formula>
    </cfRule>
  </conditionalFormatting>
  <conditionalFormatting sqref="A200">
    <cfRule type="expression" dxfId="1361" priority="89" stopIfTrue="1">
      <formula>NOT(ISERROR(SEARCH("renovar",A200)))</formula>
    </cfRule>
  </conditionalFormatting>
  <conditionalFormatting sqref="A200">
    <cfRule type="expression" dxfId="1360" priority="90" stopIfTrue="1">
      <formula>NOT(ISERROR(SEARCH("Renovar",A200)))</formula>
    </cfRule>
  </conditionalFormatting>
  <conditionalFormatting sqref="A201">
    <cfRule type="expression" dxfId="1359" priority="91" stopIfTrue="1">
      <formula>NOT(ISERROR(SEARCH("renovar",A201)))</formula>
    </cfRule>
  </conditionalFormatting>
  <conditionalFormatting sqref="A201">
    <cfRule type="expression" dxfId="1358" priority="92" stopIfTrue="1">
      <formula>NOT(ISERROR(SEARCH("Renovar",A201)))</formula>
    </cfRule>
  </conditionalFormatting>
  <conditionalFormatting sqref="A202">
    <cfRule type="expression" dxfId="1357" priority="93" stopIfTrue="1">
      <formula>NOT(ISERROR(SEARCH("renovar",A202)))</formula>
    </cfRule>
  </conditionalFormatting>
  <conditionalFormatting sqref="A202">
    <cfRule type="expression" dxfId="1356" priority="94" stopIfTrue="1">
      <formula>NOT(ISERROR(SEARCH("Renovar",A202)))</formula>
    </cfRule>
  </conditionalFormatting>
  <conditionalFormatting sqref="A203">
    <cfRule type="expression" dxfId="1355" priority="95" stopIfTrue="1">
      <formula>NOT(ISERROR(SEARCH("renovar",A203)))</formula>
    </cfRule>
  </conditionalFormatting>
  <conditionalFormatting sqref="A203">
    <cfRule type="expression" dxfId="1354" priority="96" stopIfTrue="1">
      <formula>NOT(ISERROR(SEARCH("Renovar",A203)))</formula>
    </cfRule>
  </conditionalFormatting>
  <conditionalFormatting sqref="A204">
    <cfRule type="expression" dxfId="1353" priority="97" stopIfTrue="1">
      <formula>NOT(ISERROR(SEARCH("renovar",A204)))</formula>
    </cfRule>
  </conditionalFormatting>
  <conditionalFormatting sqref="A204">
    <cfRule type="expression" dxfId="1352" priority="98" stopIfTrue="1">
      <formula>NOT(ISERROR(SEARCH("Renovar",A204)))</formula>
    </cfRule>
  </conditionalFormatting>
  <conditionalFormatting sqref="A205">
    <cfRule type="expression" dxfId="1351" priority="99" stopIfTrue="1">
      <formula>NOT(ISERROR(SEARCH("renovar",A205)))</formula>
    </cfRule>
  </conditionalFormatting>
  <conditionalFormatting sqref="A205">
    <cfRule type="expression" dxfId="1350" priority="100" stopIfTrue="1">
      <formula>NOT(ISERROR(SEARCH("Renovar",A205)))</formula>
    </cfRule>
  </conditionalFormatting>
  <conditionalFormatting sqref="A206">
    <cfRule type="expression" dxfId="1349" priority="101" stopIfTrue="1">
      <formula>NOT(ISERROR(SEARCH("renovar",A206)))</formula>
    </cfRule>
  </conditionalFormatting>
  <conditionalFormatting sqref="A206">
    <cfRule type="expression" dxfId="1348" priority="102" stopIfTrue="1">
      <formula>NOT(ISERROR(SEARCH("Renovar",A206)))</formula>
    </cfRule>
  </conditionalFormatting>
  <conditionalFormatting sqref="A207">
    <cfRule type="expression" dxfId="1347" priority="103" stopIfTrue="1">
      <formula>NOT(ISERROR(SEARCH("renovar",A207)))</formula>
    </cfRule>
  </conditionalFormatting>
  <conditionalFormatting sqref="A207">
    <cfRule type="expression" dxfId="1346" priority="104" stopIfTrue="1">
      <formula>NOT(ISERROR(SEARCH("Renovar",A207)))</formula>
    </cfRule>
  </conditionalFormatting>
  <conditionalFormatting sqref="A208">
    <cfRule type="expression" dxfId="1345" priority="105" stopIfTrue="1">
      <formula>NOT(ISERROR(SEARCH("renovar",A208)))</formula>
    </cfRule>
  </conditionalFormatting>
  <conditionalFormatting sqref="A208">
    <cfRule type="expression" dxfId="1344" priority="106" stopIfTrue="1">
      <formula>NOT(ISERROR(SEARCH("Renovar",A208)))</formula>
    </cfRule>
  </conditionalFormatting>
  <conditionalFormatting sqref="A209">
    <cfRule type="expression" dxfId="1343" priority="107" stopIfTrue="1">
      <formula>NOT(ISERROR(SEARCH("renovar",A209)))</formula>
    </cfRule>
  </conditionalFormatting>
  <conditionalFormatting sqref="A209">
    <cfRule type="expression" dxfId="1342" priority="108" stopIfTrue="1">
      <formula>NOT(ISERROR(SEARCH("Renovar",A209)))</formula>
    </cfRule>
  </conditionalFormatting>
  <conditionalFormatting sqref="A210">
    <cfRule type="expression" dxfId="1341" priority="109" stopIfTrue="1">
      <formula>NOT(ISERROR(SEARCH("renovar",A210)))</formula>
    </cfRule>
  </conditionalFormatting>
  <conditionalFormatting sqref="A210">
    <cfRule type="expression" dxfId="1340" priority="110" stopIfTrue="1">
      <formula>NOT(ISERROR(SEARCH("Renovar",A210)))</formula>
    </cfRule>
  </conditionalFormatting>
  <conditionalFormatting sqref="A211">
    <cfRule type="expression" dxfId="1339" priority="111" stopIfTrue="1">
      <formula>NOT(ISERROR(SEARCH("renovar",A211)))</formula>
    </cfRule>
  </conditionalFormatting>
  <conditionalFormatting sqref="A211">
    <cfRule type="expression" dxfId="1338" priority="112" stopIfTrue="1">
      <formula>NOT(ISERROR(SEARCH("Renovar",A211)))</formula>
    </cfRule>
  </conditionalFormatting>
  <conditionalFormatting sqref="A212">
    <cfRule type="expression" dxfId="1337" priority="113" stopIfTrue="1">
      <formula>NOT(ISERROR(SEARCH("renovar",A212)))</formula>
    </cfRule>
  </conditionalFormatting>
  <conditionalFormatting sqref="A212">
    <cfRule type="expression" dxfId="1336" priority="114" stopIfTrue="1">
      <formula>NOT(ISERROR(SEARCH("Renovar",A212)))</formula>
    </cfRule>
  </conditionalFormatting>
  <conditionalFormatting sqref="A213">
    <cfRule type="expression" dxfId="1335" priority="115" stopIfTrue="1">
      <formula>NOT(ISERROR(SEARCH("renovar",A213)))</formula>
    </cfRule>
  </conditionalFormatting>
  <conditionalFormatting sqref="A213">
    <cfRule type="expression" dxfId="1334" priority="116" stopIfTrue="1">
      <formula>NOT(ISERROR(SEARCH("Renovar",A213)))</formula>
    </cfRule>
  </conditionalFormatting>
  <conditionalFormatting sqref="A214">
    <cfRule type="expression" dxfId="1333" priority="117" stopIfTrue="1">
      <formula>NOT(ISERROR(SEARCH("renovar",A214)))</formula>
    </cfRule>
  </conditionalFormatting>
  <conditionalFormatting sqref="A214">
    <cfRule type="expression" dxfId="1332" priority="118" stopIfTrue="1">
      <formula>NOT(ISERROR(SEARCH("Renovar",A214)))</formula>
    </cfRule>
  </conditionalFormatting>
  <conditionalFormatting sqref="A215">
    <cfRule type="expression" dxfId="1331" priority="119" stopIfTrue="1">
      <formula>NOT(ISERROR(SEARCH("renovar",A215)))</formula>
    </cfRule>
  </conditionalFormatting>
  <conditionalFormatting sqref="A215">
    <cfRule type="expression" dxfId="1330" priority="120" stopIfTrue="1">
      <formula>NOT(ISERROR(SEARCH("Renovar",A215)))</formula>
    </cfRule>
  </conditionalFormatting>
  <conditionalFormatting sqref="A216">
    <cfRule type="expression" dxfId="1329" priority="121" stopIfTrue="1">
      <formula>NOT(ISERROR(SEARCH("renovar",A216)))</formula>
    </cfRule>
  </conditionalFormatting>
  <conditionalFormatting sqref="A216">
    <cfRule type="expression" dxfId="1328" priority="122" stopIfTrue="1">
      <formula>NOT(ISERROR(SEARCH("Renovar",A216)))</formula>
    </cfRule>
  </conditionalFormatting>
  <conditionalFormatting sqref="A217">
    <cfRule type="expression" dxfId="1327" priority="123" stopIfTrue="1">
      <formula>NOT(ISERROR(SEARCH("renovar",A217)))</formula>
    </cfRule>
  </conditionalFormatting>
  <conditionalFormatting sqref="A217">
    <cfRule type="expression" dxfId="1326" priority="124" stopIfTrue="1">
      <formula>NOT(ISERROR(SEARCH("Renovar",A217)))</formula>
    </cfRule>
  </conditionalFormatting>
  <conditionalFormatting sqref="A218">
    <cfRule type="expression" dxfId="1325" priority="125" stopIfTrue="1">
      <formula>NOT(ISERROR(SEARCH("renovar",A218)))</formula>
    </cfRule>
  </conditionalFormatting>
  <conditionalFormatting sqref="A218">
    <cfRule type="expression" dxfId="1324" priority="126" stopIfTrue="1">
      <formula>NOT(ISERROR(SEARCH("Renovar",A218)))</formula>
    </cfRule>
  </conditionalFormatting>
  <conditionalFormatting sqref="A219">
    <cfRule type="expression" dxfId="1323" priority="127" stopIfTrue="1">
      <formula>NOT(ISERROR(SEARCH("renovar",A219)))</formula>
    </cfRule>
  </conditionalFormatting>
  <conditionalFormatting sqref="A219">
    <cfRule type="expression" dxfId="1322" priority="128" stopIfTrue="1">
      <formula>NOT(ISERROR(SEARCH("Renovar",A219)))</formula>
    </cfRule>
  </conditionalFormatting>
  <conditionalFormatting sqref="A220">
    <cfRule type="expression" dxfId="1321" priority="129" stopIfTrue="1">
      <formula>NOT(ISERROR(SEARCH("renovar",A220)))</formula>
    </cfRule>
  </conditionalFormatting>
  <conditionalFormatting sqref="A220">
    <cfRule type="expression" dxfId="1320" priority="130" stopIfTrue="1">
      <formula>NOT(ISERROR(SEARCH("Renovar",A220)))</formula>
    </cfRule>
  </conditionalFormatting>
  <conditionalFormatting sqref="A221">
    <cfRule type="expression" dxfId="1319" priority="131" stopIfTrue="1">
      <formula>NOT(ISERROR(SEARCH("renovar",A221)))</formula>
    </cfRule>
  </conditionalFormatting>
  <conditionalFormatting sqref="A221">
    <cfRule type="expression" dxfId="1318" priority="132" stopIfTrue="1">
      <formula>NOT(ISERROR(SEARCH("Renovar",A221)))</formula>
    </cfRule>
  </conditionalFormatting>
  <conditionalFormatting sqref="A222">
    <cfRule type="expression" dxfId="1317" priority="133" stopIfTrue="1">
      <formula>NOT(ISERROR(SEARCH("renovar",A222)))</formula>
    </cfRule>
  </conditionalFormatting>
  <conditionalFormatting sqref="A222">
    <cfRule type="expression" dxfId="1316" priority="134" stopIfTrue="1">
      <formula>NOT(ISERROR(SEARCH("Renovar",A222)))</formula>
    </cfRule>
  </conditionalFormatting>
  <conditionalFormatting sqref="A223">
    <cfRule type="expression" dxfId="1315" priority="135" stopIfTrue="1">
      <formula>NOT(ISERROR(SEARCH("renovar",A223)))</formula>
    </cfRule>
  </conditionalFormatting>
  <conditionalFormatting sqref="A223">
    <cfRule type="expression" dxfId="1314" priority="136" stopIfTrue="1">
      <formula>NOT(ISERROR(SEARCH("Renovar",A223)))</formula>
    </cfRule>
  </conditionalFormatting>
  <conditionalFormatting sqref="A224">
    <cfRule type="expression" dxfId="1313" priority="137" stopIfTrue="1">
      <formula>NOT(ISERROR(SEARCH("renovar",A224)))</formula>
    </cfRule>
  </conditionalFormatting>
  <conditionalFormatting sqref="A224">
    <cfRule type="expression" dxfId="1312" priority="138" stopIfTrue="1">
      <formula>NOT(ISERROR(SEARCH("Renovar",A224)))</formula>
    </cfRule>
  </conditionalFormatting>
  <conditionalFormatting sqref="A225">
    <cfRule type="expression" dxfId="1311" priority="139" stopIfTrue="1">
      <formula>NOT(ISERROR(SEARCH("renovar",A225)))</formula>
    </cfRule>
  </conditionalFormatting>
  <conditionalFormatting sqref="A225">
    <cfRule type="expression" dxfId="1310" priority="140" stopIfTrue="1">
      <formula>NOT(ISERROR(SEARCH("Renovar",A225)))</formula>
    </cfRule>
  </conditionalFormatting>
  <conditionalFormatting sqref="A226">
    <cfRule type="expression" dxfId="1309" priority="141" stopIfTrue="1">
      <formula>NOT(ISERROR(SEARCH("renovar",A226)))</formula>
    </cfRule>
  </conditionalFormatting>
  <conditionalFormatting sqref="A226">
    <cfRule type="expression" dxfId="1308" priority="142" stopIfTrue="1">
      <formula>NOT(ISERROR(SEARCH("Renovar",A226)))</formula>
    </cfRule>
  </conditionalFormatting>
  <conditionalFormatting sqref="A227">
    <cfRule type="expression" dxfId="1307" priority="143" stopIfTrue="1">
      <formula>NOT(ISERROR(SEARCH("renovar",A227)))</formula>
    </cfRule>
  </conditionalFormatting>
  <conditionalFormatting sqref="A227">
    <cfRule type="expression" dxfId="1306" priority="144" stopIfTrue="1">
      <formula>NOT(ISERROR(SEARCH("Renovar",A227)))</formula>
    </cfRule>
  </conditionalFormatting>
  <conditionalFormatting sqref="A228">
    <cfRule type="expression" dxfId="1305" priority="145" stopIfTrue="1">
      <formula>NOT(ISERROR(SEARCH("renovar",A228)))</formula>
    </cfRule>
  </conditionalFormatting>
  <conditionalFormatting sqref="A228">
    <cfRule type="expression" dxfId="1304" priority="146" stopIfTrue="1">
      <formula>NOT(ISERROR(SEARCH("Renovar",A228)))</formula>
    </cfRule>
  </conditionalFormatting>
  <conditionalFormatting sqref="A229">
    <cfRule type="expression" dxfId="1303" priority="147" stopIfTrue="1">
      <formula>NOT(ISERROR(SEARCH("renovar",A229)))</formula>
    </cfRule>
  </conditionalFormatting>
  <conditionalFormatting sqref="A229">
    <cfRule type="expression" dxfId="1302" priority="148" stopIfTrue="1">
      <formula>NOT(ISERROR(SEARCH("Renovar",A229)))</formula>
    </cfRule>
  </conditionalFormatting>
  <conditionalFormatting sqref="A230">
    <cfRule type="expression" dxfId="1301" priority="149" stopIfTrue="1">
      <formula>NOT(ISERROR(SEARCH("renovar",A230)))</formula>
    </cfRule>
  </conditionalFormatting>
  <conditionalFormatting sqref="A230">
    <cfRule type="expression" dxfId="1300" priority="150" stopIfTrue="1">
      <formula>NOT(ISERROR(SEARCH("Renovar",A230)))</formula>
    </cfRule>
  </conditionalFormatting>
  <conditionalFormatting sqref="A231">
    <cfRule type="expression" dxfId="1299" priority="151" stopIfTrue="1">
      <formula>NOT(ISERROR(SEARCH("renovar",A231)))</formula>
    </cfRule>
  </conditionalFormatting>
  <conditionalFormatting sqref="A231">
    <cfRule type="expression" dxfId="1298" priority="152" stopIfTrue="1">
      <formula>NOT(ISERROR(SEARCH("Renovar",A231)))</formula>
    </cfRule>
  </conditionalFormatting>
  <conditionalFormatting sqref="A232">
    <cfRule type="expression" dxfId="1297" priority="153" stopIfTrue="1">
      <formula>NOT(ISERROR(SEARCH("renovar",A232)))</formula>
    </cfRule>
  </conditionalFormatting>
  <conditionalFormatting sqref="A232">
    <cfRule type="expression" dxfId="1296" priority="154" stopIfTrue="1">
      <formula>NOT(ISERROR(SEARCH("Renovar",A232)))</formula>
    </cfRule>
  </conditionalFormatting>
  <conditionalFormatting sqref="A233">
    <cfRule type="expression" dxfId="1295" priority="155" stopIfTrue="1">
      <formula>NOT(ISERROR(SEARCH("renovar",A233)))</formula>
    </cfRule>
  </conditionalFormatting>
  <conditionalFormatting sqref="A233">
    <cfRule type="expression" dxfId="1294" priority="156" stopIfTrue="1">
      <formula>NOT(ISERROR(SEARCH("Renovar",A233)))</formula>
    </cfRule>
  </conditionalFormatting>
  <conditionalFormatting sqref="A234">
    <cfRule type="expression" dxfId="1293" priority="157" stopIfTrue="1">
      <formula>NOT(ISERROR(SEARCH("renovar",A234)))</formula>
    </cfRule>
  </conditionalFormatting>
  <conditionalFormatting sqref="A234">
    <cfRule type="expression" dxfId="1292" priority="158" stopIfTrue="1">
      <formula>NOT(ISERROR(SEARCH("Renovar",A234)))</formula>
    </cfRule>
  </conditionalFormatting>
  <conditionalFormatting sqref="A235">
    <cfRule type="expression" dxfId="1291" priority="159" stopIfTrue="1">
      <formula>NOT(ISERROR(SEARCH("renovar",A235)))</formula>
    </cfRule>
  </conditionalFormatting>
  <conditionalFormatting sqref="A235">
    <cfRule type="expression" dxfId="1290" priority="160" stopIfTrue="1">
      <formula>NOT(ISERROR(SEARCH("Renovar",A235)))</formula>
    </cfRule>
  </conditionalFormatting>
  <conditionalFormatting sqref="A236">
    <cfRule type="expression" dxfId="1289" priority="161" stopIfTrue="1">
      <formula>NOT(ISERROR(SEARCH("renovar",A236)))</formula>
    </cfRule>
  </conditionalFormatting>
  <conditionalFormatting sqref="A236">
    <cfRule type="expression" dxfId="1288" priority="162" stopIfTrue="1">
      <formula>NOT(ISERROR(SEARCH("Renovar",A236)))</formula>
    </cfRule>
  </conditionalFormatting>
  <conditionalFormatting sqref="A237">
    <cfRule type="expression" dxfId="1287" priority="163" stopIfTrue="1">
      <formula>NOT(ISERROR(SEARCH("renovar",A237)))</formula>
    </cfRule>
  </conditionalFormatting>
  <conditionalFormatting sqref="A237">
    <cfRule type="expression" dxfId="1286" priority="164" stopIfTrue="1">
      <formula>NOT(ISERROR(SEARCH("Renovar",A237)))</formula>
    </cfRule>
  </conditionalFormatting>
  <conditionalFormatting sqref="A238">
    <cfRule type="expression" dxfId="1285" priority="165" stopIfTrue="1">
      <formula>NOT(ISERROR(SEARCH("renovar",A238)))</formula>
    </cfRule>
  </conditionalFormatting>
  <conditionalFormatting sqref="A238">
    <cfRule type="expression" dxfId="1284" priority="166" stopIfTrue="1">
      <formula>NOT(ISERROR(SEARCH("Renovar",A238)))</formula>
    </cfRule>
  </conditionalFormatting>
  <conditionalFormatting sqref="A239">
    <cfRule type="expression" dxfId="1283" priority="167" stopIfTrue="1">
      <formula>NOT(ISERROR(SEARCH("renovar",A239)))</formula>
    </cfRule>
  </conditionalFormatting>
  <conditionalFormatting sqref="A239">
    <cfRule type="expression" dxfId="1282" priority="168" stopIfTrue="1">
      <formula>NOT(ISERROR(SEARCH("Renovar",A239)))</formula>
    </cfRule>
  </conditionalFormatting>
  <conditionalFormatting sqref="A240">
    <cfRule type="expression" dxfId="1281" priority="169" stopIfTrue="1">
      <formula>NOT(ISERROR(SEARCH("renovar",A240)))</formula>
    </cfRule>
  </conditionalFormatting>
  <conditionalFormatting sqref="A240">
    <cfRule type="expression" dxfId="1280" priority="170" stopIfTrue="1">
      <formula>NOT(ISERROR(SEARCH("Renovar",A240)))</formula>
    </cfRule>
  </conditionalFormatting>
  <conditionalFormatting sqref="A241">
    <cfRule type="expression" dxfId="1279" priority="171" stopIfTrue="1">
      <formula>NOT(ISERROR(SEARCH("renovar",A241)))</formula>
    </cfRule>
  </conditionalFormatting>
  <conditionalFormatting sqref="A241">
    <cfRule type="expression" dxfId="1278" priority="172" stopIfTrue="1">
      <formula>NOT(ISERROR(SEARCH("Renovar",A241)))</formula>
    </cfRule>
  </conditionalFormatting>
  <conditionalFormatting sqref="A242">
    <cfRule type="expression" dxfId="1277" priority="173" stopIfTrue="1">
      <formula>NOT(ISERROR(SEARCH("renovar",A242)))</formula>
    </cfRule>
  </conditionalFormatting>
  <conditionalFormatting sqref="A242">
    <cfRule type="expression" dxfId="1276" priority="174" stopIfTrue="1">
      <formula>NOT(ISERROR(SEARCH("Renovar",A242)))</formula>
    </cfRule>
  </conditionalFormatting>
  <conditionalFormatting sqref="A243">
    <cfRule type="expression" dxfId="1275" priority="175" stopIfTrue="1">
      <formula>NOT(ISERROR(SEARCH("renovar",A243)))</formula>
    </cfRule>
  </conditionalFormatting>
  <conditionalFormatting sqref="A243">
    <cfRule type="expression" dxfId="1274" priority="176" stopIfTrue="1">
      <formula>NOT(ISERROR(SEARCH("Renovar",A243)))</formula>
    </cfRule>
  </conditionalFormatting>
  <conditionalFormatting sqref="A244">
    <cfRule type="expression" dxfId="1273" priority="177" stopIfTrue="1">
      <formula>NOT(ISERROR(SEARCH("renovar",A244)))</formula>
    </cfRule>
  </conditionalFormatting>
  <conditionalFormatting sqref="A244">
    <cfRule type="expression" dxfId="1272" priority="178" stopIfTrue="1">
      <formula>NOT(ISERROR(SEARCH("Renovar",A244)))</formula>
    </cfRule>
  </conditionalFormatting>
  <conditionalFormatting sqref="A245">
    <cfRule type="expression" dxfId="1271" priority="179" stopIfTrue="1">
      <formula>NOT(ISERROR(SEARCH("renovar",A245)))</formula>
    </cfRule>
  </conditionalFormatting>
  <conditionalFormatting sqref="A245">
    <cfRule type="expression" dxfId="1270" priority="180" stopIfTrue="1">
      <formula>NOT(ISERROR(SEARCH("Renovar",A245)))</formula>
    </cfRule>
  </conditionalFormatting>
  <conditionalFormatting sqref="A246">
    <cfRule type="expression" dxfId="1269" priority="181" stopIfTrue="1">
      <formula>NOT(ISERROR(SEARCH("renovar",A246)))</formula>
    </cfRule>
  </conditionalFormatting>
  <conditionalFormatting sqref="A246">
    <cfRule type="expression" dxfId="1268" priority="182" stopIfTrue="1">
      <formula>NOT(ISERROR(SEARCH("Renovar",A246)))</formula>
    </cfRule>
  </conditionalFormatting>
  <conditionalFormatting sqref="A247">
    <cfRule type="expression" dxfId="1267" priority="183" stopIfTrue="1">
      <formula>NOT(ISERROR(SEARCH("renovar",A247)))</formula>
    </cfRule>
  </conditionalFormatting>
  <conditionalFormatting sqref="A247">
    <cfRule type="expression" dxfId="1266" priority="184" stopIfTrue="1">
      <formula>NOT(ISERROR(SEARCH("Renovar",A247)))</formula>
    </cfRule>
  </conditionalFormatting>
  <conditionalFormatting sqref="A248">
    <cfRule type="expression" dxfId="1265" priority="185" stopIfTrue="1">
      <formula>NOT(ISERROR(SEARCH("renovar",A248)))</formula>
    </cfRule>
  </conditionalFormatting>
  <conditionalFormatting sqref="A248">
    <cfRule type="expression" dxfId="1264" priority="186" stopIfTrue="1">
      <formula>NOT(ISERROR(SEARCH("Renovar",A248)))</formula>
    </cfRule>
  </conditionalFormatting>
  <conditionalFormatting sqref="A249">
    <cfRule type="expression" dxfId="1263" priority="187" stopIfTrue="1">
      <formula>NOT(ISERROR(SEARCH("renovar",A249)))</formula>
    </cfRule>
  </conditionalFormatting>
  <conditionalFormatting sqref="A249">
    <cfRule type="expression" dxfId="1262" priority="188" stopIfTrue="1">
      <formula>NOT(ISERROR(SEARCH("Renovar",A249)))</formula>
    </cfRule>
  </conditionalFormatting>
  <conditionalFormatting sqref="A250">
    <cfRule type="expression" dxfId="1261" priority="189" stopIfTrue="1">
      <formula>NOT(ISERROR(SEARCH("renovar",A250)))</formula>
    </cfRule>
  </conditionalFormatting>
  <conditionalFormatting sqref="A250">
    <cfRule type="expression" dxfId="1260" priority="190" stopIfTrue="1">
      <formula>NOT(ISERROR(SEARCH("Renovar",A250)))</formula>
    </cfRule>
  </conditionalFormatting>
  <conditionalFormatting sqref="A251">
    <cfRule type="expression" dxfId="1259" priority="191" stopIfTrue="1">
      <formula>NOT(ISERROR(SEARCH("renovar",A251)))</formula>
    </cfRule>
  </conditionalFormatting>
  <conditionalFormatting sqref="A251">
    <cfRule type="expression" dxfId="1258" priority="192" stopIfTrue="1">
      <formula>NOT(ISERROR(SEARCH("Renovar",A251)))</formula>
    </cfRule>
  </conditionalFormatting>
  <conditionalFormatting sqref="A252">
    <cfRule type="expression" dxfId="1257" priority="193" stopIfTrue="1">
      <formula>NOT(ISERROR(SEARCH("renovar",A252)))</formula>
    </cfRule>
  </conditionalFormatting>
  <conditionalFormatting sqref="A252">
    <cfRule type="expression" dxfId="1256" priority="194" stopIfTrue="1">
      <formula>NOT(ISERROR(SEARCH("Renovar",A252)))</formula>
    </cfRule>
  </conditionalFormatting>
  <conditionalFormatting sqref="A253">
    <cfRule type="expression" dxfId="1255" priority="195" stopIfTrue="1">
      <formula>NOT(ISERROR(SEARCH("renovar",A253)))</formula>
    </cfRule>
  </conditionalFormatting>
  <conditionalFormatting sqref="A253">
    <cfRule type="expression" dxfId="1254" priority="196" stopIfTrue="1">
      <formula>NOT(ISERROR(SEARCH("Renovar",A253)))</formula>
    </cfRule>
  </conditionalFormatting>
  <conditionalFormatting sqref="A254">
    <cfRule type="expression" dxfId="1253" priority="197" stopIfTrue="1">
      <formula>NOT(ISERROR(SEARCH("renovar",A254)))</formula>
    </cfRule>
  </conditionalFormatting>
  <conditionalFormatting sqref="A254">
    <cfRule type="expression" dxfId="1252" priority="198" stopIfTrue="1">
      <formula>NOT(ISERROR(SEARCH("Renovar",A254)))</formula>
    </cfRule>
  </conditionalFormatting>
  <conditionalFormatting sqref="A255">
    <cfRule type="expression" dxfId="1251" priority="199" stopIfTrue="1">
      <formula>NOT(ISERROR(SEARCH("renovar",A255)))</formula>
    </cfRule>
  </conditionalFormatting>
  <conditionalFormatting sqref="A255">
    <cfRule type="expression" dxfId="1250" priority="200" stopIfTrue="1">
      <formula>NOT(ISERROR(SEARCH("Renovar",A255)))</formula>
    </cfRule>
  </conditionalFormatting>
  <conditionalFormatting sqref="A256">
    <cfRule type="expression" dxfId="1249" priority="201" stopIfTrue="1">
      <formula>NOT(ISERROR(SEARCH("renovar",A256)))</formula>
    </cfRule>
  </conditionalFormatting>
  <conditionalFormatting sqref="A256">
    <cfRule type="expression" dxfId="1248" priority="202" stopIfTrue="1">
      <formula>NOT(ISERROR(SEARCH("Renovar",A256)))</formula>
    </cfRule>
  </conditionalFormatting>
  <conditionalFormatting sqref="A257">
    <cfRule type="expression" dxfId="1247" priority="203" stopIfTrue="1">
      <formula>NOT(ISERROR(SEARCH("renovar",A257)))</formula>
    </cfRule>
  </conditionalFormatting>
  <conditionalFormatting sqref="A257">
    <cfRule type="expression" dxfId="1246" priority="204" stopIfTrue="1">
      <formula>NOT(ISERROR(SEARCH("Renovar",A257)))</formula>
    </cfRule>
  </conditionalFormatting>
  <conditionalFormatting sqref="A258">
    <cfRule type="expression" dxfId="1245" priority="205" stopIfTrue="1">
      <formula>NOT(ISERROR(SEARCH("renovar",A258)))</formula>
    </cfRule>
  </conditionalFormatting>
  <conditionalFormatting sqref="A258">
    <cfRule type="expression" dxfId="1244" priority="206" stopIfTrue="1">
      <formula>NOT(ISERROR(SEARCH("Renovar",A258)))</formula>
    </cfRule>
  </conditionalFormatting>
  <conditionalFormatting sqref="A259">
    <cfRule type="expression" dxfId="1243" priority="207" stopIfTrue="1">
      <formula>NOT(ISERROR(SEARCH("renovar",A259)))</formula>
    </cfRule>
  </conditionalFormatting>
  <conditionalFormatting sqref="A259">
    <cfRule type="expression" dxfId="1242" priority="208" stopIfTrue="1">
      <formula>NOT(ISERROR(SEARCH("Renovar",A259)))</formula>
    </cfRule>
  </conditionalFormatting>
  <conditionalFormatting sqref="A260">
    <cfRule type="expression" dxfId="1241" priority="209" stopIfTrue="1">
      <formula>NOT(ISERROR(SEARCH("renovar",A260)))</formula>
    </cfRule>
  </conditionalFormatting>
  <conditionalFormatting sqref="A260">
    <cfRule type="expression" dxfId="1240" priority="210" stopIfTrue="1">
      <formula>NOT(ISERROR(SEARCH("Renovar",A260)))</formula>
    </cfRule>
  </conditionalFormatting>
  <conditionalFormatting sqref="A261">
    <cfRule type="expression" dxfId="1239" priority="211" stopIfTrue="1">
      <formula>NOT(ISERROR(SEARCH("renovar",A261)))</formula>
    </cfRule>
  </conditionalFormatting>
  <conditionalFormatting sqref="A261">
    <cfRule type="expression" dxfId="1238" priority="212" stopIfTrue="1">
      <formula>NOT(ISERROR(SEARCH("Renovar",A261)))</formula>
    </cfRule>
  </conditionalFormatting>
  <conditionalFormatting sqref="A262">
    <cfRule type="expression" dxfId="1237" priority="213" stopIfTrue="1">
      <formula>NOT(ISERROR(SEARCH("renovar",A262)))</formula>
    </cfRule>
  </conditionalFormatting>
  <conditionalFormatting sqref="A262">
    <cfRule type="expression" dxfId="1236" priority="214" stopIfTrue="1">
      <formula>NOT(ISERROR(SEARCH("Renovar",A262)))</formula>
    </cfRule>
  </conditionalFormatting>
  <conditionalFormatting sqref="A263">
    <cfRule type="expression" dxfId="1235" priority="215" stopIfTrue="1">
      <formula>NOT(ISERROR(SEARCH("renovar",A263)))</formula>
    </cfRule>
  </conditionalFormatting>
  <conditionalFormatting sqref="A263">
    <cfRule type="expression" dxfId="1234" priority="216" stopIfTrue="1">
      <formula>NOT(ISERROR(SEARCH("Renovar",A263)))</formula>
    </cfRule>
  </conditionalFormatting>
  <conditionalFormatting sqref="A264">
    <cfRule type="expression" dxfId="1233" priority="217" stopIfTrue="1">
      <formula>NOT(ISERROR(SEARCH("renovar",A264)))</formula>
    </cfRule>
  </conditionalFormatting>
  <conditionalFormatting sqref="A264">
    <cfRule type="expression" dxfId="1232" priority="218" stopIfTrue="1">
      <formula>NOT(ISERROR(SEARCH("Renovar",A264)))</formula>
    </cfRule>
  </conditionalFormatting>
  <conditionalFormatting sqref="A265">
    <cfRule type="expression" dxfId="1231" priority="219" stopIfTrue="1">
      <formula>NOT(ISERROR(SEARCH("renovar",A265)))</formula>
    </cfRule>
  </conditionalFormatting>
  <conditionalFormatting sqref="A265">
    <cfRule type="expression" dxfId="1230" priority="220" stopIfTrue="1">
      <formula>NOT(ISERROR(SEARCH("Renovar",A265)))</formula>
    </cfRule>
  </conditionalFormatting>
  <conditionalFormatting sqref="A266">
    <cfRule type="expression" dxfId="1229" priority="221" stopIfTrue="1">
      <formula>NOT(ISERROR(SEARCH("renovar",A266)))</formula>
    </cfRule>
  </conditionalFormatting>
  <conditionalFormatting sqref="A266">
    <cfRule type="expression" dxfId="1228" priority="222" stopIfTrue="1">
      <formula>NOT(ISERROR(SEARCH("Renovar",A266)))</formula>
    </cfRule>
  </conditionalFormatting>
  <conditionalFormatting sqref="A267">
    <cfRule type="expression" dxfId="1227" priority="223" stopIfTrue="1">
      <formula>NOT(ISERROR(SEARCH("renovar",A267)))</formula>
    </cfRule>
  </conditionalFormatting>
  <conditionalFormatting sqref="A267">
    <cfRule type="expression" dxfId="1226" priority="224" stopIfTrue="1">
      <formula>NOT(ISERROR(SEARCH("Renovar",A267)))</formula>
    </cfRule>
  </conditionalFormatting>
  <conditionalFormatting sqref="A268">
    <cfRule type="expression" dxfId="1225" priority="225" stopIfTrue="1">
      <formula>NOT(ISERROR(SEARCH("renovar",A268)))</formula>
    </cfRule>
  </conditionalFormatting>
  <conditionalFormatting sqref="A268">
    <cfRule type="expression" dxfId="1224" priority="226" stopIfTrue="1">
      <formula>NOT(ISERROR(SEARCH("Renovar",A268)))</formula>
    </cfRule>
  </conditionalFormatting>
  <conditionalFormatting sqref="A269">
    <cfRule type="expression" dxfId="1223" priority="227" stopIfTrue="1">
      <formula>NOT(ISERROR(SEARCH("renovar",A269)))</formula>
    </cfRule>
  </conditionalFormatting>
  <conditionalFormatting sqref="A269">
    <cfRule type="expression" dxfId="1222" priority="228" stopIfTrue="1">
      <formula>NOT(ISERROR(SEARCH("Renovar",A269)))</formula>
    </cfRule>
  </conditionalFormatting>
  <conditionalFormatting sqref="A270">
    <cfRule type="expression" dxfId="1221" priority="229" stopIfTrue="1">
      <formula>NOT(ISERROR(SEARCH("renovar",A270)))</formula>
    </cfRule>
  </conditionalFormatting>
  <conditionalFormatting sqref="A270">
    <cfRule type="expression" dxfId="1220" priority="230" stopIfTrue="1">
      <formula>NOT(ISERROR(SEARCH("Renovar",A270)))</formula>
    </cfRule>
  </conditionalFormatting>
  <conditionalFormatting sqref="A271">
    <cfRule type="expression" dxfId="1219" priority="231" stopIfTrue="1">
      <formula>NOT(ISERROR(SEARCH("renovar",A271)))</formula>
    </cfRule>
  </conditionalFormatting>
  <conditionalFormatting sqref="A271">
    <cfRule type="expression" dxfId="1218" priority="232" stopIfTrue="1">
      <formula>NOT(ISERROR(SEARCH("Renovar",A271)))</formula>
    </cfRule>
  </conditionalFormatting>
  <conditionalFormatting sqref="A272">
    <cfRule type="expression" dxfId="1217" priority="233" stopIfTrue="1">
      <formula>NOT(ISERROR(SEARCH("renovar",A272)))</formula>
    </cfRule>
  </conditionalFormatting>
  <conditionalFormatting sqref="A272">
    <cfRule type="expression" dxfId="1216" priority="234" stopIfTrue="1">
      <formula>NOT(ISERROR(SEARCH("Renovar",A272)))</formula>
    </cfRule>
  </conditionalFormatting>
  <conditionalFormatting sqref="A273">
    <cfRule type="expression" dxfId="1215" priority="235" stopIfTrue="1">
      <formula>NOT(ISERROR(SEARCH("renovar",A273)))</formula>
    </cfRule>
  </conditionalFormatting>
  <conditionalFormatting sqref="A273">
    <cfRule type="expression" dxfId="1214" priority="236" stopIfTrue="1">
      <formula>NOT(ISERROR(SEARCH("Renovar",A273)))</formula>
    </cfRule>
  </conditionalFormatting>
  <conditionalFormatting sqref="A274">
    <cfRule type="expression" dxfId="1213" priority="237" stopIfTrue="1">
      <formula>NOT(ISERROR(SEARCH("renovar",A274)))</formula>
    </cfRule>
  </conditionalFormatting>
  <conditionalFormatting sqref="A274">
    <cfRule type="expression" dxfId="1212" priority="238" stopIfTrue="1">
      <formula>NOT(ISERROR(SEARCH("Renovar",A274)))</formula>
    </cfRule>
  </conditionalFormatting>
  <conditionalFormatting sqref="A275">
    <cfRule type="expression" dxfId="1211" priority="239" stopIfTrue="1">
      <formula>NOT(ISERROR(SEARCH("renovar",A275)))</formula>
    </cfRule>
  </conditionalFormatting>
  <conditionalFormatting sqref="A275">
    <cfRule type="expression" dxfId="1210" priority="240" stopIfTrue="1">
      <formula>NOT(ISERROR(SEARCH("Renovar",A275)))</formula>
    </cfRule>
  </conditionalFormatting>
  <conditionalFormatting sqref="A276">
    <cfRule type="expression" dxfId="1209" priority="241" stopIfTrue="1">
      <formula>NOT(ISERROR(SEARCH("renovar",A276)))</formula>
    </cfRule>
  </conditionalFormatting>
  <conditionalFormatting sqref="A276">
    <cfRule type="expression" dxfId="1208" priority="242" stopIfTrue="1">
      <formula>NOT(ISERROR(SEARCH("Renovar",A276)))</formula>
    </cfRule>
  </conditionalFormatting>
  <conditionalFormatting sqref="A277">
    <cfRule type="expression" dxfId="1207" priority="243" stopIfTrue="1">
      <formula>NOT(ISERROR(SEARCH("renovar",A277)))</formula>
    </cfRule>
  </conditionalFormatting>
  <conditionalFormatting sqref="A277">
    <cfRule type="expression" dxfId="1206" priority="244" stopIfTrue="1">
      <formula>NOT(ISERROR(SEARCH("Renovar",A277)))</formula>
    </cfRule>
  </conditionalFormatting>
  <conditionalFormatting sqref="A278">
    <cfRule type="expression" dxfId="1205" priority="245" stopIfTrue="1">
      <formula>NOT(ISERROR(SEARCH("renovar",A278)))</formula>
    </cfRule>
  </conditionalFormatting>
  <conditionalFormatting sqref="A278">
    <cfRule type="expression" dxfId="1204" priority="246" stopIfTrue="1">
      <formula>NOT(ISERROR(SEARCH("Renovar",A278)))</formula>
    </cfRule>
  </conditionalFormatting>
  <conditionalFormatting sqref="A279">
    <cfRule type="expression" dxfId="1203" priority="247" stopIfTrue="1">
      <formula>NOT(ISERROR(SEARCH("renovar",A279)))</formula>
    </cfRule>
  </conditionalFormatting>
  <conditionalFormatting sqref="A279">
    <cfRule type="expression" dxfId="1202" priority="248" stopIfTrue="1">
      <formula>NOT(ISERROR(SEARCH("Renovar",A279)))</formula>
    </cfRule>
  </conditionalFormatting>
  <conditionalFormatting sqref="A280">
    <cfRule type="expression" dxfId="1201" priority="249" stopIfTrue="1">
      <formula>NOT(ISERROR(SEARCH("renovar",A280)))</formula>
    </cfRule>
  </conditionalFormatting>
  <conditionalFormatting sqref="A280">
    <cfRule type="expression" dxfId="1200" priority="250" stopIfTrue="1">
      <formula>NOT(ISERROR(SEARCH("Renovar",A280)))</formula>
    </cfRule>
  </conditionalFormatting>
  <conditionalFormatting sqref="A281">
    <cfRule type="expression" dxfId="1199" priority="251" stopIfTrue="1">
      <formula>NOT(ISERROR(SEARCH("renovar",A281)))</formula>
    </cfRule>
  </conditionalFormatting>
  <conditionalFormatting sqref="A281">
    <cfRule type="expression" dxfId="1198" priority="252" stopIfTrue="1">
      <formula>NOT(ISERROR(SEARCH("Renovar",A281)))</formula>
    </cfRule>
  </conditionalFormatting>
  <conditionalFormatting sqref="A282">
    <cfRule type="expression" dxfId="1197" priority="253" stopIfTrue="1">
      <formula>NOT(ISERROR(SEARCH("renovar",A282)))</formula>
    </cfRule>
  </conditionalFormatting>
  <conditionalFormatting sqref="A282">
    <cfRule type="expression" dxfId="1196" priority="254" stopIfTrue="1">
      <formula>NOT(ISERROR(SEARCH("Renovar",A282)))</formula>
    </cfRule>
  </conditionalFormatting>
  <conditionalFormatting sqref="A283">
    <cfRule type="expression" dxfId="1195" priority="255" stopIfTrue="1">
      <formula>NOT(ISERROR(SEARCH("renovar",A283)))</formula>
    </cfRule>
  </conditionalFormatting>
  <conditionalFormatting sqref="A283">
    <cfRule type="expression" dxfId="1194" priority="256" stopIfTrue="1">
      <formula>NOT(ISERROR(SEARCH("Renovar",A283)))</formula>
    </cfRule>
  </conditionalFormatting>
  <conditionalFormatting sqref="A284">
    <cfRule type="expression" dxfId="1193" priority="257" stopIfTrue="1">
      <formula>NOT(ISERROR(SEARCH("renovar",A284)))</formula>
    </cfRule>
  </conditionalFormatting>
  <conditionalFormatting sqref="A284">
    <cfRule type="expression" dxfId="1192" priority="258" stopIfTrue="1">
      <formula>NOT(ISERROR(SEARCH("Renovar",A284)))</formula>
    </cfRule>
  </conditionalFormatting>
  <conditionalFormatting sqref="A285">
    <cfRule type="expression" dxfId="1191" priority="259" stopIfTrue="1">
      <formula>NOT(ISERROR(SEARCH("renovar",A285)))</formula>
    </cfRule>
  </conditionalFormatting>
  <conditionalFormatting sqref="A285">
    <cfRule type="expression" dxfId="1190" priority="260" stopIfTrue="1">
      <formula>NOT(ISERROR(SEARCH("Renovar",A285)))</formula>
    </cfRule>
  </conditionalFormatting>
  <conditionalFormatting sqref="A286">
    <cfRule type="expression" dxfId="1189" priority="261" stopIfTrue="1">
      <formula>NOT(ISERROR(SEARCH("renovar",A286)))</formula>
    </cfRule>
  </conditionalFormatting>
  <conditionalFormatting sqref="A286">
    <cfRule type="expression" dxfId="1188" priority="262" stopIfTrue="1">
      <formula>NOT(ISERROR(SEARCH("Renovar",A286)))</formula>
    </cfRule>
  </conditionalFormatting>
  <conditionalFormatting sqref="A287">
    <cfRule type="expression" dxfId="1187" priority="263" stopIfTrue="1">
      <formula>NOT(ISERROR(SEARCH("renovar",A287)))</formula>
    </cfRule>
  </conditionalFormatting>
  <conditionalFormatting sqref="A287">
    <cfRule type="expression" dxfId="1186" priority="264" stopIfTrue="1">
      <formula>NOT(ISERROR(SEARCH("Renovar",A287)))</formula>
    </cfRule>
  </conditionalFormatting>
  <conditionalFormatting sqref="A288">
    <cfRule type="expression" dxfId="1185" priority="265" stopIfTrue="1">
      <formula>NOT(ISERROR(SEARCH("renovar",A288)))</formula>
    </cfRule>
  </conditionalFormatting>
  <conditionalFormatting sqref="A288">
    <cfRule type="expression" dxfId="1184" priority="266" stopIfTrue="1">
      <formula>NOT(ISERROR(SEARCH("Renovar",A288)))</formula>
    </cfRule>
  </conditionalFormatting>
  <conditionalFormatting sqref="A289">
    <cfRule type="expression" dxfId="1183" priority="267" stopIfTrue="1">
      <formula>NOT(ISERROR(SEARCH("renovar",A289)))</formula>
    </cfRule>
  </conditionalFormatting>
  <conditionalFormatting sqref="A289">
    <cfRule type="expression" dxfId="1182" priority="268" stopIfTrue="1">
      <formula>NOT(ISERROR(SEARCH("Renovar",A289)))</formula>
    </cfRule>
  </conditionalFormatting>
  <conditionalFormatting sqref="A290">
    <cfRule type="expression" dxfId="1181" priority="269" stopIfTrue="1">
      <formula>NOT(ISERROR(SEARCH("renovar",A290)))</formula>
    </cfRule>
  </conditionalFormatting>
  <conditionalFormatting sqref="A290">
    <cfRule type="expression" dxfId="1180" priority="270" stopIfTrue="1">
      <formula>NOT(ISERROR(SEARCH("Renovar",A290)))</formula>
    </cfRule>
  </conditionalFormatting>
  <conditionalFormatting sqref="A291">
    <cfRule type="expression" dxfId="1179" priority="271" stopIfTrue="1">
      <formula>NOT(ISERROR(SEARCH("renovar",A291)))</formula>
    </cfRule>
  </conditionalFormatting>
  <conditionalFormatting sqref="A291">
    <cfRule type="expression" dxfId="1178" priority="272" stopIfTrue="1">
      <formula>NOT(ISERROR(SEARCH("Renovar",A291)))</formula>
    </cfRule>
  </conditionalFormatting>
  <conditionalFormatting sqref="A292">
    <cfRule type="expression" dxfId="1177" priority="273" stopIfTrue="1">
      <formula>NOT(ISERROR(SEARCH("renovar",A292)))</formula>
    </cfRule>
  </conditionalFormatting>
  <conditionalFormatting sqref="A292">
    <cfRule type="expression" dxfId="1176" priority="274" stopIfTrue="1">
      <formula>NOT(ISERROR(SEARCH("Renovar",A292)))</formula>
    </cfRule>
  </conditionalFormatting>
  <conditionalFormatting sqref="A293">
    <cfRule type="expression" dxfId="1175" priority="275" stopIfTrue="1">
      <formula>NOT(ISERROR(SEARCH("renovar",A293)))</formula>
    </cfRule>
  </conditionalFormatting>
  <conditionalFormatting sqref="A293">
    <cfRule type="expression" dxfId="1174" priority="276" stopIfTrue="1">
      <formula>NOT(ISERROR(SEARCH("Renovar",A293)))</formula>
    </cfRule>
  </conditionalFormatting>
  <conditionalFormatting sqref="A294">
    <cfRule type="expression" dxfId="1173" priority="277" stopIfTrue="1">
      <formula>NOT(ISERROR(SEARCH("renovar",A294)))</formula>
    </cfRule>
  </conditionalFormatting>
  <conditionalFormatting sqref="A294">
    <cfRule type="expression" dxfId="1172" priority="278" stopIfTrue="1">
      <formula>NOT(ISERROR(SEARCH("Renovar",A294)))</formula>
    </cfRule>
  </conditionalFormatting>
  <conditionalFormatting sqref="A295">
    <cfRule type="expression" dxfId="1171" priority="279" stopIfTrue="1">
      <formula>NOT(ISERROR(SEARCH("renovar",A295)))</formula>
    </cfRule>
  </conditionalFormatting>
  <conditionalFormatting sqref="A295">
    <cfRule type="expression" dxfId="1170" priority="280" stopIfTrue="1">
      <formula>NOT(ISERROR(SEARCH("Renovar",A295)))</formula>
    </cfRule>
  </conditionalFormatting>
  <conditionalFormatting sqref="A296">
    <cfRule type="expression" dxfId="1169" priority="281" stopIfTrue="1">
      <formula>NOT(ISERROR(SEARCH("renovar",A296)))</formula>
    </cfRule>
  </conditionalFormatting>
  <conditionalFormatting sqref="A296">
    <cfRule type="expression" dxfId="1168" priority="282" stopIfTrue="1">
      <formula>NOT(ISERROR(SEARCH("Renovar",A296)))</formula>
    </cfRule>
  </conditionalFormatting>
  <conditionalFormatting sqref="A297">
    <cfRule type="expression" dxfId="1167" priority="283" stopIfTrue="1">
      <formula>NOT(ISERROR(SEARCH("renovar",A297)))</formula>
    </cfRule>
  </conditionalFormatting>
  <conditionalFormatting sqref="A297">
    <cfRule type="expression" dxfId="1166" priority="284" stopIfTrue="1">
      <formula>NOT(ISERROR(SEARCH("Renovar",A297)))</formula>
    </cfRule>
  </conditionalFormatting>
  <conditionalFormatting sqref="A298">
    <cfRule type="expression" dxfId="1165" priority="285" stopIfTrue="1">
      <formula>NOT(ISERROR(SEARCH("renovar",A298)))</formula>
    </cfRule>
  </conditionalFormatting>
  <conditionalFormatting sqref="A298">
    <cfRule type="expression" dxfId="1164" priority="286" stopIfTrue="1">
      <formula>NOT(ISERROR(SEARCH("Renovar",A298)))</formula>
    </cfRule>
  </conditionalFormatting>
  <conditionalFormatting sqref="A299">
    <cfRule type="expression" dxfId="1163" priority="287" stopIfTrue="1">
      <formula>NOT(ISERROR(SEARCH("renovar",A299)))</formula>
    </cfRule>
  </conditionalFormatting>
  <conditionalFormatting sqref="A299">
    <cfRule type="expression" dxfId="1162" priority="288" stopIfTrue="1">
      <formula>NOT(ISERROR(SEARCH("Renovar",A299)))</formula>
    </cfRule>
  </conditionalFormatting>
  <conditionalFormatting sqref="A300">
    <cfRule type="expression" dxfId="1161" priority="289" stopIfTrue="1">
      <formula>NOT(ISERROR(SEARCH("renovar",A300)))</formula>
    </cfRule>
  </conditionalFormatting>
  <conditionalFormatting sqref="A300">
    <cfRule type="expression" dxfId="1160" priority="290" stopIfTrue="1">
      <formula>NOT(ISERROR(SEARCH("Renovar",A300)))</formula>
    </cfRule>
  </conditionalFormatting>
  <conditionalFormatting sqref="A301">
    <cfRule type="expression" dxfId="1159" priority="291" stopIfTrue="1">
      <formula>NOT(ISERROR(SEARCH("renovar",A301)))</formula>
    </cfRule>
  </conditionalFormatting>
  <conditionalFormatting sqref="A301">
    <cfRule type="expression" dxfId="1158" priority="292" stopIfTrue="1">
      <formula>NOT(ISERROR(SEARCH("Renovar",A301)))</formula>
    </cfRule>
  </conditionalFormatting>
  <conditionalFormatting sqref="A302">
    <cfRule type="expression" dxfId="1157" priority="293" stopIfTrue="1">
      <formula>NOT(ISERROR(SEARCH("renovar",A302)))</formula>
    </cfRule>
  </conditionalFormatting>
  <conditionalFormatting sqref="A302">
    <cfRule type="expression" dxfId="1156" priority="294" stopIfTrue="1">
      <formula>NOT(ISERROR(SEARCH("Renovar",A302)))</formula>
    </cfRule>
  </conditionalFormatting>
  <conditionalFormatting sqref="A303">
    <cfRule type="expression" dxfId="1155" priority="295" stopIfTrue="1">
      <formula>NOT(ISERROR(SEARCH("renovar",A303)))</formula>
    </cfRule>
  </conditionalFormatting>
  <conditionalFormatting sqref="A303">
    <cfRule type="expression" dxfId="1154" priority="296" stopIfTrue="1">
      <formula>NOT(ISERROR(SEARCH("Renovar",A303)))</formula>
    </cfRule>
  </conditionalFormatting>
  <conditionalFormatting sqref="A304">
    <cfRule type="expression" dxfId="1153" priority="297" stopIfTrue="1">
      <formula>NOT(ISERROR(SEARCH("renovar",A304)))</formula>
    </cfRule>
  </conditionalFormatting>
  <conditionalFormatting sqref="A304">
    <cfRule type="expression" dxfId="1152" priority="298" stopIfTrue="1">
      <formula>NOT(ISERROR(SEARCH("Renovar",A304)))</formula>
    </cfRule>
  </conditionalFormatting>
  <conditionalFormatting sqref="A305">
    <cfRule type="expression" dxfId="1151" priority="299" stopIfTrue="1">
      <formula>NOT(ISERROR(SEARCH("renovar",A305)))</formula>
    </cfRule>
  </conditionalFormatting>
  <conditionalFormatting sqref="A305">
    <cfRule type="expression" dxfId="1150" priority="300" stopIfTrue="1">
      <formula>NOT(ISERROR(SEARCH("Renovar",A305)))</formula>
    </cfRule>
  </conditionalFormatting>
  <conditionalFormatting sqref="A306">
    <cfRule type="expression" dxfId="1149" priority="301" stopIfTrue="1">
      <formula>NOT(ISERROR(SEARCH("renovar",A306)))</formula>
    </cfRule>
  </conditionalFormatting>
  <conditionalFormatting sqref="A306">
    <cfRule type="expression" dxfId="1148" priority="302" stopIfTrue="1">
      <formula>NOT(ISERROR(SEARCH("Renovar",A306)))</formula>
    </cfRule>
  </conditionalFormatting>
  <conditionalFormatting sqref="A307">
    <cfRule type="expression" dxfId="1147" priority="303" stopIfTrue="1">
      <formula>NOT(ISERROR(SEARCH("renovar",A307)))</formula>
    </cfRule>
  </conditionalFormatting>
  <conditionalFormatting sqref="A307">
    <cfRule type="expression" dxfId="1146" priority="304" stopIfTrue="1">
      <formula>NOT(ISERROR(SEARCH("Renovar",A307)))</formula>
    </cfRule>
  </conditionalFormatting>
  <conditionalFormatting sqref="A308">
    <cfRule type="expression" dxfId="1145" priority="305" stopIfTrue="1">
      <formula>NOT(ISERROR(SEARCH("renovar",A308)))</formula>
    </cfRule>
  </conditionalFormatting>
  <conditionalFormatting sqref="A308">
    <cfRule type="expression" dxfId="1144" priority="306" stopIfTrue="1">
      <formula>NOT(ISERROR(SEARCH("Renovar",A308)))</formula>
    </cfRule>
  </conditionalFormatting>
  <conditionalFormatting sqref="A309">
    <cfRule type="expression" dxfId="1143" priority="307" stopIfTrue="1">
      <formula>NOT(ISERROR(SEARCH("renovar",A309)))</formula>
    </cfRule>
  </conditionalFormatting>
  <conditionalFormatting sqref="A309">
    <cfRule type="expression" dxfId="1142" priority="308" stopIfTrue="1">
      <formula>NOT(ISERROR(SEARCH("Renovar",A309)))</formula>
    </cfRule>
  </conditionalFormatting>
  <conditionalFormatting sqref="A310">
    <cfRule type="expression" dxfId="1141" priority="309" stopIfTrue="1">
      <formula>NOT(ISERROR(SEARCH("renovar",A310)))</formula>
    </cfRule>
  </conditionalFormatting>
  <conditionalFormatting sqref="A310">
    <cfRule type="expression" dxfId="1140" priority="310" stopIfTrue="1">
      <formula>NOT(ISERROR(SEARCH("Renovar",A310)))</formula>
    </cfRule>
  </conditionalFormatting>
  <conditionalFormatting sqref="A311">
    <cfRule type="expression" dxfId="1139" priority="311" stopIfTrue="1">
      <formula>NOT(ISERROR(SEARCH("renovar",A311)))</formula>
    </cfRule>
  </conditionalFormatting>
  <conditionalFormatting sqref="A311">
    <cfRule type="expression" dxfId="1138" priority="312" stopIfTrue="1">
      <formula>NOT(ISERROR(SEARCH("Renovar",A311)))</formula>
    </cfRule>
  </conditionalFormatting>
  <conditionalFormatting sqref="A312">
    <cfRule type="expression" dxfId="1137" priority="313" stopIfTrue="1">
      <formula>NOT(ISERROR(SEARCH("renovar",A312)))</formula>
    </cfRule>
  </conditionalFormatting>
  <conditionalFormatting sqref="A312">
    <cfRule type="expression" dxfId="1136" priority="314" stopIfTrue="1">
      <formula>NOT(ISERROR(SEARCH("Renovar",A312)))</formula>
    </cfRule>
  </conditionalFormatting>
  <conditionalFormatting sqref="A313">
    <cfRule type="expression" dxfId="1135" priority="315" stopIfTrue="1">
      <formula>NOT(ISERROR(SEARCH("renovar",A313)))</formula>
    </cfRule>
  </conditionalFormatting>
  <conditionalFormatting sqref="A313">
    <cfRule type="expression" dxfId="1134" priority="316" stopIfTrue="1">
      <formula>NOT(ISERROR(SEARCH("Renovar",A313)))</formula>
    </cfRule>
  </conditionalFormatting>
  <conditionalFormatting sqref="A314">
    <cfRule type="expression" dxfId="1133" priority="317" stopIfTrue="1">
      <formula>NOT(ISERROR(SEARCH("renovar",A314)))</formula>
    </cfRule>
  </conditionalFormatting>
  <conditionalFormatting sqref="A314">
    <cfRule type="expression" dxfId="1132" priority="318" stopIfTrue="1">
      <formula>NOT(ISERROR(SEARCH("Renovar",A314)))</formula>
    </cfRule>
  </conditionalFormatting>
  <conditionalFormatting sqref="A315">
    <cfRule type="expression" dxfId="1131" priority="319" stopIfTrue="1">
      <formula>NOT(ISERROR(SEARCH("renovar",A315)))</formula>
    </cfRule>
  </conditionalFormatting>
  <conditionalFormatting sqref="A315">
    <cfRule type="expression" dxfId="1130" priority="320" stopIfTrue="1">
      <formula>NOT(ISERROR(SEARCH("Renovar",A315)))</formula>
    </cfRule>
  </conditionalFormatting>
  <conditionalFormatting sqref="A316">
    <cfRule type="expression" dxfId="1129" priority="321" stopIfTrue="1">
      <formula>NOT(ISERROR(SEARCH("renovar",A316)))</formula>
    </cfRule>
  </conditionalFormatting>
  <conditionalFormatting sqref="A316">
    <cfRule type="expression" dxfId="1128" priority="322" stopIfTrue="1">
      <formula>NOT(ISERROR(SEARCH("Renovar",A316)))</formula>
    </cfRule>
  </conditionalFormatting>
  <conditionalFormatting sqref="A317">
    <cfRule type="expression" dxfId="1127" priority="323" stopIfTrue="1">
      <formula>NOT(ISERROR(SEARCH("renovar",A317)))</formula>
    </cfRule>
  </conditionalFormatting>
  <conditionalFormatting sqref="A317">
    <cfRule type="expression" dxfId="1126" priority="324" stopIfTrue="1">
      <formula>NOT(ISERROR(SEARCH("Renovar",A317)))</formula>
    </cfRule>
  </conditionalFormatting>
  <conditionalFormatting sqref="A318">
    <cfRule type="expression" dxfId="1125" priority="325" stopIfTrue="1">
      <formula>NOT(ISERROR(SEARCH("renovar",A318)))</formula>
    </cfRule>
  </conditionalFormatting>
  <conditionalFormatting sqref="A318">
    <cfRule type="expression" dxfId="1124" priority="326" stopIfTrue="1">
      <formula>NOT(ISERROR(SEARCH("Renovar",A318)))</formula>
    </cfRule>
  </conditionalFormatting>
  <conditionalFormatting sqref="A319">
    <cfRule type="expression" dxfId="1123" priority="327" stopIfTrue="1">
      <formula>NOT(ISERROR(SEARCH("renovar",A319)))</formula>
    </cfRule>
  </conditionalFormatting>
  <conditionalFormatting sqref="A319">
    <cfRule type="expression" dxfId="1122" priority="328" stopIfTrue="1">
      <formula>NOT(ISERROR(SEARCH("Renovar",A319)))</formula>
    </cfRule>
  </conditionalFormatting>
  <conditionalFormatting sqref="A320">
    <cfRule type="expression" dxfId="1121" priority="329" stopIfTrue="1">
      <formula>NOT(ISERROR(SEARCH("renovar",A320)))</formula>
    </cfRule>
  </conditionalFormatting>
  <conditionalFormatting sqref="A320">
    <cfRule type="expression" dxfId="1120" priority="330" stopIfTrue="1">
      <formula>NOT(ISERROR(SEARCH("Renovar",A320)))</formula>
    </cfRule>
  </conditionalFormatting>
  <conditionalFormatting sqref="A321">
    <cfRule type="expression" dxfId="1119" priority="331" stopIfTrue="1">
      <formula>NOT(ISERROR(SEARCH("renovar",A321)))</formula>
    </cfRule>
  </conditionalFormatting>
  <conditionalFormatting sqref="A321">
    <cfRule type="expression" dxfId="1118" priority="332" stopIfTrue="1">
      <formula>NOT(ISERROR(SEARCH("Renovar",A321)))</formula>
    </cfRule>
  </conditionalFormatting>
  <conditionalFormatting sqref="A322">
    <cfRule type="expression" dxfId="1117" priority="333" stopIfTrue="1">
      <formula>NOT(ISERROR(SEARCH("renovar",A322)))</formula>
    </cfRule>
  </conditionalFormatting>
  <conditionalFormatting sqref="A322">
    <cfRule type="expression" dxfId="1116" priority="334" stopIfTrue="1">
      <formula>NOT(ISERROR(SEARCH("Renovar",A322)))</formula>
    </cfRule>
  </conditionalFormatting>
  <conditionalFormatting sqref="A323">
    <cfRule type="expression" dxfId="1115" priority="335" stopIfTrue="1">
      <formula>NOT(ISERROR(SEARCH("renovar",A323)))</formula>
    </cfRule>
  </conditionalFormatting>
  <conditionalFormatting sqref="A323">
    <cfRule type="expression" dxfId="1114" priority="336" stopIfTrue="1">
      <formula>NOT(ISERROR(SEARCH("Renovar",A323)))</formula>
    </cfRule>
  </conditionalFormatting>
  <conditionalFormatting sqref="A324">
    <cfRule type="expression" dxfId="1113" priority="337" stopIfTrue="1">
      <formula>NOT(ISERROR(SEARCH("renovar",A324)))</formula>
    </cfRule>
  </conditionalFormatting>
  <conditionalFormatting sqref="A324">
    <cfRule type="expression" dxfId="1112" priority="338" stopIfTrue="1">
      <formula>NOT(ISERROR(SEARCH("Renovar",A324)))</formula>
    </cfRule>
  </conditionalFormatting>
  <conditionalFormatting sqref="A325">
    <cfRule type="expression" dxfId="1111" priority="339" stopIfTrue="1">
      <formula>NOT(ISERROR(SEARCH("renovar",A325)))</formula>
    </cfRule>
  </conditionalFormatting>
  <conditionalFormatting sqref="A325">
    <cfRule type="expression" dxfId="1110" priority="340" stopIfTrue="1">
      <formula>NOT(ISERROR(SEARCH("Renovar",A325)))</formula>
    </cfRule>
  </conditionalFormatting>
  <conditionalFormatting sqref="A326">
    <cfRule type="expression" dxfId="1109" priority="341" stopIfTrue="1">
      <formula>NOT(ISERROR(SEARCH("renovar",A326)))</formula>
    </cfRule>
  </conditionalFormatting>
  <conditionalFormatting sqref="A326">
    <cfRule type="expression" dxfId="1108" priority="342" stopIfTrue="1">
      <formula>NOT(ISERROR(SEARCH("Renovar",A326)))</formula>
    </cfRule>
  </conditionalFormatting>
  <conditionalFormatting sqref="A327">
    <cfRule type="expression" dxfId="1107" priority="343" stopIfTrue="1">
      <formula>NOT(ISERROR(SEARCH("renovar",A327)))</formula>
    </cfRule>
  </conditionalFormatting>
  <conditionalFormatting sqref="A327">
    <cfRule type="expression" dxfId="1106" priority="344" stopIfTrue="1">
      <formula>NOT(ISERROR(SEARCH("Renovar",A327)))</formula>
    </cfRule>
  </conditionalFormatting>
  <conditionalFormatting sqref="A328">
    <cfRule type="expression" dxfId="1105" priority="345" stopIfTrue="1">
      <formula>NOT(ISERROR(SEARCH("renovar",A328)))</formula>
    </cfRule>
  </conditionalFormatting>
  <conditionalFormatting sqref="A328">
    <cfRule type="expression" dxfId="1104" priority="346" stopIfTrue="1">
      <formula>NOT(ISERROR(SEARCH("Renovar",A328)))</formula>
    </cfRule>
  </conditionalFormatting>
  <conditionalFormatting sqref="A329">
    <cfRule type="expression" dxfId="1103" priority="347" stopIfTrue="1">
      <formula>NOT(ISERROR(SEARCH("renovar",A329)))</formula>
    </cfRule>
  </conditionalFormatting>
  <conditionalFormatting sqref="A329">
    <cfRule type="expression" dxfId="1102" priority="348" stopIfTrue="1">
      <formula>NOT(ISERROR(SEARCH("Renovar",A329)))</formula>
    </cfRule>
  </conditionalFormatting>
  <conditionalFormatting sqref="A330">
    <cfRule type="expression" dxfId="1101" priority="349" stopIfTrue="1">
      <formula>NOT(ISERROR(SEARCH("renovar",A330)))</formula>
    </cfRule>
  </conditionalFormatting>
  <conditionalFormatting sqref="A330">
    <cfRule type="expression" dxfId="1100" priority="350" stopIfTrue="1">
      <formula>NOT(ISERROR(SEARCH("Renovar",A330)))</formula>
    </cfRule>
  </conditionalFormatting>
  <conditionalFormatting sqref="A331">
    <cfRule type="expression" dxfId="1099" priority="351" stopIfTrue="1">
      <formula>NOT(ISERROR(SEARCH("renovar",A331)))</formula>
    </cfRule>
  </conditionalFormatting>
  <conditionalFormatting sqref="A331">
    <cfRule type="expression" dxfId="1098" priority="352" stopIfTrue="1">
      <formula>NOT(ISERROR(SEARCH("Renovar",A331)))</formula>
    </cfRule>
  </conditionalFormatting>
  <conditionalFormatting sqref="A332">
    <cfRule type="expression" dxfId="1097" priority="353" stopIfTrue="1">
      <formula>NOT(ISERROR(SEARCH("renovar",A332)))</formula>
    </cfRule>
  </conditionalFormatting>
  <conditionalFormatting sqref="A332">
    <cfRule type="expression" dxfId="1096" priority="354" stopIfTrue="1">
      <formula>NOT(ISERROR(SEARCH("Renovar",A332)))</formula>
    </cfRule>
  </conditionalFormatting>
  <conditionalFormatting sqref="A333">
    <cfRule type="expression" dxfId="1095" priority="355" stopIfTrue="1">
      <formula>NOT(ISERROR(SEARCH("renovar",A333)))</formula>
    </cfRule>
  </conditionalFormatting>
  <conditionalFormatting sqref="A333">
    <cfRule type="expression" dxfId="1094" priority="356" stopIfTrue="1">
      <formula>NOT(ISERROR(SEARCH("Renovar",A333)))</formula>
    </cfRule>
  </conditionalFormatting>
  <conditionalFormatting sqref="A334">
    <cfRule type="expression" dxfId="1093" priority="357" stopIfTrue="1">
      <formula>NOT(ISERROR(SEARCH("renovar",A334)))</formula>
    </cfRule>
  </conditionalFormatting>
  <conditionalFormatting sqref="A334">
    <cfRule type="expression" dxfId="1092" priority="358" stopIfTrue="1">
      <formula>NOT(ISERROR(SEARCH("Renovar",A334)))</formula>
    </cfRule>
  </conditionalFormatting>
  <conditionalFormatting sqref="A335">
    <cfRule type="expression" dxfId="1091" priority="359" stopIfTrue="1">
      <formula>NOT(ISERROR(SEARCH("renovar",A335)))</formula>
    </cfRule>
  </conditionalFormatting>
  <conditionalFormatting sqref="A335">
    <cfRule type="expression" dxfId="1090" priority="360" stopIfTrue="1">
      <formula>NOT(ISERROR(SEARCH("Renovar",A335)))</formula>
    </cfRule>
  </conditionalFormatting>
  <conditionalFormatting sqref="A336">
    <cfRule type="expression" dxfId="1089" priority="361" stopIfTrue="1">
      <formula>NOT(ISERROR(SEARCH("renovar",A336)))</formula>
    </cfRule>
  </conditionalFormatting>
  <conditionalFormatting sqref="A336">
    <cfRule type="expression" dxfId="1088" priority="362" stopIfTrue="1">
      <formula>NOT(ISERROR(SEARCH("Renovar",A336)))</formula>
    </cfRule>
  </conditionalFormatting>
  <conditionalFormatting sqref="A337">
    <cfRule type="expression" dxfId="1087" priority="363" stopIfTrue="1">
      <formula>NOT(ISERROR(SEARCH("renovar",A337)))</formula>
    </cfRule>
  </conditionalFormatting>
  <conditionalFormatting sqref="A337">
    <cfRule type="expression" dxfId="1086" priority="364" stopIfTrue="1">
      <formula>NOT(ISERROR(SEARCH("Renovar",A337)))</formula>
    </cfRule>
  </conditionalFormatting>
  <conditionalFormatting sqref="A338">
    <cfRule type="expression" dxfId="1085" priority="365" stopIfTrue="1">
      <formula>NOT(ISERROR(SEARCH("renovar",A338)))</formula>
    </cfRule>
  </conditionalFormatting>
  <conditionalFormatting sqref="A338">
    <cfRule type="expression" dxfId="1084" priority="366" stopIfTrue="1">
      <formula>NOT(ISERROR(SEARCH("Renovar",A338)))</formula>
    </cfRule>
  </conditionalFormatting>
  <conditionalFormatting sqref="A339">
    <cfRule type="expression" dxfId="1083" priority="367" stopIfTrue="1">
      <formula>NOT(ISERROR(SEARCH("renovar",A339)))</formula>
    </cfRule>
  </conditionalFormatting>
  <conditionalFormatting sqref="A339">
    <cfRule type="expression" dxfId="1082" priority="368" stopIfTrue="1">
      <formula>NOT(ISERROR(SEARCH("Renovar",A339)))</formula>
    </cfRule>
  </conditionalFormatting>
  <conditionalFormatting sqref="A340">
    <cfRule type="expression" dxfId="1081" priority="369" stopIfTrue="1">
      <formula>NOT(ISERROR(SEARCH("renovar",A340)))</formula>
    </cfRule>
  </conditionalFormatting>
  <conditionalFormatting sqref="A340">
    <cfRule type="expression" dxfId="1080" priority="370" stopIfTrue="1">
      <formula>NOT(ISERROR(SEARCH("Renovar",A340)))</formula>
    </cfRule>
  </conditionalFormatting>
  <conditionalFormatting sqref="A341">
    <cfRule type="expression" dxfId="1079" priority="371" stopIfTrue="1">
      <formula>NOT(ISERROR(SEARCH("renovar",A341)))</formula>
    </cfRule>
  </conditionalFormatting>
  <conditionalFormatting sqref="A341">
    <cfRule type="expression" dxfId="1078" priority="372" stopIfTrue="1">
      <formula>NOT(ISERROR(SEARCH("Renovar",A341)))</formula>
    </cfRule>
  </conditionalFormatting>
  <conditionalFormatting sqref="A342">
    <cfRule type="expression" dxfId="1077" priority="373" stopIfTrue="1">
      <formula>NOT(ISERROR(SEARCH("renovar",A342)))</formula>
    </cfRule>
  </conditionalFormatting>
  <conditionalFormatting sqref="A342">
    <cfRule type="expression" dxfId="1076" priority="374" stopIfTrue="1">
      <formula>NOT(ISERROR(SEARCH("Renovar",A342)))</formula>
    </cfRule>
  </conditionalFormatting>
  <conditionalFormatting sqref="A343">
    <cfRule type="expression" dxfId="1075" priority="375" stopIfTrue="1">
      <formula>NOT(ISERROR(SEARCH("renovar",A343)))</formula>
    </cfRule>
  </conditionalFormatting>
  <conditionalFormatting sqref="A343">
    <cfRule type="expression" dxfId="1074" priority="376" stopIfTrue="1">
      <formula>NOT(ISERROR(SEARCH("Renovar",A343)))</formula>
    </cfRule>
  </conditionalFormatting>
  <conditionalFormatting sqref="A344">
    <cfRule type="expression" dxfId="1073" priority="377" stopIfTrue="1">
      <formula>NOT(ISERROR(SEARCH("renovar",A344)))</formula>
    </cfRule>
  </conditionalFormatting>
  <conditionalFormatting sqref="A344">
    <cfRule type="expression" dxfId="1072" priority="378" stopIfTrue="1">
      <formula>NOT(ISERROR(SEARCH("Renovar",A344)))</formula>
    </cfRule>
  </conditionalFormatting>
  <conditionalFormatting sqref="A345">
    <cfRule type="expression" dxfId="1071" priority="379" stopIfTrue="1">
      <formula>NOT(ISERROR(SEARCH("renovar",A345)))</formula>
    </cfRule>
  </conditionalFormatting>
  <conditionalFormatting sqref="A345">
    <cfRule type="expression" dxfId="1070" priority="380" stopIfTrue="1">
      <formula>NOT(ISERROR(SEARCH("Renovar",A345)))</formula>
    </cfRule>
  </conditionalFormatting>
  <conditionalFormatting sqref="A346">
    <cfRule type="expression" dxfId="1069" priority="381" stopIfTrue="1">
      <formula>NOT(ISERROR(SEARCH("renovar",A346)))</formula>
    </cfRule>
  </conditionalFormatting>
  <conditionalFormatting sqref="A346">
    <cfRule type="expression" dxfId="1068" priority="382" stopIfTrue="1">
      <formula>NOT(ISERROR(SEARCH("Renovar",A346)))</formula>
    </cfRule>
  </conditionalFormatting>
  <conditionalFormatting sqref="A347">
    <cfRule type="expression" dxfId="1067" priority="383" stopIfTrue="1">
      <formula>NOT(ISERROR(SEARCH("renovar",A347)))</formula>
    </cfRule>
  </conditionalFormatting>
  <conditionalFormatting sqref="A347">
    <cfRule type="expression" dxfId="1066" priority="384" stopIfTrue="1">
      <formula>NOT(ISERROR(SEARCH("Renovar",A347)))</formula>
    </cfRule>
  </conditionalFormatting>
  <conditionalFormatting sqref="A348">
    <cfRule type="expression" dxfId="1065" priority="385" stopIfTrue="1">
      <formula>NOT(ISERROR(SEARCH("renovar",A348)))</formula>
    </cfRule>
  </conditionalFormatting>
  <conditionalFormatting sqref="A348">
    <cfRule type="expression" dxfId="1064" priority="386" stopIfTrue="1">
      <formula>NOT(ISERROR(SEARCH("Renovar",A348)))</formula>
    </cfRule>
  </conditionalFormatting>
  <conditionalFormatting sqref="A349">
    <cfRule type="expression" dxfId="1063" priority="387" stopIfTrue="1">
      <formula>NOT(ISERROR(SEARCH("renovar",A349)))</formula>
    </cfRule>
  </conditionalFormatting>
  <conditionalFormatting sqref="A349">
    <cfRule type="expression" dxfId="1062" priority="388" stopIfTrue="1">
      <formula>NOT(ISERROR(SEARCH("Renovar",A349)))</formula>
    </cfRule>
  </conditionalFormatting>
  <conditionalFormatting sqref="A350">
    <cfRule type="expression" dxfId="1061" priority="389" stopIfTrue="1">
      <formula>NOT(ISERROR(SEARCH("renovar",A350)))</formula>
    </cfRule>
  </conditionalFormatting>
  <conditionalFormatting sqref="A350">
    <cfRule type="expression" dxfId="1060" priority="390" stopIfTrue="1">
      <formula>NOT(ISERROR(SEARCH("Renovar",A350)))</formula>
    </cfRule>
  </conditionalFormatting>
  <conditionalFormatting sqref="A351">
    <cfRule type="expression" dxfId="1059" priority="391" stopIfTrue="1">
      <formula>NOT(ISERROR(SEARCH("renovar",A351)))</formula>
    </cfRule>
  </conditionalFormatting>
  <conditionalFormatting sqref="A351">
    <cfRule type="expression" dxfId="1058" priority="392" stopIfTrue="1">
      <formula>NOT(ISERROR(SEARCH("Renovar",A351)))</formula>
    </cfRule>
  </conditionalFormatting>
  <conditionalFormatting sqref="A352">
    <cfRule type="expression" dxfId="1057" priority="393" stopIfTrue="1">
      <formula>NOT(ISERROR(SEARCH("renovar",A352)))</formula>
    </cfRule>
  </conditionalFormatting>
  <conditionalFormatting sqref="A352">
    <cfRule type="expression" dxfId="1056" priority="394" stopIfTrue="1">
      <formula>NOT(ISERROR(SEARCH("Renovar",A352)))</formula>
    </cfRule>
  </conditionalFormatting>
  <conditionalFormatting sqref="A353">
    <cfRule type="expression" dxfId="1055" priority="395" stopIfTrue="1">
      <formula>NOT(ISERROR(SEARCH("renovar",A353)))</formula>
    </cfRule>
  </conditionalFormatting>
  <conditionalFormatting sqref="A353">
    <cfRule type="expression" dxfId="1054" priority="396" stopIfTrue="1">
      <formula>NOT(ISERROR(SEARCH("Renovar",A353)))</formula>
    </cfRule>
  </conditionalFormatting>
  <conditionalFormatting sqref="A354">
    <cfRule type="expression" dxfId="1053" priority="397" stopIfTrue="1">
      <formula>NOT(ISERROR(SEARCH("renovar",A354)))</formula>
    </cfRule>
  </conditionalFormatting>
  <conditionalFormatting sqref="A354">
    <cfRule type="expression" dxfId="1052" priority="398" stopIfTrue="1">
      <formula>NOT(ISERROR(SEARCH("Renovar",A354)))</formula>
    </cfRule>
  </conditionalFormatting>
  <conditionalFormatting sqref="A355">
    <cfRule type="expression" dxfId="1051" priority="399" stopIfTrue="1">
      <formula>NOT(ISERROR(SEARCH("renovar",A355)))</formula>
    </cfRule>
  </conditionalFormatting>
  <conditionalFormatting sqref="A355">
    <cfRule type="expression" dxfId="1050" priority="400" stopIfTrue="1">
      <formula>NOT(ISERROR(SEARCH("Renovar",A355)))</formula>
    </cfRule>
  </conditionalFormatting>
  <conditionalFormatting sqref="A356">
    <cfRule type="expression" dxfId="1049" priority="401" stopIfTrue="1">
      <formula>NOT(ISERROR(SEARCH("renovar",A356)))</formula>
    </cfRule>
  </conditionalFormatting>
  <conditionalFormatting sqref="A356">
    <cfRule type="expression" dxfId="1048" priority="402" stopIfTrue="1">
      <formula>NOT(ISERROR(SEARCH("Renovar",A356)))</formula>
    </cfRule>
  </conditionalFormatting>
  <conditionalFormatting sqref="A357">
    <cfRule type="expression" dxfId="1047" priority="403" stopIfTrue="1">
      <formula>NOT(ISERROR(SEARCH("renovar",A357)))</formula>
    </cfRule>
  </conditionalFormatting>
  <conditionalFormatting sqref="A357">
    <cfRule type="expression" dxfId="1046" priority="404" stopIfTrue="1">
      <formula>NOT(ISERROR(SEARCH("Renovar",A357)))</formula>
    </cfRule>
  </conditionalFormatting>
  <conditionalFormatting sqref="A358">
    <cfRule type="expression" dxfId="1045" priority="405" stopIfTrue="1">
      <formula>NOT(ISERROR(SEARCH("renovar",A358)))</formula>
    </cfRule>
  </conditionalFormatting>
  <conditionalFormatting sqref="A358">
    <cfRule type="expression" dxfId="1044" priority="406" stopIfTrue="1">
      <formula>NOT(ISERROR(SEARCH("Renovar",A358)))</formula>
    </cfRule>
  </conditionalFormatting>
  <conditionalFormatting sqref="A359">
    <cfRule type="expression" dxfId="1043" priority="407" stopIfTrue="1">
      <formula>NOT(ISERROR(SEARCH("renovar",A359)))</formula>
    </cfRule>
  </conditionalFormatting>
  <conditionalFormatting sqref="A359">
    <cfRule type="expression" dxfId="1042" priority="408" stopIfTrue="1">
      <formula>NOT(ISERROR(SEARCH("Renovar",A359)))</formula>
    </cfRule>
  </conditionalFormatting>
  <conditionalFormatting sqref="A360">
    <cfRule type="expression" dxfId="1041" priority="409" stopIfTrue="1">
      <formula>NOT(ISERROR(SEARCH("renovar",A360)))</formula>
    </cfRule>
  </conditionalFormatting>
  <conditionalFormatting sqref="A360">
    <cfRule type="expression" dxfId="1040" priority="410" stopIfTrue="1">
      <formula>NOT(ISERROR(SEARCH("Renovar",A360)))</formula>
    </cfRule>
  </conditionalFormatting>
  <conditionalFormatting sqref="A361">
    <cfRule type="expression" dxfId="1039" priority="411" stopIfTrue="1">
      <formula>NOT(ISERROR(SEARCH("renovar",A361)))</formula>
    </cfRule>
  </conditionalFormatting>
  <conditionalFormatting sqref="A361">
    <cfRule type="expression" dxfId="1038" priority="412" stopIfTrue="1">
      <formula>NOT(ISERROR(SEARCH("Renovar",A361)))</formula>
    </cfRule>
  </conditionalFormatting>
  <conditionalFormatting sqref="A362">
    <cfRule type="expression" dxfId="1037" priority="413" stopIfTrue="1">
      <formula>NOT(ISERROR(SEARCH("renovar",A362)))</formula>
    </cfRule>
  </conditionalFormatting>
  <conditionalFormatting sqref="A362">
    <cfRule type="expression" dxfId="1036" priority="414" stopIfTrue="1">
      <formula>NOT(ISERROR(SEARCH("Renovar",A362)))</formula>
    </cfRule>
  </conditionalFormatting>
  <conditionalFormatting sqref="A363">
    <cfRule type="expression" dxfId="1035" priority="415" stopIfTrue="1">
      <formula>NOT(ISERROR(SEARCH("renovar",A363)))</formula>
    </cfRule>
  </conditionalFormatting>
  <conditionalFormatting sqref="A363">
    <cfRule type="expression" dxfId="1034" priority="416" stopIfTrue="1">
      <formula>NOT(ISERROR(SEARCH("Renovar",A363)))</formula>
    </cfRule>
  </conditionalFormatting>
  <conditionalFormatting sqref="A364">
    <cfRule type="expression" dxfId="1033" priority="417" stopIfTrue="1">
      <formula>NOT(ISERROR(SEARCH("renovar",A364)))</formula>
    </cfRule>
  </conditionalFormatting>
  <conditionalFormatting sqref="A364">
    <cfRule type="expression" dxfId="1032" priority="418" stopIfTrue="1">
      <formula>NOT(ISERROR(SEARCH("Renovar",A364)))</formula>
    </cfRule>
  </conditionalFormatting>
  <conditionalFormatting sqref="A365">
    <cfRule type="expression" dxfId="1031" priority="419" stopIfTrue="1">
      <formula>NOT(ISERROR(SEARCH("renovar",A365)))</formula>
    </cfRule>
  </conditionalFormatting>
  <conditionalFormatting sqref="A365">
    <cfRule type="expression" dxfId="1030" priority="420" stopIfTrue="1">
      <formula>NOT(ISERROR(SEARCH("Renovar",A365)))</formula>
    </cfRule>
  </conditionalFormatting>
  <conditionalFormatting sqref="A366">
    <cfRule type="expression" dxfId="1029" priority="421" stopIfTrue="1">
      <formula>NOT(ISERROR(SEARCH("renovar",A366)))</formula>
    </cfRule>
  </conditionalFormatting>
  <conditionalFormatting sqref="A366">
    <cfRule type="expression" dxfId="1028" priority="422" stopIfTrue="1">
      <formula>NOT(ISERROR(SEARCH("Renovar",A366)))</formula>
    </cfRule>
  </conditionalFormatting>
  <conditionalFormatting sqref="A367">
    <cfRule type="expression" dxfId="1027" priority="423" stopIfTrue="1">
      <formula>NOT(ISERROR(SEARCH("renovar",A367)))</formula>
    </cfRule>
  </conditionalFormatting>
  <conditionalFormatting sqref="A367">
    <cfRule type="expression" dxfId="1026" priority="424" stopIfTrue="1">
      <formula>NOT(ISERROR(SEARCH("Renovar",A367)))</formula>
    </cfRule>
  </conditionalFormatting>
  <conditionalFormatting sqref="A368">
    <cfRule type="expression" dxfId="1025" priority="425" stopIfTrue="1">
      <formula>NOT(ISERROR(SEARCH("renovar",A368)))</formula>
    </cfRule>
  </conditionalFormatting>
  <conditionalFormatting sqref="A368">
    <cfRule type="expression" dxfId="1024" priority="426" stopIfTrue="1">
      <formula>NOT(ISERROR(SEARCH("Renovar",A368)))</formula>
    </cfRule>
  </conditionalFormatting>
  <conditionalFormatting sqref="A369">
    <cfRule type="expression" dxfId="1023" priority="427" stopIfTrue="1">
      <formula>NOT(ISERROR(SEARCH("renovar",A369)))</formula>
    </cfRule>
  </conditionalFormatting>
  <conditionalFormatting sqref="A369">
    <cfRule type="expression" dxfId="1022" priority="428" stopIfTrue="1">
      <formula>NOT(ISERROR(SEARCH("Renovar",A369)))</formula>
    </cfRule>
  </conditionalFormatting>
  <conditionalFormatting sqref="A370">
    <cfRule type="expression" dxfId="1021" priority="429" stopIfTrue="1">
      <formula>NOT(ISERROR(SEARCH("renovar",A370)))</formula>
    </cfRule>
  </conditionalFormatting>
  <conditionalFormatting sqref="A370">
    <cfRule type="expression" dxfId="1020" priority="430" stopIfTrue="1">
      <formula>NOT(ISERROR(SEARCH("Renovar",A370)))</formula>
    </cfRule>
  </conditionalFormatting>
  <conditionalFormatting sqref="A371">
    <cfRule type="expression" dxfId="1019" priority="431" stopIfTrue="1">
      <formula>NOT(ISERROR(SEARCH("renovar",A371)))</formula>
    </cfRule>
  </conditionalFormatting>
  <conditionalFormatting sqref="A371">
    <cfRule type="expression" dxfId="1018" priority="432" stopIfTrue="1">
      <formula>NOT(ISERROR(SEARCH("Renovar",A371)))</formula>
    </cfRule>
  </conditionalFormatting>
  <conditionalFormatting sqref="A372">
    <cfRule type="expression" dxfId="1017" priority="433" stopIfTrue="1">
      <formula>NOT(ISERROR(SEARCH("renovar",A372)))</formula>
    </cfRule>
  </conditionalFormatting>
  <conditionalFormatting sqref="A372">
    <cfRule type="expression" dxfId="1016" priority="434" stopIfTrue="1">
      <formula>NOT(ISERROR(SEARCH("Renovar",A372)))</formula>
    </cfRule>
  </conditionalFormatting>
  <conditionalFormatting sqref="A373">
    <cfRule type="expression" dxfId="1015" priority="435" stopIfTrue="1">
      <formula>NOT(ISERROR(SEARCH("renovar",A373)))</formula>
    </cfRule>
  </conditionalFormatting>
  <conditionalFormatting sqref="A373">
    <cfRule type="expression" dxfId="1014" priority="436" stopIfTrue="1">
      <formula>NOT(ISERROR(SEARCH("Renovar",A373)))</formula>
    </cfRule>
  </conditionalFormatting>
  <conditionalFormatting sqref="A374">
    <cfRule type="expression" dxfId="1013" priority="437" stopIfTrue="1">
      <formula>NOT(ISERROR(SEARCH("renovar",A374)))</formula>
    </cfRule>
  </conditionalFormatting>
  <conditionalFormatting sqref="A374">
    <cfRule type="expression" dxfId="1012" priority="438" stopIfTrue="1">
      <formula>NOT(ISERROR(SEARCH("Renovar",A374)))</formula>
    </cfRule>
  </conditionalFormatting>
  <conditionalFormatting sqref="A375">
    <cfRule type="expression" dxfId="1011" priority="439" stopIfTrue="1">
      <formula>NOT(ISERROR(SEARCH("renovar",A375)))</formula>
    </cfRule>
  </conditionalFormatting>
  <conditionalFormatting sqref="A375">
    <cfRule type="expression" dxfId="1010" priority="440" stopIfTrue="1">
      <formula>NOT(ISERROR(SEARCH("Renovar",A375)))</formula>
    </cfRule>
  </conditionalFormatting>
  <conditionalFormatting sqref="A376">
    <cfRule type="expression" dxfId="1009" priority="441" stopIfTrue="1">
      <formula>NOT(ISERROR(SEARCH("renovar",A376)))</formula>
    </cfRule>
  </conditionalFormatting>
  <conditionalFormatting sqref="A376">
    <cfRule type="expression" dxfId="1008" priority="442" stopIfTrue="1">
      <formula>NOT(ISERROR(SEARCH("Renovar",A376)))</formula>
    </cfRule>
  </conditionalFormatting>
  <conditionalFormatting sqref="A377">
    <cfRule type="expression" dxfId="1007" priority="443" stopIfTrue="1">
      <formula>NOT(ISERROR(SEARCH("renovar",A377)))</formula>
    </cfRule>
  </conditionalFormatting>
  <conditionalFormatting sqref="A377">
    <cfRule type="expression" dxfId="1006" priority="444" stopIfTrue="1">
      <formula>NOT(ISERROR(SEARCH("Renovar",A377)))</formula>
    </cfRule>
  </conditionalFormatting>
  <conditionalFormatting sqref="A378">
    <cfRule type="expression" dxfId="1005" priority="445" stopIfTrue="1">
      <formula>NOT(ISERROR(SEARCH("renovar",A378)))</formula>
    </cfRule>
  </conditionalFormatting>
  <conditionalFormatting sqref="A378">
    <cfRule type="expression" dxfId="1004" priority="446" stopIfTrue="1">
      <formula>NOT(ISERROR(SEARCH("Renovar",A378)))</formula>
    </cfRule>
  </conditionalFormatting>
  <conditionalFormatting sqref="A379">
    <cfRule type="expression" dxfId="1003" priority="447" stopIfTrue="1">
      <formula>NOT(ISERROR(SEARCH("renovar",A379)))</formula>
    </cfRule>
  </conditionalFormatting>
  <conditionalFormatting sqref="A379">
    <cfRule type="expression" dxfId="1002" priority="448" stopIfTrue="1">
      <formula>NOT(ISERROR(SEARCH("Renovar",A379)))</formula>
    </cfRule>
  </conditionalFormatting>
  <conditionalFormatting sqref="A380">
    <cfRule type="expression" dxfId="1001" priority="449" stopIfTrue="1">
      <formula>NOT(ISERROR(SEARCH("renovar",A380)))</formula>
    </cfRule>
  </conditionalFormatting>
  <conditionalFormatting sqref="A380">
    <cfRule type="expression" dxfId="1000" priority="450" stopIfTrue="1">
      <formula>NOT(ISERROR(SEARCH("Renovar",A380)))</formula>
    </cfRule>
  </conditionalFormatting>
  <conditionalFormatting sqref="A381">
    <cfRule type="expression" dxfId="999" priority="451" stopIfTrue="1">
      <formula>NOT(ISERROR(SEARCH("renovar",A381)))</formula>
    </cfRule>
  </conditionalFormatting>
  <conditionalFormatting sqref="A381">
    <cfRule type="expression" dxfId="998" priority="452" stopIfTrue="1">
      <formula>NOT(ISERROR(SEARCH("Renovar",A381)))</formula>
    </cfRule>
  </conditionalFormatting>
  <conditionalFormatting sqref="A382">
    <cfRule type="expression" dxfId="997" priority="453" stopIfTrue="1">
      <formula>NOT(ISERROR(SEARCH("renovar",A382)))</formula>
    </cfRule>
  </conditionalFormatting>
  <conditionalFormatting sqref="A382">
    <cfRule type="expression" dxfId="996" priority="454" stopIfTrue="1">
      <formula>NOT(ISERROR(SEARCH("Renovar",A382)))</formula>
    </cfRule>
  </conditionalFormatting>
  <conditionalFormatting sqref="A383">
    <cfRule type="expression" dxfId="995" priority="455" stopIfTrue="1">
      <formula>NOT(ISERROR(SEARCH("renovar",A383)))</formula>
    </cfRule>
  </conditionalFormatting>
  <conditionalFormatting sqref="A383">
    <cfRule type="expression" dxfId="994" priority="456" stopIfTrue="1">
      <formula>NOT(ISERROR(SEARCH("Renovar",A383)))</formula>
    </cfRule>
  </conditionalFormatting>
  <conditionalFormatting sqref="A384">
    <cfRule type="expression" dxfId="993" priority="457" stopIfTrue="1">
      <formula>NOT(ISERROR(SEARCH("renovar",A384)))</formula>
    </cfRule>
  </conditionalFormatting>
  <conditionalFormatting sqref="A384">
    <cfRule type="expression" dxfId="992" priority="458" stopIfTrue="1">
      <formula>NOT(ISERROR(SEARCH("Renovar",A384)))</formula>
    </cfRule>
  </conditionalFormatting>
  <conditionalFormatting sqref="A385">
    <cfRule type="expression" dxfId="991" priority="459" stopIfTrue="1">
      <formula>NOT(ISERROR(SEARCH("renovar",A385)))</formula>
    </cfRule>
  </conditionalFormatting>
  <conditionalFormatting sqref="A385">
    <cfRule type="expression" dxfId="990" priority="460" stopIfTrue="1">
      <formula>NOT(ISERROR(SEARCH("Renovar",A385)))</formula>
    </cfRule>
  </conditionalFormatting>
  <conditionalFormatting sqref="A386">
    <cfRule type="expression" dxfId="989" priority="461" stopIfTrue="1">
      <formula>NOT(ISERROR(SEARCH("renovar",A386)))</formula>
    </cfRule>
  </conditionalFormatting>
  <conditionalFormatting sqref="A386">
    <cfRule type="expression" dxfId="988" priority="462" stopIfTrue="1">
      <formula>NOT(ISERROR(SEARCH("Renovar",A386)))</formula>
    </cfRule>
  </conditionalFormatting>
  <conditionalFormatting sqref="A387">
    <cfRule type="expression" dxfId="987" priority="463" stopIfTrue="1">
      <formula>NOT(ISERROR(SEARCH("renovar",A387)))</formula>
    </cfRule>
  </conditionalFormatting>
  <conditionalFormatting sqref="A387">
    <cfRule type="expression" dxfId="986" priority="464" stopIfTrue="1">
      <formula>NOT(ISERROR(SEARCH("Renovar",A387)))</formula>
    </cfRule>
  </conditionalFormatting>
  <conditionalFormatting sqref="A388">
    <cfRule type="expression" dxfId="985" priority="465" stopIfTrue="1">
      <formula>NOT(ISERROR(SEARCH("renovar",A388)))</formula>
    </cfRule>
  </conditionalFormatting>
  <conditionalFormatting sqref="A388">
    <cfRule type="expression" dxfId="984" priority="466" stopIfTrue="1">
      <formula>NOT(ISERROR(SEARCH("Renovar",A388)))</formula>
    </cfRule>
  </conditionalFormatting>
  <conditionalFormatting sqref="A389">
    <cfRule type="expression" dxfId="983" priority="467" stopIfTrue="1">
      <formula>NOT(ISERROR(SEARCH("renovar",A389)))</formula>
    </cfRule>
  </conditionalFormatting>
  <conditionalFormatting sqref="A389">
    <cfRule type="expression" dxfId="982" priority="468" stopIfTrue="1">
      <formula>NOT(ISERROR(SEARCH("Renovar",A389)))</formula>
    </cfRule>
  </conditionalFormatting>
  <conditionalFormatting sqref="A390">
    <cfRule type="expression" dxfId="981" priority="469" stopIfTrue="1">
      <formula>NOT(ISERROR(SEARCH("renovar",A390)))</formula>
    </cfRule>
  </conditionalFormatting>
  <conditionalFormatting sqref="A390">
    <cfRule type="expression" dxfId="980" priority="470" stopIfTrue="1">
      <formula>NOT(ISERROR(SEARCH("Renovar",A390)))</formula>
    </cfRule>
  </conditionalFormatting>
  <conditionalFormatting sqref="A391">
    <cfRule type="expression" dxfId="979" priority="471" stopIfTrue="1">
      <formula>NOT(ISERROR(SEARCH("renovar",A391)))</formula>
    </cfRule>
  </conditionalFormatting>
  <conditionalFormatting sqref="A391">
    <cfRule type="expression" dxfId="978" priority="472" stopIfTrue="1">
      <formula>NOT(ISERROR(SEARCH("Renovar",A391)))</formula>
    </cfRule>
  </conditionalFormatting>
  <conditionalFormatting sqref="A392">
    <cfRule type="expression" dxfId="977" priority="473" stopIfTrue="1">
      <formula>NOT(ISERROR(SEARCH("renovar",A392)))</formula>
    </cfRule>
  </conditionalFormatting>
  <conditionalFormatting sqref="A392">
    <cfRule type="expression" dxfId="976" priority="474" stopIfTrue="1">
      <formula>NOT(ISERROR(SEARCH("Renovar",A392)))</formula>
    </cfRule>
  </conditionalFormatting>
  <conditionalFormatting sqref="A393">
    <cfRule type="expression" dxfId="975" priority="475" stopIfTrue="1">
      <formula>NOT(ISERROR(SEARCH("renovar",A393)))</formula>
    </cfRule>
  </conditionalFormatting>
  <conditionalFormatting sqref="A393">
    <cfRule type="expression" dxfId="974" priority="476" stopIfTrue="1">
      <formula>NOT(ISERROR(SEARCH("Renovar",A393)))</formula>
    </cfRule>
  </conditionalFormatting>
  <conditionalFormatting sqref="A394">
    <cfRule type="expression" dxfId="973" priority="477" stopIfTrue="1">
      <formula>NOT(ISERROR(SEARCH("renovar",A394)))</formula>
    </cfRule>
  </conditionalFormatting>
  <conditionalFormatting sqref="A394">
    <cfRule type="expression" dxfId="972" priority="478" stopIfTrue="1">
      <formula>NOT(ISERROR(SEARCH("Renovar",A394)))</formula>
    </cfRule>
  </conditionalFormatting>
  <conditionalFormatting sqref="A395">
    <cfRule type="expression" dxfId="971" priority="479" stopIfTrue="1">
      <formula>NOT(ISERROR(SEARCH("renovar",A395)))</formula>
    </cfRule>
  </conditionalFormatting>
  <conditionalFormatting sqref="A395">
    <cfRule type="expression" dxfId="970" priority="480" stopIfTrue="1">
      <formula>NOT(ISERROR(SEARCH("Renovar",A395)))</formula>
    </cfRule>
  </conditionalFormatting>
  <conditionalFormatting sqref="A396">
    <cfRule type="expression" dxfId="969" priority="481" stopIfTrue="1">
      <formula>NOT(ISERROR(SEARCH("renovar",A396)))</formula>
    </cfRule>
  </conditionalFormatting>
  <conditionalFormatting sqref="A396">
    <cfRule type="expression" dxfId="968" priority="482" stopIfTrue="1">
      <formula>NOT(ISERROR(SEARCH("Renovar",A396)))</formula>
    </cfRule>
  </conditionalFormatting>
  <conditionalFormatting sqref="A397">
    <cfRule type="expression" dxfId="967" priority="483" stopIfTrue="1">
      <formula>NOT(ISERROR(SEARCH("renovar",A397)))</formula>
    </cfRule>
  </conditionalFormatting>
  <conditionalFormatting sqref="A397">
    <cfRule type="expression" dxfId="966" priority="484" stopIfTrue="1">
      <formula>NOT(ISERROR(SEARCH("Renovar",A397)))</formula>
    </cfRule>
  </conditionalFormatting>
  <conditionalFormatting sqref="A398">
    <cfRule type="expression" dxfId="965" priority="485" stopIfTrue="1">
      <formula>NOT(ISERROR(SEARCH("renovar",A398)))</formula>
    </cfRule>
  </conditionalFormatting>
  <conditionalFormatting sqref="A398">
    <cfRule type="expression" dxfId="964" priority="486" stopIfTrue="1">
      <formula>NOT(ISERROR(SEARCH("Renovar",A398)))</formula>
    </cfRule>
  </conditionalFormatting>
  <conditionalFormatting sqref="A399">
    <cfRule type="expression" dxfId="963" priority="487" stopIfTrue="1">
      <formula>NOT(ISERROR(SEARCH("renovar",A399)))</formula>
    </cfRule>
  </conditionalFormatting>
  <conditionalFormatting sqref="A399">
    <cfRule type="expression" dxfId="962" priority="488" stopIfTrue="1">
      <formula>NOT(ISERROR(SEARCH("Renovar",A399)))</formula>
    </cfRule>
  </conditionalFormatting>
  <conditionalFormatting sqref="A400">
    <cfRule type="expression" dxfId="961" priority="489" stopIfTrue="1">
      <formula>NOT(ISERROR(SEARCH("renovar",A400)))</formula>
    </cfRule>
  </conditionalFormatting>
  <conditionalFormatting sqref="A400">
    <cfRule type="expression" dxfId="960" priority="490" stopIfTrue="1">
      <formula>NOT(ISERROR(SEARCH("Renovar",A400)))</formula>
    </cfRule>
  </conditionalFormatting>
  <conditionalFormatting sqref="A401">
    <cfRule type="expression" dxfId="959" priority="491" stopIfTrue="1">
      <formula>NOT(ISERROR(SEARCH("renovar",A401)))</formula>
    </cfRule>
  </conditionalFormatting>
  <conditionalFormatting sqref="A401">
    <cfRule type="expression" dxfId="958" priority="492" stopIfTrue="1">
      <formula>NOT(ISERROR(SEARCH("Renovar",A401)))</formula>
    </cfRule>
  </conditionalFormatting>
  <conditionalFormatting sqref="A402">
    <cfRule type="expression" dxfId="957" priority="493" stopIfTrue="1">
      <formula>NOT(ISERROR(SEARCH("renovar",A402)))</formula>
    </cfRule>
  </conditionalFormatting>
  <conditionalFormatting sqref="A402">
    <cfRule type="expression" dxfId="956" priority="494" stopIfTrue="1">
      <formula>NOT(ISERROR(SEARCH("Renovar",A402)))</formula>
    </cfRule>
  </conditionalFormatting>
  <conditionalFormatting sqref="A403">
    <cfRule type="expression" dxfId="955" priority="495" stopIfTrue="1">
      <formula>NOT(ISERROR(SEARCH("renovar",A403)))</formula>
    </cfRule>
  </conditionalFormatting>
  <conditionalFormatting sqref="A403">
    <cfRule type="expression" dxfId="954" priority="496" stopIfTrue="1">
      <formula>NOT(ISERROR(SEARCH("Renovar",A403)))</formula>
    </cfRule>
  </conditionalFormatting>
  <conditionalFormatting sqref="A404">
    <cfRule type="expression" dxfId="953" priority="497" stopIfTrue="1">
      <formula>NOT(ISERROR(SEARCH("renovar",A404)))</formula>
    </cfRule>
  </conditionalFormatting>
  <conditionalFormatting sqref="A404">
    <cfRule type="expression" dxfId="952" priority="498" stopIfTrue="1">
      <formula>NOT(ISERROR(SEARCH("Renovar",A404)))</formula>
    </cfRule>
  </conditionalFormatting>
  <conditionalFormatting sqref="A405">
    <cfRule type="expression" dxfId="951" priority="499" stopIfTrue="1">
      <formula>NOT(ISERROR(SEARCH("renovar",A405)))</formula>
    </cfRule>
  </conditionalFormatting>
  <conditionalFormatting sqref="A405">
    <cfRule type="expression" dxfId="950" priority="500" stopIfTrue="1">
      <formula>NOT(ISERROR(SEARCH("Renovar",A405)))</formula>
    </cfRule>
  </conditionalFormatting>
  <conditionalFormatting sqref="A406">
    <cfRule type="expression" dxfId="949" priority="501" stopIfTrue="1">
      <formula>NOT(ISERROR(SEARCH("renovar",A406)))</formula>
    </cfRule>
  </conditionalFormatting>
  <conditionalFormatting sqref="A406">
    <cfRule type="expression" dxfId="948" priority="502" stopIfTrue="1">
      <formula>NOT(ISERROR(SEARCH("Renovar",A406)))</formula>
    </cfRule>
  </conditionalFormatting>
  <conditionalFormatting sqref="A407">
    <cfRule type="expression" dxfId="947" priority="503" stopIfTrue="1">
      <formula>NOT(ISERROR(SEARCH("renovar",A407)))</formula>
    </cfRule>
  </conditionalFormatting>
  <conditionalFormatting sqref="A407">
    <cfRule type="expression" dxfId="946" priority="504" stopIfTrue="1">
      <formula>NOT(ISERROR(SEARCH("Renovar",A407)))</formula>
    </cfRule>
  </conditionalFormatting>
  <conditionalFormatting sqref="A408">
    <cfRule type="expression" dxfId="945" priority="505" stopIfTrue="1">
      <formula>NOT(ISERROR(SEARCH("renovar",A408)))</formula>
    </cfRule>
  </conditionalFormatting>
  <conditionalFormatting sqref="A408">
    <cfRule type="expression" dxfId="944" priority="506" stopIfTrue="1">
      <formula>NOT(ISERROR(SEARCH("Renovar",A408)))</formula>
    </cfRule>
  </conditionalFormatting>
  <conditionalFormatting sqref="A409">
    <cfRule type="expression" dxfId="943" priority="507" stopIfTrue="1">
      <formula>NOT(ISERROR(SEARCH("renovar",A409)))</formula>
    </cfRule>
  </conditionalFormatting>
  <conditionalFormatting sqref="A409">
    <cfRule type="expression" dxfId="942" priority="508" stopIfTrue="1">
      <formula>NOT(ISERROR(SEARCH("Renovar",A409)))</formula>
    </cfRule>
  </conditionalFormatting>
  <conditionalFormatting sqref="A410">
    <cfRule type="expression" dxfId="941" priority="509" stopIfTrue="1">
      <formula>NOT(ISERROR(SEARCH("renovar",A410)))</formula>
    </cfRule>
  </conditionalFormatting>
  <conditionalFormatting sqref="A410">
    <cfRule type="expression" dxfId="940" priority="510" stopIfTrue="1">
      <formula>NOT(ISERROR(SEARCH("Renovar",A410)))</formula>
    </cfRule>
  </conditionalFormatting>
  <conditionalFormatting sqref="A411">
    <cfRule type="expression" dxfId="939" priority="511" stopIfTrue="1">
      <formula>NOT(ISERROR(SEARCH("renovar",A411)))</formula>
    </cfRule>
  </conditionalFormatting>
  <conditionalFormatting sqref="A411">
    <cfRule type="expression" dxfId="938" priority="512" stopIfTrue="1">
      <formula>NOT(ISERROR(SEARCH("Renovar",A411)))</formula>
    </cfRule>
  </conditionalFormatting>
  <conditionalFormatting sqref="A412">
    <cfRule type="expression" dxfId="937" priority="513" stopIfTrue="1">
      <formula>NOT(ISERROR(SEARCH("renovar",A412)))</formula>
    </cfRule>
  </conditionalFormatting>
  <conditionalFormatting sqref="A412">
    <cfRule type="expression" dxfId="936" priority="514" stopIfTrue="1">
      <formula>NOT(ISERROR(SEARCH("Renovar",A412)))</formula>
    </cfRule>
  </conditionalFormatting>
  <conditionalFormatting sqref="A413">
    <cfRule type="expression" dxfId="935" priority="515" stopIfTrue="1">
      <formula>NOT(ISERROR(SEARCH("renovar",A413)))</formula>
    </cfRule>
  </conditionalFormatting>
  <conditionalFormatting sqref="A413">
    <cfRule type="expression" dxfId="934" priority="516" stopIfTrue="1">
      <formula>NOT(ISERROR(SEARCH("Renovar",A413)))</formula>
    </cfRule>
  </conditionalFormatting>
  <conditionalFormatting sqref="A414">
    <cfRule type="expression" dxfId="933" priority="517" stopIfTrue="1">
      <formula>NOT(ISERROR(SEARCH("renovar",A414)))</formula>
    </cfRule>
  </conditionalFormatting>
  <conditionalFormatting sqref="A414">
    <cfRule type="expression" dxfId="932" priority="518" stopIfTrue="1">
      <formula>NOT(ISERROR(SEARCH("Renovar",A414)))</formula>
    </cfRule>
  </conditionalFormatting>
  <conditionalFormatting sqref="A415">
    <cfRule type="expression" dxfId="931" priority="519" stopIfTrue="1">
      <formula>NOT(ISERROR(SEARCH("renovar",A415)))</formula>
    </cfRule>
  </conditionalFormatting>
  <conditionalFormatting sqref="A415">
    <cfRule type="expression" dxfId="930" priority="520" stopIfTrue="1">
      <formula>NOT(ISERROR(SEARCH("Renovar",A415)))</formula>
    </cfRule>
  </conditionalFormatting>
  <conditionalFormatting sqref="A416">
    <cfRule type="expression" dxfId="929" priority="521" stopIfTrue="1">
      <formula>NOT(ISERROR(SEARCH("renovar",A416)))</formula>
    </cfRule>
  </conditionalFormatting>
  <conditionalFormatting sqref="A416">
    <cfRule type="expression" dxfId="928" priority="522" stopIfTrue="1">
      <formula>NOT(ISERROR(SEARCH("Renovar",A416)))</formula>
    </cfRule>
  </conditionalFormatting>
  <conditionalFormatting sqref="A417">
    <cfRule type="expression" dxfId="927" priority="523" stopIfTrue="1">
      <formula>NOT(ISERROR(SEARCH("renovar",A417)))</formula>
    </cfRule>
  </conditionalFormatting>
  <conditionalFormatting sqref="A417">
    <cfRule type="expression" dxfId="926" priority="524" stopIfTrue="1">
      <formula>NOT(ISERROR(SEARCH("Renovar",A417)))</formula>
    </cfRule>
  </conditionalFormatting>
  <conditionalFormatting sqref="A418">
    <cfRule type="expression" dxfId="925" priority="525" stopIfTrue="1">
      <formula>NOT(ISERROR(SEARCH("renovar",A418)))</formula>
    </cfRule>
  </conditionalFormatting>
  <conditionalFormatting sqref="A418">
    <cfRule type="expression" dxfId="924" priority="526" stopIfTrue="1">
      <formula>NOT(ISERROR(SEARCH("Renovar",A418)))</formula>
    </cfRule>
  </conditionalFormatting>
  <conditionalFormatting sqref="A419">
    <cfRule type="expression" dxfId="923" priority="527" stopIfTrue="1">
      <formula>NOT(ISERROR(SEARCH("renovar",A419)))</formula>
    </cfRule>
  </conditionalFormatting>
  <conditionalFormatting sqref="A419">
    <cfRule type="expression" dxfId="922" priority="528" stopIfTrue="1">
      <formula>NOT(ISERROR(SEARCH("Renovar",A419)))</formula>
    </cfRule>
  </conditionalFormatting>
  <conditionalFormatting sqref="A420">
    <cfRule type="expression" dxfId="921" priority="529" stopIfTrue="1">
      <formula>NOT(ISERROR(SEARCH("renovar",A420)))</formula>
    </cfRule>
  </conditionalFormatting>
  <conditionalFormatting sqref="A420">
    <cfRule type="expression" dxfId="920" priority="530" stopIfTrue="1">
      <formula>NOT(ISERROR(SEARCH("Renovar",A420)))</formula>
    </cfRule>
  </conditionalFormatting>
  <conditionalFormatting sqref="A421">
    <cfRule type="expression" dxfId="919" priority="531" stopIfTrue="1">
      <formula>NOT(ISERROR(SEARCH("renovar",A421)))</formula>
    </cfRule>
  </conditionalFormatting>
  <conditionalFormatting sqref="A421">
    <cfRule type="expression" dxfId="918" priority="532" stopIfTrue="1">
      <formula>NOT(ISERROR(SEARCH("Renovar",A421)))</formula>
    </cfRule>
  </conditionalFormatting>
  <conditionalFormatting sqref="A422">
    <cfRule type="expression" dxfId="917" priority="533" stopIfTrue="1">
      <formula>NOT(ISERROR(SEARCH("renovar",A422)))</formula>
    </cfRule>
  </conditionalFormatting>
  <conditionalFormatting sqref="A422">
    <cfRule type="expression" dxfId="916" priority="534" stopIfTrue="1">
      <formula>NOT(ISERROR(SEARCH("Renovar",A422)))</formula>
    </cfRule>
  </conditionalFormatting>
  <conditionalFormatting sqref="A423">
    <cfRule type="expression" dxfId="915" priority="535" stopIfTrue="1">
      <formula>NOT(ISERROR(SEARCH("renovar",A423)))</formula>
    </cfRule>
  </conditionalFormatting>
  <conditionalFormatting sqref="A423">
    <cfRule type="expression" dxfId="914" priority="536" stopIfTrue="1">
      <formula>NOT(ISERROR(SEARCH("Renovar",A423)))</formula>
    </cfRule>
  </conditionalFormatting>
  <conditionalFormatting sqref="A424">
    <cfRule type="expression" dxfId="913" priority="537" stopIfTrue="1">
      <formula>NOT(ISERROR(SEARCH("renovar",A424)))</formula>
    </cfRule>
  </conditionalFormatting>
  <conditionalFormatting sqref="A424">
    <cfRule type="expression" dxfId="912" priority="538" stopIfTrue="1">
      <formula>NOT(ISERROR(SEARCH("Renovar",A424)))</formula>
    </cfRule>
  </conditionalFormatting>
  <conditionalFormatting sqref="A425">
    <cfRule type="expression" dxfId="911" priority="539" stopIfTrue="1">
      <formula>NOT(ISERROR(SEARCH("renovar",A425)))</formula>
    </cfRule>
  </conditionalFormatting>
  <conditionalFormatting sqref="A425">
    <cfRule type="expression" dxfId="910" priority="540" stopIfTrue="1">
      <formula>NOT(ISERROR(SEARCH("Renovar",A425)))</formula>
    </cfRule>
  </conditionalFormatting>
  <conditionalFormatting sqref="A426">
    <cfRule type="expression" dxfId="909" priority="541" stopIfTrue="1">
      <formula>NOT(ISERROR(SEARCH("renovar",A426)))</formula>
    </cfRule>
  </conditionalFormatting>
  <conditionalFormatting sqref="A426">
    <cfRule type="expression" dxfId="908" priority="542" stopIfTrue="1">
      <formula>NOT(ISERROR(SEARCH("Renovar",A426)))</formula>
    </cfRule>
  </conditionalFormatting>
  <conditionalFormatting sqref="A427">
    <cfRule type="expression" dxfId="907" priority="543" stopIfTrue="1">
      <formula>NOT(ISERROR(SEARCH("renovar",A427)))</formula>
    </cfRule>
  </conditionalFormatting>
  <conditionalFormatting sqref="A427">
    <cfRule type="expression" dxfId="906" priority="544" stopIfTrue="1">
      <formula>NOT(ISERROR(SEARCH("Renovar",A427)))</formula>
    </cfRule>
  </conditionalFormatting>
  <conditionalFormatting sqref="A428">
    <cfRule type="expression" dxfId="905" priority="545" stopIfTrue="1">
      <formula>NOT(ISERROR(SEARCH("renovar",A428)))</formula>
    </cfRule>
  </conditionalFormatting>
  <conditionalFormatting sqref="A428">
    <cfRule type="expression" dxfId="904" priority="546" stopIfTrue="1">
      <formula>NOT(ISERROR(SEARCH("Renovar",A428)))</formula>
    </cfRule>
  </conditionalFormatting>
  <conditionalFormatting sqref="A429">
    <cfRule type="expression" dxfId="903" priority="547" stopIfTrue="1">
      <formula>NOT(ISERROR(SEARCH("renovar",A429)))</formula>
    </cfRule>
  </conditionalFormatting>
  <conditionalFormatting sqref="A429">
    <cfRule type="expression" dxfId="902" priority="548" stopIfTrue="1">
      <formula>NOT(ISERROR(SEARCH("Renovar",A429)))</formula>
    </cfRule>
  </conditionalFormatting>
  <conditionalFormatting sqref="A430">
    <cfRule type="expression" dxfId="901" priority="549" stopIfTrue="1">
      <formula>NOT(ISERROR(SEARCH("renovar",A430)))</formula>
    </cfRule>
  </conditionalFormatting>
  <conditionalFormatting sqref="A430">
    <cfRule type="expression" dxfId="900" priority="550" stopIfTrue="1">
      <formula>NOT(ISERROR(SEARCH("Renovar",A430)))</formula>
    </cfRule>
  </conditionalFormatting>
  <conditionalFormatting sqref="A431">
    <cfRule type="expression" dxfId="899" priority="551" stopIfTrue="1">
      <formula>NOT(ISERROR(SEARCH("renovar",A431)))</formula>
    </cfRule>
  </conditionalFormatting>
  <conditionalFormatting sqref="A431">
    <cfRule type="expression" dxfId="898" priority="552" stopIfTrue="1">
      <formula>NOT(ISERROR(SEARCH("Renovar",A431)))</formula>
    </cfRule>
  </conditionalFormatting>
  <conditionalFormatting sqref="A432">
    <cfRule type="expression" dxfId="897" priority="553" stopIfTrue="1">
      <formula>NOT(ISERROR(SEARCH("renovar",A432)))</formula>
    </cfRule>
  </conditionalFormatting>
  <conditionalFormatting sqref="A432">
    <cfRule type="expression" dxfId="896" priority="554" stopIfTrue="1">
      <formula>NOT(ISERROR(SEARCH("Renovar",A432)))</formula>
    </cfRule>
  </conditionalFormatting>
  <conditionalFormatting sqref="A433">
    <cfRule type="expression" dxfId="895" priority="555" stopIfTrue="1">
      <formula>NOT(ISERROR(SEARCH("renovar",A433)))</formula>
    </cfRule>
  </conditionalFormatting>
  <conditionalFormatting sqref="A433">
    <cfRule type="expression" dxfId="894" priority="556" stopIfTrue="1">
      <formula>NOT(ISERROR(SEARCH("Renovar",A433)))</formula>
    </cfRule>
  </conditionalFormatting>
  <conditionalFormatting sqref="A434">
    <cfRule type="expression" dxfId="893" priority="557" stopIfTrue="1">
      <formula>NOT(ISERROR(SEARCH("renovar",A434)))</formula>
    </cfRule>
  </conditionalFormatting>
  <conditionalFormatting sqref="A434">
    <cfRule type="expression" dxfId="892" priority="558" stopIfTrue="1">
      <formula>NOT(ISERROR(SEARCH("Renovar",A434)))</formula>
    </cfRule>
  </conditionalFormatting>
  <conditionalFormatting sqref="A435">
    <cfRule type="expression" dxfId="891" priority="559" stopIfTrue="1">
      <formula>NOT(ISERROR(SEARCH("renovar",A435)))</formula>
    </cfRule>
  </conditionalFormatting>
  <conditionalFormatting sqref="A435">
    <cfRule type="expression" dxfId="890" priority="560" stopIfTrue="1">
      <formula>NOT(ISERROR(SEARCH("Renovar",A435)))</formula>
    </cfRule>
  </conditionalFormatting>
  <conditionalFormatting sqref="A436">
    <cfRule type="expression" dxfId="889" priority="561" stopIfTrue="1">
      <formula>NOT(ISERROR(SEARCH("renovar",A436)))</formula>
    </cfRule>
  </conditionalFormatting>
  <conditionalFormatting sqref="A436">
    <cfRule type="expression" dxfId="888" priority="562" stopIfTrue="1">
      <formula>NOT(ISERROR(SEARCH("Renovar",A436)))</formula>
    </cfRule>
  </conditionalFormatting>
  <conditionalFormatting sqref="A437">
    <cfRule type="expression" dxfId="887" priority="563" stopIfTrue="1">
      <formula>NOT(ISERROR(SEARCH("renovar",A437)))</formula>
    </cfRule>
  </conditionalFormatting>
  <conditionalFormatting sqref="A437">
    <cfRule type="expression" dxfId="886" priority="564" stopIfTrue="1">
      <formula>NOT(ISERROR(SEARCH("Renovar",A437)))</formula>
    </cfRule>
  </conditionalFormatting>
  <conditionalFormatting sqref="A438">
    <cfRule type="expression" dxfId="885" priority="565" stopIfTrue="1">
      <formula>NOT(ISERROR(SEARCH("renovar",A438)))</formula>
    </cfRule>
  </conditionalFormatting>
  <conditionalFormatting sqref="A438">
    <cfRule type="expression" dxfId="884" priority="566" stopIfTrue="1">
      <formula>NOT(ISERROR(SEARCH("Renovar",A438)))</formula>
    </cfRule>
  </conditionalFormatting>
  <conditionalFormatting sqref="A439">
    <cfRule type="expression" dxfId="883" priority="567" stopIfTrue="1">
      <formula>NOT(ISERROR(SEARCH("renovar",A439)))</formula>
    </cfRule>
  </conditionalFormatting>
  <conditionalFormatting sqref="A439">
    <cfRule type="expression" dxfId="882" priority="568" stopIfTrue="1">
      <formula>NOT(ISERROR(SEARCH("Renovar",A439)))</formula>
    </cfRule>
  </conditionalFormatting>
  <conditionalFormatting sqref="A440">
    <cfRule type="expression" dxfId="881" priority="569" stopIfTrue="1">
      <formula>NOT(ISERROR(SEARCH("renovar",A440)))</formula>
    </cfRule>
  </conditionalFormatting>
  <conditionalFormatting sqref="A440">
    <cfRule type="expression" dxfId="880" priority="570" stopIfTrue="1">
      <formula>NOT(ISERROR(SEARCH("Renovar",A440)))</formula>
    </cfRule>
  </conditionalFormatting>
  <conditionalFormatting sqref="A441">
    <cfRule type="expression" dxfId="879" priority="571" stopIfTrue="1">
      <formula>NOT(ISERROR(SEARCH("renovar",A441)))</formula>
    </cfRule>
  </conditionalFormatting>
  <conditionalFormatting sqref="A441">
    <cfRule type="expression" dxfId="878" priority="572" stopIfTrue="1">
      <formula>NOT(ISERROR(SEARCH("Renovar",A441)))</formula>
    </cfRule>
  </conditionalFormatting>
  <conditionalFormatting sqref="A442">
    <cfRule type="expression" dxfId="877" priority="573" stopIfTrue="1">
      <formula>NOT(ISERROR(SEARCH("renovar",A442)))</formula>
    </cfRule>
  </conditionalFormatting>
  <conditionalFormatting sqref="A442">
    <cfRule type="expression" dxfId="876" priority="574" stopIfTrue="1">
      <formula>NOT(ISERROR(SEARCH("Renovar",A442)))</formula>
    </cfRule>
  </conditionalFormatting>
  <conditionalFormatting sqref="A443">
    <cfRule type="expression" dxfId="875" priority="575" stopIfTrue="1">
      <formula>NOT(ISERROR(SEARCH("renovar",A443)))</formula>
    </cfRule>
  </conditionalFormatting>
  <conditionalFormatting sqref="A443">
    <cfRule type="expression" dxfId="874" priority="576" stopIfTrue="1">
      <formula>NOT(ISERROR(SEARCH("Renovar",A443)))</formula>
    </cfRule>
  </conditionalFormatting>
  <conditionalFormatting sqref="A444">
    <cfRule type="expression" dxfId="873" priority="577" stopIfTrue="1">
      <formula>NOT(ISERROR(SEARCH("renovar",A444)))</formula>
    </cfRule>
  </conditionalFormatting>
  <conditionalFormatting sqref="A444">
    <cfRule type="expression" dxfId="872" priority="578" stopIfTrue="1">
      <formula>NOT(ISERROR(SEARCH("Renovar",A444)))</formula>
    </cfRule>
  </conditionalFormatting>
  <conditionalFormatting sqref="A445">
    <cfRule type="expression" dxfId="871" priority="579" stopIfTrue="1">
      <formula>NOT(ISERROR(SEARCH("renovar",A445)))</formula>
    </cfRule>
  </conditionalFormatting>
  <conditionalFormatting sqref="A445">
    <cfRule type="expression" dxfId="870" priority="580" stopIfTrue="1">
      <formula>NOT(ISERROR(SEARCH("Renovar",A445)))</formula>
    </cfRule>
  </conditionalFormatting>
  <conditionalFormatting sqref="A446">
    <cfRule type="expression" dxfId="869" priority="581" stopIfTrue="1">
      <formula>NOT(ISERROR(SEARCH("renovar",A446)))</formula>
    </cfRule>
  </conditionalFormatting>
  <conditionalFormatting sqref="A446">
    <cfRule type="expression" dxfId="868" priority="582" stopIfTrue="1">
      <formula>NOT(ISERROR(SEARCH("Renovar",A446)))</formula>
    </cfRule>
  </conditionalFormatting>
  <conditionalFormatting sqref="A447">
    <cfRule type="expression" dxfId="867" priority="583" stopIfTrue="1">
      <formula>NOT(ISERROR(SEARCH("renovar",A447)))</formula>
    </cfRule>
  </conditionalFormatting>
  <conditionalFormatting sqref="A447">
    <cfRule type="expression" dxfId="866" priority="584" stopIfTrue="1">
      <formula>NOT(ISERROR(SEARCH("Renovar",A447)))</formula>
    </cfRule>
  </conditionalFormatting>
  <conditionalFormatting sqref="A448">
    <cfRule type="expression" dxfId="865" priority="585" stopIfTrue="1">
      <formula>NOT(ISERROR(SEARCH("renovar",A448)))</formula>
    </cfRule>
  </conditionalFormatting>
  <conditionalFormatting sqref="A448">
    <cfRule type="expression" dxfId="864" priority="586" stopIfTrue="1">
      <formula>NOT(ISERROR(SEARCH("Renovar",A448)))</formula>
    </cfRule>
  </conditionalFormatting>
  <conditionalFormatting sqref="A449">
    <cfRule type="expression" dxfId="863" priority="587" stopIfTrue="1">
      <formula>NOT(ISERROR(SEARCH("renovar",A449)))</formula>
    </cfRule>
  </conditionalFormatting>
  <conditionalFormatting sqref="A449">
    <cfRule type="expression" dxfId="862" priority="588" stopIfTrue="1">
      <formula>NOT(ISERROR(SEARCH("Renovar",A449)))</formula>
    </cfRule>
  </conditionalFormatting>
  <conditionalFormatting sqref="A450">
    <cfRule type="expression" dxfId="861" priority="589" stopIfTrue="1">
      <formula>NOT(ISERROR(SEARCH("renovar",A450)))</formula>
    </cfRule>
  </conditionalFormatting>
  <conditionalFormatting sqref="A450">
    <cfRule type="expression" dxfId="860" priority="590" stopIfTrue="1">
      <formula>NOT(ISERROR(SEARCH("Renovar",A450)))</formula>
    </cfRule>
  </conditionalFormatting>
  <conditionalFormatting sqref="A451">
    <cfRule type="expression" dxfId="859" priority="591" stopIfTrue="1">
      <formula>NOT(ISERROR(SEARCH("renovar",A451)))</formula>
    </cfRule>
  </conditionalFormatting>
  <conditionalFormatting sqref="A451">
    <cfRule type="expression" dxfId="858" priority="592" stopIfTrue="1">
      <formula>NOT(ISERROR(SEARCH("Renovar",A451)))</formula>
    </cfRule>
  </conditionalFormatting>
  <conditionalFormatting sqref="A452">
    <cfRule type="expression" dxfId="857" priority="593" stopIfTrue="1">
      <formula>NOT(ISERROR(SEARCH("renovar",A452)))</formula>
    </cfRule>
  </conditionalFormatting>
  <conditionalFormatting sqref="A452">
    <cfRule type="expression" dxfId="856" priority="594" stopIfTrue="1">
      <formula>NOT(ISERROR(SEARCH("Renovar",A452)))</formula>
    </cfRule>
  </conditionalFormatting>
  <conditionalFormatting sqref="A453">
    <cfRule type="expression" dxfId="855" priority="595" stopIfTrue="1">
      <formula>NOT(ISERROR(SEARCH("renovar",A453)))</formula>
    </cfRule>
  </conditionalFormatting>
  <conditionalFormatting sqref="A453">
    <cfRule type="expression" dxfId="854" priority="596" stopIfTrue="1">
      <formula>NOT(ISERROR(SEARCH("Renovar",A453)))</formula>
    </cfRule>
  </conditionalFormatting>
  <conditionalFormatting sqref="A454">
    <cfRule type="expression" dxfId="853" priority="597" stopIfTrue="1">
      <formula>NOT(ISERROR(SEARCH("renovar",A454)))</formula>
    </cfRule>
  </conditionalFormatting>
  <conditionalFormatting sqref="A454">
    <cfRule type="expression" dxfId="852" priority="598" stopIfTrue="1">
      <formula>NOT(ISERROR(SEARCH("Renovar",A454)))</formula>
    </cfRule>
  </conditionalFormatting>
  <conditionalFormatting sqref="A455">
    <cfRule type="expression" dxfId="851" priority="599" stopIfTrue="1">
      <formula>NOT(ISERROR(SEARCH("renovar",A455)))</formula>
    </cfRule>
  </conditionalFormatting>
  <conditionalFormatting sqref="A455">
    <cfRule type="expression" dxfId="850" priority="600" stopIfTrue="1">
      <formula>NOT(ISERROR(SEARCH("Renovar",A455)))</formula>
    </cfRule>
  </conditionalFormatting>
  <conditionalFormatting sqref="A456">
    <cfRule type="expression" dxfId="849" priority="601" stopIfTrue="1">
      <formula>NOT(ISERROR(SEARCH("renovar",A456)))</formula>
    </cfRule>
  </conditionalFormatting>
  <conditionalFormatting sqref="A456">
    <cfRule type="expression" dxfId="848" priority="602" stopIfTrue="1">
      <formula>NOT(ISERROR(SEARCH("Renovar",A456)))</formula>
    </cfRule>
  </conditionalFormatting>
  <conditionalFormatting sqref="A457">
    <cfRule type="expression" dxfId="847" priority="603" stopIfTrue="1">
      <formula>NOT(ISERROR(SEARCH("renovar",A457)))</formula>
    </cfRule>
  </conditionalFormatting>
  <conditionalFormatting sqref="A457">
    <cfRule type="expression" dxfId="846" priority="604" stopIfTrue="1">
      <formula>NOT(ISERROR(SEARCH("Renovar",A457)))</formula>
    </cfRule>
  </conditionalFormatting>
  <conditionalFormatting sqref="A458">
    <cfRule type="expression" dxfId="845" priority="605" stopIfTrue="1">
      <formula>NOT(ISERROR(SEARCH("renovar",A458)))</formula>
    </cfRule>
  </conditionalFormatting>
  <conditionalFormatting sqref="A458">
    <cfRule type="expression" dxfId="844" priority="606" stopIfTrue="1">
      <formula>NOT(ISERROR(SEARCH("Renovar",A458)))</formula>
    </cfRule>
  </conditionalFormatting>
  <conditionalFormatting sqref="A459">
    <cfRule type="expression" dxfId="843" priority="607" stopIfTrue="1">
      <formula>NOT(ISERROR(SEARCH("renovar",A459)))</formula>
    </cfRule>
  </conditionalFormatting>
  <conditionalFormatting sqref="A459">
    <cfRule type="expression" dxfId="842" priority="608" stopIfTrue="1">
      <formula>NOT(ISERROR(SEARCH("Renovar",A459)))</formula>
    </cfRule>
  </conditionalFormatting>
  <conditionalFormatting sqref="A460">
    <cfRule type="expression" dxfId="841" priority="609" stopIfTrue="1">
      <formula>NOT(ISERROR(SEARCH("renovar",A460)))</formula>
    </cfRule>
  </conditionalFormatting>
  <conditionalFormatting sqref="A460">
    <cfRule type="expression" dxfId="840" priority="610" stopIfTrue="1">
      <formula>NOT(ISERROR(SEARCH("Renovar",A460)))</formula>
    </cfRule>
  </conditionalFormatting>
  <conditionalFormatting sqref="A461">
    <cfRule type="expression" dxfId="839" priority="611" stopIfTrue="1">
      <formula>NOT(ISERROR(SEARCH("renovar",A461)))</formula>
    </cfRule>
  </conditionalFormatting>
  <conditionalFormatting sqref="A461">
    <cfRule type="expression" dxfId="838" priority="612" stopIfTrue="1">
      <formula>NOT(ISERROR(SEARCH("Renovar",A461)))</formula>
    </cfRule>
  </conditionalFormatting>
  <conditionalFormatting sqref="A462">
    <cfRule type="expression" dxfId="837" priority="613" stopIfTrue="1">
      <formula>NOT(ISERROR(SEARCH("renovar",A462)))</formula>
    </cfRule>
  </conditionalFormatting>
  <conditionalFormatting sqref="A462">
    <cfRule type="expression" dxfId="836" priority="614" stopIfTrue="1">
      <formula>NOT(ISERROR(SEARCH("Renovar",A462)))</formula>
    </cfRule>
  </conditionalFormatting>
  <conditionalFormatting sqref="A463">
    <cfRule type="expression" dxfId="835" priority="615" stopIfTrue="1">
      <formula>NOT(ISERROR(SEARCH("renovar",A463)))</formula>
    </cfRule>
  </conditionalFormatting>
  <conditionalFormatting sqref="A463">
    <cfRule type="expression" dxfId="834" priority="616" stopIfTrue="1">
      <formula>NOT(ISERROR(SEARCH("Renovar",A463)))</formula>
    </cfRule>
  </conditionalFormatting>
  <conditionalFormatting sqref="A464">
    <cfRule type="expression" dxfId="833" priority="617" stopIfTrue="1">
      <formula>NOT(ISERROR(SEARCH("renovar",A464)))</formula>
    </cfRule>
  </conditionalFormatting>
  <conditionalFormatting sqref="A464">
    <cfRule type="expression" dxfId="832" priority="618" stopIfTrue="1">
      <formula>NOT(ISERROR(SEARCH("Renovar",A464)))</formula>
    </cfRule>
  </conditionalFormatting>
  <conditionalFormatting sqref="A465">
    <cfRule type="expression" dxfId="831" priority="619" stopIfTrue="1">
      <formula>NOT(ISERROR(SEARCH("renovar",A465)))</formula>
    </cfRule>
  </conditionalFormatting>
  <conditionalFormatting sqref="A465">
    <cfRule type="expression" dxfId="830" priority="620" stopIfTrue="1">
      <formula>NOT(ISERROR(SEARCH("Renovar",A465)))</formula>
    </cfRule>
  </conditionalFormatting>
  <conditionalFormatting sqref="A466">
    <cfRule type="expression" dxfId="829" priority="621" stopIfTrue="1">
      <formula>NOT(ISERROR(SEARCH("renovar",A466)))</formula>
    </cfRule>
  </conditionalFormatting>
  <conditionalFormatting sqref="A466">
    <cfRule type="expression" dxfId="828" priority="622" stopIfTrue="1">
      <formula>NOT(ISERROR(SEARCH("Renovar",A466)))</formula>
    </cfRule>
  </conditionalFormatting>
  <conditionalFormatting sqref="A467">
    <cfRule type="expression" dxfId="827" priority="623" stopIfTrue="1">
      <formula>NOT(ISERROR(SEARCH("renovar",A467)))</formula>
    </cfRule>
  </conditionalFormatting>
  <conditionalFormatting sqref="A467">
    <cfRule type="expression" dxfId="826" priority="624" stopIfTrue="1">
      <formula>NOT(ISERROR(SEARCH("Renovar",A467)))</formula>
    </cfRule>
  </conditionalFormatting>
  <conditionalFormatting sqref="A468">
    <cfRule type="expression" dxfId="825" priority="625" stopIfTrue="1">
      <formula>NOT(ISERROR(SEARCH("renovar",A468)))</formula>
    </cfRule>
  </conditionalFormatting>
  <conditionalFormatting sqref="A468">
    <cfRule type="expression" dxfId="824" priority="626" stopIfTrue="1">
      <formula>NOT(ISERROR(SEARCH("Renovar",A468)))</formula>
    </cfRule>
  </conditionalFormatting>
  <conditionalFormatting sqref="A469">
    <cfRule type="expression" dxfId="823" priority="627" stopIfTrue="1">
      <formula>NOT(ISERROR(SEARCH("renovar",A469)))</formula>
    </cfRule>
  </conditionalFormatting>
  <conditionalFormatting sqref="A469">
    <cfRule type="expression" dxfId="822" priority="628" stopIfTrue="1">
      <formula>NOT(ISERROR(SEARCH("Renovar",A469)))</formula>
    </cfRule>
  </conditionalFormatting>
  <conditionalFormatting sqref="A470">
    <cfRule type="expression" dxfId="821" priority="629" stopIfTrue="1">
      <formula>NOT(ISERROR(SEARCH("renovar",A470)))</formula>
    </cfRule>
  </conditionalFormatting>
  <conditionalFormatting sqref="A470">
    <cfRule type="expression" dxfId="820" priority="630" stopIfTrue="1">
      <formula>NOT(ISERROR(SEARCH("Renovar",A470)))</formula>
    </cfRule>
  </conditionalFormatting>
  <conditionalFormatting sqref="A471">
    <cfRule type="expression" dxfId="819" priority="631" stopIfTrue="1">
      <formula>NOT(ISERROR(SEARCH("renovar",A471)))</formula>
    </cfRule>
  </conditionalFormatting>
  <conditionalFormatting sqref="A471">
    <cfRule type="expression" dxfId="818" priority="632" stopIfTrue="1">
      <formula>NOT(ISERROR(SEARCH("Renovar",A471)))</formula>
    </cfRule>
  </conditionalFormatting>
  <conditionalFormatting sqref="A472">
    <cfRule type="expression" dxfId="817" priority="633" stopIfTrue="1">
      <formula>NOT(ISERROR(SEARCH("renovar",A472)))</formula>
    </cfRule>
  </conditionalFormatting>
  <conditionalFormatting sqref="A472">
    <cfRule type="expression" dxfId="816" priority="634" stopIfTrue="1">
      <formula>NOT(ISERROR(SEARCH("Renovar",A472)))</formula>
    </cfRule>
  </conditionalFormatting>
  <conditionalFormatting sqref="A473">
    <cfRule type="expression" dxfId="815" priority="635" stopIfTrue="1">
      <formula>NOT(ISERROR(SEARCH("renovar",A473)))</formula>
    </cfRule>
  </conditionalFormatting>
  <conditionalFormatting sqref="A473">
    <cfRule type="expression" dxfId="814" priority="636" stopIfTrue="1">
      <formula>NOT(ISERROR(SEARCH("Renovar",A473)))</formula>
    </cfRule>
  </conditionalFormatting>
  <conditionalFormatting sqref="A474">
    <cfRule type="expression" dxfId="813" priority="637" stopIfTrue="1">
      <formula>NOT(ISERROR(SEARCH("renovar",A474)))</formula>
    </cfRule>
  </conditionalFormatting>
  <conditionalFormatting sqref="A474">
    <cfRule type="expression" dxfId="812" priority="638" stopIfTrue="1">
      <formula>NOT(ISERROR(SEARCH("Renovar",A474)))</formula>
    </cfRule>
  </conditionalFormatting>
  <conditionalFormatting sqref="A475">
    <cfRule type="expression" dxfId="811" priority="639" stopIfTrue="1">
      <formula>NOT(ISERROR(SEARCH("renovar",A475)))</formula>
    </cfRule>
  </conditionalFormatting>
  <conditionalFormatting sqref="A475">
    <cfRule type="expression" dxfId="810" priority="640" stopIfTrue="1">
      <formula>NOT(ISERROR(SEARCH("Renovar",A475)))</formula>
    </cfRule>
  </conditionalFormatting>
  <conditionalFormatting sqref="A476">
    <cfRule type="expression" dxfId="809" priority="641" stopIfTrue="1">
      <formula>NOT(ISERROR(SEARCH("renovar",A476)))</formula>
    </cfRule>
  </conditionalFormatting>
  <conditionalFormatting sqref="A476">
    <cfRule type="expression" dxfId="808" priority="642" stopIfTrue="1">
      <formula>NOT(ISERROR(SEARCH("Renovar",A476)))</formula>
    </cfRule>
  </conditionalFormatting>
  <conditionalFormatting sqref="A477">
    <cfRule type="expression" dxfId="807" priority="643" stopIfTrue="1">
      <formula>NOT(ISERROR(SEARCH("renovar",A477)))</formula>
    </cfRule>
  </conditionalFormatting>
  <conditionalFormatting sqref="A477">
    <cfRule type="expression" dxfId="806" priority="644" stopIfTrue="1">
      <formula>NOT(ISERROR(SEARCH("Renovar",A477)))</formula>
    </cfRule>
  </conditionalFormatting>
  <conditionalFormatting sqref="A478">
    <cfRule type="expression" dxfId="805" priority="645" stopIfTrue="1">
      <formula>NOT(ISERROR(SEARCH("renovar",A478)))</formula>
    </cfRule>
  </conditionalFormatting>
  <conditionalFormatting sqref="A478">
    <cfRule type="expression" dxfId="804" priority="646" stopIfTrue="1">
      <formula>NOT(ISERROR(SEARCH("Renovar",A478)))</formula>
    </cfRule>
  </conditionalFormatting>
  <conditionalFormatting sqref="A479">
    <cfRule type="expression" dxfId="803" priority="647" stopIfTrue="1">
      <formula>NOT(ISERROR(SEARCH("renovar",A479)))</formula>
    </cfRule>
  </conditionalFormatting>
  <conditionalFormatting sqref="A479">
    <cfRule type="expression" dxfId="802" priority="648" stopIfTrue="1">
      <formula>NOT(ISERROR(SEARCH("Renovar",A479)))</formula>
    </cfRule>
  </conditionalFormatting>
  <conditionalFormatting sqref="A480">
    <cfRule type="expression" dxfId="801" priority="649" stopIfTrue="1">
      <formula>NOT(ISERROR(SEARCH("renovar",A480)))</formula>
    </cfRule>
  </conditionalFormatting>
  <conditionalFormatting sqref="A480">
    <cfRule type="expression" dxfId="800" priority="650" stopIfTrue="1">
      <formula>NOT(ISERROR(SEARCH("Renovar",A480)))</formula>
    </cfRule>
  </conditionalFormatting>
  <conditionalFormatting sqref="A481">
    <cfRule type="expression" dxfId="799" priority="651" stopIfTrue="1">
      <formula>NOT(ISERROR(SEARCH("renovar",A481)))</formula>
    </cfRule>
  </conditionalFormatting>
  <conditionalFormatting sqref="A481">
    <cfRule type="expression" dxfId="798" priority="652" stopIfTrue="1">
      <formula>NOT(ISERROR(SEARCH("Renovar",A481)))</formula>
    </cfRule>
  </conditionalFormatting>
  <conditionalFormatting sqref="A482">
    <cfRule type="expression" dxfId="797" priority="653" stopIfTrue="1">
      <formula>NOT(ISERROR(SEARCH("renovar",A482)))</formula>
    </cfRule>
  </conditionalFormatting>
  <conditionalFormatting sqref="A482">
    <cfRule type="expression" dxfId="796" priority="654" stopIfTrue="1">
      <formula>NOT(ISERROR(SEARCH("Renovar",A482)))</formula>
    </cfRule>
  </conditionalFormatting>
  <conditionalFormatting sqref="A483">
    <cfRule type="expression" dxfId="795" priority="655" stopIfTrue="1">
      <formula>NOT(ISERROR(SEARCH("renovar",A483)))</formula>
    </cfRule>
  </conditionalFormatting>
  <conditionalFormatting sqref="A483">
    <cfRule type="expression" dxfId="794" priority="656" stopIfTrue="1">
      <formula>NOT(ISERROR(SEARCH("Renovar",A483)))</formula>
    </cfRule>
  </conditionalFormatting>
  <conditionalFormatting sqref="A484">
    <cfRule type="expression" dxfId="793" priority="657" stopIfTrue="1">
      <formula>NOT(ISERROR(SEARCH("renovar",A484)))</formula>
    </cfRule>
  </conditionalFormatting>
  <conditionalFormatting sqref="A484">
    <cfRule type="expression" dxfId="792" priority="658" stopIfTrue="1">
      <formula>NOT(ISERROR(SEARCH("Renovar",A484)))</formula>
    </cfRule>
  </conditionalFormatting>
  <conditionalFormatting sqref="A485">
    <cfRule type="expression" dxfId="791" priority="659" stopIfTrue="1">
      <formula>NOT(ISERROR(SEARCH("renovar",A485)))</formula>
    </cfRule>
  </conditionalFormatting>
  <conditionalFormatting sqref="A485">
    <cfRule type="expression" dxfId="790" priority="660" stopIfTrue="1">
      <formula>NOT(ISERROR(SEARCH("Renovar",A485)))</formula>
    </cfRule>
  </conditionalFormatting>
  <conditionalFormatting sqref="A486">
    <cfRule type="expression" dxfId="789" priority="661" stopIfTrue="1">
      <formula>NOT(ISERROR(SEARCH("renovar",A486)))</formula>
    </cfRule>
  </conditionalFormatting>
  <conditionalFormatting sqref="A486">
    <cfRule type="expression" dxfId="788" priority="662" stopIfTrue="1">
      <formula>NOT(ISERROR(SEARCH("Renovar",A486)))</formula>
    </cfRule>
  </conditionalFormatting>
  <conditionalFormatting sqref="A487">
    <cfRule type="expression" dxfId="787" priority="663" stopIfTrue="1">
      <formula>NOT(ISERROR(SEARCH("renovar",A487)))</formula>
    </cfRule>
  </conditionalFormatting>
  <conditionalFormatting sqref="A487">
    <cfRule type="expression" dxfId="786" priority="664" stopIfTrue="1">
      <formula>NOT(ISERROR(SEARCH("Renovar",A487)))</formula>
    </cfRule>
  </conditionalFormatting>
  <conditionalFormatting sqref="A488">
    <cfRule type="expression" dxfId="785" priority="665" stopIfTrue="1">
      <formula>NOT(ISERROR(SEARCH("renovar",A488)))</formula>
    </cfRule>
  </conditionalFormatting>
  <conditionalFormatting sqref="A488">
    <cfRule type="expression" dxfId="784" priority="666" stopIfTrue="1">
      <formula>NOT(ISERROR(SEARCH("Renovar",A488)))</formula>
    </cfRule>
  </conditionalFormatting>
  <conditionalFormatting sqref="A489">
    <cfRule type="expression" dxfId="783" priority="667" stopIfTrue="1">
      <formula>NOT(ISERROR(SEARCH("renovar",A489)))</formula>
    </cfRule>
  </conditionalFormatting>
  <conditionalFormatting sqref="A489">
    <cfRule type="expression" dxfId="782" priority="668" stopIfTrue="1">
      <formula>NOT(ISERROR(SEARCH("Renovar",A489)))</formula>
    </cfRule>
  </conditionalFormatting>
  <conditionalFormatting sqref="A490">
    <cfRule type="expression" dxfId="781" priority="669" stopIfTrue="1">
      <formula>NOT(ISERROR(SEARCH("renovar",A490)))</formula>
    </cfRule>
  </conditionalFormatting>
  <conditionalFormatting sqref="A490">
    <cfRule type="expression" dxfId="780" priority="670" stopIfTrue="1">
      <formula>NOT(ISERROR(SEARCH("Renovar",A490)))</formula>
    </cfRule>
  </conditionalFormatting>
  <conditionalFormatting sqref="A491">
    <cfRule type="expression" dxfId="779" priority="671" stopIfTrue="1">
      <formula>NOT(ISERROR(SEARCH("renovar",A491)))</formula>
    </cfRule>
  </conditionalFormatting>
  <conditionalFormatting sqref="A491">
    <cfRule type="expression" dxfId="778" priority="672" stopIfTrue="1">
      <formula>NOT(ISERROR(SEARCH("Renovar",A491)))</formula>
    </cfRule>
  </conditionalFormatting>
  <conditionalFormatting sqref="A492">
    <cfRule type="expression" dxfId="777" priority="673" stopIfTrue="1">
      <formula>NOT(ISERROR(SEARCH("renovar",A492)))</formula>
    </cfRule>
  </conditionalFormatting>
  <conditionalFormatting sqref="A492">
    <cfRule type="expression" dxfId="776" priority="674" stopIfTrue="1">
      <formula>NOT(ISERROR(SEARCH("Renovar",A492)))</formula>
    </cfRule>
  </conditionalFormatting>
  <conditionalFormatting sqref="A493">
    <cfRule type="expression" dxfId="775" priority="675" stopIfTrue="1">
      <formula>NOT(ISERROR(SEARCH("renovar",A493)))</formula>
    </cfRule>
  </conditionalFormatting>
  <conditionalFormatting sqref="A493">
    <cfRule type="expression" dxfId="774" priority="676" stopIfTrue="1">
      <formula>NOT(ISERROR(SEARCH("Renovar",A493)))</formula>
    </cfRule>
  </conditionalFormatting>
  <conditionalFormatting sqref="A494">
    <cfRule type="expression" dxfId="773" priority="677" stopIfTrue="1">
      <formula>NOT(ISERROR(SEARCH("renovar",A494)))</formula>
    </cfRule>
  </conditionalFormatting>
  <conditionalFormatting sqref="A494">
    <cfRule type="expression" dxfId="772" priority="678" stopIfTrue="1">
      <formula>NOT(ISERROR(SEARCH("Renovar",A494)))</formula>
    </cfRule>
  </conditionalFormatting>
  <conditionalFormatting sqref="A495">
    <cfRule type="expression" dxfId="771" priority="679" stopIfTrue="1">
      <formula>NOT(ISERROR(SEARCH("renovar",A495)))</formula>
    </cfRule>
  </conditionalFormatting>
  <conditionalFormatting sqref="A495">
    <cfRule type="expression" dxfId="770" priority="680" stopIfTrue="1">
      <formula>NOT(ISERROR(SEARCH("Renovar",A495)))</formula>
    </cfRule>
  </conditionalFormatting>
  <conditionalFormatting sqref="A496">
    <cfRule type="expression" dxfId="769" priority="681" stopIfTrue="1">
      <formula>NOT(ISERROR(SEARCH("renovar",A496)))</formula>
    </cfRule>
  </conditionalFormatting>
  <conditionalFormatting sqref="A496">
    <cfRule type="expression" dxfId="768" priority="682" stopIfTrue="1">
      <formula>NOT(ISERROR(SEARCH("Renovar",A496)))</formula>
    </cfRule>
  </conditionalFormatting>
  <conditionalFormatting sqref="A497">
    <cfRule type="expression" dxfId="767" priority="683" stopIfTrue="1">
      <formula>NOT(ISERROR(SEARCH("renovar",A497)))</formula>
    </cfRule>
  </conditionalFormatting>
  <conditionalFormatting sqref="A497">
    <cfRule type="expression" dxfId="766" priority="684" stopIfTrue="1">
      <formula>NOT(ISERROR(SEARCH("Renovar",A497)))</formula>
    </cfRule>
  </conditionalFormatting>
  <conditionalFormatting sqref="A498">
    <cfRule type="expression" dxfId="765" priority="685" stopIfTrue="1">
      <formula>NOT(ISERROR(SEARCH("renovar",A498)))</formula>
    </cfRule>
  </conditionalFormatting>
  <conditionalFormatting sqref="A498">
    <cfRule type="expression" dxfId="764" priority="686" stopIfTrue="1">
      <formula>NOT(ISERROR(SEARCH("Renovar",A498)))</formula>
    </cfRule>
  </conditionalFormatting>
  <conditionalFormatting sqref="A499">
    <cfRule type="expression" dxfId="763" priority="687" stopIfTrue="1">
      <formula>NOT(ISERROR(SEARCH("renovar",A499)))</formula>
    </cfRule>
  </conditionalFormatting>
  <conditionalFormatting sqref="A499">
    <cfRule type="expression" dxfId="762" priority="688" stopIfTrue="1">
      <formula>NOT(ISERROR(SEARCH("Renovar",A499)))</formula>
    </cfRule>
  </conditionalFormatting>
  <conditionalFormatting sqref="A500">
    <cfRule type="expression" dxfId="761" priority="689" stopIfTrue="1">
      <formula>NOT(ISERROR(SEARCH("renovar",A500)))</formula>
    </cfRule>
  </conditionalFormatting>
  <conditionalFormatting sqref="A500">
    <cfRule type="expression" dxfId="760" priority="690" stopIfTrue="1">
      <formula>NOT(ISERROR(SEARCH("Renovar",A500)))</formula>
    </cfRule>
  </conditionalFormatting>
  <conditionalFormatting sqref="A501">
    <cfRule type="expression" dxfId="759" priority="691" stopIfTrue="1">
      <formula>NOT(ISERROR(SEARCH("renovar",A501)))</formula>
    </cfRule>
  </conditionalFormatting>
  <conditionalFormatting sqref="A501">
    <cfRule type="expression" dxfId="758" priority="692" stopIfTrue="1">
      <formula>NOT(ISERROR(SEARCH("Renovar",A501)))</formula>
    </cfRule>
  </conditionalFormatting>
  <conditionalFormatting sqref="A502">
    <cfRule type="expression" dxfId="757" priority="693" stopIfTrue="1">
      <formula>NOT(ISERROR(SEARCH("renovar",A502)))</formula>
    </cfRule>
  </conditionalFormatting>
  <conditionalFormatting sqref="A502">
    <cfRule type="expression" dxfId="756" priority="694" stopIfTrue="1">
      <formula>NOT(ISERROR(SEARCH("Renovar",A502)))</formula>
    </cfRule>
  </conditionalFormatting>
  <conditionalFormatting sqref="A503">
    <cfRule type="expression" dxfId="755" priority="695" stopIfTrue="1">
      <formula>NOT(ISERROR(SEARCH("renovar",A503)))</formula>
    </cfRule>
  </conditionalFormatting>
  <conditionalFormatting sqref="A503">
    <cfRule type="expression" dxfId="754" priority="696" stopIfTrue="1">
      <formula>NOT(ISERROR(SEARCH("Renovar",A503)))</formula>
    </cfRule>
  </conditionalFormatting>
  <conditionalFormatting sqref="A504">
    <cfRule type="expression" dxfId="753" priority="697" stopIfTrue="1">
      <formula>NOT(ISERROR(SEARCH("renovar",A504)))</formula>
    </cfRule>
  </conditionalFormatting>
  <conditionalFormatting sqref="A504">
    <cfRule type="expression" dxfId="752" priority="698" stopIfTrue="1">
      <formula>NOT(ISERROR(SEARCH("Renovar",A504)))</formula>
    </cfRule>
  </conditionalFormatting>
  <conditionalFormatting sqref="A505">
    <cfRule type="expression" dxfId="751" priority="699" stopIfTrue="1">
      <formula>NOT(ISERROR(SEARCH("renovar",A505)))</formula>
    </cfRule>
  </conditionalFormatting>
  <conditionalFormatting sqref="A505">
    <cfRule type="expression" dxfId="750" priority="700" stopIfTrue="1">
      <formula>NOT(ISERROR(SEARCH("Renovar",A505)))</formula>
    </cfRule>
  </conditionalFormatting>
  <conditionalFormatting sqref="A506">
    <cfRule type="expression" dxfId="749" priority="701" stopIfTrue="1">
      <formula>NOT(ISERROR(SEARCH("renovar",A506)))</formula>
    </cfRule>
  </conditionalFormatting>
  <conditionalFormatting sqref="A506">
    <cfRule type="expression" dxfId="748" priority="702" stopIfTrue="1">
      <formula>NOT(ISERROR(SEARCH("Renovar",A506)))</formula>
    </cfRule>
  </conditionalFormatting>
  <conditionalFormatting sqref="A507">
    <cfRule type="expression" dxfId="747" priority="703" stopIfTrue="1">
      <formula>NOT(ISERROR(SEARCH("renovar",A507)))</formula>
    </cfRule>
  </conditionalFormatting>
  <conditionalFormatting sqref="A507">
    <cfRule type="expression" dxfId="746" priority="704" stopIfTrue="1">
      <formula>NOT(ISERROR(SEARCH("Renovar",A507)))</formula>
    </cfRule>
  </conditionalFormatting>
  <conditionalFormatting sqref="A508">
    <cfRule type="expression" dxfId="745" priority="705" stopIfTrue="1">
      <formula>NOT(ISERROR(SEARCH("renovar",A508)))</formula>
    </cfRule>
  </conditionalFormatting>
  <conditionalFormatting sqref="A508">
    <cfRule type="expression" dxfId="744" priority="706" stopIfTrue="1">
      <formula>NOT(ISERROR(SEARCH("Renovar",A508)))</formula>
    </cfRule>
  </conditionalFormatting>
  <conditionalFormatting sqref="A509">
    <cfRule type="expression" dxfId="743" priority="707" stopIfTrue="1">
      <formula>NOT(ISERROR(SEARCH("renovar",A509)))</formula>
    </cfRule>
  </conditionalFormatting>
  <conditionalFormatting sqref="A509">
    <cfRule type="expression" dxfId="742" priority="708" stopIfTrue="1">
      <formula>NOT(ISERROR(SEARCH("Renovar",A509)))</formula>
    </cfRule>
  </conditionalFormatting>
  <conditionalFormatting sqref="A510">
    <cfRule type="expression" dxfId="741" priority="709" stopIfTrue="1">
      <formula>NOT(ISERROR(SEARCH("renovar",A510)))</formula>
    </cfRule>
  </conditionalFormatting>
  <conditionalFormatting sqref="A510">
    <cfRule type="expression" dxfId="740" priority="710" stopIfTrue="1">
      <formula>NOT(ISERROR(SEARCH("Renovar",A510)))</formula>
    </cfRule>
  </conditionalFormatting>
  <conditionalFormatting sqref="A511">
    <cfRule type="expression" dxfId="739" priority="711" stopIfTrue="1">
      <formula>NOT(ISERROR(SEARCH("renovar",A511)))</formula>
    </cfRule>
  </conditionalFormatting>
  <conditionalFormatting sqref="A511">
    <cfRule type="expression" dxfId="738" priority="712" stopIfTrue="1">
      <formula>NOT(ISERROR(SEARCH("Renovar",A511)))</formula>
    </cfRule>
  </conditionalFormatting>
  <conditionalFormatting sqref="A512">
    <cfRule type="expression" dxfId="737" priority="713" stopIfTrue="1">
      <formula>NOT(ISERROR(SEARCH("renovar",A512)))</formula>
    </cfRule>
  </conditionalFormatting>
  <conditionalFormatting sqref="A512">
    <cfRule type="expression" dxfId="736" priority="714" stopIfTrue="1">
      <formula>NOT(ISERROR(SEARCH("Renovar",A512)))</formula>
    </cfRule>
  </conditionalFormatting>
  <conditionalFormatting sqref="A513">
    <cfRule type="expression" dxfId="735" priority="715" stopIfTrue="1">
      <formula>NOT(ISERROR(SEARCH("renovar",A513)))</formula>
    </cfRule>
  </conditionalFormatting>
  <conditionalFormatting sqref="A513">
    <cfRule type="expression" dxfId="734" priority="716" stopIfTrue="1">
      <formula>NOT(ISERROR(SEARCH("Renovar",A513)))</formula>
    </cfRule>
  </conditionalFormatting>
  <conditionalFormatting sqref="A514">
    <cfRule type="expression" dxfId="733" priority="717" stopIfTrue="1">
      <formula>NOT(ISERROR(SEARCH("renovar",A514)))</formula>
    </cfRule>
  </conditionalFormatting>
  <conditionalFormatting sqref="A514">
    <cfRule type="expression" dxfId="732" priority="718" stopIfTrue="1">
      <formula>NOT(ISERROR(SEARCH("Renovar",A514)))</formula>
    </cfRule>
  </conditionalFormatting>
  <conditionalFormatting sqref="A515">
    <cfRule type="expression" dxfId="731" priority="719" stopIfTrue="1">
      <formula>NOT(ISERROR(SEARCH("renovar",A515)))</formula>
    </cfRule>
  </conditionalFormatting>
  <conditionalFormatting sqref="A515">
    <cfRule type="expression" dxfId="730" priority="720" stopIfTrue="1">
      <formula>NOT(ISERROR(SEARCH("Renovar",A515)))</formula>
    </cfRule>
  </conditionalFormatting>
  <conditionalFormatting sqref="A516">
    <cfRule type="expression" dxfId="729" priority="721" stopIfTrue="1">
      <formula>NOT(ISERROR(SEARCH("renovar",A516)))</formula>
    </cfRule>
  </conditionalFormatting>
  <conditionalFormatting sqref="A516">
    <cfRule type="expression" dxfId="728" priority="722" stopIfTrue="1">
      <formula>NOT(ISERROR(SEARCH("Renovar",A516)))</formula>
    </cfRule>
  </conditionalFormatting>
  <conditionalFormatting sqref="A517">
    <cfRule type="expression" dxfId="727" priority="723" stopIfTrue="1">
      <formula>NOT(ISERROR(SEARCH("renovar",A517)))</formula>
    </cfRule>
  </conditionalFormatting>
  <conditionalFormatting sqref="A517">
    <cfRule type="expression" dxfId="726" priority="724" stopIfTrue="1">
      <formula>NOT(ISERROR(SEARCH("Renovar",A517)))</formula>
    </cfRule>
  </conditionalFormatting>
  <conditionalFormatting sqref="A518">
    <cfRule type="expression" dxfId="725" priority="725" stopIfTrue="1">
      <formula>NOT(ISERROR(SEARCH("renovar",A518)))</formula>
    </cfRule>
  </conditionalFormatting>
  <conditionalFormatting sqref="A518">
    <cfRule type="expression" dxfId="724" priority="726" stopIfTrue="1">
      <formula>NOT(ISERROR(SEARCH("Renovar",A518)))</formula>
    </cfRule>
  </conditionalFormatting>
  <conditionalFormatting sqref="A519">
    <cfRule type="expression" dxfId="723" priority="727" stopIfTrue="1">
      <formula>NOT(ISERROR(SEARCH("renovar",A519)))</formula>
    </cfRule>
  </conditionalFormatting>
  <conditionalFormatting sqref="A519">
    <cfRule type="expression" dxfId="722" priority="728" stopIfTrue="1">
      <formula>NOT(ISERROR(SEARCH("Renovar",A519)))</formula>
    </cfRule>
  </conditionalFormatting>
  <conditionalFormatting sqref="A520">
    <cfRule type="expression" dxfId="721" priority="729" stopIfTrue="1">
      <formula>NOT(ISERROR(SEARCH("renovar",A520)))</formula>
    </cfRule>
  </conditionalFormatting>
  <conditionalFormatting sqref="A520">
    <cfRule type="expression" dxfId="720" priority="730" stopIfTrue="1">
      <formula>NOT(ISERROR(SEARCH("Renovar",A520)))</formula>
    </cfRule>
  </conditionalFormatting>
  <conditionalFormatting sqref="A521">
    <cfRule type="expression" dxfId="719" priority="731" stopIfTrue="1">
      <formula>NOT(ISERROR(SEARCH("renovar",A521)))</formula>
    </cfRule>
  </conditionalFormatting>
  <conditionalFormatting sqref="A521">
    <cfRule type="expression" dxfId="718" priority="732" stopIfTrue="1">
      <formula>NOT(ISERROR(SEARCH("Renovar",A521)))</formula>
    </cfRule>
  </conditionalFormatting>
  <conditionalFormatting sqref="A522">
    <cfRule type="expression" dxfId="717" priority="733" stopIfTrue="1">
      <formula>NOT(ISERROR(SEARCH("renovar",A522)))</formula>
    </cfRule>
  </conditionalFormatting>
  <conditionalFormatting sqref="A522">
    <cfRule type="expression" dxfId="716" priority="734" stopIfTrue="1">
      <formula>NOT(ISERROR(SEARCH("Renovar",A522)))</formula>
    </cfRule>
  </conditionalFormatting>
  <conditionalFormatting sqref="A523">
    <cfRule type="expression" dxfId="715" priority="735" stopIfTrue="1">
      <formula>NOT(ISERROR(SEARCH("renovar",A523)))</formula>
    </cfRule>
  </conditionalFormatting>
  <conditionalFormatting sqref="A523">
    <cfRule type="expression" dxfId="714" priority="736" stopIfTrue="1">
      <formula>NOT(ISERROR(SEARCH("Renovar",A523)))</formula>
    </cfRule>
  </conditionalFormatting>
  <conditionalFormatting sqref="A524">
    <cfRule type="expression" dxfId="713" priority="737" stopIfTrue="1">
      <formula>NOT(ISERROR(SEARCH("renovar",A524)))</formula>
    </cfRule>
  </conditionalFormatting>
  <conditionalFormatting sqref="A524">
    <cfRule type="expression" dxfId="712" priority="738" stopIfTrue="1">
      <formula>NOT(ISERROR(SEARCH("Renovar",A524)))</formula>
    </cfRule>
  </conditionalFormatting>
  <conditionalFormatting sqref="A525">
    <cfRule type="expression" dxfId="711" priority="739" stopIfTrue="1">
      <formula>NOT(ISERROR(SEARCH("renovar",A525)))</formula>
    </cfRule>
  </conditionalFormatting>
  <conditionalFormatting sqref="A525">
    <cfRule type="expression" dxfId="710" priority="740" stopIfTrue="1">
      <formula>NOT(ISERROR(SEARCH("Renovar",A525)))</formula>
    </cfRule>
  </conditionalFormatting>
  <conditionalFormatting sqref="A526">
    <cfRule type="expression" dxfId="709" priority="741" stopIfTrue="1">
      <formula>NOT(ISERROR(SEARCH("renovar",A526)))</formula>
    </cfRule>
  </conditionalFormatting>
  <conditionalFormatting sqref="A526">
    <cfRule type="expression" dxfId="708" priority="742" stopIfTrue="1">
      <formula>NOT(ISERROR(SEARCH("Renovar",A526)))</formula>
    </cfRule>
  </conditionalFormatting>
  <conditionalFormatting sqref="A527">
    <cfRule type="expression" dxfId="707" priority="743" stopIfTrue="1">
      <formula>NOT(ISERROR(SEARCH("renovar",A527)))</formula>
    </cfRule>
  </conditionalFormatting>
  <conditionalFormatting sqref="A527">
    <cfRule type="expression" dxfId="706" priority="744" stopIfTrue="1">
      <formula>NOT(ISERROR(SEARCH("Renovar",A527)))</formula>
    </cfRule>
  </conditionalFormatting>
  <conditionalFormatting sqref="A528">
    <cfRule type="expression" dxfId="705" priority="745" stopIfTrue="1">
      <formula>NOT(ISERROR(SEARCH("renovar",A528)))</formula>
    </cfRule>
  </conditionalFormatting>
  <conditionalFormatting sqref="A528">
    <cfRule type="expression" dxfId="704" priority="746" stopIfTrue="1">
      <formula>NOT(ISERROR(SEARCH("Renovar",A528)))</formula>
    </cfRule>
  </conditionalFormatting>
  <conditionalFormatting sqref="A529">
    <cfRule type="expression" dxfId="703" priority="747" stopIfTrue="1">
      <formula>NOT(ISERROR(SEARCH("renovar",A529)))</formula>
    </cfRule>
  </conditionalFormatting>
  <conditionalFormatting sqref="A529">
    <cfRule type="expression" dxfId="702" priority="748" stopIfTrue="1">
      <formula>NOT(ISERROR(SEARCH("Renovar",A529)))</formula>
    </cfRule>
  </conditionalFormatting>
  <conditionalFormatting sqref="A530">
    <cfRule type="expression" dxfId="701" priority="749" stopIfTrue="1">
      <formula>NOT(ISERROR(SEARCH("renovar",A530)))</formula>
    </cfRule>
  </conditionalFormatting>
  <conditionalFormatting sqref="A530">
    <cfRule type="expression" dxfId="700" priority="750" stopIfTrue="1">
      <formula>NOT(ISERROR(SEARCH("Renovar",A530)))</formula>
    </cfRule>
  </conditionalFormatting>
  <conditionalFormatting sqref="A531">
    <cfRule type="expression" dxfId="699" priority="751" stopIfTrue="1">
      <formula>NOT(ISERROR(SEARCH("renovar",A531)))</formula>
    </cfRule>
  </conditionalFormatting>
  <conditionalFormatting sqref="A531">
    <cfRule type="expression" dxfId="698" priority="752" stopIfTrue="1">
      <formula>NOT(ISERROR(SEARCH("Renovar",A531)))</formula>
    </cfRule>
  </conditionalFormatting>
  <conditionalFormatting sqref="A532">
    <cfRule type="expression" dxfId="697" priority="753" stopIfTrue="1">
      <formula>NOT(ISERROR(SEARCH("renovar",A532)))</formula>
    </cfRule>
  </conditionalFormatting>
  <conditionalFormatting sqref="A532">
    <cfRule type="expression" dxfId="696" priority="754" stopIfTrue="1">
      <formula>NOT(ISERROR(SEARCH("Renovar",A532)))</formula>
    </cfRule>
  </conditionalFormatting>
  <conditionalFormatting sqref="A533">
    <cfRule type="expression" dxfId="695" priority="755" stopIfTrue="1">
      <formula>NOT(ISERROR(SEARCH("renovar",A533)))</formula>
    </cfRule>
  </conditionalFormatting>
  <conditionalFormatting sqref="A533">
    <cfRule type="expression" dxfId="694" priority="756" stopIfTrue="1">
      <formula>NOT(ISERROR(SEARCH("Renovar",A533)))</formula>
    </cfRule>
  </conditionalFormatting>
  <conditionalFormatting sqref="A534">
    <cfRule type="expression" dxfId="693" priority="757" stopIfTrue="1">
      <formula>NOT(ISERROR(SEARCH("renovar",A534)))</formula>
    </cfRule>
  </conditionalFormatting>
  <conditionalFormatting sqref="A534">
    <cfRule type="expression" dxfId="692" priority="758" stopIfTrue="1">
      <formula>NOT(ISERROR(SEARCH("Renovar",A534)))</formula>
    </cfRule>
  </conditionalFormatting>
  <conditionalFormatting sqref="A535">
    <cfRule type="expression" dxfId="691" priority="759" stopIfTrue="1">
      <formula>NOT(ISERROR(SEARCH("renovar",A535)))</formula>
    </cfRule>
  </conditionalFormatting>
  <conditionalFormatting sqref="A535">
    <cfRule type="expression" dxfId="690" priority="760" stopIfTrue="1">
      <formula>NOT(ISERROR(SEARCH("Renovar",A535)))</formula>
    </cfRule>
  </conditionalFormatting>
  <conditionalFormatting sqref="A536">
    <cfRule type="expression" dxfId="689" priority="761" stopIfTrue="1">
      <formula>NOT(ISERROR(SEARCH("renovar",A536)))</formula>
    </cfRule>
  </conditionalFormatting>
  <conditionalFormatting sqref="A536">
    <cfRule type="expression" dxfId="688" priority="762" stopIfTrue="1">
      <formula>NOT(ISERROR(SEARCH("Renovar",A536)))</formula>
    </cfRule>
  </conditionalFormatting>
  <conditionalFormatting sqref="A537">
    <cfRule type="expression" dxfId="687" priority="763" stopIfTrue="1">
      <formula>NOT(ISERROR(SEARCH("renovar",A537)))</formula>
    </cfRule>
  </conditionalFormatting>
  <conditionalFormatting sqref="A537">
    <cfRule type="expression" dxfId="686" priority="764" stopIfTrue="1">
      <formula>NOT(ISERROR(SEARCH("Renovar",A537)))</formula>
    </cfRule>
  </conditionalFormatting>
  <conditionalFormatting sqref="A538">
    <cfRule type="expression" dxfId="685" priority="765" stopIfTrue="1">
      <formula>NOT(ISERROR(SEARCH("renovar",A538)))</formula>
    </cfRule>
  </conditionalFormatting>
  <conditionalFormatting sqref="A538">
    <cfRule type="expression" dxfId="684" priority="766" stopIfTrue="1">
      <formula>NOT(ISERROR(SEARCH("Renovar",A538)))</formula>
    </cfRule>
  </conditionalFormatting>
  <conditionalFormatting sqref="A539">
    <cfRule type="expression" dxfId="683" priority="767" stopIfTrue="1">
      <formula>NOT(ISERROR(SEARCH("renovar",A539)))</formula>
    </cfRule>
  </conditionalFormatting>
  <conditionalFormatting sqref="A539">
    <cfRule type="expression" dxfId="682" priority="768" stopIfTrue="1">
      <formula>NOT(ISERROR(SEARCH("Renovar",A539)))</formula>
    </cfRule>
  </conditionalFormatting>
  <conditionalFormatting sqref="A540">
    <cfRule type="expression" dxfId="681" priority="769" stopIfTrue="1">
      <formula>NOT(ISERROR(SEARCH("renovar",A540)))</formula>
    </cfRule>
  </conditionalFormatting>
  <conditionalFormatting sqref="A540">
    <cfRule type="expression" dxfId="680" priority="770" stopIfTrue="1">
      <formula>NOT(ISERROR(SEARCH("Renovar",A540)))</formula>
    </cfRule>
  </conditionalFormatting>
  <conditionalFormatting sqref="A541">
    <cfRule type="expression" dxfId="679" priority="771" stopIfTrue="1">
      <formula>NOT(ISERROR(SEARCH("renovar",A541)))</formula>
    </cfRule>
  </conditionalFormatting>
  <conditionalFormatting sqref="A541">
    <cfRule type="expression" dxfId="678" priority="772" stopIfTrue="1">
      <formula>NOT(ISERROR(SEARCH("Renovar",A541)))</formula>
    </cfRule>
  </conditionalFormatting>
  <conditionalFormatting sqref="A542">
    <cfRule type="expression" dxfId="677" priority="773" stopIfTrue="1">
      <formula>NOT(ISERROR(SEARCH("renovar",A542)))</formula>
    </cfRule>
  </conditionalFormatting>
  <conditionalFormatting sqref="A542">
    <cfRule type="expression" dxfId="676" priority="774" stopIfTrue="1">
      <formula>NOT(ISERROR(SEARCH("Renovar",A542)))</formula>
    </cfRule>
  </conditionalFormatting>
  <conditionalFormatting sqref="A543">
    <cfRule type="expression" dxfId="675" priority="775" stopIfTrue="1">
      <formula>NOT(ISERROR(SEARCH("renovar",A543)))</formula>
    </cfRule>
  </conditionalFormatting>
  <conditionalFormatting sqref="A543">
    <cfRule type="expression" dxfId="674" priority="776" stopIfTrue="1">
      <formula>NOT(ISERROR(SEARCH("Renovar",A543)))</formula>
    </cfRule>
  </conditionalFormatting>
  <conditionalFormatting sqref="A544">
    <cfRule type="expression" dxfId="673" priority="777" stopIfTrue="1">
      <formula>NOT(ISERROR(SEARCH("renovar",A544)))</formula>
    </cfRule>
  </conditionalFormatting>
  <conditionalFormatting sqref="A544">
    <cfRule type="expression" dxfId="672" priority="778" stopIfTrue="1">
      <formula>NOT(ISERROR(SEARCH("Renovar",A544)))</formula>
    </cfRule>
  </conditionalFormatting>
  <conditionalFormatting sqref="A545">
    <cfRule type="expression" dxfId="671" priority="779" stopIfTrue="1">
      <formula>NOT(ISERROR(SEARCH("renovar",A545)))</formula>
    </cfRule>
  </conditionalFormatting>
  <conditionalFormatting sqref="A545">
    <cfRule type="expression" dxfId="670" priority="780" stopIfTrue="1">
      <formula>NOT(ISERROR(SEARCH("Renovar",A545)))</formula>
    </cfRule>
  </conditionalFormatting>
  <conditionalFormatting sqref="A546">
    <cfRule type="expression" dxfId="669" priority="781" stopIfTrue="1">
      <formula>NOT(ISERROR(SEARCH("renovar",A546)))</formula>
    </cfRule>
  </conditionalFormatting>
  <conditionalFormatting sqref="A546">
    <cfRule type="expression" dxfId="668" priority="782" stopIfTrue="1">
      <formula>NOT(ISERROR(SEARCH("Renovar",A546)))</formula>
    </cfRule>
  </conditionalFormatting>
  <conditionalFormatting sqref="A547">
    <cfRule type="expression" dxfId="667" priority="783" stopIfTrue="1">
      <formula>NOT(ISERROR(SEARCH("renovar",A547)))</formula>
    </cfRule>
  </conditionalFormatting>
  <conditionalFormatting sqref="A547">
    <cfRule type="expression" dxfId="666" priority="784" stopIfTrue="1">
      <formula>NOT(ISERROR(SEARCH("Renovar",A547)))</formula>
    </cfRule>
  </conditionalFormatting>
  <conditionalFormatting sqref="A548">
    <cfRule type="expression" dxfId="665" priority="785" stopIfTrue="1">
      <formula>NOT(ISERROR(SEARCH("renovar",A548)))</formula>
    </cfRule>
  </conditionalFormatting>
  <conditionalFormatting sqref="A548">
    <cfRule type="expression" dxfId="664" priority="786" stopIfTrue="1">
      <formula>NOT(ISERROR(SEARCH("Renovar",A548)))</formula>
    </cfRule>
  </conditionalFormatting>
  <conditionalFormatting sqref="A549">
    <cfRule type="expression" dxfId="663" priority="787" stopIfTrue="1">
      <formula>NOT(ISERROR(SEARCH("renovar",A549)))</formula>
    </cfRule>
  </conditionalFormatting>
  <conditionalFormatting sqref="A549">
    <cfRule type="expression" dxfId="662" priority="788" stopIfTrue="1">
      <formula>NOT(ISERROR(SEARCH("Renovar",A549)))</formula>
    </cfRule>
  </conditionalFormatting>
  <conditionalFormatting sqref="A550">
    <cfRule type="expression" dxfId="661" priority="789" stopIfTrue="1">
      <formula>NOT(ISERROR(SEARCH("renovar",A550)))</formula>
    </cfRule>
  </conditionalFormatting>
  <conditionalFormatting sqref="A550">
    <cfRule type="expression" dxfId="660" priority="790" stopIfTrue="1">
      <formula>NOT(ISERROR(SEARCH("Renovar",A550)))</formula>
    </cfRule>
  </conditionalFormatting>
  <conditionalFormatting sqref="A551">
    <cfRule type="expression" dxfId="659" priority="791" stopIfTrue="1">
      <formula>NOT(ISERROR(SEARCH("renovar",A551)))</formula>
    </cfRule>
  </conditionalFormatting>
  <conditionalFormatting sqref="A551">
    <cfRule type="expression" dxfId="658" priority="792" stopIfTrue="1">
      <formula>NOT(ISERROR(SEARCH("Renovar",A551)))</formula>
    </cfRule>
  </conditionalFormatting>
  <conditionalFormatting sqref="A552">
    <cfRule type="expression" dxfId="657" priority="793" stopIfTrue="1">
      <formula>NOT(ISERROR(SEARCH("renovar",A552)))</formula>
    </cfRule>
  </conditionalFormatting>
  <conditionalFormatting sqref="A552">
    <cfRule type="expression" dxfId="656" priority="794" stopIfTrue="1">
      <formula>NOT(ISERROR(SEARCH("Renovar",A552)))</formula>
    </cfRule>
  </conditionalFormatting>
  <conditionalFormatting sqref="A553">
    <cfRule type="expression" dxfId="655" priority="795" stopIfTrue="1">
      <formula>NOT(ISERROR(SEARCH("renovar",A553)))</formula>
    </cfRule>
  </conditionalFormatting>
  <conditionalFormatting sqref="A553">
    <cfRule type="expression" dxfId="654" priority="796" stopIfTrue="1">
      <formula>NOT(ISERROR(SEARCH("Renovar",A553)))</formula>
    </cfRule>
  </conditionalFormatting>
  <conditionalFormatting sqref="A554">
    <cfRule type="expression" dxfId="653" priority="797" stopIfTrue="1">
      <formula>NOT(ISERROR(SEARCH("renovar",A554)))</formula>
    </cfRule>
  </conditionalFormatting>
  <conditionalFormatting sqref="A554">
    <cfRule type="expression" dxfId="652" priority="798" stopIfTrue="1">
      <formula>NOT(ISERROR(SEARCH("Renovar",A554)))</formula>
    </cfRule>
  </conditionalFormatting>
  <conditionalFormatting sqref="A555">
    <cfRule type="expression" dxfId="651" priority="799" stopIfTrue="1">
      <formula>NOT(ISERROR(SEARCH("renovar",A555)))</formula>
    </cfRule>
  </conditionalFormatting>
  <conditionalFormatting sqref="A555">
    <cfRule type="expression" dxfId="650" priority="800" stopIfTrue="1">
      <formula>NOT(ISERROR(SEARCH("Renovar",A555)))</formula>
    </cfRule>
  </conditionalFormatting>
  <conditionalFormatting sqref="A556">
    <cfRule type="expression" dxfId="649" priority="801" stopIfTrue="1">
      <formula>NOT(ISERROR(SEARCH("renovar",A556)))</formula>
    </cfRule>
  </conditionalFormatting>
  <conditionalFormatting sqref="A556">
    <cfRule type="expression" dxfId="648" priority="802" stopIfTrue="1">
      <formula>NOT(ISERROR(SEARCH("Renovar",A556)))</formula>
    </cfRule>
  </conditionalFormatting>
  <conditionalFormatting sqref="A557">
    <cfRule type="expression" dxfId="647" priority="803" stopIfTrue="1">
      <formula>NOT(ISERROR(SEARCH("renovar",A557)))</formula>
    </cfRule>
  </conditionalFormatting>
  <conditionalFormatting sqref="A557">
    <cfRule type="expression" dxfId="646" priority="804" stopIfTrue="1">
      <formula>NOT(ISERROR(SEARCH("Renovar",A557)))</formula>
    </cfRule>
  </conditionalFormatting>
  <conditionalFormatting sqref="A558">
    <cfRule type="expression" dxfId="645" priority="805" stopIfTrue="1">
      <formula>NOT(ISERROR(SEARCH("renovar",A558)))</formula>
    </cfRule>
  </conditionalFormatting>
  <conditionalFormatting sqref="A558">
    <cfRule type="expression" dxfId="644" priority="806" stopIfTrue="1">
      <formula>NOT(ISERROR(SEARCH("Renovar",A558)))</formula>
    </cfRule>
  </conditionalFormatting>
  <conditionalFormatting sqref="A559">
    <cfRule type="expression" dxfId="643" priority="807" stopIfTrue="1">
      <formula>NOT(ISERROR(SEARCH("renovar",A559)))</formula>
    </cfRule>
  </conditionalFormatting>
  <conditionalFormatting sqref="A559">
    <cfRule type="expression" dxfId="642" priority="808" stopIfTrue="1">
      <formula>NOT(ISERROR(SEARCH("Renovar",A559)))</formula>
    </cfRule>
  </conditionalFormatting>
  <conditionalFormatting sqref="A560">
    <cfRule type="expression" dxfId="641" priority="809" stopIfTrue="1">
      <formula>NOT(ISERROR(SEARCH("renovar",A560)))</formula>
    </cfRule>
  </conditionalFormatting>
  <conditionalFormatting sqref="A560">
    <cfRule type="expression" dxfId="640" priority="810" stopIfTrue="1">
      <formula>NOT(ISERROR(SEARCH("Renovar",A560)))</formula>
    </cfRule>
  </conditionalFormatting>
  <conditionalFormatting sqref="A561">
    <cfRule type="expression" dxfId="639" priority="811" stopIfTrue="1">
      <formula>NOT(ISERROR(SEARCH("renovar",A561)))</formula>
    </cfRule>
  </conditionalFormatting>
  <conditionalFormatting sqref="A561">
    <cfRule type="expression" dxfId="638" priority="812" stopIfTrue="1">
      <formula>NOT(ISERROR(SEARCH("Renovar",A561)))</formula>
    </cfRule>
  </conditionalFormatting>
  <conditionalFormatting sqref="A562">
    <cfRule type="expression" dxfId="637" priority="813" stopIfTrue="1">
      <formula>NOT(ISERROR(SEARCH("renovar",A562)))</formula>
    </cfRule>
  </conditionalFormatting>
  <conditionalFormatting sqref="A562">
    <cfRule type="expression" dxfId="636" priority="814" stopIfTrue="1">
      <formula>NOT(ISERROR(SEARCH("Renovar",A562)))</formula>
    </cfRule>
  </conditionalFormatting>
  <conditionalFormatting sqref="A563">
    <cfRule type="expression" dxfId="635" priority="815" stopIfTrue="1">
      <formula>NOT(ISERROR(SEARCH("renovar",A563)))</formula>
    </cfRule>
  </conditionalFormatting>
  <conditionalFormatting sqref="A563">
    <cfRule type="expression" dxfId="634" priority="816" stopIfTrue="1">
      <formula>NOT(ISERROR(SEARCH("Renovar",A563)))</formula>
    </cfRule>
  </conditionalFormatting>
  <conditionalFormatting sqref="A564">
    <cfRule type="expression" dxfId="633" priority="817" stopIfTrue="1">
      <formula>NOT(ISERROR(SEARCH("renovar",A564)))</formula>
    </cfRule>
  </conditionalFormatting>
  <conditionalFormatting sqref="A564">
    <cfRule type="expression" dxfId="632" priority="818" stopIfTrue="1">
      <formula>NOT(ISERROR(SEARCH("Renovar",A564)))</formula>
    </cfRule>
  </conditionalFormatting>
  <conditionalFormatting sqref="A565">
    <cfRule type="expression" dxfId="631" priority="819" stopIfTrue="1">
      <formula>NOT(ISERROR(SEARCH("renovar",A565)))</formula>
    </cfRule>
  </conditionalFormatting>
  <conditionalFormatting sqref="A565">
    <cfRule type="expression" dxfId="630" priority="820" stopIfTrue="1">
      <formula>NOT(ISERROR(SEARCH("Renovar",A565)))</formula>
    </cfRule>
  </conditionalFormatting>
  <conditionalFormatting sqref="A566">
    <cfRule type="expression" dxfId="629" priority="821" stopIfTrue="1">
      <formula>NOT(ISERROR(SEARCH("renovar",A566)))</formula>
    </cfRule>
  </conditionalFormatting>
  <conditionalFormatting sqref="A566">
    <cfRule type="expression" dxfId="628" priority="822" stopIfTrue="1">
      <formula>NOT(ISERROR(SEARCH("Renovar",A566)))</formula>
    </cfRule>
  </conditionalFormatting>
  <conditionalFormatting sqref="A567">
    <cfRule type="expression" dxfId="627" priority="823" stopIfTrue="1">
      <formula>NOT(ISERROR(SEARCH("renovar",A567)))</formula>
    </cfRule>
  </conditionalFormatting>
  <conditionalFormatting sqref="A567">
    <cfRule type="expression" dxfId="626" priority="824" stopIfTrue="1">
      <formula>NOT(ISERROR(SEARCH("Renovar",A567)))</formula>
    </cfRule>
  </conditionalFormatting>
  <conditionalFormatting sqref="A568">
    <cfRule type="expression" dxfId="625" priority="825" stopIfTrue="1">
      <formula>NOT(ISERROR(SEARCH("renovar",A568)))</formula>
    </cfRule>
  </conditionalFormatting>
  <conditionalFormatting sqref="A568">
    <cfRule type="expression" dxfId="624" priority="826" stopIfTrue="1">
      <formula>NOT(ISERROR(SEARCH("Renovar",A568)))</formula>
    </cfRule>
  </conditionalFormatting>
  <conditionalFormatting sqref="A569">
    <cfRule type="expression" dxfId="623" priority="827" stopIfTrue="1">
      <formula>NOT(ISERROR(SEARCH("renovar",A569)))</formula>
    </cfRule>
  </conditionalFormatting>
  <conditionalFormatting sqref="A569">
    <cfRule type="expression" dxfId="622" priority="828" stopIfTrue="1">
      <formula>NOT(ISERROR(SEARCH("Renovar",A569)))</formula>
    </cfRule>
  </conditionalFormatting>
  <conditionalFormatting sqref="A570">
    <cfRule type="expression" dxfId="621" priority="829" stopIfTrue="1">
      <formula>NOT(ISERROR(SEARCH("renovar",A570)))</formula>
    </cfRule>
  </conditionalFormatting>
  <conditionalFormatting sqref="A570">
    <cfRule type="expression" dxfId="620" priority="830" stopIfTrue="1">
      <formula>NOT(ISERROR(SEARCH("Renovar",A570)))</formula>
    </cfRule>
  </conditionalFormatting>
  <conditionalFormatting sqref="A571">
    <cfRule type="expression" dxfId="619" priority="831" stopIfTrue="1">
      <formula>NOT(ISERROR(SEARCH("renovar",A571)))</formula>
    </cfRule>
  </conditionalFormatting>
  <conditionalFormatting sqref="A571">
    <cfRule type="expression" dxfId="618" priority="832" stopIfTrue="1">
      <formula>NOT(ISERROR(SEARCH("Renovar",A571)))</formula>
    </cfRule>
  </conditionalFormatting>
  <conditionalFormatting sqref="A572">
    <cfRule type="expression" dxfId="617" priority="833" stopIfTrue="1">
      <formula>NOT(ISERROR(SEARCH("renovar",A572)))</formula>
    </cfRule>
  </conditionalFormatting>
  <conditionalFormatting sqref="A572">
    <cfRule type="expression" dxfId="616" priority="834" stopIfTrue="1">
      <formula>NOT(ISERROR(SEARCH("Renovar",A572)))</formula>
    </cfRule>
  </conditionalFormatting>
  <conditionalFormatting sqref="A573">
    <cfRule type="expression" dxfId="615" priority="835" stopIfTrue="1">
      <formula>NOT(ISERROR(SEARCH("renovar",A573)))</formula>
    </cfRule>
  </conditionalFormatting>
  <conditionalFormatting sqref="A573">
    <cfRule type="expression" dxfId="614" priority="836" stopIfTrue="1">
      <formula>NOT(ISERROR(SEARCH("Renovar",A573)))</formula>
    </cfRule>
  </conditionalFormatting>
  <conditionalFormatting sqref="A574">
    <cfRule type="expression" dxfId="613" priority="837" stopIfTrue="1">
      <formula>NOT(ISERROR(SEARCH("renovar",A574)))</formula>
    </cfRule>
  </conditionalFormatting>
  <conditionalFormatting sqref="A574">
    <cfRule type="expression" dxfId="612" priority="838" stopIfTrue="1">
      <formula>NOT(ISERROR(SEARCH("Renovar",A574)))</formula>
    </cfRule>
  </conditionalFormatting>
  <conditionalFormatting sqref="A575">
    <cfRule type="expression" dxfId="611" priority="839" stopIfTrue="1">
      <formula>NOT(ISERROR(SEARCH("renovar",A575)))</formula>
    </cfRule>
  </conditionalFormatting>
  <conditionalFormatting sqref="A575">
    <cfRule type="expression" dxfId="610" priority="840" stopIfTrue="1">
      <formula>NOT(ISERROR(SEARCH("Renovar",A575)))</formula>
    </cfRule>
  </conditionalFormatting>
  <conditionalFormatting sqref="A576">
    <cfRule type="expression" dxfId="609" priority="841" stopIfTrue="1">
      <formula>NOT(ISERROR(SEARCH("renovar",A576)))</formula>
    </cfRule>
  </conditionalFormatting>
  <conditionalFormatting sqref="A576">
    <cfRule type="expression" dxfId="608" priority="842" stopIfTrue="1">
      <formula>NOT(ISERROR(SEARCH("Renovar",A576)))</formula>
    </cfRule>
  </conditionalFormatting>
  <conditionalFormatting sqref="A577">
    <cfRule type="expression" dxfId="607" priority="843" stopIfTrue="1">
      <formula>NOT(ISERROR(SEARCH("renovar",A577)))</formula>
    </cfRule>
  </conditionalFormatting>
  <conditionalFormatting sqref="A577">
    <cfRule type="expression" dxfId="606" priority="844" stopIfTrue="1">
      <formula>NOT(ISERROR(SEARCH("Renovar",A577)))</formula>
    </cfRule>
  </conditionalFormatting>
  <conditionalFormatting sqref="A578">
    <cfRule type="expression" dxfId="605" priority="845" stopIfTrue="1">
      <formula>NOT(ISERROR(SEARCH("renovar",A578)))</formula>
    </cfRule>
  </conditionalFormatting>
  <conditionalFormatting sqref="A578">
    <cfRule type="expression" dxfId="604" priority="846" stopIfTrue="1">
      <formula>NOT(ISERROR(SEARCH("Renovar",A578)))</formula>
    </cfRule>
  </conditionalFormatting>
  <conditionalFormatting sqref="A579">
    <cfRule type="expression" dxfId="603" priority="847" stopIfTrue="1">
      <formula>NOT(ISERROR(SEARCH("renovar",A579)))</formula>
    </cfRule>
  </conditionalFormatting>
  <conditionalFormatting sqref="A579">
    <cfRule type="expression" dxfId="602" priority="848" stopIfTrue="1">
      <formula>NOT(ISERROR(SEARCH("Renovar",A579)))</formula>
    </cfRule>
  </conditionalFormatting>
  <conditionalFormatting sqref="A580">
    <cfRule type="expression" dxfId="601" priority="849" stopIfTrue="1">
      <formula>NOT(ISERROR(SEARCH("renovar",A580)))</formula>
    </cfRule>
  </conditionalFormatting>
  <conditionalFormatting sqref="A580">
    <cfRule type="expression" dxfId="600" priority="850" stopIfTrue="1">
      <formula>NOT(ISERROR(SEARCH("Renovar",A580)))</formula>
    </cfRule>
  </conditionalFormatting>
  <conditionalFormatting sqref="A581">
    <cfRule type="expression" dxfId="599" priority="851" stopIfTrue="1">
      <formula>NOT(ISERROR(SEARCH("renovar",A581)))</formula>
    </cfRule>
  </conditionalFormatting>
  <conditionalFormatting sqref="A581">
    <cfRule type="expression" dxfId="598" priority="852" stopIfTrue="1">
      <formula>NOT(ISERROR(SEARCH("Renovar",A581)))</formula>
    </cfRule>
  </conditionalFormatting>
  <conditionalFormatting sqref="A582">
    <cfRule type="expression" dxfId="597" priority="853" stopIfTrue="1">
      <formula>NOT(ISERROR(SEARCH("renovar",A582)))</formula>
    </cfRule>
  </conditionalFormatting>
  <conditionalFormatting sqref="A582">
    <cfRule type="expression" dxfId="596" priority="854" stopIfTrue="1">
      <formula>NOT(ISERROR(SEARCH("Renovar",A582)))</formula>
    </cfRule>
  </conditionalFormatting>
  <conditionalFormatting sqref="A583">
    <cfRule type="expression" dxfId="595" priority="855" stopIfTrue="1">
      <formula>NOT(ISERROR(SEARCH("renovar",A583)))</formula>
    </cfRule>
  </conditionalFormatting>
  <conditionalFormatting sqref="A583">
    <cfRule type="expression" dxfId="594" priority="856" stopIfTrue="1">
      <formula>NOT(ISERROR(SEARCH("Renovar",A583)))</formula>
    </cfRule>
  </conditionalFormatting>
  <conditionalFormatting sqref="A584">
    <cfRule type="expression" dxfId="593" priority="857" stopIfTrue="1">
      <formula>NOT(ISERROR(SEARCH("renovar",A584)))</formula>
    </cfRule>
  </conditionalFormatting>
  <conditionalFormatting sqref="A584">
    <cfRule type="expression" dxfId="592" priority="858" stopIfTrue="1">
      <formula>NOT(ISERROR(SEARCH("Renovar",A584)))</formula>
    </cfRule>
  </conditionalFormatting>
  <conditionalFormatting sqref="A585">
    <cfRule type="expression" dxfId="591" priority="859" stopIfTrue="1">
      <formula>NOT(ISERROR(SEARCH("renovar",A585)))</formula>
    </cfRule>
  </conditionalFormatting>
  <conditionalFormatting sqref="A585">
    <cfRule type="expression" dxfId="590" priority="860" stopIfTrue="1">
      <formula>NOT(ISERROR(SEARCH("Renovar",A585)))</formula>
    </cfRule>
  </conditionalFormatting>
  <conditionalFormatting sqref="A586">
    <cfRule type="expression" dxfId="589" priority="861" stopIfTrue="1">
      <formula>NOT(ISERROR(SEARCH("renovar",A586)))</formula>
    </cfRule>
  </conditionalFormatting>
  <conditionalFormatting sqref="A586">
    <cfRule type="expression" dxfId="588" priority="862" stopIfTrue="1">
      <formula>NOT(ISERROR(SEARCH("Renovar",A586)))</formula>
    </cfRule>
  </conditionalFormatting>
  <conditionalFormatting sqref="A587">
    <cfRule type="expression" dxfId="587" priority="863" stopIfTrue="1">
      <formula>NOT(ISERROR(SEARCH("renovar",A587)))</formula>
    </cfRule>
  </conditionalFormatting>
  <conditionalFormatting sqref="A587">
    <cfRule type="expression" dxfId="586" priority="864" stopIfTrue="1">
      <formula>NOT(ISERROR(SEARCH("Renovar",A587)))</formula>
    </cfRule>
  </conditionalFormatting>
  <conditionalFormatting sqref="A588">
    <cfRule type="expression" dxfId="585" priority="865" stopIfTrue="1">
      <formula>NOT(ISERROR(SEARCH("renovar",A588)))</formula>
    </cfRule>
  </conditionalFormatting>
  <conditionalFormatting sqref="A588">
    <cfRule type="expression" dxfId="584" priority="866" stopIfTrue="1">
      <formula>NOT(ISERROR(SEARCH("Renovar",A588)))</formula>
    </cfRule>
  </conditionalFormatting>
  <conditionalFormatting sqref="A589">
    <cfRule type="expression" dxfId="583" priority="867" stopIfTrue="1">
      <formula>NOT(ISERROR(SEARCH("renovar",A589)))</formula>
    </cfRule>
  </conditionalFormatting>
  <conditionalFormatting sqref="A589">
    <cfRule type="expression" dxfId="582" priority="868" stopIfTrue="1">
      <formula>NOT(ISERROR(SEARCH("Renovar",A589)))</formula>
    </cfRule>
  </conditionalFormatting>
  <conditionalFormatting sqref="A590">
    <cfRule type="expression" dxfId="581" priority="869" stopIfTrue="1">
      <formula>NOT(ISERROR(SEARCH("renovar",A590)))</formula>
    </cfRule>
  </conditionalFormatting>
  <conditionalFormatting sqref="A590">
    <cfRule type="expression" dxfId="580" priority="870" stopIfTrue="1">
      <formula>NOT(ISERROR(SEARCH("Renovar",A590)))</formula>
    </cfRule>
  </conditionalFormatting>
  <conditionalFormatting sqref="A591">
    <cfRule type="expression" dxfId="579" priority="871" stopIfTrue="1">
      <formula>NOT(ISERROR(SEARCH("renovar",A591)))</formula>
    </cfRule>
  </conditionalFormatting>
  <conditionalFormatting sqref="A591">
    <cfRule type="expression" dxfId="578" priority="872" stopIfTrue="1">
      <formula>NOT(ISERROR(SEARCH("Renovar",A591)))</formula>
    </cfRule>
  </conditionalFormatting>
  <conditionalFormatting sqref="A592">
    <cfRule type="expression" dxfId="577" priority="873" stopIfTrue="1">
      <formula>NOT(ISERROR(SEARCH("renovar",A592)))</formula>
    </cfRule>
  </conditionalFormatting>
  <conditionalFormatting sqref="A592">
    <cfRule type="expression" dxfId="576" priority="874" stopIfTrue="1">
      <formula>NOT(ISERROR(SEARCH("Renovar",A592)))</formula>
    </cfRule>
  </conditionalFormatting>
  <conditionalFormatting sqref="A593">
    <cfRule type="expression" dxfId="575" priority="875" stopIfTrue="1">
      <formula>NOT(ISERROR(SEARCH("renovar",A593)))</formula>
    </cfRule>
  </conditionalFormatting>
  <conditionalFormatting sqref="A593">
    <cfRule type="expression" dxfId="574" priority="876" stopIfTrue="1">
      <formula>NOT(ISERROR(SEARCH("Renovar",A593)))</formula>
    </cfRule>
  </conditionalFormatting>
  <conditionalFormatting sqref="A594">
    <cfRule type="expression" dxfId="573" priority="877" stopIfTrue="1">
      <formula>NOT(ISERROR(SEARCH("renovar",A594)))</formula>
    </cfRule>
  </conditionalFormatting>
  <conditionalFormatting sqref="A594">
    <cfRule type="expression" dxfId="572" priority="878" stopIfTrue="1">
      <formula>NOT(ISERROR(SEARCH("Renovar",A594)))</formula>
    </cfRule>
  </conditionalFormatting>
  <conditionalFormatting sqref="A595">
    <cfRule type="expression" dxfId="571" priority="879" stopIfTrue="1">
      <formula>NOT(ISERROR(SEARCH("renovar",A595)))</formula>
    </cfRule>
  </conditionalFormatting>
  <conditionalFormatting sqref="A595">
    <cfRule type="expression" dxfId="570" priority="880" stopIfTrue="1">
      <formula>NOT(ISERROR(SEARCH("Renovar",A595)))</formula>
    </cfRule>
  </conditionalFormatting>
  <conditionalFormatting sqref="A596">
    <cfRule type="expression" dxfId="569" priority="881" stopIfTrue="1">
      <formula>NOT(ISERROR(SEARCH("renovar",A596)))</formula>
    </cfRule>
  </conditionalFormatting>
  <conditionalFormatting sqref="A596">
    <cfRule type="expression" dxfId="568" priority="882" stopIfTrue="1">
      <formula>NOT(ISERROR(SEARCH("Renovar",A596)))</formula>
    </cfRule>
  </conditionalFormatting>
  <conditionalFormatting sqref="A597">
    <cfRule type="expression" dxfId="567" priority="883" stopIfTrue="1">
      <formula>NOT(ISERROR(SEARCH("renovar",A597)))</formula>
    </cfRule>
  </conditionalFormatting>
  <conditionalFormatting sqref="A597">
    <cfRule type="expression" dxfId="566" priority="884" stopIfTrue="1">
      <formula>NOT(ISERROR(SEARCH("Renovar",A597)))</formula>
    </cfRule>
  </conditionalFormatting>
  <conditionalFormatting sqref="A598">
    <cfRule type="expression" dxfId="565" priority="885" stopIfTrue="1">
      <formula>NOT(ISERROR(SEARCH("renovar",A598)))</formula>
    </cfRule>
  </conditionalFormatting>
  <conditionalFormatting sqref="A598">
    <cfRule type="expression" dxfId="564" priority="886" stopIfTrue="1">
      <formula>NOT(ISERROR(SEARCH("Renovar",A598)))</formula>
    </cfRule>
  </conditionalFormatting>
  <conditionalFormatting sqref="A599">
    <cfRule type="expression" dxfId="563" priority="887" stopIfTrue="1">
      <formula>NOT(ISERROR(SEARCH("renovar",A599)))</formula>
    </cfRule>
  </conditionalFormatting>
  <conditionalFormatting sqref="A599">
    <cfRule type="expression" dxfId="562" priority="888" stopIfTrue="1">
      <formula>NOT(ISERROR(SEARCH("Renovar",A599)))</formula>
    </cfRule>
  </conditionalFormatting>
  <conditionalFormatting sqref="A600">
    <cfRule type="expression" dxfId="561" priority="889" stopIfTrue="1">
      <formula>NOT(ISERROR(SEARCH("renovar",A600)))</formula>
    </cfRule>
  </conditionalFormatting>
  <conditionalFormatting sqref="A600">
    <cfRule type="expression" dxfId="560" priority="890" stopIfTrue="1">
      <formula>NOT(ISERROR(SEARCH("Renovar",A600)))</formula>
    </cfRule>
  </conditionalFormatting>
  <conditionalFormatting sqref="A601">
    <cfRule type="expression" dxfId="559" priority="891" stopIfTrue="1">
      <formula>NOT(ISERROR(SEARCH("renovar",A601)))</formula>
    </cfRule>
  </conditionalFormatting>
  <conditionalFormatting sqref="A601">
    <cfRule type="expression" dxfId="558" priority="892" stopIfTrue="1">
      <formula>NOT(ISERROR(SEARCH("Renovar",A601)))</formula>
    </cfRule>
  </conditionalFormatting>
  <conditionalFormatting sqref="A602">
    <cfRule type="expression" dxfId="557" priority="893" stopIfTrue="1">
      <formula>NOT(ISERROR(SEARCH("renovar",A602)))</formula>
    </cfRule>
  </conditionalFormatting>
  <conditionalFormatting sqref="A602">
    <cfRule type="expression" dxfId="556" priority="894" stopIfTrue="1">
      <formula>NOT(ISERROR(SEARCH("Renovar",A602)))</formula>
    </cfRule>
  </conditionalFormatting>
  <conditionalFormatting sqref="A603">
    <cfRule type="expression" dxfId="555" priority="895" stopIfTrue="1">
      <formula>NOT(ISERROR(SEARCH("renovar",A603)))</formula>
    </cfRule>
  </conditionalFormatting>
  <conditionalFormatting sqref="A603">
    <cfRule type="expression" dxfId="554" priority="896" stopIfTrue="1">
      <formula>NOT(ISERROR(SEARCH("Renovar",A603)))</formula>
    </cfRule>
  </conditionalFormatting>
  <conditionalFormatting sqref="A604">
    <cfRule type="expression" dxfId="553" priority="897" stopIfTrue="1">
      <formula>NOT(ISERROR(SEARCH("renovar",A604)))</formula>
    </cfRule>
  </conditionalFormatting>
  <conditionalFormatting sqref="A604">
    <cfRule type="expression" dxfId="552" priority="898" stopIfTrue="1">
      <formula>NOT(ISERROR(SEARCH("Renovar",A604)))</formula>
    </cfRule>
  </conditionalFormatting>
  <conditionalFormatting sqref="A605">
    <cfRule type="expression" dxfId="551" priority="899" stopIfTrue="1">
      <formula>NOT(ISERROR(SEARCH("renovar",A605)))</formula>
    </cfRule>
  </conditionalFormatting>
  <conditionalFormatting sqref="A605">
    <cfRule type="expression" dxfId="550" priority="900" stopIfTrue="1">
      <formula>NOT(ISERROR(SEARCH("Renovar",A605)))</formula>
    </cfRule>
  </conditionalFormatting>
  <conditionalFormatting sqref="A606">
    <cfRule type="expression" dxfId="549" priority="901" stopIfTrue="1">
      <formula>NOT(ISERROR(SEARCH("renovar",A606)))</formula>
    </cfRule>
  </conditionalFormatting>
  <conditionalFormatting sqref="A606">
    <cfRule type="expression" dxfId="548" priority="902" stopIfTrue="1">
      <formula>NOT(ISERROR(SEARCH("Renovar",A606)))</formula>
    </cfRule>
  </conditionalFormatting>
  <conditionalFormatting sqref="A607">
    <cfRule type="expression" dxfId="547" priority="903" stopIfTrue="1">
      <formula>NOT(ISERROR(SEARCH("renovar",A607)))</formula>
    </cfRule>
  </conditionalFormatting>
  <conditionalFormatting sqref="A607">
    <cfRule type="expression" dxfId="546" priority="904" stopIfTrue="1">
      <formula>NOT(ISERROR(SEARCH("Renovar",A607)))</formula>
    </cfRule>
  </conditionalFormatting>
  <conditionalFormatting sqref="A608">
    <cfRule type="expression" dxfId="545" priority="905" stopIfTrue="1">
      <formula>NOT(ISERROR(SEARCH("renovar",A608)))</formula>
    </cfRule>
  </conditionalFormatting>
  <conditionalFormatting sqref="A608">
    <cfRule type="expression" dxfId="544" priority="906" stopIfTrue="1">
      <formula>NOT(ISERROR(SEARCH("Renovar",A608)))</formula>
    </cfRule>
  </conditionalFormatting>
  <conditionalFormatting sqref="A609">
    <cfRule type="expression" dxfId="543" priority="907" stopIfTrue="1">
      <formula>NOT(ISERROR(SEARCH("renovar",A609)))</formula>
    </cfRule>
  </conditionalFormatting>
  <conditionalFormatting sqref="A609">
    <cfRule type="expression" dxfId="542" priority="908" stopIfTrue="1">
      <formula>NOT(ISERROR(SEARCH("Renovar",A609)))</formula>
    </cfRule>
  </conditionalFormatting>
  <conditionalFormatting sqref="A610">
    <cfRule type="expression" dxfId="541" priority="909" stopIfTrue="1">
      <formula>NOT(ISERROR(SEARCH("renovar",A610)))</formula>
    </cfRule>
  </conditionalFormatting>
  <conditionalFormatting sqref="A610">
    <cfRule type="expression" dxfId="540" priority="910" stopIfTrue="1">
      <formula>NOT(ISERROR(SEARCH("Renovar",A610)))</formula>
    </cfRule>
  </conditionalFormatting>
  <conditionalFormatting sqref="A611">
    <cfRule type="expression" dxfId="539" priority="911" stopIfTrue="1">
      <formula>NOT(ISERROR(SEARCH("renovar",A611)))</formula>
    </cfRule>
  </conditionalFormatting>
  <conditionalFormatting sqref="A611">
    <cfRule type="expression" dxfId="538" priority="912" stopIfTrue="1">
      <formula>NOT(ISERROR(SEARCH("Renovar",A611)))</formula>
    </cfRule>
  </conditionalFormatting>
  <conditionalFormatting sqref="A612">
    <cfRule type="expression" dxfId="537" priority="913" stopIfTrue="1">
      <formula>NOT(ISERROR(SEARCH("renovar",A612)))</formula>
    </cfRule>
  </conditionalFormatting>
  <conditionalFormatting sqref="A612">
    <cfRule type="expression" dxfId="536" priority="914" stopIfTrue="1">
      <formula>NOT(ISERROR(SEARCH("Renovar",A612)))</formula>
    </cfRule>
  </conditionalFormatting>
  <conditionalFormatting sqref="A613">
    <cfRule type="expression" dxfId="535" priority="915" stopIfTrue="1">
      <formula>NOT(ISERROR(SEARCH("renovar",A613)))</formula>
    </cfRule>
  </conditionalFormatting>
  <conditionalFormatting sqref="A613">
    <cfRule type="expression" dxfId="534" priority="916" stopIfTrue="1">
      <formula>NOT(ISERROR(SEARCH("Renovar",A613)))</formula>
    </cfRule>
  </conditionalFormatting>
  <conditionalFormatting sqref="A614">
    <cfRule type="expression" dxfId="533" priority="917" stopIfTrue="1">
      <formula>NOT(ISERROR(SEARCH("renovar",A614)))</formula>
    </cfRule>
  </conditionalFormatting>
  <conditionalFormatting sqref="A614">
    <cfRule type="expression" dxfId="532" priority="918" stopIfTrue="1">
      <formula>NOT(ISERROR(SEARCH("Renovar",A614)))</formula>
    </cfRule>
  </conditionalFormatting>
  <conditionalFormatting sqref="A42:A52">
    <cfRule type="expression" dxfId="531" priority="919" stopIfTrue="1">
      <formula>NOT(ISERROR(SEARCH("renovar",A42)))</formula>
    </cfRule>
  </conditionalFormatting>
  <conditionalFormatting sqref="A42:A52">
    <cfRule type="expression" dxfId="530" priority="920" stopIfTrue="1">
      <formula>NOT(ISERROR(SEARCH("Renovar",A42)))</formula>
    </cfRule>
  </conditionalFormatting>
  <conditionalFormatting sqref="A53:A61">
    <cfRule type="expression" dxfId="529" priority="921" stopIfTrue="1">
      <formula>NOT(ISERROR(SEARCH("renovar",A53)))</formula>
    </cfRule>
  </conditionalFormatting>
  <conditionalFormatting sqref="A53:A61">
    <cfRule type="expression" dxfId="528" priority="922" stopIfTrue="1">
      <formula>NOT(ISERROR(SEARCH("Renovar",A53)))</formula>
    </cfRule>
  </conditionalFormatting>
  <conditionalFormatting sqref="A160:A166">
    <cfRule type="expression" dxfId="527" priority="923" stopIfTrue="1">
      <formula>NOT(ISERROR(SEARCH("renovar",A160)))</formula>
    </cfRule>
  </conditionalFormatting>
  <conditionalFormatting sqref="A160:A166">
    <cfRule type="expression" dxfId="526" priority="924" stopIfTrue="1">
      <formula>NOT(ISERROR(SEARCH("Renovar",A160)))</formula>
    </cfRule>
  </conditionalFormatting>
  <conditionalFormatting sqref="A167:A169">
    <cfRule type="expression" dxfId="525" priority="925" stopIfTrue="1">
      <formula>NOT(ISERROR(SEARCH("renovar",A167)))</formula>
    </cfRule>
  </conditionalFormatting>
  <conditionalFormatting sqref="A167:A169">
    <cfRule type="expression" dxfId="524" priority="926" stopIfTrue="1">
      <formula>NOT(ISERROR(SEARCH("Renovar",A167)))</formula>
    </cfRule>
  </conditionalFormatting>
  <conditionalFormatting sqref="A171:A172">
    <cfRule type="expression" dxfId="523" priority="927" stopIfTrue="1">
      <formula>NOT(ISERROR(SEARCH("renovar",A171)))</formula>
    </cfRule>
  </conditionalFormatting>
  <conditionalFormatting sqref="A171:A172">
    <cfRule type="expression" dxfId="522" priority="928" stopIfTrue="1">
      <formula>NOT(ISERROR(SEARCH("Renovar",A171)))</formula>
    </cfRule>
  </conditionalFormatting>
  <hyperlinks>
    <hyperlink ref="J7" r:id="rId1" xr:uid="{00000000-0004-0000-0000-000000000000}"/>
    <hyperlink ref="P7" r:id="rId2" xr:uid="{00000000-0004-0000-0000-000001000000}"/>
    <hyperlink ref="J8" r:id="rId3" xr:uid="{00000000-0004-0000-0000-000002000000}"/>
    <hyperlink ref="P8" r:id="rId4" xr:uid="{00000000-0004-0000-0000-000003000000}"/>
    <hyperlink ref="J9" r:id="rId5" xr:uid="{00000000-0004-0000-0000-000004000000}"/>
    <hyperlink ref="P9" r:id="rId6" xr:uid="{00000000-0004-0000-0000-000005000000}"/>
    <hyperlink ref="J10" r:id="rId7" xr:uid="{00000000-0004-0000-0000-000006000000}"/>
    <hyperlink ref="P10" r:id="rId8" xr:uid="{00000000-0004-0000-0000-000007000000}"/>
    <hyperlink ref="J11" r:id="rId9" xr:uid="{00000000-0004-0000-0000-000008000000}"/>
    <hyperlink ref="P11" r:id="rId10" xr:uid="{00000000-0004-0000-0000-000009000000}"/>
    <hyperlink ref="J12" r:id="rId11" xr:uid="{00000000-0004-0000-0000-00000A000000}"/>
    <hyperlink ref="P12" r:id="rId12" xr:uid="{00000000-0004-0000-0000-00000B000000}"/>
    <hyperlink ref="J13" r:id="rId13" xr:uid="{00000000-0004-0000-0000-00000C000000}"/>
    <hyperlink ref="P13" r:id="rId14" xr:uid="{00000000-0004-0000-0000-00000D000000}"/>
    <hyperlink ref="J14" r:id="rId15" xr:uid="{00000000-0004-0000-0000-00000E000000}"/>
    <hyperlink ref="P14" r:id="rId16" xr:uid="{00000000-0004-0000-0000-00000F000000}"/>
    <hyperlink ref="J15" r:id="rId17" xr:uid="{00000000-0004-0000-0000-000010000000}"/>
    <hyperlink ref="P15" r:id="rId18" xr:uid="{00000000-0004-0000-0000-000011000000}"/>
    <hyperlink ref="J16" r:id="rId19" xr:uid="{00000000-0004-0000-0000-000012000000}"/>
    <hyperlink ref="P16" r:id="rId20" xr:uid="{00000000-0004-0000-0000-000013000000}"/>
    <hyperlink ref="J17" r:id="rId21" xr:uid="{00000000-0004-0000-0000-000014000000}"/>
    <hyperlink ref="P17" r:id="rId22" xr:uid="{00000000-0004-0000-0000-000015000000}"/>
    <hyperlink ref="J18" r:id="rId23" xr:uid="{00000000-0004-0000-0000-000016000000}"/>
    <hyperlink ref="P18" r:id="rId24" xr:uid="{00000000-0004-0000-0000-000017000000}"/>
    <hyperlink ref="J19" r:id="rId25" xr:uid="{00000000-0004-0000-0000-000018000000}"/>
    <hyperlink ref="P19" r:id="rId26" xr:uid="{00000000-0004-0000-0000-000019000000}"/>
    <hyperlink ref="J20" r:id="rId27" xr:uid="{00000000-0004-0000-0000-00001A000000}"/>
    <hyperlink ref="P20" r:id="rId28" xr:uid="{00000000-0004-0000-0000-00001B000000}"/>
    <hyperlink ref="J22" r:id="rId29" xr:uid="{00000000-0004-0000-0000-00001C000000}"/>
    <hyperlink ref="P22" r:id="rId30" xr:uid="{00000000-0004-0000-0000-00001D000000}"/>
    <hyperlink ref="J23" r:id="rId31" xr:uid="{00000000-0004-0000-0000-00001E000000}"/>
    <hyperlink ref="P23" r:id="rId32" xr:uid="{00000000-0004-0000-0000-00001F000000}"/>
    <hyperlink ref="J24" r:id="rId33" xr:uid="{00000000-0004-0000-0000-000020000000}"/>
    <hyperlink ref="P24" r:id="rId34" xr:uid="{00000000-0004-0000-0000-000021000000}"/>
    <hyperlink ref="J25" r:id="rId35" xr:uid="{00000000-0004-0000-0000-000022000000}"/>
    <hyperlink ref="P25" r:id="rId36" xr:uid="{00000000-0004-0000-0000-000023000000}"/>
    <hyperlink ref="J26" r:id="rId37" xr:uid="{00000000-0004-0000-0000-000024000000}"/>
    <hyperlink ref="P26" r:id="rId38" xr:uid="{00000000-0004-0000-0000-000025000000}"/>
    <hyperlink ref="J27" r:id="rId39" xr:uid="{00000000-0004-0000-0000-000026000000}"/>
    <hyperlink ref="P27" r:id="rId40" xr:uid="{00000000-0004-0000-0000-000027000000}"/>
    <hyperlink ref="J28" r:id="rId41" xr:uid="{00000000-0004-0000-0000-000028000000}"/>
    <hyperlink ref="P28" r:id="rId42" xr:uid="{00000000-0004-0000-0000-000029000000}"/>
    <hyperlink ref="J29" r:id="rId43" xr:uid="{00000000-0004-0000-0000-00002A000000}"/>
    <hyperlink ref="P29" r:id="rId44" xr:uid="{00000000-0004-0000-0000-00002B000000}"/>
    <hyperlink ref="J30" r:id="rId45" xr:uid="{00000000-0004-0000-0000-00002C000000}"/>
    <hyperlink ref="P30" r:id="rId46" xr:uid="{00000000-0004-0000-0000-00002D000000}"/>
    <hyperlink ref="J31" r:id="rId47" xr:uid="{00000000-0004-0000-0000-00002E000000}"/>
    <hyperlink ref="P31" r:id="rId48" xr:uid="{00000000-0004-0000-0000-00002F000000}"/>
    <hyperlink ref="J32" r:id="rId49" xr:uid="{00000000-0004-0000-0000-000030000000}"/>
    <hyperlink ref="P32" r:id="rId50" xr:uid="{00000000-0004-0000-0000-000031000000}"/>
    <hyperlink ref="J33" r:id="rId51" xr:uid="{00000000-0004-0000-0000-000032000000}"/>
    <hyperlink ref="P33" r:id="rId52" xr:uid="{00000000-0004-0000-0000-000033000000}"/>
    <hyperlink ref="J34" r:id="rId53" xr:uid="{00000000-0004-0000-0000-000034000000}"/>
    <hyperlink ref="P34" r:id="rId54" xr:uid="{00000000-0004-0000-0000-000035000000}"/>
    <hyperlink ref="J35" r:id="rId55" xr:uid="{00000000-0004-0000-0000-000036000000}"/>
    <hyperlink ref="P35" r:id="rId56" xr:uid="{00000000-0004-0000-0000-000037000000}"/>
    <hyperlink ref="J36" r:id="rId57" xr:uid="{00000000-0004-0000-0000-000038000000}"/>
    <hyperlink ref="P36" r:id="rId58" xr:uid="{00000000-0004-0000-0000-000039000000}"/>
    <hyperlink ref="J38" r:id="rId59" xr:uid="{00000000-0004-0000-0000-00003A000000}"/>
    <hyperlink ref="P38" r:id="rId60" xr:uid="{00000000-0004-0000-0000-00003B000000}"/>
    <hyperlink ref="J39" r:id="rId61" xr:uid="{00000000-0004-0000-0000-00003C000000}"/>
    <hyperlink ref="P39" r:id="rId62" xr:uid="{00000000-0004-0000-0000-00003D000000}"/>
    <hyperlink ref="J40" r:id="rId63" xr:uid="{00000000-0004-0000-0000-00003E000000}"/>
    <hyperlink ref="P40" r:id="rId64" xr:uid="{00000000-0004-0000-0000-00003F000000}"/>
    <hyperlink ref="J41" r:id="rId65" xr:uid="{00000000-0004-0000-0000-000040000000}"/>
    <hyperlink ref="P41" r:id="rId66" xr:uid="{00000000-0004-0000-0000-000041000000}"/>
    <hyperlink ref="J42" r:id="rId67" xr:uid="{00000000-0004-0000-0000-000042000000}"/>
    <hyperlink ref="P42" r:id="rId68" xr:uid="{00000000-0004-0000-0000-000043000000}"/>
    <hyperlink ref="J43" r:id="rId69" xr:uid="{00000000-0004-0000-0000-000044000000}"/>
    <hyperlink ref="P43" r:id="rId70" xr:uid="{00000000-0004-0000-0000-000045000000}"/>
    <hyperlink ref="J44" r:id="rId71" xr:uid="{00000000-0004-0000-0000-000046000000}"/>
    <hyperlink ref="J45" r:id="rId72" xr:uid="{00000000-0004-0000-0000-000047000000}"/>
    <hyperlink ref="P45" r:id="rId73" xr:uid="{00000000-0004-0000-0000-000048000000}"/>
    <hyperlink ref="J46" r:id="rId74" xr:uid="{00000000-0004-0000-0000-000049000000}"/>
    <hyperlink ref="P46" r:id="rId75" xr:uid="{00000000-0004-0000-0000-00004A000000}"/>
    <hyperlink ref="J47" r:id="rId76" xr:uid="{00000000-0004-0000-0000-00004B000000}"/>
    <hyperlink ref="P47" r:id="rId77" xr:uid="{00000000-0004-0000-0000-00004C000000}"/>
    <hyperlink ref="P48" r:id="rId78" xr:uid="{00000000-0004-0000-0000-00004D000000}"/>
    <hyperlink ref="J49" r:id="rId79" xr:uid="{00000000-0004-0000-0000-00004E000000}"/>
    <hyperlink ref="P49" r:id="rId80" xr:uid="{00000000-0004-0000-0000-00004F000000}"/>
    <hyperlink ref="P50" r:id="rId81" xr:uid="{00000000-0004-0000-0000-000050000000}"/>
    <hyperlink ref="J51" r:id="rId82" xr:uid="{00000000-0004-0000-0000-000051000000}"/>
    <hyperlink ref="P51" r:id="rId83" xr:uid="{00000000-0004-0000-0000-000052000000}"/>
    <hyperlink ref="J52" r:id="rId84" xr:uid="{00000000-0004-0000-0000-000053000000}"/>
    <hyperlink ref="P52" r:id="rId85" xr:uid="{00000000-0004-0000-0000-000054000000}"/>
    <hyperlink ref="J53" r:id="rId86" xr:uid="{00000000-0004-0000-0000-000055000000}"/>
    <hyperlink ref="P53" r:id="rId87" xr:uid="{00000000-0004-0000-0000-000056000000}"/>
    <hyperlink ref="J54" r:id="rId88" xr:uid="{00000000-0004-0000-0000-000057000000}"/>
    <hyperlink ref="P56" r:id="rId89" xr:uid="{00000000-0004-0000-0000-000058000000}"/>
    <hyperlink ref="J57" r:id="rId90" xr:uid="{00000000-0004-0000-0000-000059000000}"/>
    <hyperlink ref="P57" r:id="rId91" xr:uid="{00000000-0004-0000-0000-00005A000000}"/>
    <hyperlink ref="J58" r:id="rId92" xr:uid="{00000000-0004-0000-0000-00005B000000}"/>
    <hyperlink ref="P58" r:id="rId93" xr:uid="{00000000-0004-0000-0000-00005C000000}"/>
    <hyperlink ref="J59" r:id="rId94" xr:uid="{00000000-0004-0000-0000-00005D000000}"/>
    <hyperlink ref="P59" r:id="rId95" xr:uid="{00000000-0004-0000-0000-00005E000000}"/>
    <hyperlink ref="J60" r:id="rId96" xr:uid="{00000000-0004-0000-0000-00005F000000}"/>
    <hyperlink ref="J61" r:id="rId97" xr:uid="{00000000-0004-0000-0000-000060000000}"/>
    <hyperlink ref="P61" r:id="rId98" xr:uid="{00000000-0004-0000-0000-000061000000}"/>
    <hyperlink ref="J62" r:id="rId99" xr:uid="{00000000-0004-0000-0000-000062000000}"/>
    <hyperlink ref="P62" r:id="rId100" xr:uid="{00000000-0004-0000-0000-000063000000}"/>
    <hyperlink ref="P63" r:id="rId101" xr:uid="{00000000-0004-0000-0000-000064000000}"/>
    <hyperlink ref="P64" r:id="rId102" xr:uid="{00000000-0004-0000-0000-000065000000}"/>
    <hyperlink ref="P65" r:id="rId103" xr:uid="{00000000-0004-0000-0000-000066000000}"/>
    <hyperlink ref="P66" r:id="rId104" xr:uid="{00000000-0004-0000-0000-000067000000}"/>
    <hyperlink ref="J67" r:id="rId105" xr:uid="{00000000-0004-0000-0000-000068000000}"/>
    <hyperlink ref="P67" r:id="rId106" xr:uid="{00000000-0004-0000-0000-000069000000}"/>
    <hyperlink ref="P68" r:id="rId107" xr:uid="{00000000-0004-0000-0000-00006A000000}"/>
    <hyperlink ref="P69" r:id="rId108" xr:uid="{00000000-0004-0000-0000-00006B000000}"/>
    <hyperlink ref="P70" r:id="rId109" xr:uid="{00000000-0004-0000-0000-00006C000000}"/>
    <hyperlink ref="P71" r:id="rId110" xr:uid="{00000000-0004-0000-0000-00006D000000}"/>
    <hyperlink ref="P72" r:id="rId111" xr:uid="{00000000-0004-0000-0000-00006E000000}"/>
    <hyperlink ref="J73" r:id="rId112" xr:uid="{00000000-0004-0000-0000-00006F000000}"/>
    <hyperlink ref="P74" r:id="rId113" xr:uid="{00000000-0004-0000-0000-000070000000}"/>
    <hyperlink ref="J75" r:id="rId114" xr:uid="{00000000-0004-0000-0000-000071000000}"/>
    <hyperlink ref="P75" r:id="rId115" xr:uid="{00000000-0004-0000-0000-000072000000}"/>
    <hyperlink ref="J76" r:id="rId116" xr:uid="{00000000-0004-0000-0000-000073000000}"/>
    <hyperlink ref="P76" r:id="rId117" xr:uid="{00000000-0004-0000-0000-000074000000}"/>
    <hyperlink ref="P77" r:id="rId118" xr:uid="{00000000-0004-0000-0000-000075000000}"/>
    <hyperlink ref="J79" r:id="rId119" xr:uid="{00000000-0004-0000-0000-000076000000}"/>
    <hyperlink ref="P79" r:id="rId120" xr:uid="{00000000-0004-0000-0000-000077000000}"/>
    <hyperlink ref="J80" r:id="rId121" xr:uid="{00000000-0004-0000-0000-000078000000}"/>
    <hyperlink ref="P80" r:id="rId122" xr:uid="{00000000-0004-0000-0000-000079000000}"/>
    <hyperlink ref="J81" r:id="rId123" xr:uid="{00000000-0004-0000-0000-00007A000000}"/>
    <hyperlink ref="P81" r:id="rId124" xr:uid="{00000000-0004-0000-0000-00007B000000}"/>
    <hyperlink ref="P82" r:id="rId125" xr:uid="{00000000-0004-0000-0000-00007C000000}"/>
    <hyperlink ref="P83" r:id="rId126" xr:uid="{00000000-0004-0000-0000-00007D000000}"/>
    <hyperlink ref="P85" r:id="rId127" xr:uid="{00000000-0004-0000-0000-00007E000000}"/>
    <hyperlink ref="J86" r:id="rId128" xr:uid="{00000000-0004-0000-0000-00007F000000}"/>
    <hyperlink ref="P86" r:id="rId129" xr:uid="{00000000-0004-0000-0000-000080000000}"/>
    <hyperlink ref="P87" r:id="rId130" xr:uid="{00000000-0004-0000-0000-000081000000}"/>
    <hyperlink ref="J88" r:id="rId131" xr:uid="{00000000-0004-0000-0000-000082000000}"/>
    <hyperlink ref="P88" r:id="rId132" xr:uid="{00000000-0004-0000-0000-000083000000}"/>
    <hyperlink ref="J90" r:id="rId133" xr:uid="{00000000-0004-0000-0000-000084000000}"/>
    <hyperlink ref="P90" r:id="rId134" xr:uid="{00000000-0004-0000-0000-000085000000}"/>
    <hyperlink ref="J91" r:id="rId135" xr:uid="{00000000-0004-0000-0000-000086000000}"/>
    <hyperlink ref="P91" r:id="rId136" xr:uid="{00000000-0004-0000-0000-000087000000}"/>
    <hyperlink ref="J93" r:id="rId137" xr:uid="{00000000-0004-0000-0000-000088000000}"/>
    <hyperlink ref="J95" r:id="rId138" xr:uid="{00000000-0004-0000-0000-000089000000}"/>
    <hyperlink ref="J96" r:id="rId139" xr:uid="{00000000-0004-0000-0000-00008A000000}"/>
    <hyperlink ref="P96" r:id="rId140" xr:uid="{00000000-0004-0000-0000-00008B000000}"/>
    <hyperlink ref="J97" r:id="rId141" xr:uid="{00000000-0004-0000-0000-00008C000000}"/>
    <hyperlink ref="J98" r:id="rId142" xr:uid="{00000000-0004-0000-0000-00008D000000}"/>
    <hyperlink ref="J99" r:id="rId143" xr:uid="{00000000-0004-0000-0000-00008E000000}"/>
    <hyperlink ref="J101" r:id="rId144" xr:uid="{00000000-0004-0000-0000-00008F000000}"/>
    <hyperlink ref="J102" r:id="rId145" xr:uid="{00000000-0004-0000-0000-000090000000}"/>
    <hyperlink ref="J103" r:id="rId146" xr:uid="{00000000-0004-0000-0000-000091000000}"/>
    <hyperlink ref="J104" r:id="rId147" xr:uid="{00000000-0004-0000-0000-000092000000}"/>
    <hyperlink ref="J106" r:id="rId148" xr:uid="{00000000-0004-0000-0000-000093000000}"/>
    <hyperlink ref="J107" r:id="rId149" xr:uid="{00000000-0004-0000-0000-000094000000}"/>
    <hyperlink ref="P107" r:id="rId150" xr:uid="{00000000-0004-0000-0000-000095000000}"/>
    <hyperlink ref="J108" r:id="rId151" xr:uid="{00000000-0004-0000-0000-000096000000}"/>
    <hyperlink ref="P108" r:id="rId152" xr:uid="{00000000-0004-0000-0000-000097000000}"/>
    <hyperlink ref="P109" r:id="rId153" xr:uid="{00000000-0004-0000-0000-000098000000}"/>
    <hyperlink ref="J110" r:id="rId154" xr:uid="{00000000-0004-0000-0000-000099000000}"/>
    <hyperlink ref="P110" r:id="rId155" xr:uid="{00000000-0004-0000-0000-00009A000000}"/>
    <hyperlink ref="J111" r:id="rId156" xr:uid="{00000000-0004-0000-0000-00009B000000}"/>
    <hyperlink ref="P111" r:id="rId157" xr:uid="{00000000-0004-0000-0000-00009C000000}"/>
    <hyperlink ref="J112" r:id="rId158" xr:uid="{00000000-0004-0000-0000-00009D000000}"/>
    <hyperlink ref="P112" r:id="rId159" xr:uid="{00000000-0004-0000-0000-00009E000000}"/>
    <hyperlink ref="J113" r:id="rId160" xr:uid="{00000000-0004-0000-0000-00009F000000}"/>
    <hyperlink ref="J114" r:id="rId161" xr:uid="{00000000-0004-0000-0000-0000A0000000}"/>
    <hyperlink ref="P114" r:id="rId162" xr:uid="{00000000-0004-0000-0000-0000A1000000}"/>
    <hyperlink ref="J115" r:id="rId163" xr:uid="{00000000-0004-0000-0000-0000A2000000}"/>
    <hyperlink ref="J116" r:id="rId164" xr:uid="{00000000-0004-0000-0000-0000A3000000}"/>
    <hyperlink ref="P116" r:id="rId165" xr:uid="{00000000-0004-0000-0000-0000A4000000}"/>
    <hyperlink ref="J117" r:id="rId166" xr:uid="{00000000-0004-0000-0000-0000A5000000}"/>
    <hyperlink ref="P117" r:id="rId167" xr:uid="{00000000-0004-0000-0000-0000A6000000}"/>
    <hyperlink ref="J118" r:id="rId168" xr:uid="{00000000-0004-0000-0000-0000A7000000}"/>
    <hyperlink ref="P118" r:id="rId169" xr:uid="{00000000-0004-0000-0000-0000A8000000}"/>
    <hyperlink ref="J119" r:id="rId170" xr:uid="{00000000-0004-0000-0000-0000A9000000}"/>
    <hyperlink ref="P119" r:id="rId171" xr:uid="{00000000-0004-0000-0000-0000AA000000}"/>
    <hyperlink ref="J120" r:id="rId172" xr:uid="{00000000-0004-0000-0000-0000AB000000}"/>
    <hyperlink ref="J121" r:id="rId173" xr:uid="{00000000-0004-0000-0000-0000AC000000}"/>
    <hyperlink ref="J122" r:id="rId174" xr:uid="{00000000-0004-0000-0000-0000AD000000}"/>
    <hyperlink ref="P122" r:id="rId175" xr:uid="{00000000-0004-0000-0000-0000AE000000}"/>
    <hyperlink ref="J123" r:id="rId176" xr:uid="{00000000-0004-0000-0000-0000AF000000}"/>
    <hyperlink ref="J124" r:id="rId177" xr:uid="{00000000-0004-0000-0000-0000B0000000}"/>
    <hyperlink ref="J125" r:id="rId178" xr:uid="{00000000-0004-0000-0000-0000B1000000}"/>
    <hyperlink ref="P125" r:id="rId179" xr:uid="{00000000-0004-0000-0000-0000B2000000}"/>
    <hyperlink ref="J126" r:id="rId180" xr:uid="{00000000-0004-0000-0000-0000B3000000}"/>
    <hyperlink ref="P126" r:id="rId181" xr:uid="{00000000-0004-0000-0000-0000B4000000}"/>
    <hyperlink ref="J127" r:id="rId182" xr:uid="{00000000-0004-0000-0000-0000B5000000}"/>
    <hyperlink ref="J128" r:id="rId183" xr:uid="{00000000-0004-0000-0000-0000B6000000}"/>
    <hyperlink ref="P128" r:id="rId184" xr:uid="{00000000-0004-0000-0000-0000B7000000}"/>
    <hyperlink ref="J129" r:id="rId185" xr:uid="{00000000-0004-0000-0000-0000B8000000}"/>
    <hyperlink ref="P129" r:id="rId186" xr:uid="{00000000-0004-0000-0000-0000B9000000}"/>
    <hyperlink ref="J130" r:id="rId187" xr:uid="{00000000-0004-0000-0000-0000BA000000}"/>
    <hyperlink ref="P130" r:id="rId188" xr:uid="{00000000-0004-0000-0000-0000BB000000}"/>
    <hyperlink ref="J132" r:id="rId189" xr:uid="{00000000-0004-0000-0000-0000BC000000}"/>
    <hyperlink ref="P132" r:id="rId190" xr:uid="{00000000-0004-0000-0000-0000BD000000}"/>
    <hyperlink ref="J133" r:id="rId191" xr:uid="{00000000-0004-0000-0000-0000BE000000}"/>
    <hyperlink ref="P133" r:id="rId192" xr:uid="{00000000-0004-0000-0000-0000BF000000}"/>
    <hyperlink ref="J134" r:id="rId193" xr:uid="{00000000-0004-0000-0000-0000C0000000}"/>
    <hyperlink ref="P134" r:id="rId194" xr:uid="{00000000-0004-0000-0000-0000C1000000}"/>
    <hyperlink ref="J135" r:id="rId195" xr:uid="{00000000-0004-0000-0000-0000C2000000}"/>
    <hyperlink ref="P136" r:id="rId196" xr:uid="{00000000-0004-0000-0000-0000C3000000}"/>
    <hyperlink ref="P137" r:id="rId197" xr:uid="{00000000-0004-0000-0000-0000C4000000}"/>
    <hyperlink ref="J138" r:id="rId198" xr:uid="{00000000-0004-0000-0000-0000C5000000}"/>
    <hyperlink ref="P138" r:id="rId199" xr:uid="{00000000-0004-0000-0000-0000C6000000}"/>
    <hyperlink ref="J139" r:id="rId200" xr:uid="{00000000-0004-0000-0000-0000C7000000}"/>
    <hyperlink ref="P139" r:id="rId201" xr:uid="{00000000-0004-0000-0000-0000C8000000}"/>
    <hyperlink ref="J140" r:id="rId202" xr:uid="{00000000-0004-0000-0000-0000C9000000}"/>
    <hyperlink ref="J141" r:id="rId203" xr:uid="{00000000-0004-0000-0000-0000CA000000}"/>
    <hyperlink ref="P142" r:id="rId204" xr:uid="{00000000-0004-0000-0000-0000CB000000}"/>
    <hyperlink ref="J143" r:id="rId205" xr:uid="{00000000-0004-0000-0000-0000CC000000}"/>
    <hyperlink ref="J144" r:id="rId206" xr:uid="{00000000-0004-0000-0000-0000CD000000}"/>
    <hyperlink ref="P144" r:id="rId207" xr:uid="{00000000-0004-0000-0000-0000CE000000}"/>
    <hyperlink ref="J145" r:id="rId208" xr:uid="{00000000-0004-0000-0000-0000CF000000}"/>
    <hyperlink ref="P145" r:id="rId209" xr:uid="{00000000-0004-0000-0000-0000D0000000}"/>
    <hyperlink ref="J146" r:id="rId210" xr:uid="{00000000-0004-0000-0000-0000D1000000}"/>
    <hyperlink ref="J147" r:id="rId211" xr:uid="{00000000-0004-0000-0000-0000D2000000}"/>
    <hyperlink ref="J148" r:id="rId212" xr:uid="{00000000-0004-0000-0000-0000D3000000}"/>
    <hyperlink ref="P148" r:id="rId213" xr:uid="{00000000-0004-0000-0000-0000D4000000}"/>
    <hyperlink ref="J149" r:id="rId214" xr:uid="{00000000-0004-0000-0000-0000D5000000}"/>
    <hyperlink ref="P149" r:id="rId215" xr:uid="{00000000-0004-0000-0000-0000D6000000}"/>
    <hyperlink ref="J150" r:id="rId216" xr:uid="{00000000-0004-0000-0000-0000D7000000}"/>
    <hyperlink ref="P150" r:id="rId217" xr:uid="{00000000-0004-0000-0000-0000D8000000}"/>
    <hyperlink ref="J151" r:id="rId218" xr:uid="{00000000-0004-0000-0000-0000D9000000}"/>
    <hyperlink ref="P151" r:id="rId219" xr:uid="{00000000-0004-0000-0000-0000DA000000}"/>
    <hyperlink ref="J152" r:id="rId220" xr:uid="{00000000-0004-0000-0000-0000DB000000}"/>
    <hyperlink ref="P152" r:id="rId221" xr:uid="{00000000-0004-0000-0000-0000DC000000}"/>
    <hyperlink ref="J153" r:id="rId222" xr:uid="{00000000-0004-0000-0000-0000DD000000}"/>
    <hyperlink ref="P153" r:id="rId223" xr:uid="{00000000-0004-0000-0000-0000DE000000}"/>
    <hyperlink ref="J154" r:id="rId224" xr:uid="{00000000-0004-0000-0000-0000DF000000}"/>
    <hyperlink ref="P154" r:id="rId225" xr:uid="{00000000-0004-0000-0000-0000E0000000}"/>
    <hyperlink ref="J155" r:id="rId226" xr:uid="{00000000-0004-0000-0000-0000E1000000}"/>
    <hyperlink ref="P155" r:id="rId227" xr:uid="{00000000-0004-0000-0000-0000E2000000}"/>
    <hyperlink ref="J157" r:id="rId228" xr:uid="{00000000-0004-0000-0000-0000E3000000}"/>
    <hyperlink ref="P157" r:id="rId229" xr:uid="{00000000-0004-0000-0000-0000E4000000}"/>
    <hyperlink ref="P158" r:id="rId230" xr:uid="{00000000-0004-0000-0000-0000E5000000}"/>
    <hyperlink ref="J159" r:id="rId231" xr:uid="{00000000-0004-0000-0000-0000E6000000}"/>
    <hyperlink ref="P159" r:id="rId232" xr:uid="{00000000-0004-0000-0000-0000E7000000}"/>
    <hyperlink ref="J160" r:id="rId233" xr:uid="{00000000-0004-0000-0000-0000E8000000}"/>
    <hyperlink ref="P160" r:id="rId234" xr:uid="{00000000-0004-0000-0000-0000E9000000}"/>
    <hyperlink ref="J161" r:id="rId235" xr:uid="{00000000-0004-0000-0000-0000EA000000}"/>
    <hyperlink ref="J162" r:id="rId236" xr:uid="{00000000-0004-0000-0000-0000EB000000}"/>
    <hyperlink ref="P162" r:id="rId237" xr:uid="{00000000-0004-0000-0000-0000EC000000}"/>
    <hyperlink ref="P163" r:id="rId238" xr:uid="{00000000-0004-0000-0000-0000ED000000}"/>
    <hyperlink ref="J164" r:id="rId239" xr:uid="{00000000-0004-0000-0000-0000EE000000}"/>
    <hyperlink ref="J165" r:id="rId240" xr:uid="{00000000-0004-0000-0000-0000EF000000}"/>
    <hyperlink ref="P165" r:id="rId241" xr:uid="{00000000-0004-0000-0000-0000F0000000}"/>
    <hyperlink ref="J166" r:id="rId242" xr:uid="{00000000-0004-0000-0000-0000F1000000}"/>
    <hyperlink ref="P166" r:id="rId243" xr:uid="{00000000-0004-0000-0000-0000F2000000}"/>
    <hyperlink ref="J167" r:id="rId244" xr:uid="{00000000-0004-0000-0000-0000F3000000}"/>
    <hyperlink ref="P167" r:id="rId245" xr:uid="{00000000-0004-0000-0000-0000F4000000}"/>
    <hyperlink ref="P168" r:id="rId246" xr:uid="{00000000-0004-0000-0000-0000F5000000}"/>
    <hyperlink ref="J169" r:id="rId247" xr:uid="{00000000-0004-0000-0000-0000F6000000}"/>
    <hyperlink ref="P169" r:id="rId248" xr:uid="{00000000-0004-0000-0000-0000F7000000}"/>
    <hyperlink ref="J170" r:id="rId249" xr:uid="{00000000-0004-0000-0000-0000F8000000}"/>
    <hyperlink ref="P170" r:id="rId250" xr:uid="{00000000-0004-0000-0000-0000F9000000}"/>
    <hyperlink ref="J171" r:id="rId251" xr:uid="{00000000-0004-0000-0000-0000FA000000}"/>
    <hyperlink ref="P171" r:id="rId252" xr:uid="{00000000-0004-0000-0000-0000FB000000}"/>
    <hyperlink ref="J172" r:id="rId253" xr:uid="{00000000-0004-0000-0000-0000FC000000}"/>
    <hyperlink ref="J173" r:id="rId254" xr:uid="{00000000-0004-0000-0000-0000FD000000}"/>
    <hyperlink ref="J174" r:id="rId255" xr:uid="{00000000-0004-0000-0000-0000FE000000}"/>
    <hyperlink ref="P174" r:id="rId256" xr:uid="{00000000-0004-0000-0000-0000FF000000}"/>
    <hyperlink ref="J175" r:id="rId257" xr:uid="{00000000-0004-0000-0000-000000010000}"/>
    <hyperlink ref="P175" r:id="rId258" xr:uid="{00000000-0004-0000-0000-000001010000}"/>
    <hyperlink ref="P176" r:id="rId259" xr:uid="{00000000-0004-0000-0000-000002010000}"/>
    <hyperlink ref="P177" r:id="rId260" xr:uid="{00000000-0004-0000-0000-000003010000}"/>
    <hyperlink ref="P178" r:id="rId261" xr:uid="{00000000-0004-0000-0000-000004010000}"/>
    <hyperlink ref="J179" r:id="rId262" xr:uid="{00000000-0004-0000-0000-000005010000}"/>
    <hyperlink ref="P180" r:id="rId263" xr:uid="{00000000-0004-0000-0000-000006010000}"/>
    <hyperlink ref="J181" r:id="rId264" xr:uid="{00000000-0004-0000-0000-000007010000}"/>
    <hyperlink ref="P182" r:id="rId265" xr:uid="{00000000-0004-0000-0000-000008010000}"/>
    <hyperlink ref="P183" r:id="rId266" xr:uid="{00000000-0004-0000-0000-000009010000}"/>
    <hyperlink ref="J184" r:id="rId267" xr:uid="{00000000-0004-0000-0000-00000A010000}"/>
    <hyperlink ref="J185" r:id="rId268" xr:uid="{00000000-0004-0000-0000-00000B010000}"/>
    <hyperlink ref="P186" r:id="rId269" xr:uid="{00000000-0004-0000-0000-00000C010000}"/>
    <hyperlink ref="P187" r:id="rId270" xr:uid="{00000000-0004-0000-0000-00000D010000}"/>
    <hyperlink ref="J188" r:id="rId271" xr:uid="{00000000-0004-0000-0000-00000E010000}"/>
    <hyperlink ref="J189" r:id="rId272" xr:uid="{00000000-0004-0000-0000-00000F010000}"/>
    <hyperlink ref="P189" r:id="rId273" xr:uid="{00000000-0004-0000-0000-000010010000}"/>
    <hyperlink ref="P190" r:id="rId274" xr:uid="{00000000-0004-0000-0000-000011010000}"/>
    <hyperlink ref="P191" r:id="rId275" xr:uid="{00000000-0004-0000-0000-000012010000}"/>
    <hyperlink ref="P192" r:id="rId276" xr:uid="{00000000-0004-0000-0000-000013010000}"/>
    <hyperlink ref="P193" r:id="rId277" xr:uid="{00000000-0004-0000-0000-000014010000}"/>
    <hyperlink ref="P194" r:id="rId278" xr:uid="{00000000-0004-0000-0000-000015010000}"/>
    <hyperlink ref="J196" r:id="rId279" xr:uid="{00000000-0004-0000-0000-000016010000}"/>
    <hyperlink ref="P196" r:id="rId280" xr:uid="{00000000-0004-0000-0000-000017010000}"/>
    <hyperlink ref="J197" r:id="rId281" xr:uid="{00000000-0004-0000-0000-000018010000}"/>
    <hyperlink ref="P197" r:id="rId282" xr:uid="{00000000-0004-0000-0000-000019010000}"/>
    <hyperlink ref="J198" r:id="rId283" xr:uid="{00000000-0004-0000-0000-00001A010000}"/>
    <hyperlink ref="P200" r:id="rId284" xr:uid="{00000000-0004-0000-0000-00001B010000}"/>
    <hyperlink ref="J201" r:id="rId285" xr:uid="{00000000-0004-0000-0000-00001C010000}"/>
    <hyperlink ref="P201" r:id="rId286" xr:uid="{00000000-0004-0000-0000-00001D010000}"/>
    <hyperlink ref="P203" r:id="rId287" xr:uid="{00000000-0004-0000-0000-00001E010000}"/>
    <hyperlink ref="P204" r:id="rId288" xr:uid="{00000000-0004-0000-0000-00001F010000}"/>
    <hyperlink ref="P205" r:id="rId289" xr:uid="{00000000-0004-0000-0000-000020010000}"/>
    <hyperlink ref="P206" r:id="rId290" xr:uid="{00000000-0004-0000-0000-000021010000}"/>
    <hyperlink ref="J207" r:id="rId291" xr:uid="{00000000-0004-0000-0000-000022010000}"/>
    <hyperlink ref="P207" r:id="rId292" xr:uid="{00000000-0004-0000-0000-000023010000}"/>
    <hyperlink ref="J209" r:id="rId293" xr:uid="{00000000-0004-0000-0000-000024010000}"/>
    <hyperlink ref="P209" r:id="rId294" xr:uid="{00000000-0004-0000-0000-000025010000}"/>
    <hyperlink ref="J210" r:id="rId295" xr:uid="{00000000-0004-0000-0000-000026010000}"/>
    <hyperlink ref="P210" r:id="rId296" xr:uid="{00000000-0004-0000-0000-000027010000}"/>
    <hyperlink ref="J211" r:id="rId297" xr:uid="{00000000-0004-0000-0000-000028010000}"/>
    <hyperlink ref="P211" r:id="rId298" xr:uid="{00000000-0004-0000-0000-000029010000}"/>
    <hyperlink ref="J212" r:id="rId299" xr:uid="{00000000-0004-0000-0000-00002A010000}"/>
    <hyperlink ref="J213" r:id="rId300" xr:uid="{00000000-0004-0000-0000-00002B010000}"/>
    <hyperlink ref="P214" r:id="rId301" xr:uid="{00000000-0004-0000-0000-00002C010000}"/>
    <hyperlink ref="P215" r:id="rId302" xr:uid="{00000000-0004-0000-0000-00002D010000}"/>
    <hyperlink ref="J217" r:id="rId303" xr:uid="{00000000-0004-0000-0000-00002E010000}"/>
    <hyperlink ref="P217" r:id="rId304" xr:uid="{00000000-0004-0000-0000-00002F010000}"/>
    <hyperlink ref="J218" r:id="rId305" xr:uid="{00000000-0004-0000-0000-000030010000}"/>
    <hyperlink ref="P218" r:id="rId306" xr:uid="{00000000-0004-0000-0000-000031010000}"/>
    <hyperlink ref="J219" r:id="rId307" xr:uid="{00000000-0004-0000-0000-000032010000}"/>
    <hyperlink ref="P219" r:id="rId308" xr:uid="{00000000-0004-0000-0000-000033010000}"/>
    <hyperlink ref="J220" r:id="rId309" xr:uid="{00000000-0004-0000-0000-000034010000}"/>
    <hyperlink ref="P220" r:id="rId310" xr:uid="{00000000-0004-0000-0000-000035010000}"/>
    <hyperlink ref="J221" r:id="rId311" xr:uid="{00000000-0004-0000-0000-000036010000}"/>
    <hyperlink ref="P221" r:id="rId312" xr:uid="{00000000-0004-0000-0000-000037010000}"/>
    <hyperlink ref="J222" r:id="rId313" xr:uid="{00000000-0004-0000-0000-000038010000}"/>
    <hyperlink ref="P222" r:id="rId314" xr:uid="{00000000-0004-0000-0000-000039010000}"/>
    <hyperlink ref="J223" r:id="rId315" xr:uid="{00000000-0004-0000-0000-00003A010000}"/>
    <hyperlink ref="P223" r:id="rId316" xr:uid="{00000000-0004-0000-0000-00003B010000}"/>
    <hyperlink ref="J224" r:id="rId317" xr:uid="{00000000-0004-0000-0000-00003C010000}"/>
    <hyperlink ref="P224" r:id="rId318" xr:uid="{00000000-0004-0000-0000-00003D010000}"/>
    <hyperlink ref="J225" r:id="rId319" xr:uid="{00000000-0004-0000-0000-00003E010000}"/>
    <hyperlink ref="P225" r:id="rId320" xr:uid="{00000000-0004-0000-0000-00003F010000}"/>
    <hyperlink ref="J226" r:id="rId321" xr:uid="{00000000-0004-0000-0000-000040010000}"/>
    <hyperlink ref="J227" r:id="rId322" xr:uid="{00000000-0004-0000-0000-000041010000}"/>
    <hyperlink ref="J228" r:id="rId323" xr:uid="{00000000-0004-0000-0000-000042010000}"/>
    <hyperlink ref="J229" r:id="rId324" xr:uid="{00000000-0004-0000-0000-000043010000}"/>
    <hyperlink ref="J230" r:id="rId325" xr:uid="{00000000-0004-0000-0000-000044010000}"/>
    <hyperlink ref="J231" r:id="rId326" xr:uid="{00000000-0004-0000-0000-000045010000}"/>
    <hyperlink ref="J232" r:id="rId327" xr:uid="{00000000-0004-0000-0000-000046010000}"/>
    <hyperlink ref="J233" r:id="rId328" xr:uid="{00000000-0004-0000-0000-000047010000}"/>
    <hyperlink ref="J234" r:id="rId329" xr:uid="{00000000-0004-0000-0000-000048010000}"/>
    <hyperlink ref="J235" r:id="rId330" xr:uid="{00000000-0004-0000-0000-000049010000}"/>
    <hyperlink ref="J236" r:id="rId331" xr:uid="{00000000-0004-0000-0000-00004A010000}"/>
    <hyperlink ref="J237" r:id="rId332" xr:uid="{00000000-0004-0000-0000-00004B010000}"/>
  </hyperlinks>
  <pageMargins left="0.7" right="0.7" top="0.75" bottom="0.75" header="0" footer="0"/>
  <pageSetup orientation="portrait"/>
  <drawing r:id="rId333"/>
  <legacyDrawing r:id="rId33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00"/>
  <sheetViews>
    <sheetView showGridLines="0"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10" defaultColWidth="14.44140625" defaultRowHeight="15" customHeight="1"/>
  <cols>
    <col min="1" max="1" width="4.6640625" customWidth="1"/>
    <col min="2" max="2" width="18" customWidth="1"/>
    <col min="3" max="3" width="4.33203125" customWidth="1"/>
    <col min="4" max="4" width="5.44140625" customWidth="1"/>
    <col min="5" max="5" width="33.5546875" customWidth="1"/>
    <col min="6" max="6" width="14.109375" customWidth="1"/>
    <col min="7" max="7" width="13.5546875" customWidth="1"/>
    <col min="8" max="8" width="13.109375" customWidth="1"/>
    <col min="9" max="9" width="11.88671875" customWidth="1"/>
    <col min="10" max="10" width="4.88671875" customWidth="1"/>
    <col min="11" max="11" width="34" customWidth="1"/>
    <col min="12" max="12" width="15.109375" customWidth="1"/>
    <col min="13" max="13" width="47" customWidth="1"/>
    <col min="14" max="14" width="31.109375" customWidth="1"/>
    <col min="15" max="15" width="13.109375" customWidth="1"/>
    <col min="16" max="16" width="27.6640625" customWidth="1"/>
    <col min="17" max="17" width="31.6640625" customWidth="1"/>
    <col min="18" max="18" width="15.109375" customWidth="1"/>
    <col min="19" max="19" width="27.33203125" customWidth="1"/>
    <col min="20" max="20" width="20.44140625" customWidth="1"/>
    <col min="21" max="21" width="11.6640625" hidden="1" customWidth="1"/>
    <col min="22" max="22" width="13.44140625" hidden="1" customWidth="1"/>
    <col min="23" max="23" width="22.109375" hidden="1" customWidth="1"/>
    <col min="24" max="24" width="19" customWidth="1"/>
    <col min="25" max="25" width="14" customWidth="1"/>
    <col min="26" max="26" width="17.88671875" customWidth="1"/>
    <col min="27" max="28" width="11.44140625" customWidth="1"/>
    <col min="29" max="29" width="15.109375" customWidth="1"/>
    <col min="30" max="31" width="11.44140625" customWidth="1"/>
    <col min="32" max="32" width="9.5546875" customWidth="1"/>
    <col min="33" max="34" width="11.44140625" customWidth="1"/>
    <col min="35" max="35" width="9.88671875" customWidth="1"/>
    <col min="36" max="37" width="11.44140625" customWidth="1"/>
    <col min="38" max="38" width="10.5546875" customWidth="1"/>
    <col min="39" max="44" width="11.44140625" customWidth="1"/>
  </cols>
  <sheetData>
    <row r="1" spans="1:45" ht="13.5" customHeight="1">
      <c r="A1" s="1"/>
      <c r="B1" s="201" t="s">
        <v>2551</v>
      </c>
      <c r="C1" s="201"/>
      <c r="D1" s="711"/>
      <c r="E1" s="686"/>
      <c r="F1" s="713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714" t="s">
        <v>2552</v>
      </c>
      <c r="V1" s="686"/>
      <c r="W1" s="3"/>
      <c r="X1" s="4"/>
      <c r="Y1" s="5"/>
      <c r="Z1" s="6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7"/>
      <c r="AS1" s="3"/>
    </row>
    <row r="2" spans="1:45" ht="13.5" customHeight="1">
      <c r="A2" s="8"/>
      <c r="B2" s="203" t="s">
        <v>2553</v>
      </c>
      <c r="C2" s="203"/>
      <c r="D2" s="712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86"/>
      <c r="Q2" s="686"/>
      <c r="R2" s="686"/>
      <c r="S2" s="686"/>
      <c r="T2" s="686"/>
      <c r="U2" s="686"/>
      <c r="V2" s="686"/>
      <c r="X2" s="9"/>
      <c r="Y2" s="10"/>
      <c r="Z2" s="6"/>
      <c r="AC2" s="11"/>
      <c r="AR2" s="12"/>
    </row>
    <row r="3" spans="1:45" ht="13.5" customHeight="1">
      <c r="A3" s="8"/>
      <c r="B3" s="203" t="s">
        <v>2554</v>
      </c>
      <c r="C3" s="203"/>
      <c r="D3" s="692"/>
      <c r="E3" s="688"/>
      <c r="F3" s="688"/>
      <c r="G3" s="688"/>
      <c r="H3" s="688"/>
      <c r="I3" s="688"/>
      <c r="J3" s="688"/>
      <c r="K3" s="688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X3" s="9"/>
      <c r="Y3" s="10"/>
      <c r="Z3" s="6"/>
      <c r="AC3" s="11"/>
      <c r="AR3" s="12"/>
    </row>
    <row r="4" spans="1:45" ht="13.5" customHeight="1">
      <c r="A4" s="204"/>
      <c r="B4" s="203" t="s">
        <v>2555</v>
      </c>
      <c r="C4" s="203"/>
      <c r="D4" s="715"/>
      <c r="E4" s="690"/>
      <c r="F4" s="690"/>
      <c r="G4" s="690"/>
      <c r="H4" s="690"/>
      <c r="I4" s="690"/>
      <c r="J4" s="690"/>
      <c r="K4" s="690"/>
      <c r="L4" s="690"/>
      <c r="M4" s="691"/>
      <c r="N4" s="716" t="s">
        <v>2556</v>
      </c>
      <c r="O4" s="690"/>
      <c r="P4" s="690"/>
      <c r="Q4" s="691"/>
      <c r="R4" s="717" t="s">
        <v>2557</v>
      </c>
      <c r="S4" s="681"/>
      <c r="T4" s="681"/>
      <c r="U4" s="681"/>
      <c r="V4" s="681"/>
      <c r="W4" s="205" t="s">
        <v>4</v>
      </c>
      <c r="X4" s="718" t="s">
        <v>5</v>
      </c>
      <c r="Y4" s="698"/>
      <c r="Z4" s="698"/>
      <c r="AA4" s="698"/>
      <c r="AB4" s="698"/>
      <c r="AC4" s="698"/>
      <c r="AD4" s="698"/>
      <c r="AE4" s="698"/>
      <c r="AF4" s="698"/>
      <c r="AG4" s="698"/>
      <c r="AH4" s="698"/>
      <c r="AI4" s="698"/>
      <c r="AJ4" s="698"/>
      <c r="AK4" s="698"/>
      <c r="AL4" s="698"/>
      <c r="AM4" s="698"/>
      <c r="AN4" s="698"/>
      <c r="AO4" s="698"/>
      <c r="AP4" s="698"/>
      <c r="AQ4" s="698"/>
      <c r="AR4" s="699"/>
      <c r="AS4" s="206"/>
    </row>
    <row r="5" spans="1:45" ht="13.5" customHeight="1">
      <c r="A5" s="207"/>
      <c r="B5" s="203" t="s">
        <v>2558</v>
      </c>
      <c r="C5" s="203"/>
      <c r="D5" s="692"/>
      <c r="E5" s="688"/>
      <c r="F5" s="688"/>
      <c r="G5" s="688"/>
      <c r="H5" s="688"/>
      <c r="I5" s="688"/>
      <c r="J5" s="688"/>
      <c r="K5" s="688"/>
      <c r="L5" s="688"/>
      <c r="M5" s="693"/>
      <c r="N5" s="692"/>
      <c r="O5" s="688"/>
      <c r="P5" s="688"/>
      <c r="Q5" s="693"/>
      <c r="R5" s="708" t="s">
        <v>6</v>
      </c>
      <c r="S5" s="682"/>
      <c r="T5" s="709" t="s">
        <v>7</v>
      </c>
      <c r="U5" s="681"/>
      <c r="V5" s="681"/>
      <c r="W5" s="205"/>
      <c r="X5" s="710" t="s">
        <v>8</v>
      </c>
      <c r="Y5" s="681"/>
      <c r="Z5" s="682"/>
      <c r="AA5" s="710" t="s">
        <v>9</v>
      </c>
      <c r="AB5" s="681"/>
      <c r="AC5" s="682"/>
      <c r="AD5" s="710" t="s">
        <v>10</v>
      </c>
      <c r="AE5" s="681"/>
      <c r="AF5" s="682"/>
      <c r="AG5" s="710" t="s">
        <v>11</v>
      </c>
      <c r="AH5" s="681"/>
      <c r="AI5" s="682"/>
      <c r="AJ5" s="710" t="s">
        <v>12</v>
      </c>
      <c r="AK5" s="681"/>
      <c r="AL5" s="682"/>
      <c r="AM5" s="710" t="s">
        <v>13</v>
      </c>
      <c r="AN5" s="681"/>
      <c r="AO5" s="682"/>
      <c r="AP5" s="710" t="s">
        <v>14</v>
      </c>
      <c r="AQ5" s="681"/>
      <c r="AR5" s="682"/>
      <c r="AS5" s="206"/>
    </row>
    <row r="6" spans="1:45" ht="13.5" customHeight="1">
      <c r="A6" s="208"/>
      <c r="B6" s="209" t="s">
        <v>15</v>
      </c>
      <c r="C6" s="209"/>
      <c r="D6" s="209" t="s">
        <v>2559</v>
      </c>
      <c r="E6" s="209" t="s">
        <v>17</v>
      </c>
      <c r="F6" s="209" t="s">
        <v>16</v>
      </c>
      <c r="G6" s="209" t="s">
        <v>18</v>
      </c>
      <c r="H6" s="209" t="s">
        <v>19</v>
      </c>
      <c r="I6" s="209" t="s">
        <v>20</v>
      </c>
      <c r="J6" s="209" t="s">
        <v>21</v>
      </c>
      <c r="K6" s="209" t="s">
        <v>22</v>
      </c>
      <c r="L6" s="210" t="s">
        <v>23</v>
      </c>
      <c r="M6" s="211" t="s">
        <v>24</v>
      </c>
      <c r="N6" s="212" t="s">
        <v>25</v>
      </c>
      <c r="O6" s="209" t="s">
        <v>26</v>
      </c>
      <c r="P6" s="213" t="s">
        <v>27</v>
      </c>
      <c r="Q6" s="214" t="s">
        <v>28</v>
      </c>
      <c r="R6" s="212" t="s">
        <v>29</v>
      </c>
      <c r="S6" s="212" t="s">
        <v>30</v>
      </c>
      <c r="T6" s="212" t="s">
        <v>31</v>
      </c>
      <c r="U6" s="209" t="s">
        <v>32</v>
      </c>
      <c r="V6" s="215" t="s">
        <v>33</v>
      </c>
      <c r="W6" s="216"/>
      <c r="X6" s="217" t="s">
        <v>34</v>
      </c>
      <c r="Y6" s="218" t="s">
        <v>35</v>
      </c>
      <c r="Z6" s="219" t="s">
        <v>36</v>
      </c>
      <c r="AA6" s="220" t="s">
        <v>34</v>
      </c>
      <c r="AB6" s="218" t="s">
        <v>35</v>
      </c>
      <c r="AC6" s="219" t="s">
        <v>36</v>
      </c>
      <c r="AD6" s="220" t="s">
        <v>34</v>
      </c>
      <c r="AE6" s="218" t="s">
        <v>35</v>
      </c>
      <c r="AF6" s="219" t="s">
        <v>36</v>
      </c>
      <c r="AG6" s="221" t="s">
        <v>37</v>
      </c>
      <c r="AH6" s="222" t="s">
        <v>38</v>
      </c>
      <c r="AI6" s="223" t="s">
        <v>39</v>
      </c>
      <c r="AJ6" s="221" t="s">
        <v>37</v>
      </c>
      <c r="AK6" s="222" t="s">
        <v>38</v>
      </c>
      <c r="AL6" s="223" t="s">
        <v>39</v>
      </c>
      <c r="AM6" s="221" t="s">
        <v>37</v>
      </c>
      <c r="AN6" s="222" t="s">
        <v>38</v>
      </c>
      <c r="AO6" s="223" t="s">
        <v>39</v>
      </c>
      <c r="AP6" s="221" t="s">
        <v>37</v>
      </c>
      <c r="AQ6" s="222" t="s">
        <v>38</v>
      </c>
      <c r="AR6" s="223" t="s">
        <v>39</v>
      </c>
      <c r="AS6" s="224"/>
    </row>
    <row r="7" spans="1:45" ht="13.5" customHeight="1">
      <c r="A7" s="202"/>
      <c r="B7" s="225" t="s">
        <v>40</v>
      </c>
      <c r="C7" s="226">
        <v>1</v>
      </c>
      <c r="D7" s="226">
        <v>1</v>
      </c>
      <c r="E7" s="227" t="s">
        <v>42</v>
      </c>
      <c r="F7" s="226" t="s">
        <v>41</v>
      </c>
      <c r="G7" s="226" t="s">
        <v>43</v>
      </c>
      <c r="H7" s="228">
        <v>34427327</v>
      </c>
      <c r="I7" s="229">
        <v>40647</v>
      </c>
      <c r="J7" s="230">
        <f ca="1">+DATEDIF(I7,TODAY(),"Y")</f>
        <v>15</v>
      </c>
      <c r="K7" s="231" t="s">
        <v>44</v>
      </c>
      <c r="L7" s="232" t="s">
        <v>45</v>
      </c>
      <c r="M7" s="233" t="s">
        <v>46</v>
      </c>
      <c r="N7" s="227" t="s">
        <v>47</v>
      </c>
      <c r="O7" s="234">
        <v>10277817</v>
      </c>
      <c r="P7" s="235" t="s">
        <v>48</v>
      </c>
      <c r="Q7" s="231" t="s">
        <v>49</v>
      </c>
      <c r="R7" s="236" t="s">
        <v>50</v>
      </c>
      <c r="S7" s="236" t="s">
        <v>51</v>
      </c>
      <c r="T7" s="236" t="s">
        <v>52</v>
      </c>
      <c r="U7" s="236" t="s">
        <v>53</v>
      </c>
      <c r="V7" s="237">
        <v>400</v>
      </c>
      <c r="W7" s="238" t="s">
        <v>54</v>
      </c>
      <c r="X7" s="235">
        <v>45208</v>
      </c>
      <c r="Y7" s="236" t="s">
        <v>50</v>
      </c>
      <c r="Z7" s="238">
        <v>400</v>
      </c>
      <c r="AA7" s="226"/>
      <c r="AB7" s="226"/>
      <c r="AC7" s="238"/>
      <c r="AD7" s="226"/>
      <c r="AE7" s="226"/>
      <c r="AF7" s="238"/>
      <c r="AG7" s="226"/>
      <c r="AH7" s="226"/>
      <c r="AI7" s="238"/>
      <c r="AJ7" s="226"/>
      <c r="AK7" s="226"/>
      <c r="AL7" s="238"/>
      <c r="AM7" s="226"/>
      <c r="AN7" s="239"/>
      <c r="AO7" s="239"/>
      <c r="AP7" s="226"/>
      <c r="AQ7" s="226"/>
      <c r="AR7" s="240"/>
      <c r="AS7" s="202"/>
    </row>
    <row r="8" spans="1:45" ht="13.5" customHeight="1">
      <c r="A8" s="202"/>
      <c r="B8" s="241"/>
      <c r="C8" s="242"/>
      <c r="D8" s="242"/>
      <c r="E8" s="243"/>
      <c r="F8" s="242"/>
      <c r="G8" s="242"/>
      <c r="H8" s="242"/>
      <c r="I8" s="242"/>
      <c r="J8" s="230"/>
      <c r="K8" s="242"/>
      <c r="L8" s="244"/>
      <c r="M8" s="245"/>
      <c r="N8" s="243"/>
      <c r="O8" s="246"/>
      <c r="P8" s="247"/>
      <c r="Q8" s="247"/>
      <c r="R8" s="248"/>
      <c r="S8" s="248"/>
      <c r="T8" s="248"/>
      <c r="U8" s="248"/>
      <c r="V8" s="249"/>
      <c r="W8" s="250"/>
      <c r="X8" s="247"/>
      <c r="Y8" s="248"/>
      <c r="Z8" s="250"/>
      <c r="AA8" s="242"/>
      <c r="AB8" s="242"/>
      <c r="AC8" s="250"/>
      <c r="AD8" s="242"/>
      <c r="AE8" s="242"/>
      <c r="AF8" s="250"/>
      <c r="AG8" s="242"/>
      <c r="AH8" s="242"/>
      <c r="AI8" s="250"/>
      <c r="AJ8" s="242"/>
      <c r="AK8" s="242"/>
      <c r="AL8" s="250"/>
      <c r="AM8" s="242"/>
      <c r="AN8" s="251"/>
      <c r="AO8" s="251"/>
      <c r="AP8" s="242"/>
      <c r="AQ8" s="242"/>
      <c r="AR8" s="252"/>
      <c r="AS8" s="202"/>
    </row>
    <row r="9" spans="1:45" ht="13.5" customHeight="1">
      <c r="A9" s="202"/>
      <c r="B9" s="241"/>
      <c r="C9" s="242">
        <v>2</v>
      </c>
      <c r="D9" s="226">
        <v>2</v>
      </c>
      <c r="E9" s="243" t="s">
        <v>56</v>
      </c>
      <c r="F9" s="242" t="s">
        <v>55</v>
      </c>
      <c r="G9" s="242" t="s">
        <v>43</v>
      </c>
      <c r="H9" s="253">
        <v>32056776</v>
      </c>
      <c r="I9" s="242">
        <v>39312</v>
      </c>
      <c r="J9" s="230">
        <f ca="1">+DATEDIF(I9,TODAY(),"Y")</f>
        <v>18</v>
      </c>
      <c r="K9" s="254" t="s">
        <v>57</v>
      </c>
      <c r="L9" s="244" t="s">
        <v>58</v>
      </c>
      <c r="M9" s="245" t="s">
        <v>59</v>
      </c>
      <c r="N9" s="243" t="s">
        <v>60</v>
      </c>
      <c r="O9" s="253">
        <v>6965128</v>
      </c>
      <c r="P9" s="247" t="s">
        <v>61</v>
      </c>
      <c r="Q9" s="254" t="s">
        <v>62</v>
      </c>
      <c r="R9" s="248" t="s">
        <v>63</v>
      </c>
      <c r="S9" s="248" t="s">
        <v>64</v>
      </c>
      <c r="T9" s="248" t="s">
        <v>65</v>
      </c>
      <c r="U9" s="255" t="s">
        <v>66</v>
      </c>
      <c r="V9" s="249">
        <v>702</v>
      </c>
      <c r="W9" s="256" t="s">
        <v>54</v>
      </c>
      <c r="X9" s="257">
        <v>45233</v>
      </c>
      <c r="Y9" s="248" t="s">
        <v>63</v>
      </c>
      <c r="Z9" s="256" t="s">
        <v>67</v>
      </c>
      <c r="AA9" s="258"/>
      <c r="AB9" s="258"/>
      <c r="AC9" s="256"/>
      <c r="AD9" s="258"/>
      <c r="AE9" s="258"/>
      <c r="AF9" s="256"/>
      <c r="AG9" s="258"/>
      <c r="AH9" s="258"/>
      <c r="AI9" s="256" t="s">
        <v>68</v>
      </c>
      <c r="AJ9" s="242"/>
      <c r="AK9" s="242"/>
      <c r="AL9" s="250"/>
      <c r="AM9" s="242"/>
      <c r="AN9" s="242"/>
      <c r="AO9" s="250"/>
      <c r="AP9" s="242"/>
      <c r="AQ9" s="242"/>
      <c r="AR9" s="252"/>
      <c r="AS9" s="202" t="s">
        <v>68</v>
      </c>
    </row>
    <row r="10" spans="1:45" ht="13.5" customHeight="1">
      <c r="A10" s="202"/>
      <c r="B10" s="241"/>
      <c r="C10" s="242"/>
      <c r="D10" s="242"/>
      <c r="E10" s="243"/>
      <c r="F10" s="242"/>
      <c r="G10" s="242"/>
      <c r="H10" s="242"/>
      <c r="I10" s="242"/>
      <c r="J10" s="230"/>
      <c r="K10" s="242"/>
      <c r="L10" s="244"/>
      <c r="M10" s="245"/>
      <c r="N10" s="243"/>
      <c r="O10" s="242"/>
      <c r="P10" s="247"/>
      <c r="Q10" s="242"/>
      <c r="R10" s="248"/>
      <c r="S10" s="248"/>
      <c r="T10" s="248"/>
      <c r="U10" s="255"/>
      <c r="V10" s="249"/>
      <c r="W10" s="256"/>
      <c r="X10" s="257"/>
      <c r="Y10" s="248"/>
      <c r="Z10" s="256"/>
      <c r="AA10" s="258"/>
      <c r="AB10" s="258"/>
      <c r="AC10" s="256"/>
      <c r="AD10" s="258"/>
      <c r="AE10" s="258"/>
      <c r="AF10" s="256"/>
      <c r="AG10" s="258"/>
      <c r="AH10" s="258"/>
      <c r="AI10" s="256"/>
      <c r="AJ10" s="242"/>
      <c r="AK10" s="242"/>
      <c r="AL10" s="250"/>
      <c r="AM10" s="242"/>
      <c r="AN10" s="242"/>
      <c r="AO10" s="250"/>
      <c r="AP10" s="242"/>
      <c r="AQ10" s="242"/>
      <c r="AR10" s="252"/>
      <c r="AS10" s="202"/>
    </row>
    <row r="11" spans="1:45" ht="13.5" customHeight="1">
      <c r="A11" s="202"/>
      <c r="B11" s="241"/>
      <c r="C11" s="242">
        <v>3</v>
      </c>
      <c r="D11" s="226">
        <v>3</v>
      </c>
      <c r="E11" s="243" t="s">
        <v>70</v>
      </c>
      <c r="F11" s="242" t="s">
        <v>69</v>
      </c>
      <c r="G11" s="242" t="s">
        <v>43</v>
      </c>
      <c r="H11" s="253">
        <v>32947324</v>
      </c>
      <c r="I11" s="242">
        <v>39700</v>
      </c>
      <c r="J11" s="230">
        <f ca="1">+DATEDIF(I11,TODAY(),"Y")</f>
        <v>17</v>
      </c>
      <c r="K11" s="254" t="s">
        <v>71</v>
      </c>
      <c r="L11" s="244" t="s">
        <v>72</v>
      </c>
      <c r="M11" s="245" t="s">
        <v>73</v>
      </c>
      <c r="N11" s="243" t="s">
        <v>74</v>
      </c>
      <c r="O11" s="246">
        <v>13066018</v>
      </c>
      <c r="P11" s="247" t="s">
        <v>75</v>
      </c>
      <c r="Q11" s="259" t="s">
        <v>71</v>
      </c>
      <c r="R11" s="248" t="s">
        <v>76</v>
      </c>
      <c r="S11" s="248" t="s">
        <v>77</v>
      </c>
      <c r="T11" s="248"/>
      <c r="U11" s="255"/>
      <c r="V11" s="249"/>
      <c r="W11" s="250" t="s">
        <v>78</v>
      </c>
      <c r="X11" s="257">
        <v>45241</v>
      </c>
      <c r="Y11" s="248" t="s">
        <v>76</v>
      </c>
      <c r="Z11" s="250"/>
      <c r="AA11" s="242"/>
      <c r="AB11" s="242"/>
      <c r="AC11" s="250"/>
      <c r="AD11" s="242"/>
      <c r="AE11" s="242"/>
      <c r="AF11" s="250"/>
      <c r="AG11" s="242"/>
      <c r="AH11" s="242"/>
      <c r="AI11" s="250"/>
      <c r="AJ11" s="242"/>
      <c r="AK11" s="242"/>
      <c r="AL11" s="250"/>
      <c r="AM11" s="242"/>
      <c r="AN11" s="242"/>
      <c r="AO11" s="250"/>
      <c r="AP11" s="242"/>
      <c r="AQ11" s="242"/>
      <c r="AR11" s="252"/>
      <c r="AS11" s="202"/>
    </row>
    <row r="12" spans="1:45" ht="13.5" customHeight="1">
      <c r="A12" s="202"/>
      <c r="B12" s="241"/>
      <c r="C12" s="242"/>
      <c r="D12" s="242"/>
      <c r="E12" s="243"/>
      <c r="F12" s="242"/>
      <c r="G12" s="242"/>
      <c r="H12" s="253"/>
      <c r="I12" s="242"/>
      <c r="J12" s="230"/>
      <c r="K12" s="247"/>
      <c r="L12" s="244"/>
      <c r="M12" s="245"/>
      <c r="N12" s="243"/>
      <c r="O12" s="246"/>
      <c r="P12" s="247"/>
      <c r="Q12" s="257"/>
      <c r="R12" s="248"/>
      <c r="S12" s="248"/>
      <c r="T12" s="248"/>
      <c r="U12" s="255"/>
      <c r="V12" s="249"/>
      <c r="W12" s="250"/>
      <c r="X12" s="257"/>
      <c r="Y12" s="248"/>
      <c r="Z12" s="250"/>
      <c r="AA12" s="242"/>
      <c r="AB12" s="242"/>
      <c r="AC12" s="250"/>
      <c r="AD12" s="242"/>
      <c r="AE12" s="242"/>
      <c r="AF12" s="250"/>
      <c r="AG12" s="242"/>
      <c r="AH12" s="242"/>
      <c r="AI12" s="250"/>
      <c r="AJ12" s="242"/>
      <c r="AK12" s="242"/>
      <c r="AL12" s="250"/>
      <c r="AM12" s="242"/>
      <c r="AN12" s="242"/>
      <c r="AO12" s="250"/>
      <c r="AP12" s="242"/>
      <c r="AQ12" s="242"/>
      <c r="AR12" s="252"/>
      <c r="AS12" s="202"/>
    </row>
    <row r="13" spans="1:45" ht="13.5" customHeight="1">
      <c r="A13" s="202"/>
      <c r="B13" s="241"/>
      <c r="C13" s="242">
        <v>4</v>
      </c>
      <c r="D13" s="226">
        <v>4</v>
      </c>
      <c r="E13" s="243" t="s">
        <v>80</v>
      </c>
      <c r="F13" s="242" t="s">
        <v>79</v>
      </c>
      <c r="G13" s="242" t="s">
        <v>43</v>
      </c>
      <c r="H13" s="253">
        <v>33625463</v>
      </c>
      <c r="I13" s="242">
        <v>40863</v>
      </c>
      <c r="J13" s="230">
        <f ca="1">+DATEDIF(I13,TODAY(),"Y")</f>
        <v>14</v>
      </c>
      <c r="K13" s="254" t="s">
        <v>81</v>
      </c>
      <c r="L13" s="244"/>
      <c r="M13" s="245" t="s">
        <v>82</v>
      </c>
      <c r="N13" s="243" t="s">
        <v>83</v>
      </c>
      <c r="O13" s="246">
        <v>16286066</v>
      </c>
      <c r="P13" s="247" t="s">
        <v>84</v>
      </c>
      <c r="Q13" s="254" t="s">
        <v>81</v>
      </c>
      <c r="R13" s="248" t="s">
        <v>50</v>
      </c>
      <c r="S13" s="248" t="s">
        <v>77</v>
      </c>
      <c r="T13" s="248" t="s">
        <v>85</v>
      </c>
      <c r="U13" s="255" t="s">
        <v>66</v>
      </c>
      <c r="V13" s="249" t="s">
        <v>86</v>
      </c>
      <c r="W13" s="250" t="s">
        <v>54</v>
      </c>
      <c r="X13" s="257">
        <v>45245</v>
      </c>
      <c r="Y13" s="248" t="s">
        <v>50</v>
      </c>
      <c r="Z13" s="250">
        <v>240</v>
      </c>
      <c r="AA13" s="242"/>
      <c r="AB13" s="242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251"/>
      <c r="AN13" s="251"/>
      <c r="AO13" s="251"/>
      <c r="AP13" s="251"/>
      <c r="AQ13" s="251"/>
      <c r="AR13" s="260"/>
      <c r="AS13" s="202"/>
    </row>
    <row r="14" spans="1:45" ht="13.5" customHeight="1">
      <c r="A14" s="202"/>
      <c r="B14" s="241"/>
      <c r="C14" s="242"/>
      <c r="D14" s="242"/>
      <c r="E14" s="243"/>
      <c r="F14" s="242"/>
      <c r="G14" s="242"/>
      <c r="H14" s="253"/>
      <c r="I14" s="242"/>
      <c r="J14" s="230"/>
      <c r="K14" s="247"/>
      <c r="L14" s="244"/>
      <c r="M14" s="245"/>
      <c r="N14" s="243"/>
      <c r="O14" s="246"/>
      <c r="P14" s="247"/>
      <c r="Q14" s="247"/>
      <c r="R14" s="248"/>
      <c r="S14" s="248"/>
      <c r="T14" s="248"/>
      <c r="U14" s="255"/>
      <c r="V14" s="249"/>
      <c r="W14" s="250"/>
      <c r="X14" s="257"/>
      <c r="Y14" s="248"/>
      <c r="Z14" s="250"/>
      <c r="AA14" s="242"/>
      <c r="AB14" s="242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60"/>
      <c r="AS14" s="202"/>
    </row>
    <row r="15" spans="1:45" ht="13.5" customHeight="1">
      <c r="A15" s="202"/>
      <c r="B15" s="241"/>
      <c r="C15" s="242">
        <v>5</v>
      </c>
      <c r="D15" s="226">
        <v>5</v>
      </c>
      <c r="E15" s="243" t="s">
        <v>88</v>
      </c>
      <c r="F15" s="242" t="s">
        <v>87</v>
      </c>
      <c r="G15" s="242" t="s">
        <v>43</v>
      </c>
      <c r="H15" s="253"/>
      <c r="I15" s="242">
        <v>43195</v>
      </c>
      <c r="J15" s="230">
        <f ca="1">+DATEDIF(I15,TODAY(),"Y")</f>
        <v>8</v>
      </c>
      <c r="K15" s="254" t="s">
        <v>89</v>
      </c>
      <c r="L15" s="244"/>
      <c r="M15" s="245" t="s">
        <v>90</v>
      </c>
      <c r="N15" s="243" t="s">
        <v>91</v>
      </c>
      <c r="O15" s="246">
        <v>19391787</v>
      </c>
      <c r="P15" s="247" t="s">
        <v>92</v>
      </c>
      <c r="Q15" s="254" t="s">
        <v>93</v>
      </c>
      <c r="R15" s="248" t="s">
        <v>94</v>
      </c>
      <c r="S15" s="248" t="s">
        <v>95</v>
      </c>
      <c r="T15" s="248" t="s">
        <v>85</v>
      </c>
      <c r="U15" s="255" t="s">
        <v>66</v>
      </c>
      <c r="V15" s="249" t="s">
        <v>86</v>
      </c>
      <c r="W15" s="250" t="s">
        <v>78</v>
      </c>
      <c r="X15" s="247">
        <v>45251</v>
      </c>
      <c r="Y15" s="248" t="s">
        <v>96</v>
      </c>
      <c r="Z15" s="250" t="s">
        <v>97</v>
      </c>
      <c r="AA15" s="242"/>
      <c r="AB15" s="242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60"/>
      <c r="AS15" s="202"/>
    </row>
    <row r="16" spans="1:45" ht="13.5" customHeight="1">
      <c r="A16" s="202"/>
      <c r="B16" s="241"/>
      <c r="C16" s="242"/>
      <c r="D16" s="242"/>
      <c r="E16" s="243"/>
      <c r="F16" s="242"/>
      <c r="G16" s="242"/>
      <c r="H16" s="253"/>
      <c r="I16" s="242"/>
      <c r="J16" s="230"/>
      <c r="K16" s="247"/>
      <c r="L16" s="244"/>
      <c r="M16" s="245"/>
      <c r="N16" s="243"/>
      <c r="O16" s="246"/>
      <c r="P16" s="247"/>
      <c r="Q16" s="247"/>
      <c r="R16" s="248"/>
      <c r="S16" s="248"/>
      <c r="T16" s="248"/>
      <c r="U16" s="255"/>
      <c r="V16" s="249"/>
      <c r="W16" s="250"/>
      <c r="X16" s="247"/>
      <c r="Y16" s="248"/>
      <c r="Z16" s="250"/>
      <c r="AA16" s="242"/>
      <c r="AB16" s="242"/>
      <c r="AC16" s="251"/>
      <c r="AD16" s="251"/>
      <c r="AE16" s="251"/>
      <c r="AF16" s="251"/>
      <c r="AG16" s="251"/>
      <c r="AH16" s="251"/>
      <c r="AI16" s="251"/>
      <c r="AJ16" s="251"/>
      <c r="AK16" s="251"/>
      <c r="AL16" s="251"/>
      <c r="AM16" s="251"/>
      <c r="AN16" s="251"/>
      <c r="AO16" s="251"/>
      <c r="AP16" s="251"/>
      <c r="AQ16" s="251"/>
      <c r="AR16" s="260"/>
      <c r="AS16" s="202"/>
    </row>
    <row r="17" spans="1:45" ht="13.5" customHeight="1">
      <c r="A17" s="202"/>
      <c r="B17" s="241"/>
      <c r="C17" s="242">
        <v>6</v>
      </c>
      <c r="D17" s="226">
        <v>6</v>
      </c>
      <c r="E17" s="243" t="s">
        <v>99</v>
      </c>
      <c r="F17" s="242" t="s">
        <v>98</v>
      </c>
      <c r="G17" s="242" t="s">
        <v>43</v>
      </c>
      <c r="H17" s="253">
        <v>32707985</v>
      </c>
      <c r="I17" s="242">
        <v>39610</v>
      </c>
      <c r="J17" s="230">
        <f ca="1">+DATEDIF(I17,TODAY(),"Y")</f>
        <v>17</v>
      </c>
      <c r="K17" s="254" t="s">
        <v>100</v>
      </c>
      <c r="L17" s="244" t="s">
        <v>101</v>
      </c>
      <c r="M17" s="245" t="s">
        <v>102</v>
      </c>
      <c r="N17" s="243" t="s">
        <v>103</v>
      </c>
      <c r="O17" s="246">
        <v>10283219</v>
      </c>
      <c r="P17" s="247" t="s">
        <v>104</v>
      </c>
      <c r="Q17" s="254" t="s">
        <v>105</v>
      </c>
      <c r="R17" s="248" t="s">
        <v>106</v>
      </c>
      <c r="S17" s="248" t="s">
        <v>107</v>
      </c>
      <c r="T17" s="248" t="s">
        <v>85</v>
      </c>
      <c r="U17" s="255"/>
      <c r="V17" s="249">
        <v>240</v>
      </c>
      <c r="W17" s="250" t="s">
        <v>54</v>
      </c>
      <c r="X17" s="247">
        <v>45251</v>
      </c>
      <c r="Y17" s="248" t="s">
        <v>106</v>
      </c>
      <c r="Z17" s="250">
        <v>240</v>
      </c>
      <c r="AA17" s="242"/>
      <c r="AB17" s="242"/>
      <c r="AC17" s="250"/>
      <c r="AD17" s="242"/>
      <c r="AE17" s="242"/>
      <c r="AF17" s="250"/>
      <c r="AG17" s="242"/>
      <c r="AH17" s="242"/>
      <c r="AI17" s="250"/>
      <c r="AJ17" s="242"/>
      <c r="AK17" s="242"/>
      <c r="AL17" s="250"/>
      <c r="AM17" s="251"/>
      <c r="AN17" s="251"/>
      <c r="AO17" s="251"/>
      <c r="AP17" s="251"/>
      <c r="AQ17" s="251"/>
      <c r="AR17" s="260"/>
      <c r="AS17" s="202"/>
    </row>
    <row r="18" spans="1:45" ht="13.5" customHeight="1">
      <c r="A18" s="202"/>
      <c r="B18" s="241"/>
      <c r="C18" s="242"/>
      <c r="D18" s="242"/>
      <c r="E18" s="243"/>
      <c r="F18" s="242"/>
      <c r="G18" s="242"/>
      <c r="H18" s="242"/>
      <c r="I18" s="242"/>
      <c r="J18" s="230"/>
      <c r="K18" s="247"/>
      <c r="L18" s="244"/>
      <c r="M18" s="245"/>
      <c r="N18" s="243"/>
      <c r="O18" s="246"/>
      <c r="P18" s="247"/>
      <c r="Q18" s="247"/>
      <c r="R18" s="248"/>
      <c r="S18" s="248"/>
      <c r="T18" s="248"/>
      <c r="U18" s="255"/>
      <c r="V18" s="249"/>
      <c r="W18" s="250"/>
      <c r="X18" s="247"/>
      <c r="Y18" s="248"/>
      <c r="Z18" s="250"/>
      <c r="AA18" s="242"/>
      <c r="AB18" s="242"/>
      <c r="AC18" s="250"/>
      <c r="AD18" s="242"/>
      <c r="AE18" s="242"/>
      <c r="AF18" s="250"/>
      <c r="AG18" s="242"/>
      <c r="AH18" s="242"/>
      <c r="AI18" s="250"/>
      <c r="AJ18" s="242"/>
      <c r="AK18" s="242"/>
      <c r="AL18" s="250"/>
      <c r="AM18" s="251"/>
      <c r="AN18" s="251"/>
      <c r="AO18" s="251"/>
      <c r="AP18" s="251"/>
      <c r="AQ18" s="251"/>
      <c r="AR18" s="260"/>
      <c r="AS18" s="202"/>
    </row>
    <row r="19" spans="1:45" ht="13.5" customHeight="1">
      <c r="A19" s="202"/>
      <c r="B19" s="241"/>
      <c r="C19" s="242">
        <v>7</v>
      </c>
      <c r="D19" s="226">
        <v>7</v>
      </c>
      <c r="E19" s="243" t="s">
        <v>109</v>
      </c>
      <c r="F19" s="242" t="s">
        <v>108</v>
      </c>
      <c r="G19" s="242" t="s">
        <v>43</v>
      </c>
      <c r="H19" s="253"/>
      <c r="I19" s="242">
        <v>43200</v>
      </c>
      <c r="J19" s="230">
        <f ca="1">+DATEDIF(I19,TODAY(),"Y")</f>
        <v>8</v>
      </c>
      <c r="K19" s="254" t="s">
        <v>110</v>
      </c>
      <c r="L19" s="244"/>
      <c r="M19" s="261" t="s">
        <v>111</v>
      </c>
      <c r="N19" s="243" t="s">
        <v>112</v>
      </c>
      <c r="O19" s="246">
        <v>15914411</v>
      </c>
      <c r="P19" s="247" t="s">
        <v>113</v>
      </c>
      <c r="Q19" s="259" t="s">
        <v>110</v>
      </c>
      <c r="R19" s="248" t="s">
        <v>94</v>
      </c>
      <c r="S19" s="248" t="s">
        <v>77</v>
      </c>
      <c r="T19" s="248" t="s">
        <v>85</v>
      </c>
      <c r="U19" s="255" t="s">
        <v>66</v>
      </c>
      <c r="V19" s="249">
        <v>100</v>
      </c>
      <c r="W19" s="250" t="s">
        <v>54</v>
      </c>
      <c r="X19" s="247">
        <v>45251</v>
      </c>
      <c r="Y19" s="248" t="s">
        <v>96</v>
      </c>
      <c r="Z19" s="250" t="s">
        <v>114</v>
      </c>
      <c r="AA19" s="242"/>
      <c r="AB19" s="242"/>
      <c r="AC19" s="250"/>
      <c r="AD19" s="242"/>
      <c r="AE19" s="242"/>
      <c r="AF19" s="250"/>
      <c r="AG19" s="251"/>
      <c r="AH19" s="251"/>
      <c r="AI19" s="251"/>
      <c r="AJ19" s="251"/>
      <c r="AK19" s="251"/>
      <c r="AL19" s="251"/>
      <c r="AM19" s="251"/>
      <c r="AN19" s="251"/>
      <c r="AO19" s="251"/>
      <c r="AP19" s="251"/>
      <c r="AQ19" s="251"/>
      <c r="AR19" s="260"/>
      <c r="AS19" s="202"/>
    </row>
    <row r="20" spans="1:45" ht="13.5" customHeight="1">
      <c r="A20" s="202"/>
      <c r="B20" s="241"/>
      <c r="C20" s="242"/>
      <c r="D20" s="242"/>
      <c r="E20" s="243"/>
      <c r="F20" s="242"/>
      <c r="G20" s="242"/>
      <c r="H20" s="242"/>
      <c r="I20" s="242"/>
      <c r="J20" s="230"/>
      <c r="K20" s="247"/>
      <c r="L20" s="244"/>
      <c r="M20" s="261"/>
      <c r="N20" s="243"/>
      <c r="O20" s="246"/>
      <c r="P20" s="247"/>
      <c r="Q20" s="257"/>
      <c r="R20" s="248"/>
      <c r="S20" s="248"/>
      <c r="T20" s="248"/>
      <c r="U20" s="255"/>
      <c r="V20" s="249"/>
      <c r="W20" s="250"/>
      <c r="X20" s="247"/>
      <c r="Y20" s="248"/>
      <c r="Z20" s="250"/>
      <c r="AA20" s="242"/>
      <c r="AB20" s="242"/>
      <c r="AC20" s="250"/>
      <c r="AD20" s="242"/>
      <c r="AE20" s="242"/>
      <c r="AF20" s="250"/>
      <c r="AG20" s="251"/>
      <c r="AH20" s="251"/>
      <c r="AI20" s="251"/>
      <c r="AJ20" s="251"/>
      <c r="AK20" s="251"/>
      <c r="AL20" s="251"/>
      <c r="AM20" s="251"/>
      <c r="AN20" s="251"/>
      <c r="AO20" s="251"/>
      <c r="AP20" s="251"/>
      <c r="AQ20" s="251"/>
      <c r="AR20" s="260"/>
      <c r="AS20" s="202"/>
    </row>
    <row r="21" spans="1:45" ht="13.5" customHeight="1">
      <c r="A21" s="202"/>
      <c r="B21" s="241"/>
      <c r="C21" s="242">
        <v>8</v>
      </c>
      <c r="D21" s="226">
        <v>8</v>
      </c>
      <c r="E21" s="243" t="s">
        <v>116</v>
      </c>
      <c r="F21" s="242" t="s">
        <v>115</v>
      </c>
      <c r="G21" s="242" t="s">
        <v>43</v>
      </c>
      <c r="H21" s="253">
        <v>32026908</v>
      </c>
      <c r="I21" s="242">
        <v>39028</v>
      </c>
      <c r="J21" s="230">
        <f ca="1">+DATEDIF(I21,TODAY(),"Y")</f>
        <v>19</v>
      </c>
      <c r="K21" s="254" t="s">
        <v>117</v>
      </c>
      <c r="L21" s="244" t="s">
        <v>118</v>
      </c>
      <c r="M21" s="261" t="s">
        <v>102</v>
      </c>
      <c r="N21" s="243" t="s">
        <v>103</v>
      </c>
      <c r="O21" s="246">
        <v>10283219</v>
      </c>
      <c r="P21" s="247" t="s">
        <v>104</v>
      </c>
      <c r="Q21" s="254" t="s">
        <v>105</v>
      </c>
      <c r="R21" s="248" t="s">
        <v>119</v>
      </c>
      <c r="S21" s="248" t="s">
        <v>120</v>
      </c>
      <c r="T21" s="248" t="s">
        <v>85</v>
      </c>
      <c r="U21" s="255"/>
      <c r="V21" s="249">
        <v>240</v>
      </c>
      <c r="W21" s="250" t="s">
        <v>54</v>
      </c>
      <c r="X21" s="247">
        <v>45251</v>
      </c>
      <c r="Y21" s="248" t="s">
        <v>119</v>
      </c>
      <c r="Z21" s="250">
        <v>240</v>
      </c>
      <c r="AA21" s="242"/>
      <c r="AB21" s="242"/>
      <c r="AC21" s="250"/>
      <c r="AD21" s="251"/>
      <c r="AE21" s="251"/>
      <c r="AF21" s="251"/>
      <c r="AG21" s="242"/>
      <c r="AH21" s="242"/>
      <c r="AI21" s="250"/>
      <c r="AJ21" s="242"/>
      <c r="AK21" s="242"/>
      <c r="AL21" s="250"/>
      <c r="AM21" s="251"/>
      <c r="AN21" s="251"/>
      <c r="AO21" s="251"/>
      <c r="AP21" s="251"/>
      <c r="AQ21" s="251"/>
      <c r="AR21" s="260"/>
      <c r="AS21" s="202"/>
    </row>
    <row r="22" spans="1:45" ht="13.5" customHeight="1">
      <c r="A22" s="202"/>
      <c r="B22" s="241"/>
      <c r="C22" s="242"/>
      <c r="D22" s="242"/>
      <c r="E22" s="243"/>
      <c r="F22" s="242"/>
      <c r="G22" s="242"/>
      <c r="H22" s="242"/>
      <c r="I22" s="242"/>
      <c r="J22" s="230"/>
      <c r="K22" s="247"/>
      <c r="L22" s="244"/>
      <c r="M22" s="261"/>
      <c r="N22" s="243"/>
      <c r="O22" s="246"/>
      <c r="P22" s="247"/>
      <c r="Q22" s="242"/>
      <c r="R22" s="248"/>
      <c r="S22" s="248"/>
      <c r="T22" s="248"/>
      <c r="U22" s="255"/>
      <c r="V22" s="249"/>
      <c r="W22" s="250"/>
      <c r="X22" s="247"/>
      <c r="Y22" s="248"/>
      <c r="Z22" s="250"/>
      <c r="AA22" s="242"/>
      <c r="AB22" s="242"/>
      <c r="AC22" s="250"/>
      <c r="AD22" s="251"/>
      <c r="AE22" s="251"/>
      <c r="AF22" s="251"/>
      <c r="AG22" s="242"/>
      <c r="AH22" s="242"/>
      <c r="AI22" s="250"/>
      <c r="AJ22" s="242"/>
      <c r="AK22" s="242"/>
      <c r="AL22" s="250"/>
      <c r="AM22" s="251"/>
      <c r="AN22" s="251"/>
      <c r="AO22" s="251"/>
      <c r="AP22" s="251"/>
      <c r="AQ22" s="251"/>
      <c r="AR22" s="260"/>
      <c r="AS22" s="202"/>
    </row>
    <row r="23" spans="1:45" ht="13.5" customHeight="1">
      <c r="A23" s="202"/>
      <c r="B23" s="241"/>
      <c r="C23" s="242">
        <v>9</v>
      </c>
      <c r="D23" s="226">
        <v>9</v>
      </c>
      <c r="E23" s="243" t="s">
        <v>122</v>
      </c>
      <c r="F23" s="242" t="s">
        <v>121</v>
      </c>
      <c r="G23" s="242" t="s">
        <v>43</v>
      </c>
      <c r="H23" s="242" t="s">
        <v>123</v>
      </c>
      <c r="I23" s="242">
        <v>41708</v>
      </c>
      <c r="J23" s="230">
        <f ca="1">+DATEDIF(I23,TODAY(),"Y")</f>
        <v>12</v>
      </c>
      <c r="K23" s="254" t="s">
        <v>124</v>
      </c>
      <c r="L23" s="244" t="s">
        <v>125</v>
      </c>
      <c r="M23" s="261" t="s">
        <v>126</v>
      </c>
      <c r="N23" s="243" t="s">
        <v>127</v>
      </c>
      <c r="O23" s="246">
        <v>13727828</v>
      </c>
      <c r="P23" s="247" t="s">
        <v>128</v>
      </c>
      <c r="Q23" s="254" t="s">
        <v>124</v>
      </c>
      <c r="R23" s="248" t="s">
        <v>129</v>
      </c>
      <c r="S23" s="248" t="s">
        <v>130</v>
      </c>
      <c r="T23" s="248" t="s">
        <v>85</v>
      </c>
      <c r="U23" s="255" t="s">
        <v>66</v>
      </c>
      <c r="V23" s="249">
        <v>100</v>
      </c>
      <c r="W23" s="250" t="s">
        <v>54</v>
      </c>
      <c r="X23" s="247">
        <v>45259</v>
      </c>
      <c r="Y23" s="248" t="s">
        <v>129</v>
      </c>
      <c r="Z23" s="250" t="s">
        <v>114</v>
      </c>
      <c r="AA23" s="242"/>
      <c r="AB23" s="242"/>
      <c r="AC23" s="251"/>
      <c r="AD23" s="242"/>
      <c r="AE23" s="242"/>
      <c r="AF23" s="250"/>
      <c r="AG23" s="242"/>
      <c r="AH23" s="242"/>
      <c r="AI23" s="250"/>
      <c r="AJ23" s="242"/>
      <c r="AK23" s="242"/>
      <c r="AL23" s="250"/>
      <c r="AM23" s="251"/>
      <c r="AN23" s="251"/>
      <c r="AO23" s="251"/>
      <c r="AP23" s="251"/>
      <c r="AQ23" s="251"/>
      <c r="AR23" s="260"/>
      <c r="AS23" s="202"/>
    </row>
    <row r="24" spans="1:45" ht="13.5" customHeight="1">
      <c r="A24" s="202"/>
      <c r="B24" s="241"/>
      <c r="C24" s="242"/>
      <c r="D24" s="242"/>
      <c r="E24" s="243"/>
      <c r="F24" s="242"/>
      <c r="G24" s="242"/>
      <c r="H24" s="242"/>
      <c r="I24" s="242"/>
      <c r="J24" s="230"/>
      <c r="K24" s="247"/>
      <c r="L24" s="244"/>
      <c r="M24" s="261"/>
      <c r="N24" s="243"/>
      <c r="O24" s="246"/>
      <c r="P24" s="247"/>
      <c r="Q24" s="242"/>
      <c r="R24" s="248"/>
      <c r="S24" s="248"/>
      <c r="T24" s="248"/>
      <c r="U24" s="255"/>
      <c r="V24" s="249"/>
      <c r="W24" s="250"/>
      <c r="X24" s="247"/>
      <c r="Y24" s="248"/>
      <c r="Z24" s="250"/>
      <c r="AA24" s="242"/>
      <c r="AB24" s="242"/>
      <c r="AC24" s="251"/>
      <c r="AD24" s="242"/>
      <c r="AE24" s="242"/>
      <c r="AF24" s="250"/>
      <c r="AG24" s="242"/>
      <c r="AH24" s="242"/>
      <c r="AI24" s="250"/>
      <c r="AJ24" s="242"/>
      <c r="AK24" s="242"/>
      <c r="AL24" s="250"/>
      <c r="AM24" s="251"/>
      <c r="AN24" s="251"/>
      <c r="AO24" s="251"/>
      <c r="AP24" s="251"/>
      <c r="AQ24" s="251"/>
      <c r="AR24" s="260"/>
      <c r="AS24" s="202"/>
    </row>
    <row r="25" spans="1:45" ht="13.5" customHeight="1">
      <c r="A25" s="202"/>
      <c r="B25" s="241"/>
      <c r="C25" s="242">
        <v>10</v>
      </c>
      <c r="D25" s="226">
        <v>10</v>
      </c>
      <c r="E25" s="243" t="s">
        <v>132</v>
      </c>
      <c r="F25" s="242" t="s">
        <v>131</v>
      </c>
      <c r="G25" s="242" t="s">
        <v>43</v>
      </c>
      <c r="H25" s="253">
        <v>36069604</v>
      </c>
      <c r="I25" s="242">
        <v>41660</v>
      </c>
      <c r="J25" s="230">
        <f ca="1">+DATEDIF(I25,TODAY(),"Y")</f>
        <v>12</v>
      </c>
      <c r="K25" s="254" t="s">
        <v>133</v>
      </c>
      <c r="L25" s="244" t="s">
        <v>134</v>
      </c>
      <c r="M25" s="245" t="s">
        <v>135</v>
      </c>
      <c r="N25" s="243" t="s">
        <v>136</v>
      </c>
      <c r="O25" s="262">
        <v>20115114</v>
      </c>
      <c r="P25" s="247" t="s">
        <v>137</v>
      </c>
      <c r="Q25" s="259" t="s">
        <v>133</v>
      </c>
      <c r="R25" s="248" t="s">
        <v>129</v>
      </c>
      <c r="S25" s="248" t="s">
        <v>64</v>
      </c>
      <c r="T25" s="248" t="s">
        <v>138</v>
      </c>
      <c r="U25" s="255"/>
      <c r="V25" s="249">
        <v>240</v>
      </c>
      <c r="W25" s="250" t="s">
        <v>78</v>
      </c>
      <c r="X25" s="247">
        <v>45266</v>
      </c>
      <c r="Y25" s="248" t="s">
        <v>129</v>
      </c>
      <c r="Z25" s="250">
        <v>240</v>
      </c>
      <c r="AA25" s="242"/>
      <c r="AB25" s="242"/>
      <c r="AC25" s="250"/>
      <c r="AD25" s="251"/>
      <c r="AE25" s="251"/>
      <c r="AF25" s="251"/>
      <c r="AG25" s="251"/>
      <c r="AH25" s="251"/>
      <c r="AI25" s="251"/>
      <c r="AJ25" s="251"/>
      <c r="AK25" s="251"/>
      <c r="AL25" s="251"/>
      <c r="AM25" s="251"/>
      <c r="AN25" s="251"/>
      <c r="AO25" s="251"/>
      <c r="AP25" s="251"/>
      <c r="AQ25" s="251"/>
      <c r="AR25" s="260"/>
      <c r="AS25" s="202"/>
    </row>
    <row r="26" spans="1:45" ht="13.5" customHeight="1">
      <c r="A26" s="202"/>
      <c r="B26" s="241"/>
      <c r="C26" s="242"/>
      <c r="D26" s="242"/>
      <c r="E26" s="243"/>
      <c r="F26" s="242"/>
      <c r="G26" s="242"/>
      <c r="H26" s="253"/>
      <c r="I26" s="242"/>
      <c r="J26" s="230"/>
      <c r="K26" s="242"/>
      <c r="L26" s="244"/>
      <c r="M26" s="245"/>
      <c r="N26" s="243"/>
      <c r="O26" s="247"/>
      <c r="P26" s="247"/>
      <c r="Q26" s="257"/>
      <c r="R26" s="248"/>
      <c r="S26" s="248"/>
      <c r="T26" s="248"/>
      <c r="U26" s="255"/>
      <c r="V26" s="249"/>
      <c r="W26" s="250"/>
      <c r="X26" s="247"/>
      <c r="Y26" s="248"/>
      <c r="Z26" s="250"/>
      <c r="AA26" s="242"/>
      <c r="AB26" s="242"/>
      <c r="AC26" s="250"/>
      <c r="AD26" s="251"/>
      <c r="AE26" s="251"/>
      <c r="AF26" s="251"/>
      <c r="AG26" s="251"/>
      <c r="AH26" s="251"/>
      <c r="AI26" s="251"/>
      <c r="AJ26" s="251"/>
      <c r="AK26" s="251"/>
      <c r="AL26" s="251"/>
      <c r="AM26" s="251"/>
      <c r="AN26" s="251"/>
      <c r="AO26" s="251"/>
      <c r="AP26" s="251"/>
      <c r="AQ26" s="251"/>
      <c r="AR26" s="260"/>
      <c r="AS26" s="202"/>
    </row>
    <row r="27" spans="1:45" ht="13.5" customHeight="1">
      <c r="A27" s="202"/>
      <c r="B27" s="241"/>
      <c r="C27" s="242">
        <v>11</v>
      </c>
      <c r="D27" s="226">
        <v>11</v>
      </c>
      <c r="E27" s="243" t="s">
        <v>140</v>
      </c>
      <c r="F27" s="242" t="s">
        <v>139</v>
      </c>
      <c r="G27" s="242" t="s">
        <v>43</v>
      </c>
      <c r="H27" s="253"/>
      <c r="I27" s="242">
        <v>42283</v>
      </c>
      <c r="J27" s="230">
        <f ca="1">+DATEDIF(I27,TODAY(),"Y")</f>
        <v>10</v>
      </c>
      <c r="K27" s="254" t="s">
        <v>141</v>
      </c>
      <c r="L27" s="244"/>
      <c r="M27" s="245" t="s">
        <v>142</v>
      </c>
      <c r="N27" s="243" t="s">
        <v>143</v>
      </c>
      <c r="O27" s="246">
        <v>16959039</v>
      </c>
      <c r="P27" s="263" t="s">
        <v>144</v>
      </c>
      <c r="Q27" s="254" t="s">
        <v>145</v>
      </c>
      <c r="R27" s="248" t="s">
        <v>129</v>
      </c>
      <c r="S27" s="248" t="s">
        <v>146</v>
      </c>
      <c r="T27" s="248"/>
      <c r="U27" s="248"/>
      <c r="V27" s="249">
        <v>240</v>
      </c>
      <c r="W27" s="250" t="s">
        <v>54</v>
      </c>
      <c r="X27" s="247">
        <v>45267</v>
      </c>
      <c r="Y27" s="248" t="s">
        <v>129</v>
      </c>
      <c r="Z27" s="250">
        <v>240</v>
      </c>
      <c r="AA27" s="242"/>
      <c r="AB27" s="242"/>
      <c r="AC27" s="251"/>
      <c r="AD27" s="242"/>
      <c r="AE27" s="242"/>
      <c r="AF27" s="250"/>
      <c r="AG27" s="251"/>
      <c r="AH27" s="251"/>
      <c r="AI27" s="251"/>
      <c r="AJ27" s="251"/>
      <c r="AK27" s="251"/>
      <c r="AL27" s="251"/>
      <c r="AM27" s="251"/>
      <c r="AN27" s="251"/>
      <c r="AO27" s="251"/>
      <c r="AP27" s="251"/>
      <c r="AQ27" s="251"/>
      <c r="AR27" s="260"/>
      <c r="AS27" s="202"/>
    </row>
    <row r="28" spans="1:45" ht="13.5" customHeight="1">
      <c r="A28" s="202"/>
      <c r="B28" s="241"/>
      <c r="C28" s="242"/>
      <c r="D28" s="242"/>
      <c r="E28" s="243"/>
      <c r="F28" s="242"/>
      <c r="G28" s="242"/>
      <c r="H28" s="253"/>
      <c r="I28" s="242"/>
      <c r="J28" s="230"/>
      <c r="K28" s="247"/>
      <c r="L28" s="244"/>
      <c r="M28" s="245"/>
      <c r="N28" s="243"/>
      <c r="O28" s="246"/>
      <c r="P28" s="247"/>
      <c r="Q28" s="242"/>
      <c r="R28" s="248"/>
      <c r="S28" s="248"/>
      <c r="T28" s="248"/>
      <c r="U28" s="248"/>
      <c r="V28" s="249"/>
      <c r="W28" s="250"/>
      <c r="X28" s="247"/>
      <c r="Y28" s="248"/>
      <c r="Z28" s="250"/>
      <c r="AA28" s="242"/>
      <c r="AB28" s="242"/>
      <c r="AC28" s="251"/>
      <c r="AD28" s="242"/>
      <c r="AE28" s="242"/>
      <c r="AF28" s="250"/>
      <c r="AG28" s="251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60"/>
      <c r="AS28" s="202"/>
    </row>
    <row r="29" spans="1:45" ht="13.5" customHeight="1">
      <c r="A29" s="202"/>
      <c r="B29" s="241"/>
      <c r="C29" s="242">
        <v>12</v>
      </c>
      <c r="D29" s="226">
        <v>12</v>
      </c>
      <c r="E29" s="243" t="s">
        <v>148</v>
      </c>
      <c r="F29" s="242" t="s">
        <v>147</v>
      </c>
      <c r="G29" s="242" t="s">
        <v>43</v>
      </c>
      <c r="H29" s="253">
        <v>33329037</v>
      </c>
      <c r="I29" s="242">
        <v>40392</v>
      </c>
      <c r="J29" s="230">
        <f ca="1">+DATEDIF(I29,TODAY(),"Y")</f>
        <v>15</v>
      </c>
      <c r="K29" s="254" t="s">
        <v>149</v>
      </c>
      <c r="L29" s="244" t="s">
        <v>150</v>
      </c>
      <c r="M29" s="245" t="s">
        <v>151</v>
      </c>
      <c r="N29" s="243" t="s">
        <v>152</v>
      </c>
      <c r="O29" s="246">
        <v>18539781</v>
      </c>
      <c r="P29" s="247" t="s">
        <v>153</v>
      </c>
      <c r="Q29" s="254" t="s">
        <v>154</v>
      </c>
      <c r="R29" s="248" t="s">
        <v>50</v>
      </c>
      <c r="S29" s="248" t="s">
        <v>77</v>
      </c>
      <c r="T29" s="248" t="s">
        <v>138</v>
      </c>
      <c r="U29" s="248" t="s">
        <v>66</v>
      </c>
      <c r="V29" s="249">
        <v>100</v>
      </c>
      <c r="W29" s="250" t="s">
        <v>78</v>
      </c>
      <c r="X29" s="247">
        <v>45268</v>
      </c>
      <c r="Y29" s="248" t="s">
        <v>50</v>
      </c>
      <c r="Z29" s="250" t="s">
        <v>114</v>
      </c>
      <c r="AA29" s="251"/>
      <c r="AB29" s="251"/>
      <c r="AC29" s="251"/>
      <c r="AD29" s="242"/>
      <c r="AE29" s="242"/>
      <c r="AF29" s="250"/>
      <c r="AG29" s="251"/>
      <c r="AH29" s="251"/>
      <c r="AI29" s="251"/>
      <c r="AJ29" s="251"/>
      <c r="AK29" s="251"/>
      <c r="AL29" s="251"/>
      <c r="AM29" s="251"/>
      <c r="AN29" s="251"/>
      <c r="AO29" s="251"/>
      <c r="AP29" s="251"/>
      <c r="AQ29" s="251"/>
      <c r="AR29" s="260"/>
      <c r="AS29" s="202"/>
    </row>
    <row r="30" spans="1:45" ht="13.5" customHeight="1">
      <c r="A30" s="202"/>
      <c r="B30" s="241"/>
      <c r="C30" s="242"/>
      <c r="D30" s="242"/>
      <c r="E30" s="243"/>
      <c r="F30" s="242"/>
      <c r="G30" s="242"/>
      <c r="H30" s="253"/>
      <c r="I30" s="242"/>
      <c r="J30" s="230"/>
      <c r="K30" s="247"/>
      <c r="L30" s="244"/>
      <c r="M30" s="245"/>
      <c r="N30" s="243"/>
      <c r="O30" s="246"/>
      <c r="P30" s="247"/>
      <c r="Q30" s="247"/>
      <c r="R30" s="248"/>
      <c r="S30" s="248"/>
      <c r="T30" s="248"/>
      <c r="U30" s="248"/>
      <c r="V30" s="249"/>
      <c r="W30" s="250"/>
      <c r="X30" s="247"/>
      <c r="Y30" s="248"/>
      <c r="Z30" s="250"/>
      <c r="AA30" s="251"/>
      <c r="AB30" s="251"/>
      <c r="AC30" s="251"/>
      <c r="AD30" s="242"/>
      <c r="AE30" s="242"/>
      <c r="AF30" s="250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60"/>
      <c r="AS30" s="202"/>
    </row>
    <row r="31" spans="1:45" ht="13.5" customHeight="1">
      <c r="A31" s="202"/>
      <c r="B31" s="241"/>
      <c r="C31" s="242">
        <v>13</v>
      </c>
      <c r="D31" s="226">
        <v>13</v>
      </c>
      <c r="E31" s="243" t="s">
        <v>156</v>
      </c>
      <c r="F31" s="242" t="s">
        <v>155</v>
      </c>
      <c r="G31" s="242" t="s">
        <v>43</v>
      </c>
      <c r="H31" s="253"/>
      <c r="I31" s="242">
        <v>41731</v>
      </c>
      <c r="J31" s="230">
        <f ca="1">+DATEDIF(I31,TODAY(),"Y")</f>
        <v>12</v>
      </c>
      <c r="K31" s="254" t="s">
        <v>157</v>
      </c>
      <c r="L31" s="244" t="s">
        <v>158</v>
      </c>
      <c r="M31" s="245" t="s">
        <v>159</v>
      </c>
      <c r="N31" s="243" t="s">
        <v>160</v>
      </c>
      <c r="O31" s="246">
        <v>14418138</v>
      </c>
      <c r="P31" s="247" t="s">
        <v>161</v>
      </c>
      <c r="Q31" s="254" t="s">
        <v>162</v>
      </c>
      <c r="R31" s="248" t="s">
        <v>129</v>
      </c>
      <c r="S31" s="248" t="s">
        <v>64</v>
      </c>
      <c r="T31" s="248" t="s">
        <v>138</v>
      </c>
      <c r="U31" s="248" t="s">
        <v>66</v>
      </c>
      <c r="V31" s="249">
        <v>100</v>
      </c>
      <c r="W31" s="250" t="s">
        <v>78</v>
      </c>
      <c r="X31" s="247">
        <v>45268</v>
      </c>
      <c r="Y31" s="248" t="s">
        <v>129</v>
      </c>
      <c r="Z31" s="250" t="s">
        <v>114</v>
      </c>
      <c r="AA31" s="251"/>
      <c r="AB31" s="251"/>
      <c r="AC31" s="251"/>
      <c r="AD31" s="242"/>
      <c r="AE31" s="242"/>
      <c r="AF31" s="250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60"/>
      <c r="AS31" s="202"/>
    </row>
    <row r="32" spans="1:45" ht="13.5" customHeight="1">
      <c r="A32" s="202"/>
      <c r="B32" s="241"/>
      <c r="C32" s="242"/>
      <c r="D32" s="242"/>
      <c r="E32" s="243"/>
      <c r="F32" s="242"/>
      <c r="G32" s="242"/>
      <c r="H32" s="253"/>
      <c r="I32" s="242"/>
      <c r="J32" s="230"/>
      <c r="K32" s="247"/>
      <c r="L32" s="244"/>
      <c r="M32" s="245"/>
      <c r="N32" s="243"/>
      <c r="O32" s="246"/>
      <c r="P32" s="247"/>
      <c r="Q32" s="247"/>
      <c r="R32" s="248"/>
      <c r="S32" s="248"/>
      <c r="T32" s="248"/>
      <c r="U32" s="248"/>
      <c r="V32" s="249"/>
      <c r="W32" s="250"/>
      <c r="X32" s="247"/>
      <c r="Y32" s="248"/>
      <c r="Z32" s="250"/>
      <c r="AA32" s="251"/>
      <c r="AB32" s="251"/>
      <c r="AC32" s="251"/>
      <c r="AD32" s="242"/>
      <c r="AE32" s="242"/>
      <c r="AF32" s="250"/>
      <c r="AG32" s="251"/>
      <c r="AH32" s="251"/>
      <c r="AI32" s="251"/>
      <c r="AJ32" s="251"/>
      <c r="AK32" s="251"/>
      <c r="AL32" s="251"/>
      <c r="AM32" s="251"/>
      <c r="AN32" s="251"/>
      <c r="AO32" s="251"/>
      <c r="AP32" s="251"/>
      <c r="AQ32" s="251"/>
      <c r="AR32" s="260"/>
      <c r="AS32" s="202"/>
    </row>
    <row r="33" spans="1:45" ht="13.5" customHeight="1">
      <c r="A33" s="202"/>
      <c r="B33" s="241"/>
      <c r="C33" s="242">
        <v>14</v>
      </c>
      <c r="D33" s="226">
        <v>14</v>
      </c>
      <c r="E33" s="243" t="s">
        <v>164</v>
      </c>
      <c r="F33" s="242" t="s">
        <v>163</v>
      </c>
      <c r="G33" s="242" t="s">
        <v>43</v>
      </c>
      <c r="H33" s="253">
        <v>33853048</v>
      </c>
      <c r="I33" s="242">
        <v>40446</v>
      </c>
      <c r="J33" s="230">
        <f ca="1">+DATEDIF(I33,TODAY(),"Y")</f>
        <v>15</v>
      </c>
      <c r="K33" s="254" t="s">
        <v>165</v>
      </c>
      <c r="L33" s="244" t="s">
        <v>166</v>
      </c>
      <c r="M33" s="245" t="s">
        <v>167</v>
      </c>
      <c r="N33" s="243" t="s">
        <v>168</v>
      </c>
      <c r="O33" s="246">
        <v>16887066</v>
      </c>
      <c r="P33" s="247" t="s">
        <v>169</v>
      </c>
      <c r="Q33" s="254" t="s">
        <v>170</v>
      </c>
      <c r="R33" s="248" t="s">
        <v>50</v>
      </c>
      <c r="S33" s="248" t="s">
        <v>171</v>
      </c>
      <c r="T33" s="248" t="s">
        <v>138</v>
      </c>
      <c r="U33" s="248" t="s">
        <v>66</v>
      </c>
      <c r="V33" s="249">
        <v>100</v>
      </c>
      <c r="W33" s="250" t="s">
        <v>78</v>
      </c>
      <c r="X33" s="247">
        <v>45269</v>
      </c>
      <c r="Y33" s="248" t="s">
        <v>50</v>
      </c>
      <c r="Z33" s="250" t="s">
        <v>114</v>
      </c>
      <c r="AA33" s="251"/>
      <c r="AB33" s="251"/>
      <c r="AC33" s="251"/>
      <c r="AD33" s="242"/>
      <c r="AE33" s="242"/>
      <c r="AF33" s="250"/>
      <c r="AG33" s="251"/>
      <c r="AH33" s="251"/>
      <c r="AI33" s="251"/>
      <c r="AJ33" s="251"/>
      <c r="AK33" s="251"/>
      <c r="AL33" s="251"/>
      <c r="AM33" s="251"/>
      <c r="AN33" s="251"/>
      <c r="AO33" s="251"/>
      <c r="AP33" s="251"/>
      <c r="AQ33" s="251"/>
      <c r="AR33" s="260"/>
      <c r="AS33" s="202"/>
    </row>
    <row r="34" spans="1:45" ht="13.5" customHeight="1">
      <c r="A34" s="202"/>
      <c r="B34" s="241"/>
      <c r="C34" s="242"/>
      <c r="D34" s="242"/>
      <c r="E34" s="243"/>
      <c r="F34" s="242"/>
      <c r="G34" s="242"/>
      <c r="H34" s="253"/>
      <c r="I34" s="242"/>
      <c r="J34" s="230"/>
      <c r="K34" s="247"/>
      <c r="L34" s="244"/>
      <c r="M34" s="245"/>
      <c r="N34" s="243"/>
      <c r="O34" s="246"/>
      <c r="P34" s="247"/>
      <c r="Q34" s="247"/>
      <c r="R34" s="248"/>
      <c r="S34" s="248"/>
      <c r="T34" s="248"/>
      <c r="U34" s="248"/>
      <c r="V34" s="249"/>
      <c r="W34" s="250"/>
      <c r="X34" s="247"/>
      <c r="Y34" s="248"/>
      <c r="Z34" s="250"/>
      <c r="AA34" s="251"/>
      <c r="AB34" s="251"/>
      <c r="AC34" s="251"/>
      <c r="AD34" s="242"/>
      <c r="AE34" s="242"/>
      <c r="AF34" s="250"/>
      <c r="AG34" s="251"/>
      <c r="AH34" s="251"/>
      <c r="AI34" s="251"/>
      <c r="AJ34" s="251"/>
      <c r="AK34" s="251"/>
      <c r="AL34" s="251"/>
      <c r="AM34" s="251"/>
      <c r="AN34" s="251"/>
      <c r="AO34" s="251"/>
      <c r="AP34" s="251"/>
      <c r="AQ34" s="251"/>
      <c r="AR34" s="260"/>
      <c r="AS34" s="202"/>
    </row>
    <row r="35" spans="1:45" ht="13.5" customHeight="1">
      <c r="A35" s="202"/>
      <c r="B35" s="241"/>
      <c r="C35" s="242">
        <v>15</v>
      </c>
      <c r="D35" s="226">
        <v>15</v>
      </c>
      <c r="E35" s="243" t="s">
        <v>173</v>
      </c>
      <c r="F35" s="242" t="s">
        <v>172</v>
      </c>
      <c r="G35" s="242" t="s">
        <v>43</v>
      </c>
      <c r="H35" s="253"/>
      <c r="I35" s="242">
        <v>41772</v>
      </c>
      <c r="J35" s="230">
        <f ca="1">+DATEDIF(I35,TODAY(),"Y")</f>
        <v>12</v>
      </c>
      <c r="K35" s="254"/>
      <c r="L35" s="244"/>
      <c r="M35" s="245" t="s">
        <v>174</v>
      </c>
      <c r="N35" s="243" t="s">
        <v>175</v>
      </c>
      <c r="O35" s="246">
        <v>16019615</v>
      </c>
      <c r="P35" s="247" t="s">
        <v>176</v>
      </c>
      <c r="Q35" s="254"/>
      <c r="R35" s="248" t="s">
        <v>129</v>
      </c>
      <c r="S35" s="248" t="s">
        <v>177</v>
      </c>
      <c r="T35" s="248" t="s">
        <v>138</v>
      </c>
      <c r="U35" s="248" t="s">
        <v>66</v>
      </c>
      <c r="V35" s="249">
        <v>100</v>
      </c>
      <c r="W35" s="250" t="s">
        <v>78</v>
      </c>
      <c r="X35" s="247">
        <v>45271</v>
      </c>
      <c r="Y35" s="248" t="s">
        <v>129</v>
      </c>
      <c r="Z35" s="250" t="s">
        <v>114</v>
      </c>
      <c r="AA35" s="251"/>
      <c r="AB35" s="251"/>
      <c r="AC35" s="251"/>
      <c r="AD35" s="242"/>
      <c r="AE35" s="242"/>
      <c r="AF35" s="250"/>
      <c r="AG35" s="251"/>
      <c r="AH35" s="251"/>
      <c r="AI35" s="251"/>
      <c r="AJ35" s="251"/>
      <c r="AK35" s="251"/>
      <c r="AL35" s="251"/>
      <c r="AM35" s="251"/>
      <c r="AN35" s="251"/>
      <c r="AO35" s="251"/>
      <c r="AP35" s="251"/>
      <c r="AQ35" s="251"/>
      <c r="AR35" s="260"/>
      <c r="AS35" s="202"/>
    </row>
    <row r="36" spans="1:45" ht="13.5" customHeight="1">
      <c r="A36" s="202"/>
      <c r="B36" s="241"/>
      <c r="C36" s="242"/>
      <c r="D36" s="242"/>
      <c r="E36" s="243"/>
      <c r="F36" s="242"/>
      <c r="G36" s="242"/>
      <c r="H36" s="253"/>
      <c r="I36" s="242"/>
      <c r="J36" s="230"/>
      <c r="K36" s="247"/>
      <c r="L36" s="244"/>
      <c r="M36" s="245"/>
      <c r="N36" s="243"/>
      <c r="O36" s="246"/>
      <c r="P36" s="247"/>
      <c r="Q36" s="247"/>
      <c r="R36" s="248"/>
      <c r="S36" s="248"/>
      <c r="T36" s="248"/>
      <c r="U36" s="248"/>
      <c r="V36" s="249"/>
      <c r="W36" s="250"/>
      <c r="X36" s="247"/>
      <c r="Y36" s="248"/>
      <c r="Z36" s="250"/>
      <c r="AA36" s="251"/>
      <c r="AB36" s="251"/>
      <c r="AC36" s="251"/>
      <c r="AD36" s="242"/>
      <c r="AE36" s="242"/>
      <c r="AF36" s="250"/>
      <c r="AG36" s="251"/>
      <c r="AH36" s="251"/>
      <c r="AI36" s="251"/>
      <c r="AJ36" s="251"/>
      <c r="AK36" s="251"/>
      <c r="AL36" s="251"/>
      <c r="AM36" s="251"/>
      <c r="AN36" s="251"/>
      <c r="AO36" s="251"/>
      <c r="AP36" s="251"/>
      <c r="AQ36" s="251"/>
      <c r="AR36" s="260"/>
      <c r="AS36" s="202"/>
    </row>
    <row r="37" spans="1:45" ht="13.5" customHeight="1">
      <c r="A37" s="202"/>
      <c r="B37" s="241"/>
      <c r="C37" s="242">
        <v>16</v>
      </c>
      <c r="D37" s="226">
        <v>16</v>
      </c>
      <c r="E37" s="243" t="s">
        <v>179</v>
      </c>
      <c r="F37" s="242" t="s">
        <v>178</v>
      </c>
      <c r="G37" s="242" t="s">
        <v>43</v>
      </c>
      <c r="H37" s="253"/>
      <c r="I37" s="242">
        <v>42181</v>
      </c>
      <c r="J37" s="230">
        <f ca="1">+DATEDIF(I37,TODAY(),"Y")</f>
        <v>10</v>
      </c>
      <c r="K37" s="254" t="s">
        <v>180</v>
      </c>
      <c r="L37" s="244" t="s">
        <v>181</v>
      </c>
      <c r="M37" s="245" t="s">
        <v>182</v>
      </c>
      <c r="N37" s="243" t="s">
        <v>183</v>
      </c>
      <c r="O37" s="246">
        <v>13909917</v>
      </c>
      <c r="P37" s="247" t="s">
        <v>184</v>
      </c>
      <c r="Q37" s="254" t="s">
        <v>180</v>
      </c>
      <c r="R37" s="248" t="s">
        <v>185</v>
      </c>
      <c r="S37" s="248" t="s">
        <v>146</v>
      </c>
      <c r="T37" s="248" t="s">
        <v>186</v>
      </c>
      <c r="U37" s="248" t="s">
        <v>66</v>
      </c>
      <c r="V37" s="249">
        <v>240</v>
      </c>
      <c r="W37" s="250" t="s">
        <v>54</v>
      </c>
      <c r="X37" s="247">
        <v>45271</v>
      </c>
      <c r="Y37" s="248" t="s">
        <v>185</v>
      </c>
      <c r="Z37" s="250" t="s">
        <v>86</v>
      </c>
      <c r="AA37" s="251"/>
      <c r="AB37" s="251"/>
      <c r="AC37" s="251"/>
      <c r="AD37" s="242"/>
      <c r="AE37" s="242"/>
      <c r="AF37" s="250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60"/>
      <c r="AS37" s="202"/>
    </row>
    <row r="38" spans="1:45" ht="13.5" customHeight="1">
      <c r="A38" s="202"/>
      <c r="B38" s="241"/>
      <c r="C38" s="242"/>
      <c r="D38" s="242"/>
      <c r="E38" s="243"/>
      <c r="F38" s="242"/>
      <c r="G38" s="242"/>
      <c r="H38" s="253"/>
      <c r="I38" s="242"/>
      <c r="J38" s="230"/>
      <c r="K38" s="247"/>
      <c r="L38" s="244"/>
      <c r="M38" s="245"/>
      <c r="N38" s="243"/>
      <c r="O38" s="246"/>
      <c r="P38" s="247"/>
      <c r="Q38" s="247"/>
      <c r="R38" s="248"/>
      <c r="S38" s="248"/>
      <c r="T38" s="248"/>
      <c r="U38" s="248"/>
      <c r="V38" s="249"/>
      <c r="W38" s="250"/>
      <c r="X38" s="247"/>
      <c r="Y38" s="248"/>
      <c r="Z38" s="250"/>
      <c r="AA38" s="251"/>
      <c r="AB38" s="251"/>
      <c r="AC38" s="251"/>
      <c r="AD38" s="242"/>
      <c r="AE38" s="242"/>
      <c r="AF38" s="250"/>
      <c r="AG38" s="251"/>
      <c r="AH38" s="251"/>
      <c r="AI38" s="251"/>
      <c r="AJ38" s="251"/>
      <c r="AK38" s="251"/>
      <c r="AL38" s="251"/>
      <c r="AM38" s="251"/>
      <c r="AN38" s="251"/>
      <c r="AO38" s="251"/>
      <c r="AP38" s="251"/>
      <c r="AQ38" s="251"/>
      <c r="AR38" s="260"/>
      <c r="AS38" s="202"/>
    </row>
    <row r="39" spans="1:45" ht="13.5" customHeight="1">
      <c r="A39" s="202"/>
      <c r="B39" s="241"/>
      <c r="C39" s="242">
        <v>17</v>
      </c>
      <c r="D39" s="226">
        <v>17</v>
      </c>
      <c r="E39" s="243" t="s">
        <v>188</v>
      </c>
      <c r="F39" s="242" t="s">
        <v>187</v>
      </c>
      <c r="G39" s="242" t="s">
        <v>43</v>
      </c>
      <c r="H39" s="253">
        <v>36059843</v>
      </c>
      <c r="I39" s="242">
        <v>41675</v>
      </c>
      <c r="J39" s="230">
        <f ca="1">+DATEDIF(I39,TODAY(),"Y")</f>
        <v>12</v>
      </c>
      <c r="K39" s="254" t="s">
        <v>189</v>
      </c>
      <c r="L39" s="244"/>
      <c r="M39" s="245" t="s">
        <v>190</v>
      </c>
      <c r="N39" s="243" t="s">
        <v>191</v>
      </c>
      <c r="O39" s="246">
        <v>14675913</v>
      </c>
      <c r="P39" s="247" t="s">
        <v>192</v>
      </c>
      <c r="Q39" s="254" t="s">
        <v>189</v>
      </c>
      <c r="R39" s="248" t="s">
        <v>129</v>
      </c>
      <c r="S39" s="248" t="s">
        <v>64</v>
      </c>
      <c r="T39" s="248" t="s">
        <v>138</v>
      </c>
      <c r="U39" s="248" t="s">
        <v>66</v>
      </c>
      <c r="V39" s="249">
        <v>240</v>
      </c>
      <c r="W39" s="250" t="s">
        <v>78</v>
      </c>
      <c r="X39" s="247">
        <v>45271</v>
      </c>
      <c r="Y39" s="248" t="s">
        <v>129</v>
      </c>
      <c r="Z39" s="250">
        <v>200</v>
      </c>
      <c r="AA39" s="251"/>
      <c r="AB39" s="251"/>
      <c r="AC39" s="251"/>
      <c r="AD39" s="242"/>
      <c r="AE39" s="242"/>
      <c r="AF39" s="250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60"/>
      <c r="AS39" s="202"/>
    </row>
    <row r="40" spans="1:45" ht="13.5" customHeight="1">
      <c r="A40" s="202"/>
      <c r="B40" s="241"/>
      <c r="C40" s="242"/>
      <c r="D40" s="242"/>
      <c r="E40" s="243"/>
      <c r="F40" s="242"/>
      <c r="G40" s="242"/>
      <c r="H40" s="253"/>
      <c r="I40" s="242"/>
      <c r="J40" s="230"/>
      <c r="K40" s="247"/>
      <c r="L40" s="244"/>
      <c r="M40" s="245"/>
      <c r="N40" s="243"/>
      <c r="O40" s="246"/>
      <c r="P40" s="247"/>
      <c r="Q40" s="247"/>
      <c r="R40" s="248"/>
      <c r="S40" s="248"/>
      <c r="T40" s="248"/>
      <c r="U40" s="248"/>
      <c r="V40" s="249"/>
      <c r="W40" s="250"/>
      <c r="X40" s="247"/>
      <c r="Y40" s="248"/>
      <c r="Z40" s="250"/>
      <c r="AA40" s="251"/>
      <c r="AB40" s="251"/>
      <c r="AC40" s="251"/>
      <c r="AD40" s="242"/>
      <c r="AE40" s="242"/>
      <c r="AF40" s="250"/>
      <c r="AG40" s="251"/>
      <c r="AH40" s="251"/>
      <c r="AI40" s="251"/>
      <c r="AJ40" s="251"/>
      <c r="AK40" s="251"/>
      <c r="AL40" s="251"/>
      <c r="AM40" s="251"/>
      <c r="AN40" s="251"/>
      <c r="AO40" s="251"/>
      <c r="AP40" s="251"/>
      <c r="AQ40" s="251"/>
      <c r="AR40" s="260"/>
      <c r="AS40" s="202"/>
    </row>
    <row r="41" spans="1:45" ht="13.5" customHeight="1">
      <c r="A41" s="202"/>
      <c r="B41" s="241"/>
      <c r="C41" s="242">
        <v>18</v>
      </c>
      <c r="D41" s="226">
        <v>18</v>
      </c>
      <c r="E41" s="243" t="s">
        <v>194</v>
      </c>
      <c r="F41" s="242" t="s">
        <v>193</v>
      </c>
      <c r="G41" s="242" t="s">
        <v>43</v>
      </c>
      <c r="H41" s="253">
        <v>31000390</v>
      </c>
      <c r="I41" s="242">
        <v>38097</v>
      </c>
      <c r="J41" s="230">
        <f ca="1">+DATEDIF(I41,TODAY(),"Y")</f>
        <v>22</v>
      </c>
      <c r="K41" s="254" t="s">
        <v>195</v>
      </c>
      <c r="L41" s="244" t="s">
        <v>196</v>
      </c>
      <c r="M41" s="245" t="s">
        <v>197</v>
      </c>
      <c r="N41" s="243" t="s">
        <v>198</v>
      </c>
      <c r="O41" s="246">
        <v>12877722</v>
      </c>
      <c r="P41" s="247" t="s">
        <v>199</v>
      </c>
      <c r="Q41" s="254" t="s">
        <v>200</v>
      </c>
      <c r="R41" s="248" t="s">
        <v>50</v>
      </c>
      <c r="S41" s="248" t="s">
        <v>171</v>
      </c>
      <c r="T41" s="248" t="s">
        <v>201</v>
      </c>
      <c r="U41" s="248" t="s">
        <v>202</v>
      </c>
      <c r="V41" s="249">
        <v>100</v>
      </c>
      <c r="W41" s="250" t="s">
        <v>54</v>
      </c>
      <c r="X41" s="247">
        <v>45271</v>
      </c>
      <c r="Y41" s="248" t="s">
        <v>50</v>
      </c>
      <c r="Z41" s="250" t="s">
        <v>86</v>
      </c>
      <c r="AA41" s="251"/>
      <c r="AB41" s="251"/>
      <c r="AC41" s="251"/>
      <c r="AD41" s="242"/>
      <c r="AE41" s="242"/>
      <c r="AF41" s="250"/>
      <c r="AG41" s="251"/>
      <c r="AH41" s="251"/>
      <c r="AI41" s="251"/>
      <c r="AJ41" s="251"/>
      <c r="AK41" s="251"/>
      <c r="AL41" s="251"/>
      <c r="AM41" s="251"/>
      <c r="AN41" s="251"/>
      <c r="AO41" s="251"/>
      <c r="AP41" s="251"/>
      <c r="AQ41" s="251"/>
      <c r="AR41" s="260"/>
      <c r="AS41" s="202"/>
    </row>
    <row r="42" spans="1:45" ht="13.5" customHeight="1">
      <c r="A42" s="202"/>
      <c r="B42" s="241"/>
      <c r="C42" s="242"/>
      <c r="D42" s="242"/>
      <c r="E42" s="243"/>
      <c r="F42" s="242"/>
      <c r="G42" s="242"/>
      <c r="H42" s="253"/>
      <c r="I42" s="242"/>
      <c r="J42" s="230"/>
      <c r="K42" s="247"/>
      <c r="L42" s="244"/>
      <c r="M42" s="245"/>
      <c r="N42" s="243"/>
      <c r="O42" s="246"/>
      <c r="P42" s="247"/>
      <c r="Q42" s="247"/>
      <c r="R42" s="248"/>
      <c r="S42" s="248"/>
      <c r="T42" s="248"/>
      <c r="U42" s="248"/>
      <c r="V42" s="249"/>
      <c r="W42" s="250"/>
      <c r="X42" s="247"/>
      <c r="Y42" s="248"/>
      <c r="Z42" s="250"/>
      <c r="AA42" s="251"/>
      <c r="AB42" s="251"/>
      <c r="AC42" s="251"/>
      <c r="AD42" s="242"/>
      <c r="AE42" s="242"/>
      <c r="AF42" s="250"/>
      <c r="AG42" s="251"/>
      <c r="AH42" s="251"/>
      <c r="AI42" s="251"/>
      <c r="AJ42" s="251"/>
      <c r="AK42" s="251"/>
      <c r="AL42" s="251"/>
      <c r="AM42" s="251"/>
      <c r="AN42" s="251"/>
      <c r="AO42" s="251"/>
      <c r="AP42" s="251"/>
      <c r="AQ42" s="251"/>
      <c r="AR42" s="260"/>
      <c r="AS42" s="202"/>
    </row>
    <row r="43" spans="1:45" ht="13.5" customHeight="1">
      <c r="A43" s="202"/>
      <c r="B43" s="241"/>
      <c r="C43" s="242">
        <v>19</v>
      </c>
      <c r="D43" s="226">
        <v>19</v>
      </c>
      <c r="E43" s="243" t="s">
        <v>204</v>
      </c>
      <c r="F43" s="242" t="s">
        <v>203</v>
      </c>
      <c r="G43" s="242" t="s">
        <v>43</v>
      </c>
      <c r="H43" s="253"/>
      <c r="I43" s="242">
        <v>41871</v>
      </c>
      <c r="J43" s="230">
        <f ca="1">+DATEDIF(I43,TODAY(),"Y")</f>
        <v>11</v>
      </c>
      <c r="K43" s="254" t="s">
        <v>205</v>
      </c>
      <c r="L43" s="244" t="s">
        <v>206</v>
      </c>
      <c r="M43" s="245" t="s">
        <v>207</v>
      </c>
      <c r="N43" s="243" t="s">
        <v>208</v>
      </c>
      <c r="O43" s="246">
        <v>19711074</v>
      </c>
      <c r="P43" s="247" t="s">
        <v>209</v>
      </c>
      <c r="Q43" s="254" t="s">
        <v>205</v>
      </c>
      <c r="R43" s="248" t="s">
        <v>129</v>
      </c>
      <c r="S43" s="248" t="s">
        <v>210</v>
      </c>
      <c r="T43" s="248" t="s">
        <v>138</v>
      </c>
      <c r="U43" s="248" t="s">
        <v>66</v>
      </c>
      <c r="V43" s="249">
        <v>100</v>
      </c>
      <c r="W43" s="250" t="s">
        <v>78</v>
      </c>
      <c r="X43" s="247">
        <v>45271</v>
      </c>
      <c r="Y43" s="248" t="s">
        <v>129</v>
      </c>
      <c r="Z43" s="250" t="s">
        <v>114</v>
      </c>
      <c r="AA43" s="251"/>
      <c r="AB43" s="251"/>
      <c r="AC43" s="251"/>
      <c r="AD43" s="242"/>
      <c r="AE43" s="242"/>
      <c r="AF43" s="250"/>
      <c r="AG43" s="251"/>
      <c r="AH43" s="251"/>
      <c r="AI43" s="251"/>
      <c r="AJ43" s="251"/>
      <c r="AK43" s="251"/>
      <c r="AL43" s="251"/>
      <c r="AM43" s="251"/>
      <c r="AN43" s="251"/>
      <c r="AO43" s="251"/>
      <c r="AP43" s="251"/>
      <c r="AQ43" s="251"/>
      <c r="AR43" s="260"/>
      <c r="AS43" s="202"/>
    </row>
    <row r="44" spans="1:45" ht="13.5" customHeight="1">
      <c r="A44" s="202"/>
      <c r="B44" s="241"/>
      <c r="C44" s="242"/>
      <c r="D44" s="242"/>
      <c r="E44" s="243"/>
      <c r="F44" s="242"/>
      <c r="G44" s="242"/>
      <c r="H44" s="253"/>
      <c r="I44" s="242"/>
      <c r="J44" s="230"/>
      <c r="K44" s="247"/>
      <c r="L44" s="244"/>
      <c r="M44" s="245"/>
      <c r="N44" s="243"/>
      <c r="O44" s="246"/>
      <c r="P44" s="247"/>
      <c r="Q44" s="247"/>
      <c r="R44" s="248"/>
      <c r="S44" s="248"/>
      <c r="T44" s="248"/>
      <c r="U44" s="248"/>
      <c r="V44" s="249"/>
      <c r="W44" s="250"/>
      <c r="X44" s="247"/>
      <c r="Y44" s="248"/>
      <c r="Z44" s="250"/>
      <c r="AA44" s="251"/>
      <c r="AB44" s="251"/>
      <c r="AC44" s="251"/>
      <c r="AD44" s="242"/>
      <c r="AE44" s="242"/>
      <c r="AF44" s="250"/>
      <c r="AG44" s="251"/>
      <c r="AH44" s="251"/>
      <c r="AI44" s="251"/>
      <c r="AJ44" s="251"/>
      <c r="AK44" s="251"/>
      <c r="AL44" s="251"/>
      <c r="AM44" s="251"/>
      <c r="AN44" s="251"/>
      <c r="AO44" s="251"/>
      <c r="AP44" s="251"/>
      <c r="AQ44" s="251"/>
      <c r="AR44" s="260"/>
      <c r="AS44" s="202"/>
    </row>
    <row r="45" spans="1:45" ht="13.5" customHeight="1">
      <c r="A45" s="202"/>
      <c r="B45" s="241"/>
      <c r="C45" s="242">
        <v>20</v>
      </c>
      <c r="D45" s="226">
        <v>20</v>
      </c>
      <c r="E45" s="243" t="s">
        <v>212</v>
      </c>
      <c r="F45" s="242" t="s">
        <v>211</v>
      </c>
      <c r="G45" s="242" t="s">
        <v>43</v>
      </c>
      <c r="H45" s="253"/>
      <c r="I45" s="242">
        <v>42422</v>
      </c>
      <c r="J45" s="230">
        <f ca="1">+DATEDIF(I45,TODAY(),"Y")</f>
        <v>10</v>
      </c>
      <c r="K45" s="254" t="s">
        <v>213</v>
      </c>
      <c r="L45" s="244"/>
      <c r="M45" s="245" t="s">
        <v>214</v>
      </c>
      <c r="N45" s="243" t="s">
        <v>215</v>
      </c>
      <c r="O45" s="246">
        <v>14481759</v>
      </c>
      <c r="P45" s="247" t="s">
        <v>216</v>
      </c>
      <c r="Q45" s="254" t="s">
        <v>213</v>
      </c>
      <c r="R45" s="248" t="s">
        <v>129</v>
      </c>
      <c r="S45" s="248" t="s">
        <v>64</v>
      </c>
      <c r="T45" s="248" t="s">
        <v>138</v>
      </c>
      <c r="U45" s="248" t="s">
        <v>66</v>
      </c>
      <c r="V45" s="249">
        <v>240</v>
      </c>
      <c r="W45" s="250" t="s">
        <v>78</v>
      </c>
      <c r="X45" s="247">
        <v>45273</v>
      </c>
      <c r="Y45" s="248" t="s">
        <v>129</v>
      </c>
      <c r="Z45" s="250" t="s">
        <v>86</v>
      </c>
      <c r="AA45" s="251"/>
      <c r="AB45" s="251"/>
      <c r="AC45" s="251"/>
      <c r="AD45" s="242"/>
      <c r="AE45" s="242"/>
      <c r="AF45" s="250"/>
      <c r="AG45" s="251"/>
      <c r="AH45" s="251"/>
      <c r="AI45" s="251"/>
      <c r="AJ45" s="251"/>
      <c r="AK45" s="251"/>
      <c r="AL45" s="251"/>
      <c r="AM45" s="251"/>
      <c r="AN45" s="251"/>
      <c r="AO45" s="251"/>
      <c r="AP45" s="251"/>
      <c r="AQ45" s="251"/>
      <c r="AR45" s="260"/>
      <c r="AS45" s="202"/>
    </row>
    <row r="46" spans="1:45" ht="13.5" customHeight="1">
      <c r="A46" s="202"/>
      <c r="B46" s="241"/>
      <c r="C46" s="264"/>
      <c r="D46" s="242"/>
      <c r="E46" s="265"/>
      <c r="F46" s="264"/>
      <c r="G46" s="264"/>
      <c r="H46" s="266"/>
      <c r="I46" s="264"/>
      <c r="J46" s="230"/>
      <c r="K46" s="267"/>
      <c r="L46" s="268"/>
      <c r="M46" s="269"/>
      <c r="N46" s="265"/>
      <c r="O46" s="270"/>
      <c r="P46" s="267"/>
      <c r="Q46" s="267"/>
      <c r="R46" s="271"/>
      <c r="S46" s="271"/>
      <c r="T46" s="271"/>
      <c r="U46" s="271"/>
      <c r="V46" s="272"/>
      <c r="W46" s="273"/>
      <c r="X46" s="267"/>
      <c r="Y46" s="271"/>
      <c r="Z46" s="273"/>
      <c r="AA46" s="274"/>
      <c r="AB46" s="274"/>
      <c r="AC46" s="274"/>
      <c r="AD46" s="264"/>
      <c r="AE46" s="264"/>
      <c r="AF46" s="273"/>
      <c r="AG46" s="274"/>
      <c r="AH46" s="274"/>
      <c r="AI46" s="274"/>
      <c r="AJ46" s="274"/>
      <c r="AK46" s="274"/>
      <c r="AL46" s="274"/>
      <c r="AM46" s="274"/>
      <c r="AN46" s="274"/>
      <c r="AO46" s="274"/>
      <c r="AP46" s="274"/>
      <c r="AQ46" s="274"/>
      <c r="AR46" s="275"/>
      <c r="AS46" s="202"/>
    </row>
    <row r="47" spans="1:45" ht="13.5" customHeight="1">
      <c r="A47" s="202"/>
      <c r="B47" s="276" t="s">
        <v>217</v>
      </c>
      <c r="C47" s="226">
        <v>1</v>
      </c>
      <c r="D47" s="226">
        <v>21</v>
      </c>
      <c r="E47" s="227" t="s">
        <v>219</v>
      </c>
      <c r="F47" s="226" t="s">
        <v>218</v>
      </c>
      <c r="G47" s="226" t="s">
        <v>43</v>
      </c>
      <c r="H47" s="226"/>
      <c r="I47" s="277">
        <v>41944</v>
      </c>
      <c r="J47" s="230">
        <f ca="1">+DATEDIF(I47,TODAY(),"Y")</f>
        <v>11</v>
      </c>
      <c r="K47" s="231" t="s">
        <v>220</v>
      </c>
      <c r="L47" s="232"/>
      <c r="M47" s="233" t="s">
        <v>221</v>
      </c>
      <c r="N47" s="227" t="s">
        <v>222</v>
      </c>
      <c r="O47" s="278">
        <v>17980412</v>
      </c>
      <c r="P47" s="235" t="s">
        <v>223</v>
      </c>
      <c r="Q47" s="231" t="s">
        <v>220</v>
      </c>
      <c r="R47" s="279" t="s">
        <v>129</v>
      </c>
      <c r="S47" s="236" t="s">
        <v>64</v>
      </c>
      <c r="T47" s="236" t="s">
        <v>186</v>
      </c>
      <c r="U47" s="280" t="s">
        <v>66</v>
      </c>
      <c r="V47" s="281">
        <v>240</v>
      </c>
      <c r="W47" s="238" t="s">
        <v>54</v>
      </c>
      <c r="X47" s="282">
        <v>45273</v>
      </c>
      <c r="Y47" s="280" t="s">
        <v>129</v>
      </c>
      <c r="Z47" s="283" t="s">
        <v>86</v>
      </c>
      <c r="AA47" s="239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39"/>
      <c r="AR47" s="284"/>
      <c r="AS47" s="202"/>
    </row>
    <row r="48" spans="1:45" ht="13.5" customHeight="1">
      <c r="A48" s="202"/>
      <c r="B48" s="285"/>
      <c r="C48" s="242"/>
      <c r="D48" s="242"/>
      <c r="E48" s="243"/>
      <c r="F48" s="242"/>
      <c r="G48" s="242"/>
      <c r="H48" s="242"/>
      <c r="I48" s="258"/>
      <c r="J48" s="230"/>
      <c r="K48" s="247"/>
      <c r="L48" s="244"/>
      <c r="M48" s="245"/>
      <c r="N48" s="243"/>
      <c r="O48" s="247"/>
      <c r="P48" s="247"/>
      <c r="Q48" s="247"/>
      <c r="R48" s="286"/>
      <c r="S48" s="248"/>
      <c r="T48" s="248"/>
      <c r="U48" s="255"/>
      <c r="V48" s="287"/>
      <c r="W48" s="250"/>
      <c r="X48" s="257"/>
      <c r="Y48" s="255"/>
      <c r="Z48" s="288"/>
      <c r="AA48" s="251"/>
      <c r="AB48" s="251"/>
      <c r="AC48" s="251"/>
      <c r="AD48" s="251"/>
      <c r="AE48" s="251"/>
      <c r="AF48" s="251"/>
      <c r="AG48" s="251"/>
      <c r="AH48" s="251"/>
      <c r="AI48" s="251"/>
      <c r="AJ48" s="251"/>
      <c r="AK48" s="251"/>
      <c r="AL48" s="251"/>
      <c r="AM48" s="251"/>
      <c r="AN48" s="251"/>
      <c r="AO48" s="251"/>
      <c r="AP48" s="251"/>
      <c r="AQ48" s="251"/>
      <c r="AR48" s="260"/>
      <c r="AS48" s="202"/>
    </row>
    <row r="49" spans="1:45" ht="13.5" customHeight="1">
      <c r="A49" s="202"/>
      <c r="B49" s="285"/>
      <c r="C49" s="242">
        <v>2</v>
      </c>
      <c r="D49" s="226">
        <v>22</v>
      </c>
      <c r="E49" s="243" t="s">
        <v>225</v>
      </c>
      <c r="F49" s="242" t="s">
        <v>224</v>
      </c>
      <c r="G49" s="242" t="s">
        <v>43</v>
      </c>
      <c r="H49" s="253">
        <v>30136255</v>
      </c>
      <c r="I49" s="258">
        <v>37977</v>
      </c>
      <c r="J49" s="230">
        <f ca="1">+DATEDIF(I49,TODAY(),"Y")</f>
        <v>22</v>
      </c>
      <c r="K49" s="254" t="s">
        <v>226</v>
      </c>
      <c r="L49" s="244" t="s">
        <v>227</v>
      </c>
      <c r="M49" s="261" t="s">
        <v>228</v>
      </c>
      <c r="N49" s="243" t="s">
        <v>229</v>
      </c>
      <c r="O49" s="262" t="s">
        <v>68</v>
      </c>
      <c r="P49" s="247" t="s">
        <v>230</v>
      </c>
      <c r="Q49" s="259" t="s">
        <v>226</v>
      </c>
      <c r="R49" s="286" t="s">
        <v>50</v>
      </c>
      <c r="S49" s="248" t="s">
        <v>171</v>
      </c>
      <c r="T49" s="248" t="s">
        <v>138</v>
      </c>
      <c r="U49" s="255" t="s">
        <v>66</v>
      </c>
      <c r="V49" s="287">
        <v>240</v>
      </c>
      <c r="W49" s="250" t="s">
        <v>78</v>
      </c>
      <c r="X49" s="257">
        <v>45275</v>
      </c>
      <c r="Y49" s="255" t="s">
        <v>50</v>
      </c>
      <c r="Z49" s="288">
        <v>240</v>
      </c>
      <c r="AA49" s="251"/>
      <c r="AB49" s="242"/>
      <c r="AC49" s="250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1"/>
      <c r="AQ49" s="251"/>
      <c r="AR49" s="260"/>
      <c r="AS49" s="202"/>
    </row>
    <row r="50" spans="1:45" ht="13.5" customHeight="1">
      <c r="A50" s="202"/>
      <c r="B50" s="285"/>
      <c r="C50" s="242"/>
      <c r="D50" s="242"/>
      <c r="E50" s="243"/>
      <c r="F50" s="242"/>
      <c r="G50" s="242"/>
      <c r="H50" s="253"/>
      <c r="I50" s="258"/>
      <c r="J50" s="230"/>
      <c r="K50" s="247"/>
      <c r="L50" s="244"/>
      <c r="M50" s="261"/>
      <c r="N50" s="243"/>
      <c r="O50" s="247"/>
      <c r="P50" s="247"/>
      <c r="Q50" s="257"/>
      <c r="R50" s="286"/>
      <c r="S50" s="248"/>
      <c r="T50" s="248"/>
      <c r="U50" s="255"/>
      <c r="V50" s="287"/>
      <c r="W50" s="250"/>
      <c r="X50" s="257"/>
      <c r="Y50" s="255"/>
      <c r="Z50" s="288"/>
      <c r="AA50" s="251"/>
      <c r="AB50" s="242"/>
      <c r="AC50" s="250"/>
      <c r="AD50" s="251"/>
      <c r="AE50" s="251"/>
      <c r="AF50" s="251"/>
      <c r="AG50" s="251"/>
      <c r="AH50" s="251"/>
      <c r="AI50" s="251"/>
      <c r="AJ50" s="251"/>
      <c r="AK50" s="251"/>
      <c r="AL50" s="251"/>
      <c r="AM50" s="251"/>
      <c r="AN50" s="251"/>
      <c r="AO50" s="251"/>
      <c r="AP50" s="251"/>
      <c r="AQ50" s="251"/>
      <c r="AR50" s="260"/>
      <c r="AS50" s="202"/>
    </row>
    <row r="51" spans="1:45" ht="13.5" customHeight="1">
      <c r="A51" s="202"/>
      <c r="B51" s="285"/>
      <c r="C51" s="242">
        <v>3</v>
      </c>
      <c r="D51" s="226">
        <v>23</v>
      </c>
      <c r="E51" s="243" t="s">
        <v>232</v>
      </c>
      <c r="F51" s="242" t="s">
        <v>231</v>
      </c>
      <c r="G51" s="242" t="s">
        <v>43</v>
      </c>
      <c r="H51" s="253">
        <v>33145960</v>
      </c>
      <c r="I51" s="258">
        <v>39396</v>
      </c>
      <c r="J51" s="230">
        <f ca="1">+DATEDIF(I51,TODAY(),"Y")</f>
        <v>18</v>
      </c>
      <c r="K51" s="254" t="s">
        <v>233</v>
      </c>
      <c r="L51" s="244"/>
      <c r="M51" s="245" t="s">
        <v>234</v>
      </c>
      <c r="N51" s="243" t="s">
        <v>235</v>
      </c>
      <c r="O51" s="246">
        <v>12415295</v>
      </c>
      <c r="P51" s="247" t="s">
        <v>236</v>
      </c>
      <c r="Q51" s="259" t="s">
        <v>233</v>
      </c>
      <c r="R51" s="248" t="s">
        <v>50</v>
      </c>
      <c r="S51" s="248" t="s">
        <v>237</v>
      </c>
      <c r="T51" s="248" t="s">
        <v>138</v>
      </c>
      <c r="U51" s="255" t="s">
        <v>66</v>
      </c>
      <c r="V51" s="249">
        <v>240</v>
      </c>
      <c r="W51" s="250" t="s">
        <v>54</v>
      </c>
      <c r="X51" s="257">
        <v>45275</v>
      </c>
      <c r="Y51" s="255" t="s">
        <v>50</v>
      </c>
      <c r="Z51" s="288">
        <v>120</v>
      </c>
      <c r="AA51" s="251"/>
      <c r="AB51" s="251"/>
      <c r="AC51" s="251"/>
      <c r="AD51" s="251"/>
      <c r="AE51" s="242"/>
      <c r="AF51" s="250"/>
      <c r="AG51" s="251"/>
      <c r="AH51" s="251"/>
      <c r="AI51" s="251"/>
      <c r="AJ51" s="251"/>
      <c r="AK51" s="251"/>
      <c r="AL51" s="251"/>
      <c r="AM51" s="251"/>
      <c r="AN51" s="251"/>
      <c r="AO51" s="251"/>
      <c r="AP51" s="251"/>
      <c r="AQ51" s="251"/>
      <c r="AR51" s="260"/>
      <c r="AS51" s="202"/>
    </row>
    <row r="52" spans="1:45" ht="13.5" customHeight="1">
      <c r="A52" s="202"/>
      <c r="B52" s="285"/>
      <c r="C52" s="242"/>
      <c r="D52" s="242"/>
      <c r="E52" s="243"/>
      <c r="F52" s="242"/>
      <c r="G52" s="242"/>
      <c r="H52" s="242"/>
      <c r="I52" s="258"/>
      <c r="J52" s="230"/>
      <c r="K52" s="247"/>
      <c r="L52" s="244"/>
      <c r="M52" s="245"/>
      <c r="N52" s="243"/>
      <c r="O52" s="246"/>
      <c r="P52" s="247"/>
      <c r="Q52" s="257"/>
      <c r="R52" s="248"/>
      <c r="S52" s="248"/>
      <c r="T52" s="248"/>
      <c r="U52" s="255"/>
      <c r="V52" s="249"/>
      <c r="W52" s="250"/>
      <c r="X52" s="257"/>
      <c r="Y52" s="255"/>
      <c r="Z52" s="288"/>
      <c r="AA52" s="251"/>
      <c r="AB52" s="251"/>
      <c r="AC52" s="251"/>
      <c r="AD52" s="251"/>
      <c r="AE52" s="242"/>
      <c r="AF52" s="250"/>
      <c r="AG52" s="251"/>
      <c r="AH52" s="251"/>
      <c r="AI52" s="251"/>
      <c r="AJ52" s="251"/>
      <c r="AK52" s="251"/>
      <c r="AL52" s="251"/>
      <c r="AM52" s="251"/>
      <c r="AN52" s="251"/>
      <c r="AO52" s="251"/>
      <c r="AP52" s="251"/>
      <c r="AQ52" s="251"/>
      <c r="AR52" s="260"/>
      <c r="AS52" s="202"/>
    </row>
    <row r="53" spans="1:45" ht="13.5" customHeight="1">
      <c r="A53" s="202"/>
      <c r="B53" s="285"/>
      <c r="C53" s="242">
        <v>4</v>
      </c>
      <c r="D53" s="226">
        <v>24</v>
      </c>
      <c r="E53" s="243" t="s">
        <v>239</v>
      </c>
      <c r="F53" s="242" t="s">
        <v>238</v>
      </c>
      <c r="G53" s="242" t="s">
        <v>43</v>
      </c>
      <c r="H53" s="253">
        <v>33612303</v>
      </c>
      <c r="I53" s="258">
        <v>40451</v>
      </c>
      <c r="J53" s="230">
        <f ca="1">+DATEDIF(I53,TODAY(),"Y")</f>
        <v>15</v>
      </c>
      <c r="K53" s="254" t="s">
        <v>233</v>
      </c>
      <c r="L53" s="244"/>
      <c r="M53" s="245" t="s">
        <v>234</v>
      </c>
      <c r="N53" s="243" t="s">
        <v>235</v>
      </c>
      <c r="O53" s="246">
        <v>12415295</v>
      </c>
      <c r="P53" s="247" t="s">
        <v>236</v>
      </c>
      <c r="Q53" s="259" t="s">
        <v>233</v>
      </c>
      <c r="R53" s="248" t="s">
        <v>50</v>
      </c>
      <c r="S53" s="248" t="s">
        <v>237</v>
      </c>
      <c r="T53" s="248" t="s">
        <v>138</v>
      </c>
      <c r="U53" s="255" t="s">
        <v>66</v>
      </c>
      <c r="V53" s="249">
        <v>240</v>
      </c>
      <c r="W53" s="250" t="s">
        <v>54</v>
      </c>
      <c r="X53" s="257">
        <v>45275</v>
      </c>
      <c r="Y53" s="255" t="s">
        <v>50</v>
      </c>
      <c r="Z53" s="288">
        <v>120</v>
      </c>
      <c r="AA53" s="242"/>
      <c r="AB53" s="242"/>
      <c r="AC53" s="250"/>
      <c r="AD53" s="251"/>
      <c r="AE53" s="242"/>
      <c r="AF53" s="250"/>
      <c r="AG53" s="289"/>
      <c r="AH53" s="242"/>
      <c r="AI53" s="250"/>
      <c r="AJ53" s="251"/>
      <c r="AK53" s="251"/>
      <c r="AL53" s="251"/>
      <c r="AM53" s="251"/>
      <c r="AN53" s="251"/>
      <c r="AO53" s="251"/>
      <c r="AP53" s="251"/>
      <c r="AQ53" s="251"/>
      <c r="AR53" s="260"/>
      <c r="AS53" s="202"/>
    </row>
    <row r="54" spans="1:45" ht="13.5" customHeight="1">
      <c r="A54" s="202"/>
      <c r="B54" s="285"/>
      <c r="C54" s="242"/>
      <c r="D54" s="242"/>
      <c r="E54" s="243"/>
      <c r="F54" s="242"/>
      <c r="G54" s="242"/>
      <c r="H54" s="242"/>
      <c r="I54" s="258"/>
      <c r="J54" s="230"/>
      <c r="K54" s="247"/>
      <c r="L54" s="244"/>
      <c r="M54" s="245"/>
      <c r="N54" s="243"/>
      <c r="O54" s="246"/>
      <c r="P54" s="247"/>
      <c r="Q54" s="257"/>
      <c r="R54" s="248"/>
      <c r="S54" s="248"/>
      <c r="T54" s="248"/>
      <c r="U54" s="255"/>
      <c r="V54" s="249"/>
      <c r="W54" s="250"/>
      <c r="X54" s="257"/>
      <c r="Y54" s="255"/>
      <c r="Z54" s="288"/>
      <c r="AA54" s="242"/>
      <c r="AB54" s="242"/>
      <c r="AC54" s="250"/>
      <c r="AD54" s="251"/>
      <c r="AE54" s="242"/>
      <c r="AF54" s="250"/>
      <c r="AG54" s="289"/>
      <c r="AH54" s="242"/>
      <c r="AI54" s="250"/>
      <c r="AJ54" s="251"/>
      <c r="AK54" s="251"/>
      <c r="AL54" s="251"/>
      <c r="AM54" s="251"/>
      <c r="AN54" s="251"/>
      <c r="AO54" s="251"/>
      <c r="AP54" s="251"/>
      <c r="AQ54" s="251"/>
      <c r="AR54" s="260"/>
      <c r="AS54" s="202"/>
    </row>
    <row r="55" spans="1:45" ht="13.5" customHeight="1">
      <c r="A55" s="202"/>
      <c r="B55" s="285"/>
      <c r="C55" s="242">
        <v>5</v>
      </c>
      <c r="D55" s="226">
        <v>25</v>
      </c>
      <c r="E55" s="243" t="s">
        <v>241</v>
      </c>
      <c r="F55" s="242" t="s">
        <v>240</v>
      </c>
      <c r="G55" s="242" t="s">
        <v>43</v>
      </c>
      <c r="H55" s="242"/>
      <c r="I55" s="258">
        <v>41067</v>
      </c>
      <c r="J55" s="230">
        <f ca="1">+DATEDIF(I55,TODAY(),"Y")</f>
        <v>13</v>
      </c>
      <c r="K55" s="254" t="s">
        <v>242</v>
      </c>
      <c r="L55" s="244"/>
      <c r="M55" s="245" t="s">
        <v>243</v>
      </c>
      <c r="N55" s="243" t="s">
        <v>244</v>
      </c>
      <c r="O55" s="246">
        <v>18910015</v>
      </c>
      <c r="P55" s="247" t="s">
        <v>245</v>
      </c>
      <c r="Q55" s="259" t="s">
        <v>242</v>
      </c>
      <c r="R55" s="248" t="s">
        <v>50</v>
      </c>
      <c r="S55" s="248" t="s">
        <v>77</v>
      </c>
      <c r="T55" s="248" t="s">
        <v>138</v>
      </c>
      <c r="U55" s="248" t="s">
        <v>66</v>
      </c>
      <c r="V55" s="249">
        <v>240</v>
      </c>
      <c r="W55" s="250" t="s">
        <v>78</v>
      </c>
      <c r="X55" s="257">
        <v>45281</v>
      </c>
      <c r="Y55" s="248" t="s">
        <v>50</v>
      </c>
      <c r="Z55" s="250">
        <v>100</v>
      </c>
      <c r="AA55" s="242"/>
      <c r="AB55" s="242"/>
      <c r="AC55" s="250"/>
      <c r="AD55" s="242"/>
      <c r="AE55" s="242"/>
      <c r="AF55" s="250"/>
      <c r="AG55" s="289"/>
      <c r="AH55" s="242"/>
      <c r="AI55" s="250"/>
      <c r="AJ55" s="251"/>
      <c r="AK55" s="251"/>
      <c r="AL55" s="251"/>
      <c r="AM55" s="251"/>
      <c r="AN55" s="251"/>
      <c r="AO55" s="251"/>
      <c r="AP55" s="251"/>
      <c r="AQ55" s="251"/>
      <c r="AR55" s="260"/>
      <c r="AS55" s="202"/>
    </row>
    <row r="56" spans="1:45" ht="13.5" customHeight="1">
      <c r="A56" s="202"/>
      <c r="B56" s="285"/>
      <c r="C56" s="242"/>
      <c r="D56" s="242"/>
      <c r="E56" s="243"/>
      <c r="F56" s="242"/>
      <c r="G56" s="242"/>
      <c r="H56" s="242"/>
      <c r="I56" s="258"/>
      <c r="J56" s="230"/>
      <c r="K56" s="247"/>
      <c r="L56" s="244"/>
      <c r="M56" s="245"/>
      <c r="N56" s="243"/>
      <c r="O56" s="246"/>
      <c r="P56" s="247"/>
      <c r="Q56" s="257"/>
      <c r="R56" s="248"/>
      <c r="S56" s="248"/>
      <c r="T56" s="248"/>
      <c r="U56" s="248"/>
      <c r="V56" s="249"/>
      <c r="W56" s="250"/>
      <c r="X56" s="257"/>
      <c r="Y56" s="248"/>
      <c r="Z56" s="250"/>
      <c r="AA56" s="242"/>
      <c r="AB56" s="242"/>
      <c r="AC56" s="250"/>
      <c r="AD56" s="242"/>
      <c r="AE56" s="242"/>
      <c r="AF56" s="250"/>
      <c r="AG56" s="289"/>
      <c r="AH56" s="242"/>
      <c r="AI56" s="250"/>
      <c r="AJ56" s="251"/>
      <c r="AK56" s="251"/>
      <c r="AL56" s="251"/>
      <c r="AM56" s="251"/>
      <c r="AN56" s="251"/>
      <c r="AO56" s="251"/>
      <c r="AP56" s="251"/>
      <c r="AQ56" s="251"/>
      <c r="AR56" s="260"/>
      <c r="AS56" s="202"/>
    </row>
    <row r="57" spans="1:45" ht="13.5" customHeight="1">
      <c r="A57" s="202"/>
      <c r="B57" s="285"/>
      <c r="C57" s="242">
        <v>6</v>
      </c>
      <c r="D57" s="226">
        <v>26</v>
      </c>
      <c r="E57" s="243" t="s">
        <v>247</v>
      </c>
      <c r="F57" s="242" t="s">
        <v>246</v>
      </c>
      <c r="G57" s="242" t="s">
        <v>43</v>
      </c>
      <c r="H57" s="253"/>
      <c r="I57" s="258">
        <v>42479</v>
      </c>
      <c r="J57" s="230">
        <f ca="1">+DATEDIF(I57,TODAY(),"Y")</f>
        <v>10</v>
      </c>
      <c r="K57" s="254" t="s">
        <v>242</v>
      </c>
      <c r="L57" s="244"/>
      <c r="M57" s="245" t="s">
        <v>243</v>
      </c>
      <c r="N57" s="243" t="s">
        <v>244</v>
      </c>
      <c r="O57" s="246">
        <v>18910015</v>
      </c>
      <c r="P57" s="247" t="s">
        <v>245</v>
      </c>
      <c r="Q57" s="259" t="s">
        <v>242</v>
      </c>
      <c r="R57" s="248" t="s">
        <v>129</v>
      </c>
      <c r="S57" s="248" t="s">
        <v>64</v>
      </c>
      <c r="T57" s="248" t="s">
        <v>138</v>
      </c>
      <c r="U57" s="248" t="s">
        <v>66</v>
      </c>
      <c r="V57" s="249">
        <v>240</v>
      </c>
      <c r="W57" s="250" t="s">
        <v>78</v>
      </c>
      <c r="X57" s="257">
        <v>45281</v>
      </c>
      <c r="Y57" s="248" t="s">
        <v>129</v>
      </c>
      <c r="Z57" s="250">
        <v>100</v>
      </c>
      <c r="AA57" s="242"/>
      <c r="AB57" s="242"/>
      <c r="AC57" s="250"/>
      <c r="AD57" s="251"/>
      <c r="AE57" s="251"/>
      <c r="AF57" s="251"/>
      <c r="AG57" s="251"/>
      <c r="AH57" s="251"/>
      <c r="AI57" s="251"/>
      <c r="AJ57" s="251"/>
      <c r="AK57" s="251"/>
      <c r="AL57" s="251"/>
      <c r="AM57" s="251"/>
      <c r="AN57" s="251"/>
      <c r="AO57" s="251"/>
      <c r="AP57" s="251"/>
      <c r="AQ57" s="251"/>
      <c r="AR57" s="260"/>
      <c r="AS57" s="202"/>
    </row>
    <row r="58" spans="1:45" ht="13.5" customHeight="1">
      <c r="A58" s="202"/>
      <c r="B58" s="285"/>
      <c r="C58" s="242"/>
      <c r="D58" s="242"/>
      <c r="E58" s="243"/>
      <c r="F58" s="242"/>
      <c r="G58" s="242"/>
      <c r="H58" s="253"/>
      <c r="I58" s="258"/>
      <c r="J58" s="230"/>
      <c r="K58" s="247"/>
      <c r="L58" s="244"/>
      <c r="M58" s="245"/>
      <c r="N58" s="243"/>
      <c r="O58" s="246"/>
      <c r="P58" s="247"/>
      <c r="Q58" s="257"/>
      <c r="R58" s="248"/>
      <c r="S58" s="248"/>
      <c r="T58" s="248"/>
      <c r="U58" s="248"/>
      <c r="V58" s="249"/>
      <c r="W58" s="250"/>
      <c r="X58" s="257"/>
      <c r="Y58" s="248"/>
      <c r="Z58" s="250"/>
      <c r="AA58" s="242"/>
      <c r="AB58" s="242"/>
      <c r="AC58" s="250"/>
      <c r="AD58" s="251"/>
      <c r="AE58" s="251"/>
      <c r="AF58" s="251"/>
      <c r="AG58" s="251"/>
      <c r="AH58" s="251"/>
      <c r="AI58" s="251"/>
      <c r="AJ58" s="251"/>
      <c r="AK58" s="251"/>
      <c r="AL58" s="251"/>
      <c r="AM58" s="251"/>
      <c r="AN58" s="251"/>
      <c r="AO58" s="251"/>
      <c r="AP58" s="251"/>
      <c r="AQ58" s="251"/>
      <c r="AR58" s="260"/>
      <c r="AS58" s="202"/>
    </row>
    <row r="59" spans="1:45" ht="13.5" customHeight="1">
      <c r="A59" s="202"/>
      <c r="B59" s="285"/>
      <c r="C59" s="242">
        <v>7</v>
      </c>
      <c r="D59" s="226">
        <v>27</v>
      </c>
      <c r="E59" s="243" t="s">
        <v>249</v>
      </c>
      <c r="F59" s="242" t="s">
        <v>248</v>
      </c>
      <c r="G59" s="242" t="s">
        <v>43</v>
      </c>
      <c r="H59" s="253">
        <v>31828780</v>
      </c>
      <c r="I59" s="242">
        <v>38975</v>
      </c>
      <c r="J59" s="230">
        <f ca="1">+DATEDIF(I59,TODAY(),"Y")</f>
        <v>19</v>
      </c>
      <c r="K59" s="254" t="s">
        <v>250</v>
      </c>
      <c r="L59" s="244" t="s">
        <v>251</v>
      </c>
      <c r="M59" s="261" t="s">
        <v>252</v>
      </c>
      <c r="N59" s="243" t="s">
        <v>253</v>
      </c>
      <c r="O59" s="246">
        <v>8655834</v>
      </c>
      <c r="P59" s="247" t="s">
        <v>254</v>
      </c>
      <c r="Q59" s="254" t="s">
        <v>255</v>
      </c>
      <c r="R59" s="248" t="s">
        <v>50</v>
      </c>
      <c r="S59" s="248" t="s">
        <v>256</v>
      </c>
      <c r="T59" s="248" t="s">
        <v>138</v>
      </c>
      <c r="U59" s="248" t="s">
        <v>66</v>
      </c>
      <c r="V59" s="249">
        <v>240</v>
      </c>
      <c r="W59" s="250" t="s">
        <v>78</v>
      </c>
      <c r="X59" s="247">
        <v>45290</v>
      </c>
      <c r="Y59" s="248" t="s">
        <v>50</v>
      </c>
      <c r="Z59" s="250">
        <v>240</v>
      </c>
      <c r="AA59" s="242"/>
      <c r="AB59" s="242"/>
      <c r="AC59" s="250"/>
      <c r="AD59" s="251"/>
      <c r="AE59" s="251"/>
      <c r="AF59" s="251"/>
      <c r="AG59" s="251"/>
      <c r="AH59" s="251"/>
      <c r="AI59" s="251"/>
      <c r="AJ59" s="251"/>
      <c r="AK59" s="251"/>
      <c r="AL59" s="251"/>
      <c r="AM59" s="251"/>
      <c r="AN59" s="251"/>
      <c r="AO59" s="251"/>
      <c r="AP59" s="251"/>
      <c r="AQ59" s="251"/>
      <c r="AR59" s="260"/>
      <c r="AS59" s="202"/>
    </row>
    <row r="60" spans="1:45" ht="13.5" customHeight="1">
      <c r="A60" s="202"/>
      <c r="B60" s="285"/>
      <c r="C60" s="242"/>
      <c r="D60" s="242"/>
      <c r="E60" s="243"/>
      <c r="F60" s="242"/>
      <c r="G60" s="242"/>
      <c r="H60" s="253"/>
      <c r="I60" s="242"/>
      <c r="J60" s="230"/>
      <c r="K60" s="247"/>
      <c r="L60" s="244"/>
      <c r="M60" s="261"/>
      <c r="N60" s="243"/>
      <c r="O60" s="246"/>
      <c r="P60" s="247"/>
      <c r="Q60" s="242"/>
      <c r="R60" s="248"/>
      <c r="S60" s="248"/>
      <c r="T60" s="248"/>
      <c r="U60" s="248"/>
      <c r="V60" s="249"/>
      <c r="W60" s="250"/>
      <c r="X60" s="247"/>
      <c r="Y60" s="248"/>
      <c r="Z60" s="250"/>
      <c r="AA60" s="242"/>
      <c r="AB60" s="242"/>
      <c r="AC60" s="250"/>
      <c r="AD60" s="251"/>
      <c r="AE60" s="251"/>
      <c r="AF60" s="251"/>
      <c r="AG60" s="251"/>
      <c r="AH60" s="251"/>
      <c r="AI60" s="251"/>
      <c r="AJ60" s="251"/>
      <c r="AK60" s="251"/>
      <c r="AL60" s="251"/>
      <c r="AM60" s="251"/>
      <c r="AN60" s="251"/>
      <c r="AO60" s="251"/>
      <c r="AP60" s="251"/>
      <c r="AQ60" s="251"/>
      <c r="AR60" s="260"/>
      <c r="AS60" s="202"/>
    </row>
    <row r="61" spans="1:45" ht="13.5" customHeight="1">
      <c r="A61" s="202"/>
      <c r="B61" s="285"/>
      <c r="C61" s="242">
        <v>8</v>
      </c>
      <c r="D61" s="226">
        <v>28</v>
      </c>
      <c r="E61" s="243" t="s">
        <v>258</v>
      </c>
      <c r="F61" s="242" t="s">
        <v>257</v>
      </c>
      <c r="G61" s="242" t="s">
        <v>43</v>
      </c>
      <c r="H61" s="253">
        <v>33301536</v>
      </c>
      <c r="I61" s="242">
        <v>40030</v>
      </c>
      <c r="J61" s="230">
        <f ca="1">+DATEDIF(I61,TODAY(),"Y")</f>
        <v>16</v>
      </c>
      <c r="K61" s="254" t="s">
        <v>259</v>
      </c>
      <c r="L61" s="244"/>
      <c r="M61" s="245" t="s">
        <v>260</v>
      </c>
      <c r="N61" s="243" t="s">
        <v>261</v>
      </c>
      <c r="O61" s="246">
        <v>19310934</v>
      </c>
      <c r="P61" s="247" t="s">
        <v>262</v>
      </c>
      <c r="Q61" s="259" t="s">
        <v>259</v>
      </c>
      <c r="R61" s="248" t="s">
        <v>50</v>
      </c>
      <c r="S61" s="248" t="s">
        <v>77</v>
      </c>
      <c r="T61" s="248" t="s">
        <v>138</v>
      </c>
      <c r="U61" s="248" t="s">
        <v>66</v>
      </c>
      <c r="V61" s="249">
        <v>240</v>
      </c>
      <c r="W61" s="250" t="s">
        <v>78</v>
      </c>
      <c r="X61" s="247">
        <v>45294</v>
      </c>
      <c r="Y61" s="248" t="s">
        <v>50</v>
      </c>
      <c r="Z61" s="250" t="s">
        <v>263</v>
      </c>
      <c r="AA61" s="242"/>
      <c r="AB61" s="242"/>
      <c r="AC61" s="250"/>
      <c r="AD61" s="251"/>
      <c r="AE61" s="251"/>
      <c r="AF61" s="251"/>
      <c r="AG61" s="251"/>
      <c r="AH61" s="251"/>
      <c r="AI61" s="251"/>
      <c r="AJ61" s="251"/>
      <c r="AK61" s="251"/>
      <c r="AL61" s="251"/>
      <c r="AM61" s="251"/>
      <c r="AN61" s="251"/>
      <c r="AO61" s="251"/>
      <c r="AP61" s="251"/>
      <c r="AQ61" s="251"/>
      <c r="AR61" s="260"/>
      <c r="AS61" s="202"/>
    </row>
    <row r="62" spans="1:45" ht="13.5" customHeight="1">
      <c r="A62" s="202"/>
      <c r="B62" s="285"/>
      <c r="C62" s="242"/>
      <c r="D62" s="242"/>
      <c r="E62" s="243"/>
      <c r="F62" s="242"/>
      <c r="G62" s="242"/>
      <c r="H62" s="253"/>
      <c r="I62" s="242"/>
      <c r="J62" s="230"/>
      <c r="K62" s="247"/>
      <c r="L62" s="244"/>
      <c r="M62" s="245"/>
      <c r="N62" s="243"/>
      <c r="O62" s="246"/>
      <c r="P62" s="247"/>
      <c r="Q62" s="257"/>
      <c r="R62" s="248"/>
      <c r="S62" s="248"/>
      <c r="T62" s="248"/>
      <c r="U62" s="248"/>
      <c r="V62" s="249"/>
      <c r="W62" s="250"/>
      <c r="X62" s="247"/>
      <c r="Y62" s="248"/>
      <c r="Z62" s="250"/>
      <c r="AA62" s="242"/>
      <c r="AB62" s="242"/>
      <c r="AC62" s="250"/>
      <c r="AD62" s="251"/>
      <c r="AE62" s="251"/>
      <c r="AF62" s="251"/>
      <c r="AG62" s="251"/>
      <c r="AH62" s="251"/>
      <c r="AI62" s="251"/>
      <c r="AJ62" s="251"/>
      <c r="AK62" s="251"/>
      <c r="AL62" s="251"/>
      <c r="AM62" s="251"/>
      <c r="AN62" s="251"/>
      <c r="AO62" s="251"/>
      <c r="AP62" s="251"/>
      <c r="AQ62" s="251"/>
      <c r="AR62" s="260"/>
      <c r="AS62" s="202"/>
    </row>
    <row r="63" spans="1:45" ht="13.5" customHeight="1">
      <c r="A63" s="202"/>
      <c r="B63" s="285"/>
      <c r="C63" s="242">
        <v>9</v>
      </c>
      <c r="D63" s="226">
        <v>29</v>
      </c>
      <c r="E63" s="243" t="s">
        <v>265</v>
      </c>
      <c r="F63" s="242" t="s">
        <v>264</v>
      </c>
      <c r="G63" s="242" t="s">
        <v>43</v>
      </c>
      <c r="H63" s="253">
        <v>33329136</v>
      </c>
      <c r="I63" s="242">
        <v>40516</v>
      </c>
      <c r="J63" s="230">
        <f ca="1">+DATEDIF(I63,TODAY(),"Y")</f>
        <v>15</v>
      </c>
      <c r="K63" s="254" t="s">
        <v>266</v>
      </c>
      <c r="L63" s="244"/>
      <c r="M63" s="245" t="s">
        <v>267</v>
      </c>
      <c r="N63" s="243" t="s">
        <v>268</v>
      </c>
      <c r="O63" s="262">
        <v>15913328</v>
      </c>
      <c r="P63" s="247" t="s">
        <v>269</v>
      </c>
      <c r="Q63" s="259" t="s">
        <v>270</v>
      </c>
      <c r="R63" s="248" t="s">
        <v>271</v>
      </c>
      <c r="S63" s="248" t="s">
        <v>77</v>
      </c>
      <c r="T63" s="248" t="s">
        <v>138</v>
      </c>
      <c r="U63" s="248"/>
      <c r="V63" s="249">
        <v>280</v>
      </c>
      <c r="W63" s="250" t="s">
        <v>78</v>
      </c>
      <c r="X63" s="247">
        <v>45299</v>
      </c>
      <c r="Y63" s="248" t="s">
        <v>50</v>
      </c>
      <c r="Z63" s="250" t="s">
        <v>272</v>
      </c>
      <c r="AA63" s="242"/>
      <c r="AB63" s="242"/>
      <c r="AC63" s="250"/>
      <c r="AD63" s="242"/>
      <c r="AE63" s="242"/>
      <c r="AF63" s="250"/>
      <c r="AG63" s="251"/>
      <c r="AH63" s="251"/>
      <c r="AI63" s="251"/>
      <c r="AJ63" s="251"/>
      <c r="AK63" s="251"/>
      <c r="AL63" s="251"/>
      <c r="AM63" s="251"/>
      <c r="AN63" s="251"/>
      <c r="AO63" s="251"/>
      <c r="AP63" s="251"/>
      <c r="AQ63" s="251"/>
      <c r="AR63" s="260"/>
      <c r="AS63" s="202"/>
    </row>
    <row r="64" spans="1:45" ht="13.5" customHeight="1">
      <c r="A64" s="202"/>
      <c r="B64" s="285"/>
      <c r="C64" s="242"/>
      <c r="D64" s="242"/>
      <c r="E64" s="243"/>
      <c r="F64" s="242"/>
      <c r="G64" s="242"/>
      <c r="H64" s="253"/>
      <c r="I64" s="242"/>
      <c r="J64" s="230"/>
      <c r="K64" s="242"/>
      <c r="L64" s="244"/>
      <c r="M64" s="245"/>
      <c r="N64" s="243"/>
      <c r="O64" s="247"/>
      <c r="P64" s="247"/>
      <c r="Q64" s="257"/>
      <c r="R64" s="248"/>
      <c r="S64" s="248"/>
      <c r="T64" s="248"/>
      <c r="U64" s="248"/>
      <c r="V64" s="249"/>
      <c r="W64" s="250"/>
      <c r="X64" s="247"/>
      <c r="Y64" s="248"/>
      <c r="Z64" s="250"/>
      <c r="AA64" s="242"/>
      <c r="AB64" s="242"/>
      <c r="AC64" s="250"/>
      <c r="AD64" s="242"/>
      <c r="AE64" s="242"/>
      <c r="AF64" s="250"/>
      <c r="AG64" s="251"/>
      <c r="AH64" s="251"/>
      <c r="AI64" s="251"/>
      <c r="AJ64" s="251"/>
      <c r="AK64" s="251"/>
      <c r="AL64" s="251"/>
      <c r="AM64" s="251"/>
      <c r="AN64" s="251"/>
      <c r="AO64" s="251"/>
      <c r="AP64" s="251"/>
      <c r="AQ64" s="251"/>
      <c r="AR64" s="260"/>
      <c r="AS64" s="202"/>
    </row>
    <row r="65" spans="1:45" ht="13.5" customHeight="1">
      <c r="A65" s="202"/>
      <c r="B65" s="285"/>
      <c r="C65" s="242">
        <v>10</v>
      </c>
      <c r="D65" s="226">
        <v>30</v>
      </c>
      <c r="E65" s="243" t="s">
        <v>274</v>
      </c>
      <c r="F65" s="242" t="s">
        <v>273</v>
      </c>
      <c r="G65" s="242" t="s">
        <v>43</v>
      </c>
      <c r="H65" s="253">
        <v>36068661</v>
      </c>
      <c r="I65" s="242">
        <v>41791</v>
      </c>
      <c r="J65" s="230">
        <f ca="1">+DATEDIF(I65,TODAY(),"Y")</f>
        <v>12</v>
      </c>
      <c r="K65" s="254" t="s">
        <v>275</v>
      </c>
      <c r="L65" s="244"/>
      <c r="M65" s="245" t="s">
        <v>267</v>
      </c>
      <c r="N65" s="243" t="s">
        <v>268</v>
      </c>
      <c r="O65" s="246">
        <v>15913328</v>
      </c>
      <c r="P65" s="247" t="s">
        <v>269</v>
      </c>
      <c r="Q65" s="254" t="s">
        <v>270</v>
      </c>
      <c r="R65" s="248" t="s">
        <v>129</v>
      </c>
      <c r="S65" s="248" t="s">
        <v>146</v>
      </c>
      <c r="T65" s="248" t="s">
        <v>138</v>
      </c>
      <c r="U65" s="248"/>
      <c r="V65" s="249">
        <v>280</v>
      </c>
      <c r="W65" s="250" t="s">
        <v>78</v>
      </c>
      <c r="X65" s="247">
        <v>45299</v>
      </c>
      <c r="Y65" s="255" t="s">
        <v>129</v>
      </c>
      <c r="Z65" s="250" t="s">
        <v>272</v>
      </c>
      <c r="AA65" s="247"/>
      <c r="AB65" s="242"/>
      <c r="AC65" s="250"/>
      <c r="AD65" s="242"/>
      <c r="AE65" s="242"/>
      <c r="AF65" s="250"/>
      <c r="AG65" s="251"/>
      <c r="AH65" s="251"/>
      <c r="AI65" s="251"/>
      <c r="AJ65" s="251"/>
      <c r="AK65" s="251"/>
      <c r="AL65" s="251"/>
      <c r="AM65" s="251"/>
      <c r="AN65" s="251"/>
      <c r="AO65" s="251"/>
      <c r="AP65" s="251"/>
      <c r="AQ65" s="251"/>
      <c r="AR65" s="260"/>
      <c r="AS65" s="202"/>
    </row>
    <row r="66" spans="1:45" ht="13.5" customHeight="1">
      <c r="A66" s="202"/>
      <c r="B66" s="285"/>
      <c r="C66" s="242"/>
      <c r="D66" s="242"/>
      <c r="E66" s="243"/>
      <c r="F66" s="242"/>
      <c r="G66" s="242"/>
      <c r="H66" s="253"/>
      <c r="I66" s="242"/>
      <c r="J66" s="230"/>
      <c r="K66" s="247"/>
      <c r="L66" s="244"/>
      <c r="M66" s="245"/>
      <c r="N66" s="243"/>
      <c r="O66" s="246"/>
      <c r="P66" s="247"/>
      <c r="Q66" s="242"/>
      <c r="R66" s="248"/>
      <c r="S66" s="248"/>
      <c r="T66" s="248"/>
      <c r="U66" s="248"/>
      <c r="V66" s="249"/>
      <c r="W66" s="250"/>
      <c r="X66" s="247"/>
      <c r="Y66" s="255"/>
      <c r="Z66" s="250"/>
      <c r="AA66" s="247"/>
      <c r="AB66" s="242"/>
      <c r="AC66" s="250"/>
      <c r="AD66" s="242"/>
      <c r="AE66" s="242"/>
      <c r="AF66" s="250"/>
      <c r="AG66" s="251"/>
      <c r="AH66" s="251"/>
      <c r="AI66" s="251"/>
      <c r="AJ66" s="251"/>
      <c r="AK66" s="251"/>
      <c r="AL66" s="251"/>
      <c r="AM66" s="251"/>
      <c r="AN66" s="251"/>
      <c r="AO66" s="251"/>
      <c r="AP66" s="251"/>
      <c r="AQ66" s="251"/>
      <c r="AR66" s="260"/>
      <c r="AS66" s="202"/>
    </row>
    <row r="67" spans="1:45" ht="13.5" customHeight="1">
      <c r="A67" s="202"/>
      <c r="B67" s="285"/>
      <c r="C67" s="242">
        <v>11</v>
      </c>
      <c r="D67" s="226">
        <v>31</v>
      </c>
      <c r="E67" s="243" t="s">
        <v>277</v>
      </c>
      <c r="F67" s="242" t="s">
        <v>276</v>
      </c>
      <c r="G67" s="242" t="s">
        <v>278</v>
      </c>
      <c r="H67" s="253"/>
      <c r="I67" s="242"/>
      <c r="J67" s="230">
        <f ca="1">+DATEDIF(I67,TODAY(),"Y")</f>
        <v>126</v>
      </c>
      <c r="K67" s="247"/>
      <c r="L67" s="244"/>
      <c r="M67" s="245"/>
      <c r="N67" s="243" t="s">
        <v>279</v>
      </c>
      <c r="O67" s="246"/>
      <c r="P67" s="247" t="s">
        <v>280</v>
      </c>
      <c r="Q67" s="242"/>
      <c r="R67" s="248" t="s">
        <v>281</v>
      </c>
      <c r="S67" s="248" t="s">
        <v>77</v>
      </c>
      <c r="T67" s="248"/>
      <c r="U67" s="248"/>
      <c r="V67" s="249"/>
      <c r="W67" s="250" t="s">
        <v>78</v>
      </c>
      <c r="X67" s="247"/>
      <c r="Y67" s="248" t="s">
        <v>50</v>
      </c>
      <c r="Z67" s="250"/>
      <c r="AA67" s="242"/>
      <c r="AB67" s="242"/>
      <c r="AC67" s="250"/>
      <c r="AD67" s="242"/>
      <c r="AE67" s="242"/>
      <c r="AF67" s="250"/>
      <c r="AG67" s="251"/>
      <c r="AH67" s="251"/>
      <c r="AI67" s="251"/>
      <c r="AJ67" s="251"/>
      <c r="AK67" s="251"/>
      <c r="AL67" s="251"/>
      <c r="AM67" s="251"/>
      <c r="AN67" s="251"/>
      <c r="AO67" s="251"/>
      <c r="AP67" s="251"/>
      <c r="AQ67" s="251"/>
      <c r="AR67" s="260"/>
      <c r="AS67" s="202"/>
    </row>
    <row r="68" spans="1:45" ht="13.5" customHeight="1">
      <c r="A68" s="202"/>
      <c r="B68" s="285"/>
      <c r="C68" s="242"/>
      <c r="D68" s="242"/>
      <c r="E68" s="243"/>
      <c r="F68" s="242"/>
      <c r="G68" s="242"/>
      <c r="H68" s="253"/>
      <c r="I68" s="242"/>
      <c r="J68" s="230"/>
      <c r="K68" s="247"/>
      <c r="L68" s="244"/>
      <c r="M68" s="245"/>
      <c r="N68" s="243"/>
      <c r="O68" s="246"/>
      <c r="P68" s="247"/>
      <c r="Q68" s="242"/>
      <c r="R68" s="248"/>
      <c r="S68" s="248"/>
      <c r="T68" s="248"/>
      <c r="U68" s="248"/>
      <c r="V68" s="249"/>
      <c r="W68" s="250"/>
      <c r="X68" s="247"/>
      <c r="Y68" s="248"/>
      <c r="Z68" s="250"/>
      <c r="AA68" s="242"/>
      <c r="AB68" s="242"/>
      <c r="AC68" s="250"/>
      <c r="AD68" s="242"/>
      <c r="AE68" s="242"/>
      <c r="AF68" s="250"/>
      <c r="AG68" s="251"/>
      <c r="AH68" s="251"/>
      <c r="AI68" s="251"/>
      <c r="AJ68" s="251"/>
      <c r="AK68" s="251"/>
      <c r="AL68" s="251"/>
      <c r="AM68" s="251"/>
      <c r="AN68" s="251"/>
      <c r="AO68" s="251"/>
      <c r="AP68" s="251"/>
      <c r="AQ68" s="251"/>
      <c r="AR68" s="260"/>
      <c r="AS68" s="202"/>
    </row>
    <row r="69" spans="1:45" ht="13.5" customHeight="1">
      <c r="A69" s="202"/>
      <c r="B69" s="285"/>
      <c r="C69" s="242">
        <v>12</v>
      </c>
      <c r="D69" s="226">
        <v>32</v>
      </c>
      <c r="E69" s="243" t="s">
        <v>283</v>
      </c>
      <c r="F69" s="242" t="s">
        <v>2560</v>
      </c>
      <c r="G69" s="242" t="s">
        <v>43</v>
      </c>
      <c r="H69" s="253"/>
      <c r="I69" s="242">
        <v>41124</v>
      </c>
      <c r="J69" s="230">
        <f ca="1">+DATEDIF(I69,TODAY(),"Y")</f>
        <v>13</v>
      </c>
      <c r="K69" s="254" t="s">
        <v>284</v>
      </c>
      <c r="L69" s="244"/>
      <c r="M69" s="245" t="s">
        <v>285</v>
      </c>
      <c r="N69" s="243" t="s">
        <v>286</v>
      </c>
      <c r="O69" s="246">
        <v>19585746</v>
      </c>
      <c r="P69" s="247" t="s">
        <v>287</v>
      </c>
      <c r="Q69" s="254" t="s">
        <v>284</v>
      </c>
      <c r="R69" s="248" t="s">
        <v>50</v>
      </c>
      <c r="S69" s="248" t="s">
        <v>77</v>
      </c>
      <c r="T69" s="248" t="s">
        <v>288</v>
      </c>
      <c r="U69" s="248"/>
      <c r="V69" s="249">
        <v>300</v>
      </c>
      <c r="W69" s="250" t="s">
        <v>54</v>
      </c>
      <c r="X69" s="247">
        <v>45299</v>
      </c>
      <c r="Y69" s="248" t="s">
        <v>50</v>
      </c>
      <c r="Z69" s="250">
        <v>300</v>
      </c>
      <c r="AA69" s="251"/>
      <c r="AB69" s="251"/>
      <c r="AC69" s="251"/>
      <c r="AD69" s="242"/>
      <c r="AE69" s="242"/>
      <c r="AF69" s="250"/>
      <c r="AG69" s="251"/>
      <c r="AH69" s="251"/>
      <c r="AI69" s="251"/>
      <c r="AJ69" s="251"/>
      <c r="AK69" s="251"/>
      <c r="AL69" s="251"/>
      <c r="AM69" s="251"/>
      <c r="AN69" s="251"/>
      <c r="AO69" s="251"/>
      <c r="AP69" s="251"/>
      <c r="AQ69" s="251"/>
      <c r="AR69" s="260"/>
      <c r="AS69" s="202"/>
    </row>
    <row r="70" spans="1:45" ht="13.5" customHeight="1">
      <c r="A70" s="202"/>
      <c r="B70" s="285"/>
      <c r="C70" s="242"/>
      <c r="D70" s="242"/>
      <c r="E70" s="243"/>
      <c r="F70" s="242"/>
      <c r="G70" s="242"/>
      <c r="H70" s="253"/>
      <c r="I70" s="242"/>
      <c r="J70" s="230"/>
      <c r="K70" s="242"/>
      <c r="L70" s="244"/>
      <c r="M70" s="245"/>
      <c r="N70" s="243"/>
      <c r="O70" s="246"/>
      <c r="P70" s="247"/>
      <c r="Q70" s="242"/>
      <c r="R70" s="248"/>
      <c r="S70" s="248"/>
      <c r="T70" s="248"/>
      <c r="U70" s="248"/>
      <c r="V70" s="249"/>
      <c r="W70" s="250"/>
      <c r="X70" s="247"/>
      <c r="Y70" s="248"/>
      <c r="Z70" s="250"/>
      <c r="AA70" s="251"/>
      <c r="AB70" s="251"/>
      <c r="AC70" s="251"/>
      <c r="AD70" s="242"/>
      <c r="AE70" s="242"/>
      <c r="AF70" s="250"/>
      <c r="AG70" s="251"/>
      <c r="AH70" s="251"/>
      <c r="AI70" s="251"/>
      <c r="AJ70" s="251"/>
      <c r="AK70" s="251"/>
      <c r="AL70" s="251"/>
      <c r="AM70" s="251"/>
      <c r="AN70" s="251"/>
      <c r="AO70" s="251"/>
      <c r="AP70" s="251"/>
      <c r="AQ70" s="251"/>
      <c r="AR70" s="260"/>
      <c r="AS70" s="202"/>
    </row>
    <row r="71" spans="1:45" ht="13.5" customHeight="1">
      <c r="A71" s="202"/>
      <c r="B71" s="285"/>
      <c r="C71" s="242">
        <v>13</v>
      </c>
      <c r="D71" s="226">
        <v>33</v>
      </c>
      <c r="E71" s="243" t="s">
        <v>290</v>
      </c>
      <c r="F71" s="242" t="s">
        <v>289</v>
      </c>
      <c r="G71" s="242" t="s">
        <v>43</v>
      </c>
      <c r="H71" s="253">
        <v>31167524</v>
      </c>
      <c r="I71" s="242">
        <v>44137</v>
      </c>
      <c r="J71" s="230">
        <f ca="1">+DATEDIF(I71,TODAY(),"Y")</f>
        <v>5</v>
      </c>
      <c r="K71" s="254" t="s">
        <v>291</v>
      </c>
      <c r="L71" s="244" t="s">
        <v>292</v>
      </c>
      <c r="M71" s="245" t="s">
        <v>293</v>
      </c>
      <c r="N71" s="243" t="s">
        <v>294</v>
      </c>
      <c r="O71" s="246">
        <v>18234657</v>
      </c>
      <c r="P71" s="247" t="s">
        <v>295</v>
      </c>
      <c r="Q71" s="254" t="s">
        <v>291</v>
      </c>
      <c r="R71" s="248" t="s">
        <v>50</v>
      </c>
      <c r="S71" s="248" t="s">
        <v>107</v>
      </c>
      <c r="T71" s="248" t="s">
        <v>138</v>
      </c>
      <c r="U71" s="248"/>
      <c r="V71" s="249">
        <v>280</v>
      </c>
      <c r="W71" s="250" t="s">
        <v>78</v>
      </c>
      <c r="X71" s="247">
        <v>45299</v>
      </c>
      <c r="Y71" s="248" t="s">
        <v>50</v>
      </c>
      <c r="Z71" s="250">
        <v>280</v>
      </c>
      <c r="AA71" s="242"/>
      <c r="AB71" s="242"/>
      <c r="AC71" s="250"/>
      <c r="AD71" s="251"/>
      <c r="AE71" s="251"/>
      <c r="AF71" s="251"/>
      <c r="AG71" s="251"/>
      <c r="AH71" s="251"/>
      <c r="AI71" s="251"/>
      <c r="AJ71" s="251"/>
      <c r="AK71" s="251"/>
      <c r="AL71" s="251"/>
      <c r="AM71" s="251"/>
      <c r="AN71" s="251"/>
      <c r="AO71" s="251"/>
      <c r="AP71" s="251"/>
      <c r="AQ71" s="251"/>
      <c r="AR71" s="260"/>
      <c r="AS71" s="202"/>
    </row>
    <row r="72" spans="1:45" ht="13.5" customHeight="1">
      <c r="A72" s="202"/>
      <c r="B72" s="285"/>
      <c r="C72" s="242"/>
      <c r="D72" s="242"/>
      <c r="E72" s="243"/>
      <c r="F72" s="242"/>
      <c r="G72" s="242"/>
      <c r="H72" s="253"/>
      <c r="I72" s="242"/>
      <c r="J72" s="230"/>
      <c r="K72" s="242"/>
      <c r="L72" s="244"/>
      <c r="M72" s="245"/>
      <c r="N72" s="243"/>
      <c r="O72" s="246"/>
      <c r="P72" s="247"/>
      <c r="Q72" s="247"/>
      <c r="R72" s="248"/>
      <c r="S72" s="248"/>
      <c r="T72" s="248"/>
      <c r="U72" s="248"/>
      <c r="V72" s="249"/>
      <c r="W72" s="250"/>
      <c r="X72" s="247"/>
      <c r="Y72" s="248"/>
      <c r="Z72" s="250"/>
      <c r="AA72" s="242"/>
      <c r="AB72" s="242"/>
      <c r="AC72" s="250"/>
      <c r="AD72" s="251"/>
      <c r="AE72" s="251"/>
      <c r="AF72" s="251"/>
      <c r="AG72" s="251"/>
      <c r="AH72" s="251"/>
      <c r="AI72" s="251"/>
      <c r="AJ72" s="251"/>
      <c r="AK72" s="251"/>
      <c r="AL72" s="251"/>
      <c r="AM72" s="251"/>
      <c r="AN72" s="251"/>
      <c r="AO72" s="251"/>
      <c r="AP72" s="251"/>
      <c r="AQ72" s="251"/>
      <c r="AR72" s="260"/>
      <c r="AS72" s="202"/>
    </row>
    <row r="73" spans="1:45" ht="13.5" customHeight="1">
      <c r="A73" s="202"/>
      <c r="B73" s="285"/>
      <c r="C73" s="242">
        <v>14</v>
      </c>
      <c r="D73" s="226">
        <v>34</v>
      </c>
      <c r="E73" s="243" t="s">
        <v>297</v>
      </c>
      <c r="F73" s="242" t="s">
        <v>296</v>
      </c>
      <c r="G73" s="242" t="s">
        <v>43</v>
      </c>
      <c r="H73" s="253">
        <v>33884591</v>
      </c>
      <c r="I73" s="242">
        <v>40605</v>
      </c>
      <c r="J73" s="230">
        <f ca="1">+DATEDIF(I73,TODAY(),"Y")</f>
        <v>15</v>
      </c>
      <c r="K73" s="254" t="s">
        <v>298</v>
      </c>
      <c r="L73" s="244"/>
      <c r="M73" s="245" t="s">
        <v>299</v>
      </c>
      <c r="N73" s="243" t="s">
        <v>300</v>
      </c>
      <c r="O73" s="262">
        <v>16889189</v>
      </c>
      <c r="P73" s="247" t="s">
        <v>301</v>
      </c>
      <c r="Q73" s="259" t="s">
        <v>302</v>
      </c>
      <c r="R73" s="248" t="s">
        <v>63</v>
      </c>
      <c r="S73" s="248" t="s">
        <v>303</v>
      </c>
      <c r="T73" s="248" t="s">
        <v>138</v>
      </c>
      <c r="U73" s="255"/>
      <c r="V73" s="249">
        <v>300</v>
      </c>
      <c r="W73" s="250" t="s">
        <v>78</v>
      </c>
      <c r="X73" s="247">
        <v>45301</v>
      </c>
      <c r="Y73" s="248" t="s">
        <v>63</v>
      </c>
      <c r="Z73" s="250">
        <v>300</v>
      </c>
      <c r="AA73" s="242"/>
      <c r="AB73" s="242"/>
      <c r="AC73" s="250"/>
      <c r="AD73" s="251"/>
      <c r="AE73" s="251"/>
      <c r="AF73" s="251"/>
      <c r="AG73" s="251"/>
      <c r="AH73" s="251"/>
      <c r="AI73" s="251"/>
      <c r="AJ73" s="251"/>
      <c r="AK73" s="251"/>
      <c r="AL73" s="251"/>
      <c r="AM73" s="251"/>
      <c r="AN73" s="251"/>
      <c r="AO73" s="251"/>
      <c r="AP73" s="251"/>
      <c r="AQ73" s="251"/>
      <c r="AR73" s="260"/>
      <c r="AS73" s="202"/>
    </row>
    <row r="74" spans="1:45" ht="13.5" customHeight="1">
      <c r="A74" s="202"/>
      <c r="B74" s="285"/>
      <c r="C74" s="242"/>
      <c r="D74" s="242"/>
      <c r="E74" s="243"/>
      <c r="F74" s="242"/>
      <c r="G74" s="242"/>
      <c r="H74" s="253"/>
      <c r="I74" s="242"/>
      <c r="J74" s="230"/>
      <c r="K74" s="247"/>
      <c r="L74" s="244"/>
      <c r="M74" s="245"/>
      <c r="N74" s="243"/>
      <c r="O74" s="247"/>
      <c r="P74" s="247"/>
      <c r="Q74" s="257"/>
      <c r="R74" s="248"/>
      <c r="S74" s="248"/>
      <c r="T74" s="248"/>
      <c r="U74" s="255"/>
      <c r="V74" s="249"/>
      <c r="W74" s="250"/>
      <c r="X74" s="247"/>
      <c r="Y74" s="248"/>
      <c r="Z74" s="250"/>
      <c r="AA74" s="242"/>
      <c r="AB74" s="242"/>
      <c r="AC74" s="250"/>
      <c r="AD74" s="251"/>
      <c r="AE74" s="251"/>
      <c r="AF74" s="251"/>
      <c r="AG74" s="251"/>
      <c r="AH74" s="251"/>
      <c r="AI74" s="251"/>
      <c r="AJ74" s="251"/>
      <c r="AK74" s="251"/>
      <c r="AL74" s="251"/>
      <c r="AM74" s="251"/>
      <c r="AN74" s="251"/>
      <c r="AO74" s="251"/>
      <c r="AP74" s="251"/>
      <c r="AQ74" s="251"/>
      <c r="AR74" s="260"/>
      <c r="AS74" s="202"/>
    </row>
    <row r="75" spans="1:45" ht="13.5" customHeight="1">
      <c r="A75" s="202"/>
      <c r="B75" s="285"/>
      <c r="C75" s="242">
        <v>15</v>
      </c>
      <c r="D75" s="226">
        <v>35</v>
      </c>
      <c r="E75" s="243" t="s">
        <v>305</v>
      </c>
      <c r="F75" s="242" t="s">
        <v>304</v>
      </c>
      <c r="G75" s="242" t="s">
        <v>278</v>
      </c>
      <c r="H75" s="253">
        <v>33884725</v>
      </c>
      <c r="I75" s="242">
        <v>40604</v>
      </c>
      <c r="J75" s="230">
        <f ca="1">+DATEDIF(I75,TODAY(),"Y")</f>
        <v>15</v>
      </c>
      <c r="K75" s="254" t="s">
        <v>306</v>
      </c>
      <c r="L75" s="244"/>
      <c r="M75" s="245" t="s">
        <v>307</v>
      </c>
      <c r="N75" s="243" t="s">
        <v>308</v>
      </c>
      <c r="O75" s="262">
        <v>12730066</v>
      </c>
      <c r="P75" s="247" t="s">
        <v>309</v>
      </c>
      <c r="Q75" s="259" t="s">
        <v>306</v>
      </c>
      <c r="R75" s="248" t="s">
        <v>76</v>
      </c>
      <c r="S75" s="248" t="s">
        <v>310</v>
      </c>
      <c r="T75" s="248" t="s">
        <v>138</v>
      </c>
      <c r="U75" s="255"/>
      <c r="V75" s="249">
        <v>300</v>
      </c>
      <c r="W75" s="250" t="s">
        <v>78</v>
      </c>
      <c r="X75" s="247">
        <v>45301</v>
      </c>
      <c r="Y75" s="248" t="s">
        <v>76</v>
      </c>
      <c r="Z75" s="250">
        <v>300</v>
      </c>
      <c r="AA75" s="242"/>
      <c r="AB75" s="242"/>
      <c r="AC75" s="250"/>
      <c r="AD75" s="242"/>
      <c r="AE75" s="242"/>
      <c r="AF75" s="290"/>
      <c r="AG75" s="289"/>
      <c r="AH75" s="242"/>
      <c r="AI75" s="250"/>
      <c r="AJ75" s="251"/>
      <c r="AK75" s="251"/>
      <c r="AL75" s="251"/>
      <c r="AM75" s="251"/>
      <c r="AN75" s="251"/>
      <c r="AO75" s="251"/>
      <c r="AP75" s="251"/>
      <c r="AQ75" s="251"/>
      <c r="AR75" s="260"/>
      <c r="AS75" s="202"/>
    </row>
    <row r="76" spans="1:45" ht="13.5" customHeight="1">
      <c r="A76" s="202"/>
      <c r="B76" s="285"/>
      <c r="C76" s="242"/>
      <c r="D76" s="242"/>
      <c r="E76" s="243"/>
      <c r="F76" s="242"/>
      <c r="G76" s="242"/>
      <c r="H76" s="253"/>
      <c r="I76" s="242"/>
      <c r="J76" s="230"/>
      <c r="K76" s="247"/>
      <c r="L76" s="244"/>
      <c r="M76" s="245"/>
      <c r="N76" s="243"/>
      <c r="O76" s="247"/>
      <c r="P76" s="247"/>
      <c r="Q76" s="257"/>
      <c r="R76" s="248"/>
      <c r="S76" s="248"/>
      <c r="T76" s="248"/>
      <c r="U76" s="255"/>
      <c r="V76" s="249"/>
      <c r="W76" s="250"/>
      <c r="X76" s="247"/>
      <c r="Y76" s="248"/>
      <c r="Z76" s="250"/>
      <c r="AA76" s="242"/>
      <c r="AB76" s="242"/>
      <c r="AC76" s="250"/>
      <c r="AD76" s="242"/>
      <c r="AE76" s="242"/>
      <c r="AF76" s="290"/>
      <c r="AG76" s="289"/>
      <c r="AH76" s="242"/>
      <c r="AI76" s="250"/>
      <c r="AJ76" s="251"/>
      <c r="AK76" s="251"/>
      <c r="AL76" s="251"/>
      <c r="AM76" s="251"/>
      <c r="AN76" s="251"/>
      <c r="AO76" s="251"/>
      <c r="AP76" s="251"/>
      <c r="AQ76" s="251"/>
      <c r="AR76" s="260"/>
      <c r="AS76" s="202"/>
    </row>
    <row r="77" spans="1:45" ht="13.5" customHeight="1">
      <c r="A77" s="202"/>
      <c r="B77" s="285"/>
      <c r="C77" s="242">
        <v>16</v>
      </c>
      <c r="D77" s="226">
        <v>36</v>
      </c>
      <c r="E77" s="243" t="s">
        <v>312</v>
      </c>
      <c r="F77" s="242" t="s">
        <v>311</v>
      </c>
      <c r="G77" s="242" t="s">
        <v>43</v>
      </c>
      <c r="H77" s="253">
        <v>34110326</v>
      </c>
      <c r="I77" s="242">
        <v>39983</v>
      </c>
      <c r="J77" s="230">
        <f ca="1">+DATEDIF(I77,TODAY(),"Y")</f>
        <v>16</v>
      </c>
      <c r="K77" s="254" t="s">
        <v>313</v>
      </c>
      <c r="L77" s="244"/>
      <c r="M77" s="245" t="s">
        <v>314</v>
      </c>
      <c r="N77" s="243" t="s">
        <v>315</v>
      </c>
      <c r="O77" s="246">
        <v>15199917</v>
      </c>
      <c r="P77" s="247" t="s">
        <v>316</v>
      </c>
      <c r="Q77" s="259" t="s">
        <v>313</v>
      </c>
      <c r="R77" s="248" t="s">
        <v>50</v>
      </c>
      <c r="S77" s="248"/>
      <c r="T77" s="248" t="s">
        <v>138</v>
      </c>
      <c r="U77" s="255"/>
      <c r="V77" s="249">
        <v>240</v>
      </c>
      <c r="W77" s="250" t="s">
        <v>78</v>
      </c>
      <c r="X77" s="247">
        <v>45301</v>
      </c>
      <c r="Y77" s="248"/>
      <c r="Z77" s="250">
        <v>240</v>
      </c>
      <c r="AA77" s="242"/>
      <c r="AB77" s="242"/>
      <c r="AC77" s="250"/>
      <c r="AD77" s="242"/>
      <c r="AE77" s="242"/>
      <c r="AF77" s="290"/>
      <c r="AG77" s="251"/>
      <c r="AH77" s="251"/>
      <c r="AI77" s="251"/>
      <c r="AJ77" s="251"/>
      <c r="AK77" s="251"/>
      <c r="AL77" s="251"/>
      <c r="AM77" s="251"/>
      <c r="AN77" s="251"/>
      <c r="AO77" s="251"/>
      <c r="AP77" s="251"/>
      <c r="AQ77" s="251"/>
      <c r="AR77" s="260"/>
      <c r="AS77" s="202"/>
    </row>
    <row r="78" spans="1:45" ht="13.5" customHeight="1">
      <c r="A78" s="202"/>
      <c r="B78" s="285"/>
      <c r="C78" s="242"/>
      <c r="D78" s="242"/>
      <c r="E78" s="243"/>
      <c r="F78" s="242"/>
      <c r="G78" s="242"/>
      <c r="H78" s="253"/>
      <c r="I78" s="242"/>
      <c r="J78" s="230"/>
      <c r="K78" s="247"/>
      <c r="L78" s="244"/>
      <c r="M78" s="245"/>
      <c r="N78" s="243"/>
      <c r="O78" s="246"/>
      <c r="P78" s="247"/>
      <c r="Q78" s="257"/>
      <c r="R78" s="248"/>
      <c r="S78" s="248"/>
      <c r="T78" s="248"/>
      <c r="U78" s="255"/>
      <c r="V78" s="249"/>
      <c r="W78" s="250"/>
      <c r="X78" s="247"/>
      <c r="Y78" s="248"/>
      <c r="Z78" s="250"/>
      <c r="AA78" s="242"/>
      <c r="AB78" s="242"/>
      <c r="AC78" s="250"/>
      <c r="AD78" s="242"/>
      <c r="AE78" s="242"/>
      <c r="AF78" s="290"/>
      <c r="AG78" s="251"/>
      <c r="AH78" s="251"/>
      <c r="AI78" s="251"/>
      <c r="AJ78" s="251"/>
      <c r="AK78" s="251"/>
      <c r="AL78" s="251"/>
      <c r="AM78" s="251"/>
      <c r="AN78" s="251"/>
      <c r="AO78" s="251"/>
      <c r="AP78" s="251"/>
      <c r="AQ78" s="251"/>
      <c r="AR78" s="260"/>
      <c r="AS78" s="202"/>
    </row>
    <row r="79" spans="1:45" ht="13.5" customHeight="1">
      <c r="A79" s="202"/>
      <c r="B79" s="285"/>
      <c r="C79" s="242">
        <v>17</v>
      </c>
      <c r="D79" s="226">
        <v>37</v>
      </c>
      <c r="E79" s="243" t="s">
        <v>318</v>
      </c>
      <c r="F79" s="242" t="s">
        <v>317</v>
      </c>
      <c r="G79" s="242" t="s">
        <v>43</v>
      </c>
      <c r="H79" s="253">
        <v>36241373</v>
      </c>
      <c r="I79" s="242">
        <v>41029</v>
      </c>
      <c r="J79" s="230">
        <f ca="1">+DATEDIF(I79,TODAY(),"Y")</f>
        <v>14</v>
      </c>
      <c r="K79" s="254" t="s">
        <v>313</v>
      </c>
      <c r="L79" s="244"/>
      <c r="M79" s="245" t="s">
        <v>319</v>
      </c>
      <c r="N79" s="243" t="s">
        <v>315</v>
      </c>
      <c r="O79" s="246">
        <v>15199918</v>
      </c>
      <c r="P79" s="247" t="s">
        <v>316</v>
      </c>
      <c r="Q79" s="259" t="s">
        <v>313</v>
      </c>
      <c r="R79" s="248" t="s">
        <v>129</v>
      </c>
      <c r="S79" s="248" t="s">
        <v>146</v>
      </c>
      <c r="T79" s="248" t="s">
        <v>138</v>
      </c>
      <c r="U79" s="255"/>
      <c r="V79" s="249">
        <v>240</v>
      </c>
      <c r="W79" s="250" t="s">
        <v>78</v>
      </c>
      <c r="X79" s="247">
        <v>45301</v>
      </c>
      <c r="Y79" s="248" t="s">
        <v>129</v>
      </c>
      <c r="Z79" s="250">
        <v>240</v>
      </c>
      <c r="AA79" s="242"/>
      <c r="AB79" s="242"/>
      <c r="AC79" s="250"/>
      <c r="AD79" s="289"/>
      <c r="AE79" s="242"/>
      <c r="AF79" s="250"/>
      <c r="AG79" s="251"/>
      <c r="AH79" s="251"/>
      <c r="AI79" s="251"/>
      <c r="AJ79" s="251"/>
      <c r="AK79" s="251"/>
      <c r="AL79" s="251"/>
      <c r="AM79" s="251"/>
      <c r="AN79" s="251"/>
      <c r="AO79" s="251"/>
      <c r="AP79" s="251"/>
      <c r="AQ79" s="251"/>
      <c r="AR79" s="260"/>
      <c r="AS79" s="202"/>
    </row>
    <row r="80" spans="1:45" ht="13.5" customHeight="1">
      <c r="A80" s="202"/>
      <c r="B80" s="285"/>
      <c r="C80" s="242"/>
      <c r="D80" s="242"/>
      <c r="E80" s="243"/>
      <c r="F80" s="242"/>
      <c r="G80" s="242"/>
      <c r="H80" s="253"/>
      <c r="I80" s="242"/>
      <c r="J80" s="230"/>
      <c r="K80" s="247"/>
      <c r="L80" s="244"/>
      <c r="M80" s="245"/>
      <c r="N80" s="243"/>
      <c r="O80" s="246"/>
      <c r="P80" s="247"/>
      <c r="Q80" s="257"/>
      <c r="R80" s="248"/>
      <c r="S80" s="248"/>
      <c r="T80" s="248"/>
      <c r="U80" s="255"/>
      <c r="V80" s="249"/>
      <c r="W80" s="250"/>
      <c r="X80" s="247"/>
      <c r="Y80" s="248"/>
      <c r="Z80" s="250"/>
      <c r="AA80" s="242"/>
      <c r="AB80" s="242"/>
      <c r="AC80" s="250"/>
      <c r="AD80" s="289"/>
      <c r="AE80" s="242"/>
      <c r="AF80" s="250"/>
      <c r="AG80" s="251"/>
      <c r="AH80" s="251"/>
      <c r="AI80" s="251"/>
      <c r="AJ80" s="251"/>
      <c r="AK80" s="251"/>
      <c r="AL80" s="251"/>
      <c r="AM80" s="251"/>
      <c r="AN80" s="251"/>
      <c r="AO80" s="251"/>
      <c r="AP80" s="251"/>
      <c r="AQ80" s="251"/>
      <c r="AR80" s="260"/>
      <c r="AS80" s="202"/>
    </row>
    <row r="81" spans="1:45" ht="13.5" customHeight="1">
      <c r="A81" s="202"/>
      <c r="B81" s="285"/>
      <c r="C81" s="242">
        <v>18</v>
      </c>
      <c r="D81" s="226">
        <v>38</v>
      </c>
      <c r="E81" s="243" t="s">
        <v>321</v>
      </c>
      <c r="F81" s="242" t="s">
        <v>320</v>
      </c>
      <c r="G81" s="242" t="s">
        <v>43</v>
      </c>
      <c r="H81" s="253">
        <v>21436476</v>
      </c>
      <c r="I81" s="242">
        <v>34001</v>
      </c>
      <c r="J81" s="230">
        <f ca="1">+DATEDIF(I81,TODAY(),"Y")</f>
        <v>33</v>
      </c>
      <c r="K81" s="254" t="s">
        <v>322</v>
      </c>
      <c r="L81" s="244" t="s">
        <v>323</v>
      </c>
      <c r="M81" s="245" t="s">
        <v>324</v>
      </c>
      <c r="N81" s="243"/>
      <c r="O81" s="246"/>
      <c r="P81" s="247"/>
      <c r="Q81" s="257"/>
      <c r="R81" s="248" t="s">
        <v>50</v>
      </c>
      <c r="S81" s="248" t="s">
        <v>325</v>
      </c>
      <c r="T81" s="248" t="s">
        <v>288</v>
      </c>
      <c r="U81" s="255"/>
      <c r="V81" s="249">
        <v>480</v>
      </c>
      <c r="W81" s="250" t="s">
        <v>54</v>
      </c>
      <c r="X81" s="247">
        <v>45301</v>
      </c>
      <c r="Y81" s="248" t="s">
        <v>50</v>
      </c>
      <c r="Z81" s="250">
        <v>120</v>
      </c>
      <c r="AA81" s="242"/>
      <c r="AB81" s="242"/>
      <c r="AC81" s="250"/>
      <c r="AD81" s="251"/>
      <c r="AE81" s="251"/>
      <c r="AF81" s="251"/>
      <c r="AG81" s="251"/>
      <c r="AH81" s="251"/>
      <c r="AI81" s="251"/>
      <c r="AJ81" s="251"/>
      <c r="AK81" s="251"/>
      <c r="AL81" s="251"/>
      <c r="AM81" s="251"/>
      <c r="AN81" s="251"/>
      <c r="AO81" s="251"/>
      <c r="AP81" s="251"/>
      <c r="AQ81" s="251"/>
      <c r="AR81" s="260"/>
      <c r="AS81" s="202"/>
    </row>
    <row r="82" spans="1:45" ht="13.5" customHeight="1">
      <c r="A82" s="202"/>
      <c r="B82" s="285"/>
      <c r="C82" s="242"/>
      <c r="D82" s="242"/>
      <c r="E82" s="243"/>
      <c r="F82" s="242"/>
      <c r="G82" s="242"/>
      <c r="H82" s="253"/>
      <c r="I82" s="242"/>
      <c r="J82" s="230"/>
      <c r="K82" s="242"/>
      <c r="L82" s="244"/>
      <c r="M82" s="245"/>
      <c r="N82" s="243"/>
      <c r="O82" s="246"/>
      <c r="P82" s="247"/>
      <c r="Q82" s="257"/>
      <c r="R82" s="248"/>
      <c r="S82" s="248"/>
      <c r="T82" s="248"/>
      <c r="U82" s="255"/>
      <c r="V82" s="249"/>
      <c r="W82" s="250"/>
      <c r="X82" s="247"/>
      <c r="Y82" s="248"/>
      <c r="Z82" s="250"/>
      <c r="AA82" s="242"/>
      <c r="AB82" s="242"/>
      <c r="AC82" s="250"/>
      <c r="AD82" s="251"/>
      <c r="AE82" s="251"/>
      <c r="AF82" s="251"/>
      <c r="AG82" s="251"/>
      <c r="AH82" s="251"/>
      <c r="AI82" s="251"/>
      <c r="AJ82" s="251"/>
      <c r="AK82" s="251"/>
      <c r="AL82" s="251"/>
      <c r="AM82" s="251"/>
      <c r="AN82" s="251"/>
      <c r="AO82" s="251"/>
      <c r="AP82" s="251"/>
      <c r="AQ82" s="251"/>
      <c r="AR82" s="260"/>
      <c r="AS82" s="202"/>
    </row>
    <row r="83" spans="1:45" ht="13.5" customHeight="1">
      <c r="A83" s="202"/>
      <c r="B83" s="285"/>
      <c r="C83" s="242">
        <v>19</v>
      </c>
      <c r="D83" s="226">
        <v>39</v>
      </c>
      <c r="E83" s="243" t="s">
        <v>327</v>
      </c>
      <c r="F83" s="242" t="s">
        <v>326</v>
      </c>
      <c r="G83" s="242" t="s">
        <v>43</v>
      </c>
      <c r="H83" s="253">
        <v>33351857</v>
      </c>
      <c r="I83" s="242">
        <v>39802</v>
      </c>
      <c r="J83" s="230">
        <f ca="1">+DATEDIF(I83,TODAY(),"Y")</f>
        <v>17</v>
      </c>
      <c r="K83" s="254" t="s">
        <v>157</v>
      </c>
      <c r="L83" s="244" t="s">
        <v>158</v>
      </c>
      <c r="M83" s="245" t="s">
        <v>328</v>
      </c>
      <c r="N83" s="243" t="s">
        <v>160</v>
      </c>
      <c r="O83" s="246">
        <v>14418138</v>
      </c>
      <c r="P83" s="247" t="s">
        <v>329</v>
      </c>
      <c r="Q83" s="254" t="s">
        <v>162</v>
      </c>
      <c r="R83" s="248" t="s">
        <v>330</v>
      </c>
      <c r="S83" s="248"/>
      <c r="T83" s="248" t="s">
        <v>138</v>
      </c>
      <c r="U83" s="248"/>
      <c r="V83" s="249">
        <v>300</v>
      </c>
      <c r="W83" s="250" t="s">
        <v>78</v>
      </c>
      <c r="X83" s="247">
        <v>45302</v>
      </c>
      <c r="Y83" s="248" t="s">
        <v>330</v>
      </c>
      <c r="Z83" s="250">
        <v>140</v>
      </c>
      <c r="AA83" s="242"/>
      <c r="AB83" s="242"/>
      <c r="AC83" s="250"/>
      <c r="AD83" s="242"/>
      <c r="AE83" s="242"/>
      <c r="AF83" s="250"/>
      <c r="AG83" s="251"/>
      <c r="AH83" s="251"/>
      <c r="AI83" s="251"/>
      <c r="AJ83" s="251"/>
      <c r="AK83" s="251"/>
      <c r="AL83" s="251"/>
      <c r="AM83" s="251"/>
      <c r="AN83" s="251"/>
      <c r="AO83" s="251"/>
      <c r="AP83" s="251"/>
      <c r="AQ83" s="251"/>
      <c r="AR83" s="260"/>
      <c r="AS83" s="202"/>
    </row>
    <row r="84" spans="1:45" ht="13.5" customHeight="1">
      <c r="A84" s="202"/>
      <c r="B84" s="285"/>
      <c r="C84" s="242"/>
      <c r="D84" s="242"/>
      <c r="E84" s="243"/>
      <c r="F84" s="242"/>
      <c r="G84" s="242"/>
      <c r="H84" s="242"/>
      <c r="I84" s="242"/>
      <c r="J84" s="230"/>
      <c r="K84" s="247"/>
      <c r="L84" s="244"/>
      <c r="M84" s="245"/>
      <c r="N84" s="243"/>
      <c r="O84" s="246"/>
      <c r="P84" s="247"/>
      <c r="Q84" s="254"/>
      <c r="R84" s="248"/>
      <c r="S84" s="248"/>
      <c r="T84" s="248"/>
      <c r="U84" s="248"/>
      <c r="V84" s="249"/>
      <c r="W84" s="250"/>
      <c r="X84" s="247"/>
      <c r="Y84" s="248"/>
      <c r="Z84" s="250"/>
      <c r="AA84" s="242"/>
      <c r="AB84" s="242"/>
      <c r="AC84" s="250"/>
      <c r="AD84" s="242"/>
      <c r="AE84" s="242"/>
      <c r="AF84" s="25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60"/>
      <c r="AS84" s="202"/>
    </row>
    <row r="85" spans="1:45" ht="13.5" customHeight="1">
      <c r="A85" s="202"/>
      <c r="B85" s="285"/>
      <c r="C85" s="242">
        <v>20</v>
      </c>
      <c r="D85" s="226">
        <v>40</v>
      </c>
      <c r="E85" s="243" t="s">
        <v>332</v>
      </c>
      <c r="F85" s="242" t="s">
        <v>331</v>
      </c>
      <c r="G85" s="242" t="s">
        <v>43</v>
      </c>
      <c r="H85" s="253">
        <v>33329696</v>
      </c>
      <c r="I85" s="242">
        <v>40862</v>
      </c>
      <c r="J85" s="230">
        <f ca="1">+DATEDIF(I85,TODAY(),"Y")</f>
        <v>14</v>
      </c>
      <c r="K85" s="254" t="s">
        <v>333</v>
      </c>
      <c r="L85" s="244" t="s">
        <v>334</v>
      </c>
      <c r="M85" s="245" t="s">
        <v>335</v>
      </c>
      <c r="N85" s="243" t="s">
        <v>336</v>
      </c>
      <c r="O85" s="246">
        <v>14216581</v>
      </c>
      <c r="P85" s="247" t="s">
        <v>337</v>
      </c>
      <c r="Q85" s="254" t="s">
        <v>338</v>
      </c>
      <c r="R85" s="248" t="s">
        <v>50</v>
      </c>
      <c r="S85" s="248" t="s">
        <v>146</v>
      </c>
      <c r="T85" s="248" t="s">
        <v>138</v>
      </c>
      <c r="U85" s="255"/>
      <c r="V85" s="249">
        <v>300</v>
      </c>
      <c r="W85" s="250" t="s">
        <v>78</v>
      </c>
      <c r="X85" s="247">
        <v>45302</v>
      </c>
      <c r="Y85" s="248" t="s">
        <v>50</v>
      </c>
      <c r="Z85" s="250">
        <v>300</v>
      </c>
      <c r="AA85" s="242"/>
      <c r="AB85" s="242"/>
      <c r="AC85" s="250"/>
      <c r="AD85" s="242"/>
      <c r="AE85" s="242"/>
      <c r="AF85" s="250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60"/>
      <c r="AS85" s="202"/>
    </row>
    <row r="86" spans="1:45" ht="13.5" customHeight="1">
      <c r="A86" s="202"/>
      <c r="B86" s="291"/>
      <c r="C86" s="264"/>
      <c r="D86" s="242"/>
      <c r="E86" s="265"/>
      <c r="F86" s="264"/>
      <c r="G86" s="264"/>
      <c r="H86" s="266"/>
      <c r="I86" s="264"/>
      <c r="J86" s="230"/>
      <c r="K86" s="264"/>
      <c r="L86" s="268"/>
      <c r="M86" s="269"/>
      <c r="N86" s="265"/>
      <c r="O86" s="270"/>
      <c r="P86" s="267"/>
      <c r="Q86" s="267"/>
      <c r="R86" s="271"/>
      <c r="S86" s="271"/>
      <c r="T86" s="271"/>
      <c r="U86" s="292"/>
      <c r="V86" s="272"/>
      <c r="W86" s="273"/>
      <c r="X86" s="267"/>
      <c r="Y86" s="271"/>
      <c r="Z86" s="273"/>
      <c r="AA86" s="264"/>
      <c r="AB86" s="264"/>
      <c r="AC86" s="273"/>
      <c r="AD86" s="264"/>
      <c r="AE86" s="264"/>
      <c r="AF86" s="273"/>
      <c r="AG86" s="274"/>
      <c r="AH86" s="274"/>
      <c r="AI86" s="274"/>
      <c r="AJ86" s="274"/>
      <c r="AK86" s="274"/>
      <c r="AL86" s="274"/>
      <c r="AM86" s="274"/>
      <c r="AN86" s="274"/>
      <c r="AO86" s="274"/>
      <c r="AP86" s="274"/>
      <c r="AQ86" s="274"/>
      <c r="AR86" s="275"/>
      <c r="AS86" s="202"/>
    </row>
    <row r="87" spans="1:45" ht="13.5" customHeight="1">
      <c r="A87" s="202"/>
      <c r="B87" s="276" t="s">
        <v>339</v>
      </c>
      <c r="C87" s="226">
        <v>1</v>
      </c>
      <c r="D87" s="226">
        <v>41</v>
      </c>
      <c r="E87" s="227" t="s">
        <v>341</v>
      </c>
      <c r="F87" s="226" t="s">
        <v>340</v>
      </c>
      <c r="G87" s="226" t="s">
        <v>43</v>
      </c>
      <c r="H87" s="228">
        <v>33519086</v>
      </c>
      <c r="I87" s="226">
        <v>39989</v>
      </c>
      <c r="J87" s="230">
        <f ca="1">+DATEDIF(I87,TODAY(),"Y")</f>
        <v>16</v>
      </c>
      <c r="K87" s="231" t="s">
        <v>342</v>
      </c>
      <c r="L87" s="232" t="s">
        <v>343</v>
      </c>
      <c r="M87" s="293" t="s">
        <v>344</v>
      </c>
      <c r="N87" s="227" t="s">
        <v>345</v>
      </c>
      <c r="O87" s="278">
        <v>12879788</v>
      </c>
      <c r="P87" s="235" t="s">
        <v>346</v>
      </c>
      <c r="Q87" s="294" t="s">
        <v>347</v>
      </c>
      <c r="R87" s="236" t="s">
        <v>50</v>
      </c>
      <c r="S87" s="236" t="s">
        <v>146</v>
      </c>
      <c r="T87" s="236" t="s">
        <v>138</v>
      </c>
      <c r="U87" s="280"/>
      <c r="V87" s="237">
        <v>300</v>
      </c>
      <c r="W87" s="238" t="s">
        <v>78</v>
      </c>
      <c r="X87" s="235">
        <v>45302</v>
      </c>
      <c r="Y87" s="236" t="s">
        <v>50</v>
      </c>
      <c r="Z87" s="238">
        <v>300</v>
      </c>
      <c r="AA87" s="226"/>
      <c r="AB87" s="226"/>
      <c r="AC87" s="238"/>
      <c r="AD87" s="226"/>
      <c r="AE87" s="226"/>
      <c r="AF87" s="238"/>
      <c r="AG87" s="239"/>
      <c r="AH87" s="239"/>
      <c r="AI87" s="239"/>
      <c r="AJ87" s="239"/>
      <c r="AK87" s="239"/>
      <c r="AL87" s="239"/>
      <c r="AM87" s="239"/>
      <c r="AN87" s="239"/>
      <c r="AO87" s="239"/>
      <c r="AP87" s="239"/>
      <c r="AQ87" s="239"/>
      <c r="AR87" s="284"/>
      <c r="AS87" s="202"/>
    </row>
    <row r="88" spans="1:45" ht="13.5" customHeight="1">
      <c r="A88" s="202"/>
      <c r="B88" s="285"/>
      <c r="C88" s="242"/>
      <c r="D88" s="242"/>
      <c r="E88" s="243"/>
      <c r="F88" s="242"/>
      <c r="G88" s="242"/>
      <c r="H88" s="253"/>
      <c r="I88" s="242"/>
      <c r="J88" s="230"/>
      <c r="K88" s="242"/>
      <c r="L88" s="244"/>
      <c r="M88" s="261"/>
      <c r="N88" s="243"/>
      <c r="O88" s="247"/>
      <c r="P88" s="247"/>
      <c r="Q88" s="257"/>
      <c r="R88" s="248"/>
      <c r="S88" s="248"/>
      <c r="T88" s="248"/>
      <c r="U88" s="255"/>
      <c r="V88" s="249"/>
      <c r="W88" s="250"/>
      <c r="X88" s="247"/>
      <c r="Y88" s="248"/>
      <c r="Z88" s="250"/>
      <c r="AA88" s="242"/>
      <c r="AB88" s="242"/>
      <c r="AC88" s="250"/>
      <c r="AD88" s="242"/>
      <c r="AE88" s="242"/>
      <c r="AF88" s="250"/>
      <c r="AG88" s="251"/>
      <c r="AH88" s="251"/>
      <c r="AI88" s="251"/>
      <c r="AJ88" s="251"/>
      <c r="AK88" s="251"/>
      <c r="AL88" s="251"/>
      <c r="AM88" s="251"/>
      <c r="AN88" s="251"/>
      <c r="AO88" s="251"/>
      <c r="AP88" s="251"/>
      <c r="AQ88" s="251"/>
      <c r="AR88" s="260"/>
      <c r="AS88" s="202"/>
    </row>
    <row r="89" spans="1:45" ht="13.5" customHeight="1">
      <c r="A89" s="202"/>
      <c r="B89" s="285"/>
      <c r="C89" s="242">
        <v>2</v>
      </c>
      <c r="D89" s="226">
        <v>42</v>
      </c>
      <c r="E89" s="243" t="s">
        <v>349</v>
      </c>
      <c r="F89" s="242" t="s">
        <v>348</v>
      </c>
      <c r="G89" s="242" t="s">
        <v>43</v>
      </c>
      <c r="H89" s="242"/>
      <c r="I89" s="242">
        <v>42686</v>
      </c>
      <c r="J89" s="230">
        <f ca="1">+DATEDIF(I89,TODAY(),"Y")</f>
        <v>9</v>
      </c>
      <c r="K89" s="242"/>
      <c r="L89" s="244"/>
      <c r="M89" s="261" t="s">
        <v>350</v>
      </c>
      <c r="N89" s="243" t="s">
        <v>351</v>
      </c>
      <c r="O89" s="246">
        <v>17533081</v>
      </c>
      <c r="P89" s="247">
        <v>4149122618</v>
      </c>
      <c r="Q89" s="254" t="s">
        <v>352</v>
      </c>
      <c r="R89" s="248" t="s">
        <v>353</v>
      </c>
      <c r="S89" s="248" t="s">
        <v>130</v>
      </c>
      <c r="T89" s="248" t="s">
        <v>288</v>
      </c>
      <c r="U89" s="255"/>
      <c r="V89" s="249">
        <v>300</v>
      </c>
      <c r="W89" s="250" t="s">
        <v>78</v>
      </c>
      <c r="X89" s="247">
        <v>45303</v>
      </c>
      <c r="Y89" s="248" t="s">
        <v>353</v>
      </c>
      <c r="Z89" s="250">
        <v>240</v>
      </c>
      <c r="AA89" s="242"/>
      <c r="AB89" s="242"/>
      <c r="AC89" s="250"/>
      <c r="AD89" s="251"/>
      <c r="AE89" s="251"/>
      <c r="AF89" s="251"/>
      <c r="AG89" s="251"/>
      <c r="AH89" s="251"/>
      <c r="AI89" s="251"/>
      <c r="AJ89" s="251"/>
      <c r="AK89" s="251"/>
      <c r="AL89" s="251"/>
      <c r="AM89" s="251"/>
      <c r="AN89" s="251"/>
      <c r="AO89" s="251"/>
      <c r="AP89" s="251"/>
      <c r="AQ89" s="251"/>
      <c r="AR89" s="260"/>
      <c r="AS89" s="202"/>
    </row>
    <row r="90" spans="1:45" ht="13.5" customHeight="1">
      <c r="A90" s="202"/>
      <c r="B90" s="285"/>
      <c r="C90" s="242"/>
      <c r="D90" s="242"/>
      <c r="E90" s="243"/>
      <c r="F90" s="242"/>
      <c r="G90" s="242"/>
      <c r="H90" s="242"/>
      <c r="I90" s="242"/>
      <c r="J90" s="230"/>
      <c r="K90" s="242"/>
      <c r="L90" s="244"/>
      <c r="M90" s="261"/>
      <c r="N90" s="243"/>
      <c r="O90" s="246"/>
      <c r="P90" s="247"/>
      <c r="Q90" s="247"/>
      <c r="R90" s="248"/>
      <c r="S90" s="248"/>
      <c r="T90" s="248"/>
      <c r="U90" s="255"/>
      <c r="V90" s="249"/>
      <c r="W90" s="250"/>
      <c r="X90" s="247"/>
      <c r="Y90" s="248"/>
      <c r="Z90" s="250"/>
      <c r="AA90" s="242"/>
      <c r="AB90" s="242"/>
      <c r="AC90" s="250"/>
      <c r="AD90" s="251"/>
      <c r="AE90" s="251"/>
      <c r="AF90" s="251"/>
      <c r="AG90" s="251"/>
      <c r="AH90" s="251"/>
      <c r="AI90" s="251"/>
      <c r="AJ90" s="251"/>
      <c r="AK90" s="251"/>
      <c r="AL90" s="251"/>
      <c r="AM90" s="251"/>
      <c r="AN90" s="251"/>
      <c r="AO90" s="251"/>
      <c r="AP90" s="251"/>
      <c r="AQ90" s="251"/>
      <c r="AR90" s="260"/>
      <c r="AS90" s="202"/>
    </row>
    <row r="91" spans="1:45" ht="13.5" customHeight="1">
      <c r="A91" s="202"/>
      <c r="B91" s="285"/>
      <c r="C91" s="242">
        <v>3</v>
      </c>
      <c r="D91" s="226">
        <v>43</v>
      </c>
      <c r="E91" s="243" t="s">
        <v>355</v>
      </c>
      <c r="F91" s="242" t="s">
        <v>354</v>
      </c>
      <c r="G91" s="242" t="s">
        <v>43</v>
      </c>
      <c r="H91" s="242" t="s">
        <v>356</v>
      </c>
      <c r="I91" s="242">
        <v>40100</v>
      </c>
      <c r="J91" s="230">
        <f ca="1">+DATEDIF(I91,TODAY(),"Y")</f>
        <v>16</v>
      </c>
      <c r="K91" s="254" t="s">
        <v>357</v>
      </c>
      <c r="L91" s="244">
        <v>4141105035</v>
      </c>
      <c r="M91" s="245" t="s">
        <v>358</v>
      </c>
      <c r="N91" s="243" t="s">
        <v>359</v>
      </c>
      <c r="O91" s="246" t="s">
        <v>360</v>
      </c>
      <c r="P91" s="247" t="s">
        <v>361</v>
      </c>
      <c r="Q91" s="254" t="s">
        <v>362</v>
      </c>
      <c r="R91" s="248" t="s">
        <v>50</v>
      </c>
      <c r="S91" s="248" t="s">
        <v>146</v>
      </c>
      <c r="T91" s="248" t="s">
        <v>288</v>
      </c>
      <c r="U91" s="255"/>
      <c r="V91" s="249">
        <v>300</v>
      </c>
      <c r="W91" s="250" t="s">
        <v>78</v>
      </c>
      <c r="X91" s="247">
        <v>45306</v>
      </c>
      <c r="Y91" s="248" t="s">
        <v>50</v>
      </c>
      <c r="Z91" s="250">
        <v>90</v>
      </c>
      <c r="AA91" s="242"/>
      <c r="AB91" s="257"/>
      <c r="AC91" s="250"/>
      <c r="AD91" s="251"/>
      <c r="AE91" s="251"/>
      <c r="AF91" s="251"/>
      <c r="AG91" s="251"/>
      <c r="AH91" s="251"/>
      <c r="AI91" s="251"/>
      <c r="AJ91" s="251"/>
      <c r="AK91" s="251"/>
      <c r="AL91" s="251"/>
      <c r="AM91" s="251"/>
      <c r="AN91" s="251"/>
      <c r="AO91" s="251"/>
      <c r="AP91" s="251"/>
      <c r="AQ91" s="251"/>
      <c r="AR91" s="260"/>
      <c r="AS91" s="202"/>
    </row>
    <row r="92" spans="1:45" ht="13.5" customHeight="1">
      <c r="A92" s="202"/>
      <c r="B92" s="285"/>
      <c r="C92" s="242"/>
      <c r="D92" s="242"/>
      <c r="E92" s="243"/>
      <c r="F92" s="242"/>
      <c r="G92" s="242"/>
      <c r="H92" s="242"/>
      <c r="I92" s="242"/>
      <c r="J92" s="230"/>
      <c r="K92" s="247"/>
      <c r="L92" s="244"/>
      <c r="M92" s="245"/>
      <c r="N92" s="243"/>
      <c r="O92" s="246"/>
      <c r="P92" s="247"/>
      <c r="Q92" s="247"/>
      <c r="R92" s="248"/>
      <c r="S92" s="248"/>
      <c r="T92" s="248"/>
      <c r="U92" s="255"/>
      <c r="V92" s="249"/>
      <c r="W92" s="250"/>
      <c r="X92" s="247"/>
      <c r="Y92" s="248"/>
      <c r="Z92" s="250"/>
      <c r="AA92" s="242"/>
      <c r="AB92" s="257"/>
      <c r="AC92" s="250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51"/>
      <c r="AO92" s="251"/>
      <c r="AP92" s="251"/>
      <c r="AQ92" s="251"/>
      <c r="AR92" s="260"/>
      <c r="AS92" s="202"/>
    </row>
    <row r="93" spans="1:45" ht="13.5" customHeight="1">
      <c r="A93" s="202"/>
      <c r="B93" s="285"/>
      <c r="C93" s="242">
        <v>4</v>
      </c>
      <c r="D93" s="226">
        <v>44</v>
      </c>
      <c r="E93" s="243" t="s">
        <v>364</v>
      </c>
      <c r="F93" s="242" t="s">
        <v>363</v>
      </c>
      <c r="G93" s="242" t="s">
        <v>278</v>
      </c>
      <c r="H93" s="253">
        <v>34428906</v>
      </c>
      <c r="I93" s="242">
        <v>41423</v>
      </c>
      <c r="J93" s="230">
        <f ca="1">+DATEDIF(I93,TODAY(),"Y")</f>
        <v>13</v>
      </c>
      <c r="K93" s="247"/>
      <c r="L93" s="244"/>
      <c r="M93" s="245" t="s">
        <v>365</v>
      </c>
      <c r="N93" s="243" t="s">
        <v>366</v>
      </c>
      <c r="O93" s="246">
        <v>16394794</v>
      </c>
      <c r="P93" s="247" t="s">
        <v>367</v>
      </c>
      <c r="Q93" s="254" t="s">
        <v>368</v>
      </c>
      <c r="R93" s="248" t="s">
        <v>369</v>
      </c>
      <c r="S93" s="248" t="s">
        <v>130</v>
      </c>
      <c r="T93" s="248" t="s">
        <v>85</v>
      </c>
      <c r="U93" s="255"/>
      <c r="V93" s="249">
        <v>240</v>
      </c>
      <c r="W93" s="250" t="s">
        <v>54</v>
      </c>
      <c r="X93" s="247">
        <v>45230</v>
      </c>
      <c r="Y93" s="248" t="s">
        <v>370</v>
      </c>
      <c r="Z93" s="250"/>
      <c r="AA93" s="242"/>
      <c r="AB93" s="242"/>
      <c r="AC93" s="250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60"/>
      <c r="AS93" s="202"/>
    </row>
    <row r="94" spans="1:45" ht="13.5" customHeight="1">
      <c r="A94" s="202"/>
      <c r="B94" s="285"/>
      <c r="C94" s="242"/>
      <c r="D94" s="242"/>
      <c r="E94" s="243"/>
      <c r="F94" s="242"/>
      <c r="G94" s="242"/>
      <c r="H94" s="242"/>
      <c r="I94" s="242"/>
      <c r="J94" s="230"/>
      <c r="K94" s="247"/>
      <c r="L94" s="244"/>
      <c r="M94" s="245"/>
      <c r="N94" s="243"/>
      <c r="O94" s="246"/>
      <c r="P94" s="247"/>
      <c r="Q94" s="247"/>
      <c r="R94" s="248"/>
      <c r="S94" s="248"/>
      <c r="T94" s="248"/>
      <c r="U94" s="255"/>
      <c r="V94" s="249"/>
      <c r="W94" s="250"/>
      <c r="X94" s="247"/>
      <c r="Y94" s="248"/>
      <c r="Z94" s="250"/>
      <c r="AA94" s="242"/>
      <c r="AB94" s="242"/>
      <c r="AC94" s="250"/>
      <c r="AD94" s="251"/>
      <c r="AE94" s="251"/>
      <c r="AF94" s="251"/>
      <c r="AG94" s="251"/>
      <c r="AH94" s="251"/>
      <c r="AI94" s="251"/>
      <c r="AJ94" s="251"/>
      <c r="AK94" s="251"/>
      <c r="AL94" s="251"/>
      <c r="AM94" s="251"/>
      <c r="AN94" s="251"/>
      <c r="AO94" s="251"/>
      <c r="AP94" s="251"/>
      <c r="AQ94" s="251"/>
      <c r="AR94" s="260"/>
      <c r="AS94" s="202"/>
    </row>
    <row r="95" spans="1:45" ht="13.5" customHeight="1">
      <c r="A95" s="202"/>
      <c r="B95" s="285"/>
      <c r="C95" s="242">
        <v>5</v>
      </c>
      <c r="D95" s="226">
        <v>45</v>
      </c>
      <c r="E95" s="243" t="s">
        <v>372</v>
      </c>
      <c r="F95" s="242" t="s">
        <v>371</v>
      </c>
      <c r="G95" s="242" t="s">
        <v>43</v>
      </c>
      <c r="H95" s="253"/>
      <c r="I95" s="242">
        <v>41501</v>
      </c>
      <c r="J95" s="230">
        <f ca="1">+DATEDIF(I95,TODAY(),"Y")</f>
        <v>12</v>
      </c>
      <c r="K95" s="254" t="s">
        <v>373</v>
      </c>
      <c r="L95" s="244"/>
      <c r="M95" s="245" t="s">
        <v>374</v>
      </c>
      <c r="N95" s="243" t="s">
        <v>375</v>
      </c>
      <c r="O95" s="262">
        <v>17978648</v>
      </c>
      <c r="P95" s="247" t="s">
        <v>376</v>
      </c>
      <c r="Q95" s="259" t="s">
        <v>373</v>
      </c>
      <c r="R95" s="248" t="s">
        <v>129</v>
      </c>
      <c r="S95" s="248" t="s">
        <v>130</v>
      </c>
      <c r="T95" s="248" t="s">
        <v>138</v>
      </c>
      <c r="U95" s="255"/>
      <c r="V95" s="249">
        <v>300</v>
      </c>
      <c r="W95" s="250" t="s">
        <v>78</v>
      </c>
      <c r="X95" s="247">
        <v>45307</v>
      </c>
      <c r="Y95" s="248" t="s">
        <v>129</v>
      </c>
      <c r="Z95" s="250">
        <v>300</v>
      </c>
      <c r="AA95" s="242"/>
      <c r="AB95" s="242"/>
      <c r="AC95" s="250"/>
      <c r="AD95" s="251"/>
      <c r="AE95" s="251"/>
      <c r="AF95" s="251"/>
      <c r="AG95" s="251"/>
      <c r="AH95" s="251"/>
      <c r="AI95" s="251"/>
      <c r="AJ95" s="251"/>
      <c r="AK95" s="251"/>
      <c r="AL95" s="251"/>
      <c r="AM95" s="251"/>
      <c r="AN95" s="251"/>
      <c r="AO95" s="251"/>
      <c r="AP95" s="251"/>
      <c r="AQ95" s="251"/>
      <c r="AR95" s="260"/>
      <c r="AS95" s="202"/>
    </row>
    <row r="96" spans="1:45" ht="13.5" customHeight="1">
      <c r="A96" s="202"/>
      <c r="B96" s="285"/>
      <c r="C96" s="242"/>
      <c r="D96" s="242"/>
      <c r="E96" s="243"/>
      <c r="F96" s="242"/>
      <c r="G96" s="242"/>
      <c r="H96" s="253"/>
      <c r="I96" s="242"/>
      <c r="J96" s="230"/>
      <c r="K96" s="242"/>
      <c r="L96" s="244"/>
      <c r="M96" s="245"/>
      <c r="N96" s="243"/>
      <c r="O96" s="247"/>
      <c r="P96" s="247"/>
      <c r="Q96" s="257"/>
      <c r="R96" s="248"/>
      <c r="S96" s="248"/>
      <c r="T96" s="248"/>
      <c r="U96" s="255"/>
      <c r="V96" s="249"/>
      <c r="W96" s="250"/>
      <c r="X96" s="247"/>
      <c r="Y96" s="248"/>
      <c r="Z96" s="250"/>
      <c r="AA96" s="242"/>
      <c r="AB96" s="242"/>
      <c r="AC96" s="250"/>
      <c r="AD96" s="251"/>
      <c r="AE96" s="251"/>
      <c r="AF96" s="251"/>
      <c r="AG96" s="251"/>
      <c r="AH96" s="251"/>
      <c r="AI96" s="251"/>
      <c r="AJ96" s="251"/>
      <c r="AK96" s="251"/>
      <c r="AL96" s="251"/>
      <c r="AM96" s="251"/>
      <c r="AN96" s="251"/>
      <c r="AO96" s="251"/>
      <c r="AP96" s="251"/>
      <c r="AQ96" s="251"/>
      <c r="AR96" s="260"/>
      <c r="AS96" s="202"/>
    </row>
    <row r="97" spans="1:45" ht="13.5" customHeight="1">
      <c r="A97" s="202"/>
      <c r="B97" s="285"/>
      <c r="C97" s="242">
        <v>6</v>
      </c>
      <c r="D97" s="226">
        <v>46</v>
      </c>
      <c r="E97" s="243" t="s">
        <v>378</v>
      </c>
      <c r="F97" s="242" t="s">
        <v>377</v>
      </c>
      <c r="G97" s="242" t="s">
        <v>43</v>
      </c>
      <c r="H97" s="242"/>
      <c r="I97" s="242">
        <v>41039</v>
      </c>
      <c r="J97" s="230">
        <f ca="1">+DATEDIF(I97,TODAY(),"Y")</f>
        <v>14</v>
      </c>
      <c r="K97" s="254" t="s">
        <v>110</v>
      </c>
      <c r="L97" s="244" t="s">
        <v>113</v>
      </c>
      <c r="M97" s="245" t="s">
        <v>379</v>
      </c>
      <c r="N97" s="243" t="s">
        <v>380</v>
      </c>
      <c r="O97" s="246" t="s">
        <v>381</v>
      </c>
      <c r="P97" s="247">
        <v>4123856987</v>
      </c>
      <c r="Q97" s="259" t="s">
        <v>373</v>
      </c>
      <c r="R97" s="248" t="s">
        <v>271</v>
      </c>
      <c r="S97" s="248" t="s">
        <v>146</v>
      </c>
      <c r="T97" s="248" t="s">
        <v>138</v>
      </c>
      <c r="U97" s="248"/>
      <c r="V97" s="249">
        <v>300</v>
      </c>
      <c r="W97" s="250" t="s">
        <v>78</v>
      </c>
      <c r="X97" s="247">
        <v>45307</v>
      </c>
      <c r="Y97" s="248" t="s">
        <v>50</v>
      </c>
      <c r="Z97" s="250">
        <v>150</v>
      </c>
      <c r="AA97" s="242"/>
      <c r="AB97" s="242"/>
      <c r="AC97" s="250"/>
      <c r="AD97" s="242"/>
      <c r="AE97" s="242"/>
      <c r="AF97" s="250"/>
      <c r="AG97" s="251"/>
      <c r="AH97" s="251"/>
      <c r="AI97" s="251"/>
      <c r="AJ97" s="251"/>
      <c r="AK97" s="251"/>
      <c r="AL97" s="251"/>
      <c r="AM97" s="251"/>
      <c r="AN97" s="251"/>
      <c r="AO97" s="251"/>
      <c r="AP97" s="251"/>
      <c r="AQ97" s="251"/>
      <c r="AR97" s="260"/>
      <c r="AS97" s="202"/>
    </row>
    <row r="98" spans="1:45" ht="13.5" customHeight="1">
      <c r="A98" s="202"/>
      <c r="B98" s="285"/>
      <c r="C98" s="242"/>
      <c r="D98" s="242"/>
      <c r="E98" s="243"/>
      <c r="F98" s="242"/>
      <c r="G98" s="242"/>
      <c r="H98" s="242"/>
      <c r="I98" s="242"/>
      <c r="J98" s="230"/>
      <c r="K98" s="247"/>
      <c r="L98" s="244"/>
      <c r="M98" s="245"/>
      <c r="N98" s="243"/>
      <c r="O98" s="246"/>
      <c r="P98" s="247"/>
      <c r="Q98" s="257"/>
      <c r="R98" s="248"/>
      <c r="S98" s="248"/>
      <c r="T98" s="248"/>
      <c r="U98" s="248"/>
      <c r="V98" s="249"/>
      <c r="W98" s="250"/>
      <c r="X98" s="247"/>
      <c r="Y98" s="248"/>
      <c r="Z98" s="250"/>
      <c r="AA98" s="242"/>
      <c r="AB98" s="242"/>
      <c r="AC98" s="250"/>
      <c r="AD98" s="242"/>
      <c r="AE98" s="242"/>
      <c r="AF98" s="250"/>
      <c r="AG98" s="251"/>
      <c r="AH98" s="251"/>
      <c r="AI98" s="251"/>
      <c r="AJ98" s="251"/>
      <c r="AK98" s="251"/>
      <c r="AL98" s="251"/>
      <c r="AM98" s="251"/>
      <c r="AN98" s="251"/>
      <c r="AO98" s="251"/>
      <c r="AP98" s="251"/>
      <c r="AQ98" s="251"/>
      <c r="AR98" s="260"/>
      <c r="AS98" s="202"/>
    </row>
    <row r="99" spans="1:45" ht="13.5" customHeight="1">
      <c r="A99" s="202"/>
      <c r="B99" s="285"/>
      <c r="C99" s="242">
        <v>7</v>
      </c>
      <c r="D99" s="226">
        <v>47</v>
      </c>
      <c r="E99" s="243" t="s">
        <v>383</v>
      </c>
      <c r="F99" s="242" t="s">
        <v>382</v>
      </c>
      <c r="G99" s="242" t="s">
        <v>43</v>
      </c>
      <c r="H99" s="253"/>
      <c r="I99" s="242">
        <v>42280</v>
      </c>
      <c r="J99" s="230">
        <f ca="1">+DATEDIF(I99,TODAY(),"Y")</f>
        <v>10</v>
      </c>
      <c r="K99" s="254" t="s">
        <v>384</v>
      </c>
      <c r="L99" s="244"/>
      <c r="M99" s="245" t="s">
        <v>385</v>
      </c>
      <c r="N99" s="243" t="s">
        <v>386</v>
      </c>
      <c r="O99" s="247" t="s">
        <v>387</v>
      </c>
      <c r="P99" s="247" t="s">
        <v>388</v>
      </c>
      <c r="Q99" s="259" t="s">
        <v>384</v>
      </c>
      <c r="R99" s="248" t="s">
        <v>129</v>
      </c>
      <c r="S99" s="248" t="s">
        <v>146</v>
      </c>
      <c r="T99" s="248" t="s">
        <v>138</v>
      </c>
      <c r="U99" s="248"/>
      <c r="V99" s="249">
        <v>300</v>
      </c>
      <c r="W99" s="250" t="s">
        <v>78</v>
      </c>
      <c r="X99" s="247">
        <v>45307</v>
      </c>
      <c r="Y99" s="248" t="s">
        <v>129</v>
      </c>
      <c r="Z99" s="250">
        <v>300</v>
      </c>
      <c r="AA99" s="242"/>
      <c r="AB99" s="242"/>
      <c r="AC99" s="250"/>
      <c r="AD99" s="251"/>
      <c r="AE99" s="251"/>
      <c r="AF99" s="251"/>
      <c r="AG99" s="251"/>
      <c r="AH99" s="251"/>
      <c r="AI99" s="251"/>
      <c r="AJ99" s="251"/>
      <c r="AK99" s="251"/>
      <c r="AL99" s="251"/>
      <c r="AM99" s="251"/>
      <c r="AN99" s="251"/>
      <c r="AO99" s="251"/>
      <c r="AP99" s="251"/>
      <c r="AQ99" s="251"/>
      <c r="AR99" s="260"/>
      <c r="AS99" s="202"/>
    </row>
    <row r="100" spans="1:45" ht="13.5" customHeight="1">
      <c r="A100" s="202"/>
      <c r="B100" s="285"/>
      <c r="C100" s="242"/>
      <c r="D100" s="242"/>
      <c r="E100" s="243"/>
      <c r="F100" s="242"/>
      <c r="G100" s="242"/>
      <c r="H100" s="253"/>
      <c r="I100" s="242"/>
      <c r="J100" s="230"/>
      <c r="K100" s="242"/>
      <c r="L100" s="244"/>
      <c r="M100" s="245"/>
      <c r="N100" s="243"/>
      <c r="O100" s="247"/>
      <c r="P100" s="247"/>
      <c r="Q100" s="257"/>
      <c r="R100" s="248"/>
      <c r="S100" s="248"/>
      <c r="T100" s="248"/>
      <c r="U100" s="248"/>
      <c r="V100" s="249"/>
      <c r="W100" s="250"/>
      <c r="X100" s="247"/>
      <c r="Y100" s="248"/>
      <c r="Z100" s="250"/>
      <c r="AA100" s="242"/>
      <c r="AB100" s="242"/>
      <c r="AC100" s="250"/>
      <c r="AD100" s="251"/>
      <c r="AE100" s="251"/>
      <c r="AF100" s="251"/>
      <c r="AG100" s="251"/>
      <c r="AH100" s="251"/>
      <c r="AI100" s="251"/>
      <c r="AJ100" s="251"/>
      <c r="AK100" s="251"/>
      <c r="AL100" s="251"/>
      <c r="AM100" s="251"/>
      <c r="AN100" s="251"/>
      <c r="AO100" s="251"/>
      <c r="AP100" s="251"/>
      <c r="AQ100" s="251"/>
      <c r="AR100" s="260"/>
      <c r="AS100" s="202"/>
    </row>
    <row r="101" spans="1:45" ht="13.5" customHeight="1">
      <c r="A101" s="202"/>
      <c r="B101" s="285"/>
      <c r="C101" s="242">
        <v>8</v>
      </c>
      <c r="D101" s="226">
        <v>48</v>
      </c>
      <c r="E101" s="243" t="s">
        <v>390</v>
      </c>
      <c r="F101" s="242" t="s">
        <v>389</v>
      </c>
      <c r="G101" s="242" t="s">
        <v>43</v>
      </c>
      <c r="H101" s="253">
        <v>30411645</v>
      </c>
      <c r="I101" s="242">
        <v>37555</v>
      </c>
      <c r="J101" s="230">
        <f ca="1">+DATEDIF(I101,TODAY(),"Y")</f>
        <v>23</v>
      </c>
      <c r="K101" s="254" t="s">
        <v>391</v>
      </c>
      <c r="L101" s="244" t="s">
        <v>392</v>
      </c>
      <c r="M101" s="245" t="s">
        <v>393</v>
      </c>
      <c r="N101" s="243" t="s">
        <v>394</v>
      </c>
      <c r="O101" s="246">
        <v>8677462</v>
      </c>
      <c r="P101" s="247" t="s">
        <v>395</v>
      </c>
      <c r="Q101" s="247"/>
      <c r="R101" s="248" t="s">
        <v>76</v>
      </c>
      <c r="S101" s="248" t="s">
        <v>310</v>
      </c>
      <c r="T101" s="248" t="s">
        <v>396</v>
      </c>
      <c r="U101" s="248"/>
      <c r="V101" s="249" t="s">
        <v>397</v>
      </c>
      <c r="W101" s="250" t="s">
        <v>54</v>
      </c>
      <c r="X101" s="247">
        <v>45308</v>
      </c>
      <c r="Y101" s="248" t="s">
        <v>76</v>
      </c>
      <c r="Z101" s="250" t="s">
        <v>396</v>
      </c>
      <c r="AA101" s="242"/>
      <c r="AB101" s="242"/>
      <c r="AC101" s="250"/>
      <c r="AD101" s="242"/>
      <c r="AE101" s="250"/>
      <c r="AF101" s="242"/>
      <c r="AG101" s="251"/>
      <c r="AH101" s="251"/>
      <c r="AI101" s="251"/>
      <c r="AJ101" s="251"/>
      <c r="AK101" s="251"/>
      <c r="AL101" s="251"/>
      <c r="AM101" s="251"/>
      <c r="AN101" s="251"/>
      <c r="AO101" s="251"/>
      <c r="AP101" s="251"/>
      <c r="AQ101" s="251"/>
      <c r="AR101" s="260"/>
      <c r="AS101" s="202"/>
    </row>
    <row r="102" spans="1:45" ht="13.5" customHeight="1">
      <c r="A102" s="202"/>
      <c r="B102" s="285"/>
      <c r="C102" s="242"/>
      <c r="D102" s="242"/>
      <c r="E102" s="243"/>
      <c r="F102" s="242"/>
      <c r="G102" s="242"/>
      <c r="H102" s="253"/>
      <c r="I102" s="242"/>
      <c r="J102" s="230"/>
      <c r="K102" s="247"/>
      <c r="L102" s="244"/>
      <c r="M102" s="245"/>
      <c r="N102" s="243"/>
      <c r="O102" s="246"/>
      <c r="P102" s="247"/>
      <c r="Q102" s="247"/>
      <c r="R102" s="248"/>
      <c r="S102" s="248"/>
      <c r="T102" s="248"/>
      <c r="U102" s="248"/>
      <c r="V102" s="249"/>
      <c r="W102" s="250"/>
      <c r="X102" s="247"/>
      <c r="Y102" s="248"/>
      <c r="Z102" s="250"/>
      <c r="AA102" s="242"/>
      <c r="AB102" s="242"/>
      <c r="AC102" s="250"/>
      <c r="AD102" s="242"/>
      <c r="AE102" s="250"/>
      <c r="AF102" s="242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60"/>
      <c r="AS102" s="202"/>
    </row>
    <row r="103" spans="1:45" ht="13.5" customHeight="1">
      <c r="A103" s="202"/>
      <c r="B103" s="285"/>
      <c r="C103" s="242">
        <v>9</v>
      </c>
      <c r="D103" s="226">
        <v>49</v>
      </c>
      <c r="E103" s="243" t="s">
        <v>399</v>
      </c>
      <c r="F103" s="242" t="s">
        <v>398</v>
      </c>
      <c r="G103" s="242" t="s">
        <v>278</v>
      </c>
      <c r="H103" s="253">
        <v>33993093</v>
      </c>
      <c r="I103" s="242">
        <v>40749</v>
      </c>
      <c r="J103" s="230">
        <f ca="1">+DATEDIF(I103,TODAY(),"Y")</f>
        <v>14</v>
      </c>
      <c r="K103" s="247"/>
      <c r="L103" s="244" t="s">
        <v>400</v>
      </c>
      <c r="M103" s="261" t="s">
        <v>401</v>
      </c>
      <c r="N103" s="243" t="s">
        <v>402</v>
      </c>
      <c r="O103" s="262">
        <v>19587074</v>
      </c>
      <c r="P103" s="247" t="s">
        <v>403</v>
      </c>
      <c r="Q103" s="257"/>
      <c r="R103" s="248" t="s">
        <v>404</v>
      </c>
      <c r="S103" s="248" t="s">
        <v>77</v>
      </c>
      <c r="T103" s="248"/>
      <c r="U103" s="248"/>
      <c r="V103" s="249"/>
      <c r="W103" s="250" t="s">
        <v>54</v>
      </c>
      <c r="X103" s="247"/>
      <c r="Y103" s="248" t="s">
        <v>50</v>
      </c>
      <c r="Z103" s="250"/>
      <c r="AA103" s="242"/>
      <c r="AB103" s="242"/>
      <c r="AC103" s="250"/>
      <c r="AD103" s="251"/>
      <c r="AE103" s="251"/>
      <c r="AF103" s="251"/>
      <c r="AG103" s="251"/>
      <c r="AH103" s="251"/>
      <c r="AI103" s="251"/>
      <c r="AJ103" s="251"/>
      <c r="AK103" s="251"/>
      <c r="AL103" s="251"/>
      <c r="AM103" s="251"/>
      <c r="AN103" s="251"/>
      <c r="AO103" s="251"/>
      <c r="AP103" s="251"/>
      <c r="AQ103" s="251"/>
      <c r="AR103" s="260"/>
      <c r="AS103" s="202"/>
    </row>
    <row r="104" spans="1:45" ht="13.5" customHeight="1">
      <c r="A104" s="202"/>
      <c r="B104" s="285"/>
      <c r="C104" s="242"/>
      <c r="D104" s="242"/>
      <c r="E104" s="243"/>
      <c r="F104" s="242"/>
      <c r="G104" s="242"/>
      <c r="H104" s="253"/>
      <c r="I104" s="242"/>
      <c r="J104" s="230"/>
      <c r="K104" s="247"/>
      <c r="L104" s="244"/>
      <c r="M104" s="261"/>
      <c r="N104" s="243"/>
      <c r="O104" s="247"/>
      <c r="P104" s="247"/>
      <c r="Q104" s="257"/>
      <c r="R104" s="248"/>
      <c r="S104" s="248"/>
      <c r="T104" s="248"/>
      <c r="U104" s="248"/>
      <c r="V104" s="249"/>
      <c r="W104" s="250"/>
      <c r="X104" s="247"/>
      <c r="Y104" s="248"/>
      <c r="Z104" s="250"/>
      <c r="AA104" s="242"/>
      <c r="AB104" s="242"/>
      <c r="AC104" s="250"/>
      <c r="AD104" s="251"/>
      <c r="AE104" s="251"/>
      <c r="AF104" s="251"/>
      <c r="AG104" s="251"/>
      <c r="AH104" s="251"/>
      <c r="AI104" s="251"/>
      <c r="AJ104" s="251"/>
      <c r="AK104" s="251"/>
      <c r="AL104" s="251"/>
      <c r="AM104" s="251"/>
      <c r="AN104" s="251"/>
      <c r="AO104" s="251"/>
      <c r="AP104" s="251"/>
      <c r="AQ104" s="251"/>
      <c r="AR104" s="260"/>
      <c r="AS104" s="202"/>
    </row>
    <row r="105" spans="1:45" ht="13.5" customHeight="1">
      <c r="A105" s="202"/>
      <c r="B105" s="285"/>
      <c r="C105" s="242">
        <v>10</v>
      </c>
      <c r="D105" s="226">
        <v>50</v>
      </c>
      <c r="E105" s="243" t="s">
        <v>406</v>
      </c>
      <c r="F105" s="242" t="s">
        <v>405</v>
      </c>
      <c r="G105" s="242" t="s">
        <v>278</v>
      </c>
      <c r="H105" s="242"/>
      <c r="I105" s="258">
        <v>47058</v>
      </c>
      <c r="J105" s="230" t="e">
        <f ca="1">+DATEDIF(I105,TODAY(),"Y")</f>
        <v>#NUM!</v>
      </c>
      <c r="K105" s="247"/>
      <c r="L105" s="244"/>
      <c r="M105" s="245" t="s">
        <v>407</v>
      </c>
      <c r="N105" s="243" t="s">
        <v>408</v>
      </c>
      <c r="O105" s="246">
        <v>19528260</v>
      </c>
      <c r="P105" s="247" t="s">
        <v>409</v>
      </c>
      <c r="Q105" s="254" t="s">
        <v>410</v>
      </c>
      <c r="R105" s="248" t="s">
        <v>411</v>
      </c>
      <c r="S105" s="248" t="s">
        <v>130</v>
      </c>
      <c r="T105" s="248"/>
      <c r="U105" s="255"/>
      <c r="V105" s="249"/>
      <c r="W105" s="250" t="s">
        <v>54</v>
      </c>
      <c r="X105" s="247">
        <v>44981</v>
      </c>
      <c r="Y105" s="248" t="s">
        <v>412</v>
      </c>
      <c r="Z105" s="250"/>
      <c r="AA105" s="242"/>
      <c r="AB105" s="242"/>
      <c r="AC105" s="250"/>
      <c r="AD105" s="251"/>
      <c r="AE105" s="251"/>
      <c r="AF105" s="251"/>
      <c r="AG105" s="251"/>
      <c r="AH105" s="251"/>
      <c r="AI105" s="251"/>
      <c r="AJ105" s="251"/>
      <c r="AK105" s="251"/>
      <c r="AL105" s="251"/>
      <c r="AM105" s="251"/>
      <c r="AN105" s="251"/>
      <c r="AO105" s="251"/>
      <c r="AP105" s="251"/>
      <c r="AQ105" s="251"/>
      <c r="AR105" s="260"/>
      <c r="AS105" s="202"/>
    </row>
    <row r="106" spans="1:45" ht="13.5" customHeight="1">
      <c r="A106" s="202"/>
      <c r="B106" s="285"/>
      <c r="C106" s="242"/>
      <c r="D106" s="242"/>
      <c r="E106" s="243"/>
      <c r="F106" s="242"/>
      <c r="G106" s="242"/>
      <c r="H106" s="242"/>
      <c r="I106" s="258"/>
      <c r="J106" s="230"/>
      <c r="K106" s="247"/>
      <c r="L106" s="244"/>
      <c r="M106" s="245"/>
      <c r="N106" s="243"/>
      <c r="O106" s="246"/>
      <c r="P106" s="247"/>
      <c r="Q106" s="242"/>
      <c r="R106" s="248"/>
      <c r="S106" s="248"/>
      <c r="T106" s="248"/>
      <c r="U106" s="255"/>
      <c r="V106" s="249"/>
      <c r="W106" s="250"/>
      <c r="X106" s="247"/>
      <c r="Y106" s="248"/>
      <c r="Z106" s="250"/>
      <c r="AA106" s="242"/>
      <c r="AB106" s="242"/>
      <c r="AC106" s="250"/>
      <c r="AD106" s="251"/>
      <c r="AE106" s="251"/>
      <c r="AF106" s="251"/>
      <c r="AG106" s="251"/>
      <c r="AH106" s="251"/>
      <c r="AI106" s="251"/>
      <c r="AJ106" s="251"/>
      <c r="AK106" s="251"/>
      <c r="AL106" s="251"/>
      <c r="AM106" s="251"/>
      <c r="AN106" s="251"/>
      <c r="AO106" s="251"/>
      <c r="AP106" s="251"/>
      <c r="AQ106" s="251"/>
      <c r="AR106" s="260"/>
      <c r="AS106" s="202"/>
    </row>
    <row r="107" spans="1:45" ht="13.5" customHeight="1">
      <c r="A107" s="202"/>
      <c r="B107" s="285"/>
      <c r="C107" s="242">
        <v>11</v>
      </c>
      <c r="D107" s="226">
        <v>51</v>
      </c>
      <c r="E107" s="243" t="s">
        <v>414</v>
      </c>
      <c r="F107" s="242" t="s">
        <v>413</v>
      </c>
      <c r="G107" s="242" t="s">
        <v>278</v>
      </c>
      <c r="H107" s="242"/>
      <c r="I107" s="242">
        <v>42002</v>
      </c>
      <c r="J107" s="230">
        <f ca="1">+DATEDIF(I107,TODAY(),"Y")</f>
        <v>11</v>
      </c>
      <c r="K107" s="254" t="s">
        <v>415</v>
      </c>
      <c r="L107" s="244"/>
      <c r="M107" s="245" t="s">
        <v>416</v>
      </c>
      <c r="N107" s="243" t="s">
        <v>417</v>
      </c>
      <c r="O107" s="246">
        <v>17534484</v>
      </c>
      <c r="P107" s="247" t="s">
        <v>418</v>
      </c>
      <c r="Q107" s="254" t="s">
        <v>415</v>
      </c>
      <c r="R107" s="248" t="s">
        <v>419</v>
      </c>
      <c r="S107" s="248" t="s">
        <v>77</v>
      </c>
      <c r="T107" s="248"/>
      <c r="U107" s="255"/>
      <c r="V107" s="249"/>
      <c r="W107" s="250" t="s">
        <v>54</v>
      </c>
      <c r="X107" s="247">
        <v>44985</v>
      </c>
      <c r="Y107" s="248" t="s">
        <v>420</v>
      </c>
      <c r="Z107" s="250"/>
      <c r="AA107" s="242"/>
      <c r="AB107" s="242"/>
      <c r="AC107" s="250"/>
      <c r="AD107" s="242"/>
      <c r="AE107" s="242"/>
      <c r="AF107" s="250"/>
      <c r="AG107" s="242"/>
      <c r="AH107" s="242"/>
      <c r="AI107" s="250"/>
      <c r="AJ107" s="251"/>
      <c r="AK107" s="251"/>
      <c r="AL107" s="251"/>
      <c r="AM107" s="251"/>
      <c r="AN107" s="251"/>
      <c r="AO107" s="251"/>
      <c r="AP107" s="251"/>
      <c r="AQ107" s="251"/>
      <c r="AR107" s="260"/>
      <c r="AS107" s="202"/>
    </row>
    <row r="108" spans="1:45" ht="13.5" customHeight="1">
      <c r="A108" s="202"/>
      <c r="B108" s="285"/>
      <c r="C108" s="242"/>
      <c r="D108" s="242"/>
      <c r="E108" s="243"/>
      <c r="F108" s="242"/>
      <c r="G108" s="242"/>
      <c r="H108" s="242"/>
      <c r="I108" s="242"/>
      <c r="J108" s="230"/>
      <c r="K108" s="247"/>
      <c r="L108" s="244"/>
      <c r="M108" s="245"/>
      <c r="N108" s="243"/>
      <c r="O108" s="246"/>
      <c r="P108" s="247"/>
      <c r="Q108" s="247"/>
      <c r="R108" s="248"/>
      <c r="S108" s="248"/>
      <c r="T108" s="248"/>
      <c r="U108" s="255"/>
      <c r="V108" s="249"/>
      <c r="W108" s="250"/>
      <c r="X108" s="247"/>
      <c r="Y108" s="248"/>
      <c r="Z108" s="250"/>
      <c r="AA108" s="242"/>
      <c r="AB108" s="242"/>
      <c r="AC108" s="250"/>
      <c r="AD108" s="242"/>
      <c r="AE108" s="242"/>
      <c r="AF108" s="250"/>
      <c r="AG108" s="242"/>
      <c r="AH108" s="242"/>
      <c r="AI108" s="250"/>
      <c r="AJ108" s="251"/>
      <c r="AK108" s="251"/>
      <c r="AL108" s="251"/>
      <c r="AM108" s="251"/>
      <c r="AN108" s="251"/>
      <c r="AO108" s="251"/>
      <c r="AP108" s="251"/>
      <c r="AQ108" s="251"/>
      <c r="AR108" s="260"/>
      <c r="AS108" s="202"/>
    </row>
    <row r="109" spans="1:45" ht="13.5" customHeight="1">
      <c r="A109" s="202"/>
      <c r="B109" s="285"/>
      <c r="C109" s="242">
        <v>12</v>
      </c>
      <c r="D109" s="226">
        <v>52</v>
      </c>
      <c r="E109" s="243" t="s">
        <v>422</v>
      </c>
      <c r="F109" s="242" t="s">
        <v>421</v>
      </c>
      <c r="G109" s="242" t="s">
        <v>278</v>
      </c>
      <c r="H109" s="253"/>
      <c r="I109" s="242">
        <v>42535</v>
      </c>
      <c r="J109" s="230">
        <f ca="1">+DATEDIF(I109,TODAY(),"Y")</f>
        <v>9</v>
      </c>
      <c r="K109" s="254" t="s">
        <v>423</v>
      </c>
      <c r="L109" s="244"/>
      <c r="M109" s="245" t="s">
        <v>416</v>
      </c>
      <c r="N109" s="243" t="s">
        <v>417</v>
      </c>
      <c r="O109" s="246">
        <v>17534484</v>
      </c>
      <c r="P109" s="247" t="s">
        <v>424</v>
      </c>
      <c r="Q109" s="254" t="s">
        <v>425</v>
      </c>
      <c r="R109" s="248" t="s">
        <v>369</v>
      </c>
      <c r="S109" s="248" t="s">
        <v>146</v>
      </c>
      <c r="T109" s="248"/>
      <c r="U109" s="248"/>
      <c r="V109" s="249">
        <v>320</v>
      </c>
      <c r="W109" s="250" t="s">
        <v>54</v>
      </c>
      <c r="X109" s="247">
        <v>44985</v>
      </c>
      <c r="Y109" s="248" t="s">
        <v>420</v>
      </c>
      <c r="Z109" s="250"/>
      <c r="AA109" s="242"/>
      <c r="AB109" s="242"/>
      <c r="AC109" s="250"/>
      <c r="AD109" s="251"/>
      <c r="AE109" s="251"/>
      <c r="AF109" s="251"/>
      <c r="AG109" s="251"/>
      <c r="AH109" s="251"/>
      <c r="AI109" s="251"/>
      <c r="AJ109" s="251"/>
      <c r="AK109" s="251"/>
      <c r="AL109" s="251"/>
      <c r="AM109" s="251"/>
      <c r="AN109" s="251"/>
      <c r="AO109" s="251"/>
      <c r="AP109" s="251"/>
      <c r="AQ109" s="251"/>
      <c r="AR109" s="260"/>
      <c r="AS109" s="202"/>
    </row>
    <row r="110" spans="1:45" ht="13.5" customHeight="1">
      <c r="A110" s="202"/>
      <c r="B110" s="285"/>
      <c r="C110" s="242"/>
      <c r="D110" s="242"/>
      <c r="E110" s="243"/>
      <c r="F110" s="242"/>
      <c r="G110" s="242"/>
      <c r="H110" s="253"/>
      <c r="I110" s="242"/>
      <c r="J110" s="230"/>
      <c r="K110" s="247"/>
      <c r="L110" s="244"/>
      <c r="M110" s="245"/>
      <c r="N110" s="243"/>
      <c r="O110" s="246"/>
      <c r="P110" s="247"/>
      <c r="Q110" s="247"/>
      <c r="R110" s="248"/>
      <c r="S110" s="248"/>
      <c r="T110" s="248"/>
      <c r="U110" s="248"/>
      <c r="V110" s="249"/>
      <c r="W110" s="250"/>
      <c r="X110" s="247"/>
      <c r="Y110" s="248"/>
      <c r="Z110" s="250"/>
      <c r="AA110" s="242"/>
      <c r="AB110" s="242"/>
      <c r="AC110" s="250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60"/>
      <c r="AS110" s="202"/>
    </row>
    <row r="111" spans="1:45" ht="13.5" customHeight="1">
      <c r="A111" s="202"/>
      <c r="B111" s="285"/>
      <c r="C111" s="242">
        <v>13</v>
      </c>
      <c r="D111" s="226">
        <v>53</v>
      </c>
      <c r="E111" s="243" t="s">
        <v>427</v>
      </c>
      <c r="F111" s="242" t="s">
        <v>426</v>
      </c>
      <c r="G111" s="242" t="s">
        <v>278</v>
      </c>
      <c r="H111" s="253">
        <v>33884872</v>
      </c>
      <c r="I111" s="242">
        <v>40889</v>
      </c>
      <c r="J111" s="230">
        <f ca="1">+DATEDIF(I111,TODAY(),"Y")</f>
        <v>14</v>
      </c>
      <c r="K111" s="254" t="s">
        <v>428</v>
      </c>
      <c r="L111" s="244">
        <v>4122522273</v>
      </c>
      <c r="M111" s="245" t="s">
        <v>429</v>
      </c>
      <c r="N111" s="243" t="s">
        <v>430</v>
      </c>
      <c r="O111" s="246">
        <v>13551625</v>
      </c>
      <c r="P111" s="247" t="s">
        <v>431</v>
      </c>
      <c r="Q111" s="259" t="s">
        <v>432</v>
      </c>
      <c r="R111" s="248" t="s">
        <v>404</v>
      </c>
      <c r="S111" s="248" t="s">
        <v>77</v>
      </c>
      <c r="T111" s="248"/>
      <c r="U111" s="255"/>
      <c r="V111" s="249"/>
      <c r="W111" s="250" t="s">
        <v>54</v>
      </c>
      <c r="X111" s="247"/>
      <c r="Y111" s="248" t="s">
        <v>433</v>
      </c>
      <c r="Z111" s="250"/>
      <c r="AA111" s="251"/>
      <c r="AB111" s="251"/>
      <c r="AC111" s="251"/>
      <c r="AD111" s="251"/>
      <c r="AE111" s="251"/>
      <c r="AF111" s="251"/>
      <c r="AG111" s="251"/>
      <c r="AH111" s="251"/>
      <c r="AI111" s="251"/>
      <c r="AJ111" s="251"/>
      <c r="AK111" s="251"/>
      <c r="AL111" s="251"/>
      <c r="AM111" s="251"/>
      <c r="AN111" s="251"/>
      <c r="AO111" s="251"/>
      <c r="AP111" s="251"/>
      <c r="AQ111" s="251"/>
      <c r="AR111" s="260"/>
      <c r="AS111" s="202"/>
    </row>
    <row r="112" spans="1:45" ht="13.5" customHeight="1">
      <c r="A112" s="202"/>
      <c r="B112" s="285"/>
      <c r="C112" s="242"/>
      <c r="D112" s="242"/>
      <c r="E112" s="243"/>
      <c r="F112" s="242"/>
      <c r="G112" s="242"/>
      <c r="H112" s="253"/>
      <c r="I112" s="242"/>
      <c r="J112" s="230"/>
      <c r="K112" s="247"/>
      <c r="L112" s="244"/>
      <c r="M112" s="245"/>
      <c r="N112" s="243"/>
      <c r="O112" s="246"/>
      <c r="P112" s="247"/>
      <c r="Q112" s="257"/>
      <c r="R112" s="248"/>
      <c r="S112" s="248"/>
      <c r="T112" s="248"/>
      <c r="U112" s="255"/>
      <c r="V112" s="249"/>
      <c r="W112" s="250"/>
      <c r="X112" s="247"/>
      <c r="Y112" s="248"/>
      <c r="Z112" s="250"/>
      <c r="AA112" s="251"/>
      <c r="AB112" s="251"/>
      <c r="AC112" s="251"/>
      <c r="AD112" s="251"/>
      <c r="AE112" s="251"/>
      <c r="AF112" s="251"/>
      <c r="AG112" s="251"/>
      <c r="AH112" s="251"/>
      <c r="AI112" s="251"/>
      <c r="AJ112" s="251"/>
      <c r="AK112" s="251"/>
      <c r="AL112" s="251"/>
      <c r="AM112" s="251"/>
      <c r="AN112" s="251"/>
      <c r="AO112" s="251"/>
      <c r="AP112" s="251"/>
      <c r="AQ112" s="251"/>
      <c r="AR112" s="260"/>
      <c r="AS112" s="202"/>
    </row>
    <row r="113" spans="1:45" ht="13.5" customHeight="1">
      <c r="A113" s="202"/>
      <c r="B113" s="285"/>
      <c r="C113" s="242">
        <v>14</v>
      </c>
      <c r="D113" s="226">
        <v>54</v>
      </c>
      <c r="E113" s="243" t="s">
        <v>435</v>
      </c>
      <c r="F113" s="242" t="s">
        <v>434</v>
      </c>
      <c r="G113" s="242" t="s">
        <v>43</v>
      </c>
      <c r="H113" s="253">
        <v>24143761</v>
      </c>
      <c r="I113" s="242">
        <v>34254</v>
      </c>
      <c r="J113" s="230">
        <f ca="1">+DATEDIF(I113,TODAY(),"Y")</f>
        <v>32</v>
      </c>
      <c r="K113" s="254" t="s">
        <v>436</v>
      </c>
      <c r="L113" s="244" t="s">
        <v>437</v>
      </c>
      <c r="M113" s="245" t="s">
        <v>438</v>
      </c>
      <c r="N113" s="243"/>
      <c r="O113" s="247"/>
      <c r="P113" s="247"/>
      <c r="Q113" s="257"/>
      <c r="R113" s="248" t="s">
        <v>281</v>
      </c>
      <c r="S113" s="248" t="s">
        <v>77</v>
      </c>
      <c r="T113" s="248"/>
      <c r="U113" s="255"/>
      <c r="V113" s="249">
        <v>300</v>
      </c>
      <c r="W113" s="250" t="s">
        <v>78</v>
      </c>
      <c r="X113" s="247">
        <v>45309</v>
      </c>
      <c r="Y113" s="248" t="s">
        <v>281</v>
      </c>
      <c r="Z113" s="250">
        <v>300</v>
      </c>
      <c r="AA113" s="242"/>
      <c r="AB113" s="242"/>
      <c r="AC113" s="250"/>
      <c r="AD113" s="251"/>
      <c r="AE113" s="251"/>
      <c r="AF113" s="251"/>
      <c r="AG113" s="251"/>
      <c r="AH113" s="251"/>
      <c r="AI113" s="251"/>
      <c r="AJ113" s="251"/>
      <c r="AK113" s="251"/>
      <c r="AL113" s="251"/>
      <c r="AM113" s="251"/>
      <c r="AN113" s="251"/>
      <c r="AO113" s="251"/>
      <c r="AP113" s="251"/>
      <c r="AQ113" s="251"/>
      <c r="AR113" s="260"/>
      <c r="AS113" s="202"/>
    </row>
    <row r="114" spans="1:45" ht="13.5" customHeight="1">
      <c r="A114" s="202"/>
      <c r="B114" s="285"/>
      <c r="C114" s="242"/>
      <c r="D114" s="242"/>
      <c r="E114" s="243"/>
      <c r="F114" s="242"/>
      <c r="G114" s="242"/>
      <c r="H114" s="253"/>
      <c r="I114" s="242"/>
      <c r="J114" s="230"/>
      <c r="K114" s="247"/>
      <c r="L114" s="244"/>
      <c r="M114" s="245"/>
      <c r="N114" s="243"/>
      <c r="O114" s="247"/>
      <c r="P114" s="247"/>
      <c r="Q114" s="257"/>
      <c r="R114" s="248"/>
      <c r="S114" s="248"/>
      <c r="T114" s="248"/>
      <c r="U114" s="255"/>
      <c r="V114" s="249"/>
      <c r="W114" s="250"/>
      <c r="X114" s="247"/>
      <c r="Y114" s="248"/>
      <c r="Z114" s="250"/>
      <c r="AA114" s="242"/>
      <c r="AB114" s="242"/>
      <c r="AC114" s="250"/>
      <c r="AD114" s="251"/>
      <c r="AE114" s="251"/>
      <c r="AF114" s="251"/>
      <c r="AG114" s="251"/>
      <c r="AH114" s="251"/>
      <c r="AI114" s="251"/>
      <c r="AJ114" s="251"/>
      <c r="AK114" s="251"/>
      <c r="AL114" s="251"/>
      <c r="AM114" s="251"/>
      <c r="AN114" s="251"/>
      <c r="AO114" s="251"/>
      <c r="AP114" s="251"/>
      <c r="AQ114" s="251"/>
      <c r="AR114" s="260"/>
      <c r="AS114" s="202"/>
    </row>
    <row r="115" spans="1:45" ht="13.5" customHeight="1">
      <c r="A115" s="202"/>
      <c r="B115" s="285"/>
      <c r="C115" s="242">
        <v>15</v>
      </c>
      <c r="D115" s="226">
        <v>55</v>
      </c>
      <c r="E115" s="243" t="s">
        <v>440</v>
      </c>
      <c r="F115" s="242" t="s">
        <v>439</v>
      </c>
      <c r="G115" s="242" t="s">
        <v>278</v>
      </c>
      <c r="H115" s="253">
        <v>33328935</v>
      </c>
      <c r="I115" s="242">
        <v>40810</v>
      </c>
      <c r="J115" s="230">
        <f ca="1">+DATEDIF(I115,TODAY(),"Y")</f>
        <v>14</v>
      </c>
      <c r="K115" s="254" t="s">
        <v>441</v>
      </c>
      <c r="L115" s="244" t="s">
        <v>442</v>
      </c>
      <c r="M115" s="245" t="s">
        <v>443</v>
      </c>
      <c r="N115" s="243" t="s">
        <v>444</v>
      </c>
      <c r="O115" s="262">
        <v>18536818</v>
      </c>
      <c r="P115" s="247" t="s">
        <v>445</v>
      </c>
      <c r="Q115" s="259" t="s">
        <v>441</v>
      </c>
      <c r="R115" s="248" t="s">
        <v>404</v>
      </c>
      <c r="S115" s="248" t="s">
        <v>77</v>
      </c>
      <c r="T115" s="248"/>
      <c r="U115" s="248"/>
      <c r="V115" s="249"/>
      <c r="W115" s="250" t="s">
        <v>54</v>
      </c>
      <c r="X115" s="247">
        <v>45063</v>
      </c>
      <c r="Y115" s="248"/>
      <c r="Z115" s="250"/>
      <c r="AA115" s="251"/>
      <c r="AB115" s="251"/>
      <c r="AC115" s="251"/>
      <c r="AD115" s="242"/>
      <c r="AE115" s="242"/>
      <c r="AF115" s="250"/>
      <c r="AG115" s="251"/>
      <c r="AH115" s="251"/>
      <c r="AI115" s="251"/>
      <c r="AJ115" s="251"/>
      <c r="AK115" s="251"/>
      <c r="AL115" s="251"/>
      <c r="AM115" s="251"/>
      <c r="AN115" s="251"/>
      <c r="AO115" s="251"/>
      <c r="AP115" s="251"/>
      <c r="AQ115" s="251"/>
      <c r="AR115" s="260"/>
      <c r="AS115" s="202"/>
    </row>
    <row r="116" spans="1:45" ht="13.5" customHeight="1">
      <c r="A116" s="202"/>
      <c r="B116" s="285"/>
      <c r="C116" s="242"/>
      <c r="D116" s="242"/>
      <c r="E116" s="243"/>
      <c r="F116" s="242"/>
      <c r="G116" s="242"/>
      <c r="H116" s="253"/>
      <c r="I116" s="242"/>
      <c r="J116" s="230"/>
      <c r="K116" s="247"/>
      <c r="L116" s="244"/>
      <c r="M116" s="245"/>
      <c r="N116" s="243"/>
      <c r="O116" s="247"/>
      <c r="P116" s="247"/>
      <c r="Q116" s="257"/>
      <c r="R116" s="248"/>
      <c r="S116" s="248"/>
      <c r="T116" s="248"/>
      <c r="U116" s="248"/>
      <c r="V116" s="249"/>
      <c r="W116" s="250"/>
      <c r="X116" s="247"/>
      <c r="Y116" s="248"/>
      <c r="Z116" s="250"/>
      <c r="AA116" s="251"/>
      <c r="AB116" s="251"/>
      <c r="AC116" s="251"/>
      <c r="AD116" s="242"/>
      <c r="AE116" s="242"/>
      <c r="AF116" s="250"/>
      <c r="AG116" s="251"/>
      <c r="AH116" s="251"/>
      <c r="AI116" s="251"/>
      <c r="AJ116" s="251"/>
      <c r="AK116" s="251"/>
      <c r="AL116" s="251"/>
      <c r="AM116" s="251"/>
      <c r="AN116" s="251"/>
      <c r="AO116" s="251"/>
      <c r="AP116" s="251"/>
      <c r="AQ116" s="251"/>
      <c r="AR116" s="260"/>
      <c r="AS116" s="202"/>
    </row>
    <row r="117" spans="1:45" ht="13.5" customHeight="1">
      <c r="A117" s="202"/>
      <c r="B117" s="285"/>
      <c r="C117" s="242">
        <v>16</v>
      </c>
      <c r="D117" s="226">
        <v>56</v>
      </c>
      <c r="E117" s="243" t="s">
        <v>447</v>
      </c>
      <c r="F117" s="242" t="s">
        <v>446</v>
      </c>
      <c r="G117" s="242" t="s">
        <v>278</v>
      </c>
      <c r="H117" s="242"/>
      <c r="I117" s="258">
        <v>41906</v>
      </c>
      <c r="J117" s="230">
        <f ca="1">+DATEDIF(I117,TODAY(),"Y")</f>
        <v>11</v>
      </c>
      <c r="K117" s="254" t="s">
        <v>441</v>
      </c>
      <c r="L117" s="244" t="s">
        <v>448</v>
      </c>
      <c r="M117" s="245" t="s">
        <v>449</v>
      </c>
      <c r="N117" s="243" t="s">
        <v>444</v>
      </c>
      <c r="O117" s="246">
        <v>18536818</v>
      </c>
      <c r="P117" s="247" t="s">
        <v>448</v>
      </c>
      <c r="Q117" s="259" t="s">
        <v>441</v>
      </c>
      <c r="R117" s="248" t="s">
        <v>419</v>
      </c>
      <c r="S117" s="248" t="s">
        <v>77</v>
      </c>
      <c r="T117" s="248"/>
      <c r="U117" s="255"/>
      <c r="V117" s="249"/>
      <c r="W117" s="250" t="s">
        <v>54</v>
      </c>
      <c r="X117" s="247">
        <v>45063</v>
      </c>
      <c r="Y117" s="248"/>
      <c r="Z117" s="250"/>
      <c r="AA117" s="251"/>
      <c r="AB117" s="242"/>
      <c r="AC117" s="250"/>
      <c r="AD117" s="251"/>
      <c r="AE117" s="251"/>
      <c r="AF117" s="250"/>
      <c r="AG117" s="251"/>
      <c r="AH117" s="251"/>
      <c r="AI117" s="251"/>
      <c r="AJ117" s="251"/>
      <c r="AK117" s="251"/>
      <c r="AL117" s="251"/>
      <c r="AM117" s="251"/>
      <c r="AN117" s="251"/>
      <c r="AO117" s="251"/>
      <c r="AP117" s="251"/>
      <c r="AQ117" s="251"/>
      <c r="AR117" s="260"/>
      <c r="AS117" s="202"/>
    </row>
    <row r="118" spans="1:45" ht="13.5" customHeight="1">
      <c r="A118" s="202"/>
      <c r="B118" s="285"/>
      <c r="C118" s="242"/>
      <c r="D118" s="242"/>
      <c r="E118" s="243"/>
      <c r="F118" s="242"/>
      <c r="G118" s="242"/>
      <c r="H118" s="242"/>
      <c r="I118" s="258"/>
      <c r="J118" s="230"/>
      <c r="K118" s="247"/>
      <c r="L118" s="244"/>
      <c r="M118" s="245"/>
      <c r="N118" s="243"/>
      <c r="O118" s="246"/>
      <c r="P118" s="247"/>
      <c r="Q118" s="257"/>
      <c r="R118" s="248"/>
      <c r="S118" s="248"/>
      <c r="T118" s="248"/>
      <c r="U118" s="255"/>
      <c r="V118" s="249"/>
      <c r="W118" s="250"/>
      <c r="X118" s="247"/>
      <c r="Y118" s="248"/>
      <c r="Z118" s="250"/>
      <c r="AA118" s="251"/>
      <c r="AB118" s="242"/>
      <c r="AC118" s="250"/>
      <c r="AD118" s="251"/>
      <c r="AE118" s="251"/>
      <c r="AF118" s="250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60"/>
      <c r="AS118" s="202"/>
    </row>
    <row r="119" spans="1:45" ht="13.5" customHeight="1">
      <c r="A119" s="202"/>
      <c r="B119" s="285"/>
      <c r="C119" s="242">
        <v>17</v>
      </c>
      <c r="D119" s="226">
        <v>57</v>
      </c>
      <c r="E119" s="243" t="s">
        <v>451</v>
      </c>
      <c r="F119" s="242" t="s">
        <v>450</v>
      </c>
      <c r="G119" s="242" t="s">
        <v>278</v>
      </c>
      <c r="H119" s="253"/>
      <c r="I119" s="242">
        <v>43481</v>
      </c>
      <c r="J119" s="230">
        <f ca="1">+DATEDIF(I119,TODAY(),"Y")</f>
        <v>7</v>
      </c>
      <c r="K119" s="247"/>
      <c r="L119" s="244"/>
      <c r="M119" s="245" t="s">
        <v>452</v>
      </c>
      <c r="N119" s="243" t="s">
        <v>453</v>
      </c>
      <c r="O119" s="246">
        <v>17743056</v>
      </c>
      <c r="P119" s="247" t="s">
        <v>454</v>
      </c>
      <c r="Q119" s="254" t="s">
        <v>455</v>
      </c>
      <c r="R119" s="248" t="s">
        <v>456</v>
      </c>
      <c r="S119" s="248" t="s">
        <v>130</v>
      </c>
      <c r="T119" s="248"/>
      <c r="U119" s="255"/>
      <c r="V119" s="249"/>
      <c r="W119" s="250" t="s">
        <v>54</v>
      </c>
      <c r="X119" s="247">
        <v>45434</v>
      </c>
      <c r="Y119" s="248"/>
      <c r="Z119" s="250"/>
      <c r="AA119" s="242"/>
      <c r="AB119" s="242"/>
      <c r="AC119" s="250"/>
      <c r="AD119" s="251"/>
      <c r="AE119" s="251"/>
      <c r="AF119" s="251"/>
      <c r="AG119" s="251"/>
      <c r="AH119" s="251"/>
      <c r="AI119" s="251"/>
      <c r="AJ119" s="251"/>
      <c r="AK119" s="251"/>
      <c r="AL119" s="251"/>
      <c r="AM119" s="251"/>
      <c r="AN119" s="251"/>
      <c r="AO119" s="251"/>
      <c r="AP119" s="251"/>
      <c r="AQ119" s="251"/>
      <c r="AR119" s="260"/>
      <c r="AS119" s="202"/>
    </row>
    <row r="120" spans="1:45" ht="13.5" customHeight="1">
      <c r="A120" s="202"/>
      <c r="B120" s="285"/>
      <c r="C120" s="242"/>
      <c r="D120" s="242"/>
      <c r="E120" s="243"/>
      <c r="F120" s="242"/>
      <c r="G120" s="242"/>
      <c r="H120" s="253"/>
      <c r="I120" s="242"/>
      <c r="J120" s="230"/>
      <c r="K120" s="247"/>
      <c r="L120" s="244"/>
      <c r="M120" s="245"/>
      <c r="N120" s="243"/>
      <c r="O120" s="246"/>
      <c r="P120" s="247"/>
      <c r="Q120" s="247"/>
      <c r="R120" s="248"/>
      <c r="S120" s="248"/>
      <c r="T120" s="248"/>
      <c r="U120" s="255"/>
      <c r="V120" s="249"/>
      <c r="W120" s="250"/>
      <c r="X120" s="247"/>
      <c r="Y120" s="248"/>
      <c r="Z120" s="250"/>
      <c r="AA120" s="242"/>
      <c r="AB120" s="242"/>
      <c r="AC120" s="250"/>
      <c r="AD120" s="251"/>
      <c r="AE120" s="251"/>
      <c r="AF120" s="251"/>
      <c r="AG120" s="251"/>
      <c r="AH120" s="251"/>
      <c r="AI120" s="251"/>
      <c r="AJ120" s="251"/>
      <c r="AK120" s="251"/>
      <c r="AL120" s="251"/>
      <c r="AM120" s="251"/>
      <c r="AN120" s="251"/>
      <c r="AO120" s="251"/>
      <c r="AP120" s="251"/>
      <c r="AQ120" s="251"/>
      <c r="AR120" s="260"/>
      <c r="AS120" s="202"/>
    </row>
    <row r="121" spans="1:45" ht="13.5" customHeight="1">
      <c r="A121" s="202"/>
      <c r="B121" s="285"/>
      <c r="C121" s="242">
        <v>18</v>
      </c>
      <c r="D121" s="226">
        <v>58</v>
      </c>
      <c r="E121" s="243" t="s">
        <v>458</v>
      </c>
      <c r="F121" s="242" t="s">
        <v>457</v>
      </c>
      <c r="G121" s="242" t="s">
        <v>278</v>
      </c>
      <c r="H121" s="253"/>
      <c r="I121" s="242"/>
      <c r="J121" s="230">
        <f ca="1">+DATEDIF(I121,TODAY(),"Y")</f>
        <v>126</v>
      </c>
      <c r="K121" s="247"/>
      <c r="L121" s="244"/>
      <c r="M121" s="245"/>
      <c r="N121" s="243" t="s">
        <v>459</v>
      </c>
      <c r="O121" s="246">
        <v>17199811</v>
      </c>
      <c r="P121" s="247" t="s">
        <v>460</v>
      </c>
      <c r="Q121" s="254" t="s">
        <v>461</v>
      </c>
      <c r="R121" s="248" t="s">
        <v>456</v>
      </c>
      <c r="S121" s="248" t="s">
        <v>130</v>
      </c>
      <c r="T121" s="248"/>
      <c r="U121" s="255"/>
      <c r="V121" s="249"/>
      <c r="W121" s="250" t="s">
        <v>54</v>
      </c>
      <c r="X121" s="247">
        <v>45069</v>
      </c>
      <c r="Y121" s="248"/>
      <c r="Z121" s="250"/>
      <c r="AA121" s="242"/>
      <c r="AB121" s="242"/>
      <c r="AC121" s="250"/>
      <c r="AD121" s="242"/>
      <c r="AE121" s="242"/>
      <c r="AF121" s="250"/>
      <c r="AG121" s="242"/>
      <c r="AH121" s="242"/>
      <c r="AI121" s="250"/>
      <c r="AJ121" s="251"/>
      <c r="AK121" s="251"/>
      <c r="AL121" s="250"/>
      <c r="AM121" s="251"/>
      <c r="AN121" s="251"/>
      <c r="AO121" s="250"/>
      <c r="AP121" s="251"/>
      <c r="AQ121" s="251"/>
      <c r="AR121" s="260"/>
      <c r="AS121" s="202"/>
    </row>
    <row r="122" spans="1:45" ht="13.5" customHeight="1">
      <c r="A122" s="202"/>
      <c r="B122" s="285"/>
      <c r="C122" s="242"/>
      <c r="D122" s="242"/>
      <c r="E122" s="243"/>
      <c r="F122" s="242"/>
      <c r="G122" s="242"/>
      <c r="H122" s="253"/>
      <c r="I122" s="242"/>
      <c r="J122" s="230"/>
      <c r="K122" s="247"/>
      <c r="L122" s="244"/>
      <c r="M122" s="245"/>
      <c r="N122" s="243"/>
      <c r="O122" s="246"/>
      <c r="P122" s="247"/>
      <c r="Q122" s="242"/>
      <c r="R122" s="248"/>
      <c r="S122" s="248"/>
      <c r="T122" s="248"/>
      <c r="U122" s="255"/>
      <c r="V122" s="249"/>
      <c r="W122" s="250"/>
      <c r="X122" s="247"/>
      <c r="Y122" s="248"/>
      <c r="Z122" s="250"/>
      <c r="AA122" s="242"/>
      <c r="AB122" s="242"/>
      <c r="AC122" s="250"/>
      <c r="AD122" s="242"/>
      <c r="AE122" s="242"/>
      <c r="AF122" s="250"/>
      <c r="AG122" s="242"/>
      <c r="AH122" s="242"/>
      <c r="AI122" s="250"/>
      <c r="AJ122" s="251"/>
      <c r="AK122" s="251"/>
      <c r="AL122" s="250"/>
      <c r="AM122" s="251"/>
      <c r="AN122" s="251"/>
      <c r="AO122" s="250"/>
      <c r="AP122" s="251"/>
      <c r="AQ122" s="251"/>
      <c r="AR122" s="260"/>
      <c r="AS122" s="202"/>
    </row>
    <row r="123" spans="1:45" ht="13.5" customHeight="1">
      <c r="A123" s="202"/>
      <c r="B123" s="285"/>
      <c r="C123" s="242">
        <v>19</v>
      </c>
      <c r="D123" s="226">
        <v>59</v>
      </c>
      <c r="E123" s="243" t="s">
        <v>463</v>
      </c>
      <c r="F123" s="242" t="s">
        <v>462</v>
      </c>
      <c r="G123" s="242" t="s">
        <v>278</v>
      </c>
      <c r="H123" s="242"/>
      <c r="I123" s="242">
        <v>42692</v>
      </c>
      <c r="J123" s="230">
        <f ca="1">+DATEDIF(I123,TODAY(),"Y")</f>
        <v>9</v>
      </c>
      <c r="K123" s="247"/>
      <c r="L123" s="244"/>
      <c r="M123" s="245" t="s">
        <v>464</v>
      </c>
      <c r="N123" s="243" t="s">
        <v>465</v>
      </c>
      <c r="O123" s="246">
        <v>17743181</v>
      </c>
      <c r="P123" s="247" t="s">
        <v>466</v>
      </c>
      <c r="Q123" s="254" t="s">
        <v>467</v>
      </c>
      <c r="R123" s="248" t="s">
        <v>369</v>
      </c>
      <c r="S123" s="248" t="s">
        <v>130</v>
      </c>
      <c r="T123" s="248"/>
      <c r="U123" s="255"/>
      <c r="V123" s="249"/>
      <c r="W123" s="250" t="s">
        <v>54</v>
      </c>
      <c r="X123" s="247">
        <v>45078</v>
      </c>
      <c r="Y123" s="248"/>
      <c r="Z123" s="250"/>
      <c r="AA123" s="242"/>
      <c r="AB123" s="242"/>
      <c r="AC123" s="250"/>
      <c r="AD123" s="242"/>
      <c r="AE123" s="242"/>
      <c r="AF123" s="250"/>
      <c r="AG123" s="242"/>
      <c r="AH123" s="242"/>
      <c r="AI123" s="250"/>
      <c r="AJ123" s="251"/>
      <c r="AK123" s="251"/>
      <c r="AL123" s="250"/>
      <c r="AM123" s="251"/>
      <c r="AN123" s="251"/>
      <c r="AO123" s="251"/>
      <c r="AP123" s="251"/>
      <c r="AQ123" s="251"/>
      <c r="AR123" s="260"/>
      <c r="AS123" s="202"/>
    </row>
    <row r="124" spans="1:45" ht="13.5" customHeight="1">
      <c r="A124" s="202"/>
      <c r="B124" s="285"/>
      <c r="C124" s="242"/>
      <c r="D124" s="242"/>
      <c r="E124" s="243"/>
      <c r="F124" s="242"/>
      <c r="G124" s="242"/>
      <c r="H124" s="242"/>
      <c r="I124" s="242"/>
      <c r="J124" s="230"/>
      <c r="K124" s="247"/>
      <c r="L124" s="244"/>
      <c r="M124" s="245"/>
      <c r="N124" s="243"/>
      <c r="O124" s="246"/>
      <c r="P124" s="247"/>
      <c r="Q124" s="242"/>
      <c r="R124" s="248"/>
      <c r="S124" s="248"/>
      <c r="T124" s="248"/>
      <c r="U124" s="255"/>
      <c r="V124" s="249"/>
      <c r="W124" s="250"/>
      <c r="X124" s="247"/>
      <c r="Y124" s="248"/>
      <c r="Z124" s="250"/>
      <c r="AA124" s="242"/>
      <c r="AB124" s="242"/>
      <c r="AC124" s="250"/>
      <c r="AD124" s="242"/>
      <c r="AE124" s="242"/>
      <c r="AF124" s="250"/>
      <c r="AG124" s="242"/>
      <c r="AH124" s="242"/>
      <c r="AI124" s="250"/>
      <c r="AJ124" s="251"/>
      <c r="AK124" s="251"/>
      <c r="AL124" s="250"/>
      <c r="AM124" s="251"/>
      <c r="AN124" s="251"/>
      <c r="AO124" s="251"/>
      <c r="AP124" s="251"/>
      <c r="AQ124" s="251"/>
      <c r="AR124" s="260"/>
      <c r="AS124" s="202"/>
    </row>
    <row r="125" spans="1:45" ht="13.5" customHeight="1">
      <c r="A125" s="202"/>
      <c r="B125" s="285"/>
      <c r="C125" s="242">
        <v>20</v>
      </c>
      <c r="D125" s="226">
        <v>60</v>
      </c>
      <c r="E125" s="243" t="s">
        <v>469</v>
      </c>
      <c r="F125" s="242" t="s">
        <v>468</v>
      </c>
      <c r="G125" s="242" t="s">
        <v>278</v>
      </c>
      <c r="H125" s="242"/>
      <c r="I125" s="242">
        <v>43228</v>
      </c>
      <c r="J125" s="230">
        <f ca="1">+DATEDIF(I125,TODAY(),"Y")</f>
        <v>8</v>
      </c>
      <c r="K125" s="247"/>
      <c r="L125" s="244"/>
      <c r="M125" s="245" t="s">
        <v>464</v>
      </c>
      <c r="N125" s="243" t="s">
        <v>465</v>
      </c>
      <c r="O125" s="246">
        <v>17743181</v>
      </c>
      <c r="P125" s="247" t="s">
        <v>466</v>
      </c>
      <c r="Q125" s="254" t="s">
        <v>467</v>
      </c>
      <c r="R125" s="248" t="s">
        <v>456</v>
      </c>
      <c r="S125" s="248" t="s">
        <v>130</v>
      </c>
      <c r="T125" s="248"/>
      <c r="U125" s="255"/>
      <c r="V125" s="249"/>
      <c r="W125" s="250" t="s">
        <v>54</v>
      </c>
      <c r="X125" s="257">
        <v>45337</v>
      </c>
      <c r="Y125" s="255"/>
      <c r="Z125" s="288"/>
      <c r="AA125" s="251"/>
      <c r="AB125" s="251"/>
      <c r="AC125" s="251"/>
      <c r="AD125" s="242"/>
      <c r="AE125" s="242"/>
      <c r="AF125" s="250"/>
      <c r="AG125" s="242"/>
      <c r="AH125" s="242"/>
      <c r="AI125" s="250"/>
      <c r="AJ125" s="251"/>
      <c r="AK125" s="251"/>
      <c r="AL125" s="251"/>
      <c r="AM125" s="251"/>
      <c r="AN125" s="251"/>
      <c r="AO125" s="251"/>
      <c r="AP125" s="251"/>
      <c r="AQ125" s="251"/>
      <c r="AR125" s="260"/>
      <c r="AS125" s="202"/>
    </row>
    <row r="126" spans="1:45" ht="13.5" customHeight="1">
      <c r="A126" s="202"/>
      <c r="B126" s="291"/>
      <c r="C126" s="264"/>
      <c r="D126" s="242"/>
      <c r="E126" s="265"/>
      <c r="F126" s="264"/>
      <c r="G126" s="264"/>
      <c r="H126" s="264"/>
      <c r="I126" s="264"/>
      <c r="J126" s="230"/>
      <c r="K126" s="267"/>
      <c r="L126" s="268"/>
      <c r="M126" s="269"/>
      <c r="N126" s="265"/>
      <c r="O126" s="270"/>
      <c r="P126" s="267"/>
      <c r="Q126" s="267"/>
      <c r="R126" s="271"/>
      <c r="S126" s="271"/>
      <c r="T126" s="271"/>
      <c r="U126" s="292"/>
      <c r="V126" s="272"/>
      <c r="W126" s="273"/>
      <c r="X126" s="295"/>
      <c r="Y126" s="292"/>
      <c r="Z126" s="296"/>
      <c r="AA126" s="274"/>
      <c r="AB126" s="274"/>
      <c r="AC126" s="274"/>
      <c r="AD126" s="264"/>
      <c r="AE126" s="264"/>
      <c r="AF126" s="273"/>
      <c r="AG126" s="264"/>
      <c r="AH126" s="264"/>
      <c r="AI126" s="273"/>
      <c r="AJ126" s="274"/>
      <c r="AK126" s="274"/>
      <c r="AL126" s="274"/>
      <c r="AM126" s="274"/>
      <c r="AN126" s="274"/>
      <c r="AO126" s="274"/>
      <c r="AP126" s="274"/>
      <c r="AQ126" s="274"/>
      <c r="AR126" s="275"/>
      <c r="AS126" s="202"/>
    </row>
    <row r="127" spans="1:45" ht="13.5" customHeight="1">
      <c r="A127" s="202"/>
      <c r="B127" s="297" t="s">
        <v>470</v>
      </c>
      <c r="C127" s="226">
        <v>1</v>
      </c>
      <c r="D127" s="226">
        <v>61</v>
      </c>
      <c r="E127" s="227" t="s">
        <v>472</v>
      </c>
      <c r="F127" s="226" t="s">
        <v>471</v>
      </c>
      <c r="G127" s="226" t="s">
        <v>278</v>
      </c>
      <c r="H127" s="228">
        <v>31404186</v>
      </c>
      <c r="I127" s="226">
        <v>38876</v>
      </c>
      <c r="J127" s="230">
        <f ca="1">+DATEDIF(I127,TODAY(),"Y")</f>
        <v>19</v>
      </c>
      <c r="K127" s="231" t="s">
        <v>473</v>
      </c>
      <c r="L127" s="232" t="s">
        <v>474</v>
      </c>
      <c r="M127" s="233" t="s">
        <v>475</v>
      </c>
      <c r="N127" s="227" t="s">
        <v>476</v>
      </c>
      <c r="O127" s="234">
        <v>15119858</v>
      </c>
      <c r="P127" s="235" t="s">
        <v>477</v>
      </c>
      <c r="Q127" s="231" t="s">
        <v>478</v>
      </c>
      <c r="R127" s="236" t="s">
        <v>479</v>
      </c>
      <c r="S127" s="236" t="s">
        <v>480</v>
      </c>
      <c r="T127" s="236"/>
      <c r="U127" s="280"/>
      <c r="V127" s="237"/>
      <c r="W127" s="238" t="s">
        <v>54</v>
      </c>
      <c r="X127" s="282">
        <v>45104</v>
      </c>
      <c r="Y127" s="280"/>
      <c r="Z127" s="298"/>
      <c r="AA127" s="226"/>
      <c r="AB127" s="226"/>
      <c r="AC127" s="238"/>
      <c r="AD127" s="226"/>
      <c r="AE127" s="226"/>
      <c r="AF127" s="238"/>
      <c r="AG127" s="226"/>
      <c r="AH127" s="226"/>
      <c r="AI127" s="238"/>
      <c r="AJ127" s="239"/>
      <c r="AK127" s="239"/>
      <c r="AL127" s="239"/>
      <c r="AM127" s="239"/>
      <c r="AN127" s="239"/>
      <c r="AO127" s="239"/>
      <c r="AP127" s="239"/>
      <c r="AQ127" s="239"/>
      <c r="AR127" s="284"/>
      <c r="AS127" s="202"/>
    </row>
    <row r="128" spans="1:45" ht="13.5" customHeight="1">
      <c r="A128" s="202"/>
      <c r="B128" s="299"/>
      <c r="C128" s="242"/>
      <c r="D128" s="242"/>
      <c r="E128" s="243"/>
      <c r="F128" s="242"/>
      <c r="G128" s="242"/>
      <c r="H128" s="242"/>
      <c r="I128" s="242"/>
      <c r="J128" s="230"/>
      <c r="K128" s="254"/>
      <c r="L128" s="244"/>
      <c r="M128" s="245"/>
      <c r="N128" s="243"/>
      <c r="O128" s="246"/>
      <c r="P128" s="247"/>
      <c r="Q128" s="247"/>
      <c r="R128" s="248"/>
      <c r="S128" s="248"/>
      <c r="T128" s="248"/>
      <c r="U128" s="255"/>
      <c r="V128" s="249"/>
      <c r="W128" s="250"/>
      <c r="X128" s="257"/>
      <c r="Y128" s="255"/>
      <c r="Z128" s="300"/>
      <c r="AA128" s="242"/>
      <c r="AB128" s="242"/>
      <c r="AC128" s="250"/>
      <c r="AD128" s="242"/>
      <c r="AE128" s="242"/>
      <c r="AF128" s="250"/>
      <c r="AG128" s="242"/>
      <c r="AH128" s="242"/>
      <c r="AI128" s="250"/>
      <c r="AJ128" s="251"/>
      <c r="AK128" s="251"/>
      <c r="AL128" s="251"/>
      <c r="AM128" s="251"/>
      <c r="AN128" s="251"/>
      <c r="AO128" s="251"/>
      <c r="AP128" s="251"/>
      <c r="AQ128" s="251"/>
      <c r="AR128" s="260"/>
      <c r="AS128" s="202"/>
    </row>
    <row r="129" spans="1:45" ht="13.5" customHeight="1">
      <c r="A129" s="202"/>
      <c r="B129" s="299"/>
      <c r="C129" s="242">
        <v>2</v>
      </c>
      <c r="D129" s="226">
        <v>62</v>
      </c>
      <c r="E129" s="243" t="s">
        <v>482</v>
      </c>
      <c r="F129" s="242" t="s">
        <v>481</v>
      </c>
      <c r="G129" s="242" t="s">
        <v>278</v>
      </c>
      <c r="H129" s="253"/>
      <c r="I129" s="242">
        <v>43194</v>
      </c>
      <c r="J129" s="230">
        <f ca="1">+DATEDIF(I129,TODAY(),"Y")</f>
        <v>8</v>
      </c>
      <c r="K129" s="247"/>
      <c r="L129" s="244"/>
      <c r="M129" s="245" t="s">
        <v>483</v>
      </c>
      <c r="N129" s="243" t="s">
        <v>484</v>
      </c>
      <c r="O129" s="262">
        <v>14363252</v>
      </c>
      <c r="P129" s="247" t="s">
        <v>485</v>
      </c>
      <c r="Q129" s="259" t="s">
        <v>486</v>
      </c>
      <c r="R129" s="248" t="s">
        <v>411</v>
      </c>
      <c r="S129" s="248" t="s">
        <v>130</v>
      </c>
      <c r="T129" s="248"/>
      <c r="U129" s="255"/>
      <c r="V129" s="249"/>
      <c r="W129" s="250" t="s">
        <v>54</v>
      </c>
      <c r="X129" s="247"/>
      <c r="Y129" s="248"/>
      <c r="Z129" s="250"/>
      <c r="AA129" s="242"/>
      <c r="AB129" s="242"/>
      <c r="AC129" s="250"/>
      <c r="AD129" s="242"/>
      <c r="AE129" s="242"/>
      <c r="AF129" s="250"/>
      <c r="AG129" s="251"/>
      <c r="AH129" s="242"/>
      <c r="AI129" s="250"/>
      <c r="AJ129" s="251"/>
      <c r="AK129" s="251"/>
      <c r="AL129" s="251"/>
      <c r="AM129" s="251"/>
      <c r="AN129" s="251"/>
      <c r="AO129" s="251"/>
      <c r="AP129" s="251"/>
      <c r="AQ129" s="251"/>
      <c r="AR129" s="260"/>
      <c r="AS129" s="202"/>
    </row>
    <row r="130" spans="1:45" ht="13.5" customHeight="1">
      <c r="A130" s="202"/>
      <c r="B130" s="299"/>
      <c r="C130" s="242"/>
      <c r="D130" s="242"/>
      <c r="E130" s="243"/>
      <c r="F130" s="242"/>
      <c r="G130" s="242"/>
      <c r="H130" s="253"/>
      <c r="I130" s="242"/>
      <c r="J130" s="230"/>
      <c r="K130" s="247"/>
      <c r="L130" s="244"/>
      <c r="M130" s="245"/>
      <c r="N130" s="243"/>
      <c r="O130" s="247"/>
      <c r="P130" s="247"/>
      <c r="Q130" s="257"/>
      <c r="R130" s="248"/>
      <c r="S130" s="248"/>
      <c r="T130" s="248"/>
      <c r="U130" s="255"/>
      <c r="V130" s="249"/>
      <c r="W130" s="250"/>
      <c r="X130" s="247"/>
      <c r="Y130" s="248"/>
      <c r="Z130" s="250"/>
      <c r="AA130" s="242"/>
      <c r="AB130" s="242"/>
      <c r="AC130" s="250"/>
      <c r="AD130" s="242"/>
      <c r="AE130" s="242"/>
      <c r="AF130" s="250"/>
      <c r="AG130" s="251"/>
      <c r="AH130" s="242"/>
      <c r="AI130" s="250"/>
      <c r="AJ130" s="251"/>
      <c r="AK130" s="251"/>
      <c r="AL130" s="251"/>
      <c r="AM130" s="251"/>
      <c r="AN130" s="251"/>
      <c r="AO130" s="251"/>
      <c r="AP130" s="251"/>
      <c r="AQ130" s="251"/>
      <c r="AR130" s="260"/>
      <c r="AS130" s="202"/>
    </row>
    <row r="131" spans="1:45" ht="13.5" customHeight="1">
      <c r="A131" s="202"/>
      <c r="B131" s="299"/>
      <c r="C131" s="242">
        <v>3</v>
      </c>
      <c r="D131" s="226">
        <v>63</v>
      </c>
      <c r="E131" s="243" t="s">
        <v>488</v>
      </c>
      <c r="F131" s="242" t="s">
        <v>487</v>
      </c>
      <c r="G131" s="242" t="s">
        <v>278</v>
      </c>
      <c r="H131" s="253"/>
      <c r="I131" s="242">
        <v>42565</v>
      </c>
      <c r="J131" s="230">
        <f ca="1">+DATEDIF(I131,TODAY(),"Y")</f>
        <v>9</v>
      </c>
      <c r="K131" s="254"/>
      <c r="L131" s="244"/>
      <c r="M131" s="245" t="s">
        <v>483</v>
      </c>
      <c r="N131" s="243" t="s">
        <v>484</v>
      </c>
      <c r="O131" s="262">
        <v>14363252</v>
      </c>
      <c r="P131" s="247" t="s">
        <v>485</v>
      </c>
      <c r="Q131" s="259" t="s">
        <v>486</v>
      </c>
      <c r="R131" s="248" t="s">
        <v>370</v>
      </c>
      <c r="S131" s="248" t="s">
        <v>130</v>
      </c>
      <c r="T131" s="248"/>
      <c r="U131" s="255"/>
      <c r="V131" s="249"/>
      <c r="W131" s="250" t="s">
        <v>54</v>
      </c>
      <c r="X131" s="257"/>
      <c r="Y131" s="255"/>
      <c r="Z131" s="288"/>
      <c r="AA131" s="251"/>
      <c r="AB131" s="251"/>
      <c r="AC131" s="251"/>
      <c r="AD131" s="242"/>
      <c r="AE131" s="242"/>
      <c r="AF131" s="250"/>
      <c r="AG131" s="242"/>
      <c r="AH131" s="242"/>
      <c r="AI131" s="250"/>
      <c r="AJ131" s="242"/>
      <c r="AK131" s="242"/>
      <c r="AL131" s="250"/>
      <c r="AM131" s="251"/>
      <c r="AN131" s="251"/>
      <c r="AO131" s="251"/>
      <c r="AP131" s="251"/>
      <c r="AQ131" s="251"/>
      <c r="AR131" s="260"/>
      <c r="AS131" s="202"/>
    </row>
    <row r="132" spans="1:45" ht="13.5" customHeight="1">
      <c r="A132" s="202"/>
      <c r="B132" s="299"/>
      <c r="C132" s="242"/>
      <c r="D132" s="242"/>
      <c r="E132" s="243"/>
      <c r="F132" s="242"/>
      <c r="G132" s="242"/>
      <c r="H132" s="253"/>
      <c r="I132" s="242"/>
      <c r="J132" s="230"/>
      <c r="K132" s="242"/>
      <c r="L132" s="244"/>
      <c r="M132" s="245"/>
      <c r="N132" s="243"/>
      <c r="O132" s="247"/>
      <c r="P132" s="247"/>
      <c r="Q132" s="257"/>
      <c r="R132" s="248"/>
      <c r="S132" s="248"/>
      <c r="T132" s="248"/>
      <c r="U132" s="255"/>
      <c r="V132" s="249"/>
      <c r="W132" s="250"/>
      <c r="X132" s="257"/>
      <c r="Y132" s="255"/>
      <c r="Z132" s="288"/>
      <c r="AA132" s="251"/>
      <c r="AB132" s="251"/>
      <c r="AC132" s="251"/>
      <c r="AD132" s="242"/>
      <c r="AE132" s="242"/>
      <c r="AF132" s="250"/>
      <c r="AG132" s="242"/>
      <c r="AH132" s="242"/>
      <c r="AI132" s="250"/>
      <c r="AJ132" s="242"/>
      <c r="AK132" s="242"/>
      <c r="AL132" s="250"/>
      <c r="AM132" s="251"/>
      <c r="AN132" s="251"/>
      <c r="AO132" s="251"/>
      <c r="AP132" s="251"/>
      <c r="AQ132" s="251"/>
      <c r="AR132" s="260"/>
      <c r="AS132" s="202"/>
    </row>
    <row r="133" spans="1:45" ht="13.5" customHeight="1">
      <c r="A133" s="202"/>
      <c r="B133" s="299"/>
      <c r="C133" s="242">
        <v>4</v>
      </c>
      <c r="D133" s="226">
        <v>64</v>
      </c>
      <c r="E133" s="243" t="s">
        <v>490</v>
      </c>
      <c r="F133" s="242" t="s">
        <v>489</v>
      </c>
      <c r="G133" s="242" t="s">
        <v>278</v>
      </c>
      <c r="H133" s="253"/>
      <c r="I133" s="242">
        <v>41849</v>
      </c>
      <c r="J133" s="230">
        <f ca="1">+DATEDIF(I133,TODAY(),"Y")</f>
        <v>11</v>
      </c>
      <c r="K133" s="247"/>
      <c r="L133" s="244"/>
      <c r="M133" s="245" t="s">
        <v>491</v>
      </c>
      <c r="N133" s="243" t="s">
        <v>492</v>
      </c>
      <c r="O133" s="246">
        <v>14351705</v>
      </c>
      <c r="P133" s="247" t="s">
        <v>493</v>
      </c>
      <c r="Q133" s="254" t="s">
        <v>494</v>
      </c>
      <c r="R133" s="248" t="s">
        <v>370</v>
      </c>
      <c r="S133" s="248" t="s">
        <v>130</v>
      </c>
      <c r="T133" s="248"/>
      <c r="U133" s="255"/>
      <c r="V133" s="249"/>
      <c r="W133" s="250" t="s">
        <v>54</v>
      </c>
      <c r="X133" s="247">
        <v>45157</v>
      </c>
      <c r="Y133" s="255"/>
      <c r="Z133" s="288"/>
      <c r="AA133" s="242"/>
      <c r="AB133" s="242"/>
      <c r="AC133" s="250"/>
      <c r="AD133" s="242"/>
      <c r="AE133" s="242"/>
      <c r="AF133" s="250"/>
      <c r="AG133" s="251"/>
      <c r="AH133" s="251"/>
      <c r="AI133" s="251"/>
      <c r="AJ133" s="251"/>
      <c r="AK133" s="251"/>
      <c r="AL133" s="251"/>
      <c r="AM133" s="251"/>
      <c r="AN133" s="251"/>
      <c r="AO133" s="251"/>
      <c r="AP133" s="251"/>
      <c r="AQ133" s="251"/>
      <c r="AR133" s="260"/>
      <c r="AS133" s="202"/>
    </row>
    <row r="134" spans="1:45" ht="13.5" customHeight="1">
      <c r="A134" s="202"/>
      <c r="B134" s="299"/>
      <c r="C134" s="242"/>
      <c r="D134" s="242"/>
      <c r="E134" s="243"/>
      <c r="F134" s="242"/>
      <c r="G134" s="242"/>
      <c r="H134" s="253"/>
      <c r="I134" s="242"/>
      <c r="J134" s="230"/>
      <c r="K134" s="247"/>
      <c r="L134" s="244"/>
      <c r="M134" s="245"/>
      <c r="N134" s="243"/>
      <c r="O134" s="246"/>
      <c r="P134" s="247"/>
      <c r="Q134" s="247"/>
      <c r="R134" s="248"/>
      <c r="S134" s="248"/>
      <c r="T134" s="248"/>
      <c r="U134" s="255"/>
      <c r="V134" s="249"/>
      <c r="W134" s="250"/>
      <c r="X134" s="247"/>
      <c r="Y134" s="255"/>
      <c r="Z134" s="288"/>
      <c r="AA134" s="242"/>
      <c r="AB134" s="242"/>
      <c r="AC134" s="250"/>
      <c r="AD134" s="242"/>
      <c r="AE134" s="242"/>
      <c r="AF134" s="250"/>
      <c r="AG134" s="251"/>
      <c r="AH134" s="251"/>
      <c r="AI134" s="251"/>
      <c r="AJ134" s="251"/>
      <c r="AK134" s="251"/>
      <c r="AL134" s="251"/>
      <c r="AM134" s="251"/>
      <c r="AN134" s="251"/>
      <c r="AO134" s="251"/>
      <c r="AP134" s="251"/>
      <c r="AQ134" s="251"/>
      <c r="AR134" s="260"/>
      <c r="AS134" s="202"/>
    </row>
    <row r="135" spans="1:45" ht="13.5" customHeight="1">
      <c r="A135" s="202"/>
      <c r="B135" s="299"/>
      <c r="C135" s="242">
        <v>5</v>
      </c>
      <c r="D135" s="226">
        <v>65</v>
      </c>
      <c r="E135" s="243" t="s">
        <v>496</v>
      </c>
      <c r="F135" s="242" t="s">
        <v>495</v>
      </c>
      <c r="G135" s="242" t="s">
        <v>278</v>
      </c>
      <c r="H135" s="253"/>
      <c r="I135" s="242">
        <v>41726</v>
      </c>
      <c r="J135" s="230">
        <f ca="1">+DATEDIF(I135,TODAY(),"Y")</f>
        <v>12</v>
      </c>
      <c r="K135" s="254"/>
      <c r="L135" s="244"/>
      <c r="M135" s="245" t="s">
        <v>497</v>
      </c>
      <c r="N135" s="243" t="s">
        <v>498</v>
      </c>
      <c r="O135" s="262">
        <v>18440643</v>
      </c>
      <c r="P135" s="247" t="s">
        <v>499</v>
      </c>
      <c r="Q135" s="259" t="s">
        <v>500</v>
      </c>
      <c r="R135" s="248" t="s">
        <v>501</v>
      </c>
      <c r="S135" s="248" t="s">
        <v>146</v>
      </c>
      <c r="T135" s="248"/>
      <c r="U135" s="255"/>
      <c r="V135" s="249"/>
      <c r="W135" s="250" t="s">
        <v>78</v>
      </c>
      <c r="X135" s="255">
        <v>45159</v>
      </c>
      <c r="Y135" s="251"/>
      <c r="Z135" s="288"/>
      <c r="AA135" s="251"/>
      <c r="AB135" s="251"/>
      <c r="AC135" s="251"/>
      <c r="AD135" s="242"/>
      <c r="AE135" s="242"/>
      <c r="AF135" s="250"/>
      <c r="AG135" s="251"/>
      <c r="AH135" s="251"/>
      <c r="AI135" s="251"/>
      <c r="AJ135" s="251"/>
      <c r="AK135" s="251"/>
      <c r="AL135" s="251"/>
      <c r="AM135" s="251"/>
      <c r="AN135" s="251"/>
      <c r="AO135" s="251"/>
      <c r="AP135" s="251"/>
      <c r="AQ135" s="251"/>
      <c r="AR135" s="260"/>
      <c r="AS135" s="202"/>
    </row>
    <row r="136" spans="1:45" ht="13.5" customHeight="1">
      <c r="A136" s="202"/>
      <c r="B136" s="299"/>
      <c r="C136" s="242"/>
      <c r="D136" s="242"/>
      <c r="E136" s="243"/>
      <c r="F136" s="242"/>
      <c r="G136" s="242"/>
      <c r="H136" s="253"/>
      <c r="I136" s="242"/>
      <c r="J136" s="230"/>
      <c r="K136" s="242"/>
      <c r="L136" s="244"/>
      <c r="M136" s="245"/>
      <c r="N136" s="243"/>
      <c r="O136" s="247"/>
      <c r="P136" s="247"/>
      <c r="Q136" s="257"/>
      <c r="R136" s="248"/>
      <c r="S136" s="248"/>
      <c r="T136" s="248"/>
      <c r="U136" s="255"/>
      <c r="V136" s="249"/>
      <c r="W136" s="250"/>
      <c r="X136" s="255"/>
      <c r="Y136" s="251"/>
      <c r="Z136" s="288"/>
      <c r="AA136" s="251"/>
      <c r="AB136" s="251"/>
      <c r="AC136" s="251"/>
      <c r="AD136" s="242"/>
      <c r="AE136" s="242"/>
      <c r="AF136" s="250"/>
      <c r="AG136" s="251"/>
      <c r="AH136" s="251"/>
      <c r="AI136" s="251"/>
      <c r="AJ136" s="251"/>
      <c r="AK136" s="251"/>
      <c r="AL136" s="251"/>
      <c r="AM136" s="251"/>
      <c r="AN136" s="251"/>
      <c r="AO136" s="251"/>
      <c r="AP136" s="251"/>
      <c r="AQ136" s="251"/>
      <c r="AR136" s="260"/>
      <c r="AS136" s="202"/>
    </row>
    <row r="137" spans="1:45" ht="13.5" customHeight="1">
      <c r="A137" s="202"/>
      <c r="B137" s="299"/>
      <c r="C137" s="242">
        <v>6</v>
      </c>
      <c r="D137" s="226">
        <v>66</v>
      </c>
      <c r="E137" s="243" t="s">
        <v>503</v>
      </c>
      <c r="F137" s="242" t="s">
        <v>502</v>
      </c>
      <c r="G137" s="242" t="s">
        <v>278</v>
      </c>
      <c r="H137" s="253"/>
      <c r="I137" s="242">
        <v>42516</v>
      </c>
      <c r="J137" s="230">
        <f ca="1">+DATEDIF(I137,TODAY(),"Y")</f>
        <v>10</v>
      </c>
      <c r="K137" s="242"/>
      <c r="L137" s="244"/>
      <c r="M137" s="245" t="s">
        <v>504</v>
      </c>
      <c r="N137" s="243" t="s">
        <v>505</v>
      </c>
      <c r="O137" s="262">
        <v>16888252</v>
      </c>
      <c r="P137" s="247" t="s">
        <v>506</v>
      </c>
      <c r="Q137" s="259" t="s">
        <v>507</v>
      </c>
      <c r="R137" s="248" t="s">
        <v>370</v>
      </c>
      <c r="S137" s="248" t="s">
        <v>130</v>
      </c>
      <c r="T137" s="248"/>
      <c r="U137" s="255"/>
      <c r="V137" s="249"/>
      <c r="W137" s="250" t="s">
        <v>78</v>
      </c>
      <c r="X137" s="247">
        <v>45162</v>
      </c>
      <c r="Y137" s="255"/>
      <c r="Z137" s="288"/>
      <c r="AA137" s="242"/>
      <c r="AB137" s="242"/>
      <c r="AC137" s="250"/>
      <c r="AD137" s="242"/>
      <c r="AE137" s="242"/>
      <c r="AF137" s="250"/>
      <c r="AG137" s="251"/>
      <c r="AH137" s="251"/>
      <c r="AI137" s="251"/>
      <c r="AJ137" s="251"/>
      <c r="AK137" s="251"/>
      <c r="AL137" s="251"/>
      <c r="AM137" s="251"/>
      <c r="AN137" s="251"/>
      <c r="AO137" s="251"/>
      <c r="AP137" s="251"/>
      <c r="AQ137" s="251"/>
      <c r="AR137" s="260"/>
      <c r="AS137" s="202"/>
    </row>
    <row r="138" spans="1:45" ht="13.5" customHeight="1">
      <c r="A138" s="202"/>
      <c r="B138" s="299"/>
      <c r="C138" s="242"/>
      <c r="D138" s="242"/>
      <c r="E138" s="243"/>
      <c r="F138" s="242"/>
      <c r="G138" s="242"/>
      <c r="H138" s="253"/>
      <c r="I138" s="242"/>
      <c r="J138" s="230"/>
      <c r="K138" s="242"/>
      <c r="L138" s="244"/>
      <c r="M138" s="245"/>
      <c r="N138" s="243"/>
      <c r="O138" s="247"/>
      <c r="P138" s="247"/>
      <c r="Q138" s="257"/>
      <c r="R138" s="248"/>
      <c r="S138" s="248"/>
      <c r="T138" s="248"/>
      <c r="U138" s="255"/>
      <c r="V138" s="249"/>
      <c r="W138" s="250"/>
      <c r="X138" s="247"/>
      <c r="Y138" s="255"/>
      <c r="Z138" s="288"/>
      <c r="AA138" s="242"/>
      <c r="AB138" s="242"/>
      <c r="AC138" s="250"/>
      <c r="AD138" s="242"/>
      <c r="AE138" s="242"/>
      <c r="AF138" s="250"/>
      <c r="AG138" s="251"/>
      <c r="AH138" s="251"/>
      <c r="AI138" s="251"/>
      <c r="AJ138" s="251"/>
      <c r="AK138" s="251"/>
      <c r="AL138" s="251"/>
      <c r="AM138" s="251"/>
      <c r="AN138" s="251"/>
      <c r="AO138" s="251"/>
      <c r="AP138" s="251"/>
      <c r="AQ138" s="251"/>
      <c r="AR138" s="260"/>
      <c r="AS138" s="202"/>
    </row>
    <row r="139" spans="1:45" ht="13.5" customHeight="1">
      <c r="A139" s="202"/>
      <c r="B139" s="299"/>
      <c r="C139" s="242">
        <v>7</v>
      </c>
      <c r="D139" s="226">
        <v>67</v>
      </c>
      <c r="E139" s="243" t="s">
        <v>509</v>
      </c>
      <c r="F139" s="242" t="s">
        <v>508</v>
      </c>
      <c r="G139" s="242" t="s">
        <v>278</v>
      </c>
      <c r="H139" s="242"/>
      <c r="I139" s="242">
        <v>31820</v>
      </c>
      <c r="J139" s="230">
        <f ca="1">+DATEDIF(I139,TODAY(),"Y")</f>
        <v>39</v>
      </c>
      <c r="K139" s="254" t="s">
        <v>510</v>
      </c>
      <c r="L139" s="244" t="s">
        <v>511</v>
      </c>
      <c r="M139" s="245" t="s">
        <v>504</v>
      </c>
      <c r="N139" s="243"/>
      <c r="O139" s="246"/>
      <c r="P139" s="247"/>
      <c r="Q139" s="242"/>
      <c r="R139" s="248" t="s">
        <v>281</v>
      </c>
      <c r="S139" s="248" t="s">
        <v>77</v>
      </c>
      <c r="T139" s="248"/>
      <c r="U139" s="255"/>
      <c r="V139" s="249"/>
      <c r="W139" s="250" t="s">
        <v>512</v>
      </c>
      <c r="X139" s="257">
        <v>45164</v>
      </c>
      <c r="Y139" s="255"/>
      <c r="Z139" s="288"/>
      <c r="AA139" s="242"/>
      <c r="AB139" s="242"/>
      <c r="AC139" s="250"/>
      <c r="AD139" s="242"/>
      <c r="AE139" s="242"/>
      <c r="AF139" s="250"/>
      <c r="AG139" s="242"/>
      <c r="AH139" s="242"/>
      <c r="AI139" s="250"/>
      <c r="AJ139" s="251"/>
      <c r="AK139" s="251"/>
      <c r="AL139" s="251"/>
      <c r="AM139" s="251"/>
      <c r="AN139" s="251"/>
      <c r="AO139" s="251"/>
      <c r="AP139" s="251"/>
      <c r="AQ139" s="251"/>
      <c r="AR139" s="260"/>
      <c r="AS139" s="202"/>
    </row>
    <row r="140" spans="1:45" ht="13.5" customHeight="1">
      <c r="A140" s="202"/>
      <c r="B140" s="299"/>
      <c r="C140" s="242"/>
      <c r="D140" s="242"/>
      <c r="E140" s="243"/>
      <c r="F140" s="242"/>
      <c r="G140" s="242"/>
      <c r="H140" s="242"/>
      <c r="I140" s="242"/>
      <c r="J140" s="230"/>
      <c r="K140" s="247"/>
      <c r="L140" s="244"/>
      <c r="M140" s="245"/>
      <c r="N140" s="243"/>
      <c r="O140" s="246"/>
      <c r="P140" s="247"/>
      <c r="Q140" s="242"/>
      <c r="R140" s="248"/>
      <c r="S140" s="248"/>
      <c r="T140" s="248"/>
      <c r="U140" s="255"/>
      <c r="V140" s="249"/>
      <c r="W140" s="250"/>
      <c r="X140" s="257"/>
      <c r="Y140" s="255"/>
      <c r="Z140" s="288"/>
      <c r="AA140" s="242"/>
      <c r="AB140" s="242"/>
      <c r="AC140" s="250"/>
      <c r="AD140" s="242"/>
      <c r="AE140" s="242"/>
      <c r="AF140" s="250"/>
      <c r="AG140" s="242"/>
      <c r="AH140" s="242"/>
      <c r="AI140" s="250"/>
      <c r="AJ140" s="251"/>
      <c r="AK140" s="251"/>
      <c r="AL140" s="251"/>
      <c r="AM140" s="251"/>
      <c r="AN140" s="251"/>
      <c r="AO140" s="251"/>
      <c r="AP140" s="251"/>
      <c r="AQ140" s="251"/>
      <c r="AR140" s="260"/>
      <c r="AS140" s="202"/>
    </row>
    <row r="141" spans="1:45" ht="13.5" customHeight="1">
      <c r="A141" s="202"/>
      <c r="B141" s="299"/>
      <c r="C141" s="242">
        <v>8</v>
      </c>
      <c r="D141" s="226">
        <v>68</v>
      </c>
      <c r="E141" s="243" t="s">
        <v>514</v>
      </c>
      <c r="F141" s="242" t="s">
        <v>513</v>
      </c>
      <c r="G141" s="242" t="s">
        <v>278</v>
      </c>
      <c r="H141" s="253"/>
      <c r="I141" s="242">
        <v>41634</v>
      </c>
      <c r="J141" s="230">
        <f ca="1">+DATEDIF(I141,TODAY(),"Y")</f>
        <v>12</v>
      </c>
      <c r="K141" s="247"/>
      <c r="L141" s="244"/>
      <c r="M141" s="245" t="s">
        <v>515</v>
      </c>
      <c r="N141" s="243" t="s">
        <v>516</v>
      </c>
      <c r="O141" s="246">
        <v>13086280</v>
      </c>
      <c r="P141" s="247" t="s">
        <v>517</v>
      </c>
      <c r="Q141" s="254" t="s">
        <v>518</v>
      </c>
      <c r="R141" s="248" t="s">
        <v>370</v>
      </c>
      <c r="S141" s="248" t="s">
        <v>130</v>
      </c>
      <c r="T141" s="248"/>
      <c r="U141" s="255"/>
      <c r="V141" s="249"/>
      <c r="W141" s="250" t="s">
        <v>54</v>
      </c>
      <c r="X141" s="247">
        <v>45173</v>
      </c>
      <c r="Y141" s="255"/>
      <c r="Z141" s="288"/>
      <c r="AA141" s="251"/>
      <c r="AB141" s="251"/>
      <c r="AC141" s="251"/>
      <c r="AD141" s="251"/>
      <c r="AE141" s="251"/>
      <c r="AF141" s="251"/>
      <c r="AG141" s="251"/>
      <c r="AH141" s="251"/>
      <c r="AI141" s="251"/>
      <c r="AJ141" s="251"/>
      <c r="AK141" s="251"/>
      <c r="AL141" s="251"/>
      <c r="AM141" s="251"/>
      <c r="AN141" s="251"/>
      <c r="AO141" s="251"/>
      <c r="AP141" s="251"/>
      <c r="AQ141" s="251"/>
      <c r="AR141" s="260"/>
      <c r="AS141" s="202"/>
    </row>
    <row r="142" spans="1:45" ht="13.5" customHeight="1">
      <c r="A142" s="202"/>
      <c r="B142" s="299"/>
      <c r="C142" s="242"/>
      <c r="D142" s="242"/>
      <c r="E142" s="243"/>
      <c r="F142" s="242"/>
      <c r="G142" s="242"/>
      <c r="H142" s="253"/>
      <c r="I142" s="242"/>
      <c r="J142" s="230"/>
      <c r="K142" s="247"/>
      <c r="L142" s="244"/>
      <c r="M142" s="245"/>
      <c r="N142" s="243"/>
      <c r="O142" s="246"/>
      <c r="P142" s="247"/>
      <c r="Q142" s="247"/>
      <c r="R142" s="248"/>
      <c r="S142" s="248"/>
      <c r="T142" s="248"/>
      <c r="U142" s="255"/>
      <c r="V142" s="249"/>
      <c r="W142" s="250"/>
      <c r="X142" s="247"/>
      <c r="Y142" s="255"/>
      <c r="Z142" s="288"/>
      <c r="AA142" s="251"/>
      <c r="AB142" s="251"/>
      <c r="AC142" s="251"/>
      <c r="AD142" s="251"/>
      <c r="AE142" s="251"/>
      <c r="AF142" s="251"/>
      <c r="AG142" s="251"/>
      <c r="AH142" s="251"/>
      <c r="AI142" s="251"/>
      <c r="AJ142" s="251"/>
      <c r="AK142" s="251"/>
      <c r="AL142" s="251"/>
      <c r="AM142" s="251"/>
      <c r="AN142" s="251"/>
      <c r="AO142" s="251"/>
      <c r="AP142" s="251"/>
      <c r="AQ142" s="251"/>
      <c r="AR142" s="260"/>
      <c r="AS142" s="202"/>
    </row>
    <row r="143" spans="1:45" ht="13.5" customHeight="1">
      <c r="A143" s="202"/>
      <c r="B143" s="299"/>
      <c r="C143" s="242">
        <v>9</v>
      </c>
      <c r="D143" s="226">
        <v>69</v>
      </c>
      <c r="E143" s="243" t="s">
        <v>520</v>
      </c>
      <c r="F143" s="242" t="s">
        <v>519</v>
      </c>
      <c r="G143" s="242" t="s">
        <v>278</v>
      </c>
      <c r="H143" s="253"/>
      <c r="I143" s="242">
        <v>45523</v>
      </c>
      <c r="J143" s="230">
        <f ca="1">+DATEDIF(I143,TODAY(),"Y")</f>
        <v>1</v>
      </c>
      <c r="K143" s="254" t="s">
        <v>521</v>
      </c>
      <c r="L143" s="244" t="s">
        <v>522</v>
      </c>
      <c r="M143" s="245" t="s">
        <v>523</v>
      </c>
      <c r="N143" s="243" t="s">
        <v>524</v>
      </c>
      <c r="O143" s="246">
        <v>4483451</v>
      </c>
      <c r="P143" s="247" t="s">
        <v>522</v>
      </c>
      <c r="Q143" s="254" t="s">
        <v>525</v>
      </c>
      <c r="R143" s="248" t="s">
        <v>370</v>
      </c>
      <c r="S143" s="248" t="s">
        <v>130</v>
      </c>
      <c r="T143" s="248"/>
      <c r="U143" s="255"/>
      <c r="V143" s="249"/>
      <c r="W143" s="250" t="s">
        <v>54</v>
      </c>
      <c r="X143" s="257">
        <v>45177</v>
      </c>
      <c r="Y143" s="255"/>
      <c r="Z143" s="288"/>
      <c r="AA143" s="251"/>
      <c r="AB143" s="251"/>
      <c r="AC143" s="251"/>
      <c r="AD143" s="251"/>
      <c r="AE143" s="251"/>
      <c r="AF143" s="251"/>
      <c r="AG143" s="251"/>
      <c r="AH143" s="251"/>
      <c r="AI143" s="251"/>
      <c r="AJ143" s="251"/>
      <c r="AK143" s="251"/>
      <c r="AL143" s="251"/>
      <c r="AM143" s="251"/>
      <c r="AN143" s="251"/>
      <c r="AO143" s="251"/>
      <c r="AP143" s="251"/>
      <c r="AQ143" s="251"/>
      <c r="AR143" s="260"/>
      <c r="AS143" s="202"/>
    </row>
    <row r="144" spans="1:45" ht="13.5" customHeight="1">
      <c r="A144" s="202"/>
      <c r="B144" s="299"/>
      <c r="C144" s="242"/>
      <c r="D144" s="242"/>
      <c r="E144" s="243"/>
      <c r="F144" s="242"/>
      <c r="G144" s="242"/>
      <c r="H144" s="253"/>
      <c r="I144" s="242"/>
      <c r="J144" s="230"/>
      <c r="K144" s="247"/>
      <c r="L144" s="244"/>
      <c r="M144" s="245"/>
      <c r="N144" s="243"/>
      <c r="O144" s="246"/>
      <c r="P144" s="247"/>
      <c r="Q144" s="247"/>
      <c r="R144" s="248"/>
      <c r="S144" s="248"/>
      <c r="T144" s="248"/>
      <c r="U144" s="255"/>
      <c r="V144" s="249"/>
      <c r="W144" s="250"/>
      <c r="X144" s="257"/>
      <c r="Y144" s="255"/>
      <c r="Z144" s="288"/>
      <c r="AA144" s="251"/>
      <c r="AB144" s="251"/>
      <c r="AC144" s="251"/>
      <c r="AD144" s="251"/>
      <c r="AE144" s="251"/>
      <c r="AF144" s="251"/>
      <c r="AG144" s="251"/>
      <c r="AH144" s="251"/>
      <c r="AI144" s="251"/>
      <c r="AJ144" s="251"/>
      <c r="AK144" s="251"/>
      <c r="AL144" s="251"/>
      <c r="AM144" s="251"/>
      <c r="AN144" s="251"/>
      <c r="AO144" s="251"/>
      <c r="AP144" s="251"/>
      <c r="AQ144" s="251"/>
      <c r="AR144" s="260"/>
      <c r="AS144" s="202"/>
    </row>
    <row r="145" spans="1:45" ht="13.5" customHeight="1">
      <c r="A145" s="202"/>
      <c r="B145" s="299"/>
      <c r="C145" s="242">
        <v>10</v>
      </c>
      <c r="D145" s="226">
        <v>70</v>
      </c>
      <c r="E145" s="243" t="s">
        <v>2561</v>
      </c>
      <c r="F145" s="242" t="s">
        <v>526</v>
      </c>
      <c r="G145" s="242" t="s">
        <v>278</v>
      </c>
      <c r="H145" s="253">
        <v>27322267</v>
      </c>
      <c r="I145" s="258">
        <v>36448</v>
      </c>
      <c r="J145" s="230">
        <f ca="1">+DATEDIF(I145,TODAY(),"Y")</f>
        <v>26</v>
      </c>
      <c r="K145" s="254" t="s">
        <v>528</v>
      </c>
      <c r="L145" s="244" t="s">
        <v>529</v>
      </c>
      <c r="M145" s="261" t="s">
        <v>530</v>
      </c>
      <c r="N145" s="243" t="s">
        <v>531</v>
      </c>
      <c r="O145" s="262">
        <v>11820753</v>
      </c>
      <c r="P145" s="247" t="s">
        <v>529</v>
      </c>
      <c r="Q145" s="259" t="s">
        <v>532</v>
      </c>
      <c r="R145" s="248" t="s">
        <v>479</v>
      </c>
      <c r="S145" s="248" t="s">
        <v>310</v>
      </c>
      <c r="T145" s="248"/>
      <c r="U145" s="255"/>
      <c r="V145" s="287"/>
      <c r="W145" s="250" t="s">
        <v>54</v>
      </c>
      <c r="X145" s="257">
        <v>45177</v>
      </c>
      <c r="Y145" s="255"/>
      <c r="Z145" s="288"/>
      <c r="AA145" s="251"/>
      <c r="AB145" s="251"/>
      <c r="AC145" s="251"/>
      <c r="AD145" s="251"/>
      <c r="AE145" s="251"/>
      <c r="AF145" s="251"/>
      <c r="AG145" s="251"/>
      <c r="AH145" s="251"/>
      <c r="AI145" s="251"/>
      <c r="AJ145" s="251"/>
      <c r="AK145" s="251"/>
      <c r="AL145" s="251"/>
      <c r="AM145" s="251"/>
      <c r="AN145" s="251"/>
      <c r="AO145" s="251"/>
      <c r="AP145" s="251"/>
      <c r="AQ145" s="251"/>
      <c r="AR145" s="260"/>
      <c r="AS145" s="202"/>
    </row>
    <row r="146" spans="1:45" ht="13.5" customHeight="1">
      <c r="A146" s="202"/>
      <c r="B146" s="299"/>
      <c r="C146" s="242"/>
      <c r="D146" s="242"/>
      <c r="E146" s="243"/>
      <c r="F146" s="242"/>
      <c r="G146" s="242"/>
      <c r="H146" s="242"/>
      <c r="I146" s="258"/>
      <c r="J146" s="230"/>
      <c r="K146" s="247"/>
      <c r="L146" s="244"/>
      <c r="M146" s="261"/>
      <c r="N146" s="243"/>
      <c r="O146" s="247"/>
      <c r="P146" s="247"/>
      <c r="Q146" s="257"/>
      <c r="R146" s="248"/>
      <c r="S146" s="248"/>
      <c r="T146" s="248"/>
      <c r="U146" s="255"/>
      <c r="V146" s="287"/>
      <c r="W146" s="250"/>
      <c r="X146" s="257"/>
      <c r="Y146" s="255"/>
      <c r="Z146" s="288"/>
      <c r="AA146" s="251"/>
      <c r="AB146" s="251"/>
      <c r="AC146" s="251"/>
      <c r="AD146" s="251"/>
      <c r="AE146" s="251"/>
      <c r="AF146" s="251"/>
      <c r="AG146" s="251"/>
      <c r="AH146" s="251"/>
      <c r="AI146" s="251"/>
      <c r="AJ146" s="251"/>
      <c r="AK146" s="251"/>
      <c r="AL146" s="251"/>
      <c r="AM146" s="251"/>
      <c r="AN146" s="251"/>
      <c r="AO146" s="251"/>
      <c r="AP146" s="251"/>
      <c r="AQ146" s="251"/>
      <c r="AR146" s="260"/>
      <c r="AS146" s="202"/>
    </row>
    <row r="147" spans="1:45" ht="13.5" customHeight="1">
      <c r="A147" s="202"/>
      <c r="B147" s="299"/>
      <c r="C147" s="242">
        <v>11</v>
      </c>
      <c r="D147" s="226">
        <v>71</v>
      </c>
      <c r="E147" s="243" t="s">
        <v>534</v>
      </c>
      <c r="F147" s="242" t="s">
        <v>533</v>
      </c>
      <c r="G147" s="242" t="s">
        <v>278</v>
      </c>
      <c r="H147" s="253">
        <v>36034348</v>
      </c>
      <c r="I147" s="258">
        <v>42215</v>
      </c>
      <c r="J147" s="230">
        <f ca="1">+DATEDIF(I147,TODAY(),"Y")</f>
        <v>10</v>
      </c>
      <c r="K147" s="247"/>
      <c r="L147" s="244" t="s">
        <v>535</v>
      </c>
      <c r="M147" s="261" t="s">
        <v>536</v>
      </c>
      <c r="N147" s="243" t="s">
        <v>537</v>
      </c>
      <c r="O147" s="262">
        <v>18109178</v>
      </c>
      <c r="P147" s="247" t="s">
        <v>538</v>
      </c>
      <c r="Q147" s="259" t="s">
        <v>539</v>
      </c>
      <c r="R147" s="248" t="s">
        <v>369</v>
      </c>
      <c r="S147" s="248" t="s">
        <v>146</v>
      </c>
      <c r="T147" s="248"/>
      <c r="U147" s="255"/>
      <c r="V147" s="287"/>
      <c r="W147" s="250" t="s">
        <v>78</v>
      </c>
      <c r="X147" s="257">
        <v>45238</v>
      </c>
      <c r="Y147" s="255"/>
      <c r="Z147" s="288"/>
      <c r="AA147" s="251"/>
      <c r="AB147" s="251"/>
      <c r="AC147" s="251"/>
      <c r="AD147" s="251"/>
      <c r="AE147" s="251"/>
      <c r="AF147" s="251"/>
      <c r="AG147" s="251"/>
      <c r="AH147" s="251"/>
      <c r="AI147" s="251"/>
      <c r="AJ147" s="251"/>
      <c r="AK147" s="251"/>
      <c r="AL147" s="251"/>
      <c r="AM147" s="251"/>
      <c r="AN147" s="251"/>
      <c r="AO147" s="251"/>
      <c r="AP147" s="251"/>
      <c r="AQ147" s="251"/>
      <c r="AR147" s="260"/>
      <c r="AS147" s="202"/>
    </row>
    <row r="148" spans="1:45" ht="13.5" customHeight="1">
      <c r="A148" s="202"/>
      <c r="B148" s="299"/>
      <c r="C148" s="242"/>
      <c r="D148" s="242"/>
      <c r="E148" s="243"/>
      <c r="F148" s="242"/>
      <c r="G148" s="242"/>
      <c r="H148" s="242"/>
      <c r="I148" s="258"/>
      <c r="J148" s="230"/>
      <c r="K148" s="247"/>
      <c r="L148" s="244"/>
      <c r="M148" s="261"/>
      <c r="N148" s="243"/>
      <c r="O148" s="247"/>
      <c r="P148" s="247"/>
      <c r="Q148" s="257"/>
      <c r="R148" s="248"/>
      <c r="S148" s="248"/>
      <c r="T148" s="248"/>
      <c r="U148" s="255"/>
      <c r="V148" s="287"/>
      <c r="W148" s="250"/>
      <c r="X148" s="257"/>
      <c r="Y148" s="255"/>
      <c r="Z148" s="288"/>
      <c r="AA148" s="251"/>
      <c r="AB148" s="251"/>
      <c r="AC148" s="251"/>
      <c r="AD148" s="251"/>
      <c r="AE148" s="251"/>
      <c r="AF148" s="251"/>
      <c r="AG148" s="251"/>
      <c r="AH148" s="251"/>
      <c r="AI148" s="251"/>
      <c r="AJ148" s="251"/>
      <c r="AK148" s="251"/>
      <c r="AL148" s="251"/>
      <c r="AM148" s="251"/>
      <c r="AN148" s="251"/>
      <c r="AO148" s="251"/>
      <c r="AP148" s="251"/>
      <c r="AQ148" s="251"/>
      <c r="AR148" s="260"/>
      <c r="AS148" s="202"/>
    </row>
    <row r="149" spans="1:45" ht="13.5" customHeight="1">
      <c r="A149" s="202"/>
      <c r="B149" s="299"/>
      <c r="C149" s="242">
        <v>12</v>
      </c>
      <c r="D149" s="226">
        <v>72</v>
      </c>
      <c r="E149" s="243" t="s">
        <v>541</v>
      </c>
      <c r="F149" s="242" t="s">
        <v>540</v>
      </c>
      <c r="G149" s="242" t="s">
        <v>43</v>
      </c>
      <c r="H149" s="253">
        <v>24462857</v>
      </c>
      <c r="I149" s="242">
        <v>20690</v>
      </c>
      <c r="J149" s="230">
        <f ca="1">+DATEDIF(I149,TODAY(),"Y")</f>
        <v>69</v>
      </c>
      <c r="K149" s="247"/>
      <c r="L149" s="244" t="s">
        <v>542</v>
      </c>
      <c r="M149" s="245" t="s">
        <v>543</v>
      </c>
      <c r="N149" s="243"/>
      <c r="O149" s="246"/>
      <c r="P149" s="247"/>
      <c r="Q149" s="247"/>
      <c r="R149" s="248" t="s">
        <v>544</v>
      </c>
      <c r="S149" s="248" t="s">
        <v>310</v>
      </c>
      <c r="T149" s="248"/>
      <c r="U149" s="255"/>
      <c r="V149" s="249"/>
      <c r="W149" s="250" t="s">
        <v>78</v>
      </c>
      <c r="X149" s="257">
        <v>45310</v>
      </c>
      <c r="Y149" s="255"/>
      <c r="Z149" s="288"/>
      <c r="AA149" s="242"/>
      <c r="AB149" s="242"/>
      <c r="AC149" s="290"/>
      <c r="AD149" s="242"/>
      <c r="AE149" s="242"/>
      <c r="AF149" s="290"/>
      <c r="AG149" s="251"/>
      <c r="AH149" s="251"/>
      <c r="AI149" s="251"/>
      <c r="AJ149" s="251"/>
      <c r="AK149" s="251"/>
      <c r="AL149" s="251"/>
      <c r="AM149" s="251"/>
      <c r="AN149" s="251"/>
      <c r="AO149" s="251"/>
      <c r="AP149" s="251"/>
      <c r="AQ149" s="251"/>
      <c r="AR149" s="260"/>
      <c r="AS149" s="202"/>
    </row>
    <row r="150" spans="1:45" ht="13.5" customHeight="1">
      <c r="A150" s="202"/>
      <c r="B150" s="299"/>
      <c r="C150" s="242"/>
      <c r="D150" s="242"/>
      <c r="E150" s="243"/>
      <c r="F150" s="242"/>
      <c r="G150" s="242"/>
      <c r="H150" s="253"/>
      <c r="I150" s="242"/>
      <c r="J150" s="230"/>
      <c r="K150" s="247"/>
      <c r="L150" s="244"/>
      <c r="M150" s="245"/>
      <c r="N150" s="243"/>
      <c r="O150" s="246"/>
      <c r="P150" s="247"/>
      <c r="Q150" s="247"/>
      <c r="R150" s="248"/>
      <c r="S150" s="248"/>
      <c r="T150" s="248"/>
      <c r="U150" s="255"/>
      <c r="V150" s="249"/>
      <c r="W150" s="250"/>
      <c r="X150" s="257"/>
      <c r="Y150" s="255"/>
      <c r="Z150" s="288"/>
      <c r="AA150" s="242"/>
      <c r="AB150" s="242"/>
      <c r="AC150" s="290"/>
      <c r="AD150" s="242"/>
      <c r="AE150" s="242"/>
      <c r="AF150" s="290"/>
      <c r="AG150" s="251"/>
      <c r="AH150" s="251"/>
      <c r="AI150" s="251"/>
      <c r="AJ150" s="251"/>
      <c r="AK150" s="251"/>
      <c r="AL150" s="251"/>
      <c r="AM150" s="251"/>
      <c r="AN150" s="251"/>
      <c r="AO150" s="251"/>
      <c r="AP150" s="251"/>
      <c r="AQ150" s="251"/>
      <c r="AR150" s="260"/>
      <c r="AS150" s="202"/>
    </row>
    <row r="151" spans="1:45" ht="13.5" customHeight="1">
      <c r="A151" s="202"/>
      <c r="B151" s="299"/>
      <c r="C151" s="242">
        <v>13</v>
      </c>
      <c r="D151" s="226">
        <v>73</v>
      </c>
      <c r="E151" s="243" t="s">
        <v>546</v>
      </c>
      <c r="F151" s="242" t="s">
        <v>545</v>
      </c>
      <c r="G151" s="242" t="s">
        <v>43</v>
      </c>
      <c r="H151" s="242"/>
      <c r="I151" s="242">
        <v>40461</v>
      </c>
      <c r="J151" s="230">
        <f ca="1">+DATEDIF(I151,TODAY(),"Y")</f>
        <v>15</v>
      </c>
      <c r="K151" s="254" t="s">
        <v>547</v>
      </c>
      <c r="L151" s="244" t="s">
        <v>548</v>
      </c>
      <c r="M151" s="245" t="s">
        <v>549</v>
      </c>
      <c r="N151" s="243" t="s">
        <v>550</v>
      </c>
      <c r="O151" s="246" t="s">
        <v>551</v>
      </c>
      <c r="P151" s="247">
        <v>4143004467</v>
      </c>
      <c r="Q151" s="259" t="s">
        <v>547</v>
      </c>
      <c r="R151" s="248" t="s">
        <v>552</v>
      </c>
      <c r="S151" s="248" t="s">
        <v>553</v>
      </c>
      <c r="T151" s="248"/>
      <c r="U151" s="255"/>
      <c r="V151" s="287">
        <v>300</v>
      </c>
      <c r="W151" s="250" t="s">
        <v>78</v>
      </c>
      <c r="X151" s="257">
        <v>45310</v>
      </c>
      <c r="Y151" s="255" t="s">
        <v>552</v>
      </c>
      <c r="Z151" s="288">
        <v>300</v>
      </c>
      <c r="AA151" s="242"/>
      <c r="AB151" s="242"/>
      <c r="AC151" s="290"/>
      <c r="AD151" s="251"/>
      <c r="AE151" s="251"/>
      <c r="AF151" s="251"/>
      <c r="AG151" s="251"/>
      <c r="AH151" s="251"/>
      <c r="AI151" s="251"/>
      <c r="AJ151" s="251"/>
      <c r="AK151" s="251"/>
      <c r="AL151" s="251"/>
      <c r="AM151" s="251"/>
      <c r="AN151" s="251"/>
      <c r="AO151" s="251"/>
      <c r="AP151" s="251"/>
      <c r="AQ151" s="251"/>
      <c r="AR151" s="260"/>
      <c r="AS151" s="202"/>
    </row>
    <row r="152" spans="1:45" ht="13.5" customHeight="1">
      <c r="A152" s="202"/>
      <c r="B152" s="299"/>
      <c r="C152" s="242"/>
      <c r="D152" s="242"/>
      <c r="E152" s="243"/>
      <c r="F152" s="242"/>
      <c r="G152" s="242"/>
      <c r="H152" s="242"/>
      <c r="I152" s="242"/>
      <c r="J152" s="230"/>
      <c r="K152" s="247"/>
      <c r="L152" s="244"/>
      <c r="M152" s="245"/>
      <c r="N152" s="243"/>
      <c r="O152" s="246"/>
      <c r="P152" s="247"/>
      <c r="Q152" s="257"/>
      <c r="R152" s="248"/>
      <c r="S152" s="248"/>
      <c r="T152" s="248"/>
      <c r="U152" s="255"/>
      <c r="V152" s="287"/>
      <c r="W152" s="250"/>
      <c r="X152" s="257"/>
      <c r="Y152" s="255"/>
      <c r="Z152" s="288"/>
      <c r="AA152" s="242"/>
      <c r="AB152" s="242"/>
      <c r="AC152" s="290"/>
      <c r="AD152" s="251"/>
      <c r="AE152" s="251"/>
      <c r="AF152" s="251"/>
      <c r="AG152" s="251"/>
      <c r="AH152" s="251"/>
      <c r="AI152" s="251"/>
      <c r="AJ152" s="251"/>
      <c r="AK152" s="251"/>
      <c r="AL152" s="251"/>
      <c r="AM152" s="251"/>
      <c r="AN152" s="251"/>
      <c r="AO152" s="251"/>
      <c r="AP152" s="251"/>
      <c r="AQ152" s="251"/>
      <c r="AR152" s="260"/>
      <c r="AS152" s="202"/>
    </row>
    <row r="153" spans="1:45" ht="13.5" customHeight="1">
      <c r="A153" s="202"/>
      <c r="B153" s="299"/>
      <c r="C153" s="242">
        <v>14</v>
      </c>
      <c r="D153" s="226">
        <v>74</v>
      </c>
      <c r="E153" s="243" t="s">
        <v>555</v>
      </c>
      <c r="F153" s="242" t="s">
        <v>554</v>
      </c>
      <c r="G153" s="242" t="s">
        <v>43</v>
      </c>
      <c r="H153" s="253" t="s">
        <v>556</v>
      </c>
      <c r="I153" s="242">
        <v>40009</v>
      </c>
      <c r="J153" s="230">
        <f ca="1">+DATEDIF(I153,TODAY(),"Y")</f>
        <v>16</v>
      </c>
      <c r="K153" s="254" t="s">
        <v>557</v>
      </c>
      <c r="L153" s="244" t="s">
        <v>558</v>
      </c>
      <c r="M153" s="245" t="s">
        <v>559</v>
      </c>
      <c r="N153" s="243" t="s">
        <v>560</v>
      </c>
      <c r="O153" s="246" t="s">
        <v>561</v>
      </c>
      <c r="P153" s="247" t="s">
        <v>562</v>
      </c>
      <c r="Q153" s="254" t="s">
        <v>563</v>
      </c>
      <c r="R153" s="248" t="s">
        <v>50</v>
      </c>
      <c r="S153" s="248" t="s">
        <v>146</v>
      </c>
      <c r="T153" s="248"/>
      <c r="U153" s="255"/>
      <c r="V153" s="287">
        <v>300</v>
      </c>
      <c r="W153" s="250" t="s">
        <v>78</v>
      </c>
      <c r="X153" s="257">
        <v>45310</v>
      </c>
      <c r="Y153" s="255" t="s">
        <v>50</v>
      </c>
      <c r="Z153" s="288">
        <v>300</v>
      </c>
      <c r="AA153" s="242"/>
      <c r="AB153" s="242"/>
      <c r="AC153" s="290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60"/>
      <c r="AS153" s="202"/>
    </row>
    <row r="154" spans="1:45" ht="13.5" customHeight="1">
      <c r="A154" s="202"/>
      <c r="B154" s="299"/>
      <c r="C154" s="242"/>
      <c r="D154" s="242"/>
      <c r="E154" s="243"/>
      <c r="F154" s="242"/>
      <c r="G154" s="242"/>
      <c r="H154" s="253"/>
      <c r="I154" s="242"/>
      <c r="J154" s="230"/>
      <c r="K154" s="247"/>
      <c r="L154" s="244"/>
      <c r="M154" s="245"/>
      <c r="N154" s="243"/>
      <c r="O154" s="246"/>
      <c r="P154" s="247"/>
      <c r="Q154" s="247"/>
      <c r="R154" s="248"/>
      <c r="S154" s="248"/>
      <c r="T154" s="248"/>
      <c r="U154" s="255"/>
      <c r="V154" s="287"/>
      <c r="W154" s="250"/>
      <c r="X154" s="257"/>
      <c r="Y154" s="255"/>
      <c r="Z154" s="288"/>
      <c r="AA154" s="242"/>
      <c r="AB154" s="242"/>
      <c r="AC154" s="290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60"/>
      <c r="AS154" s="202"/>
    </row>
    <row r="155" spans="1:45" ht="13.5" customHeight="1">
      <c r="A155" s="202"/>
      <c r="B155" s="299"/>
      <c r="C155" s="242">
        <v>15</v>
      </c>
      <c r="D155" s="226">
        <v>75</v>
      </c>
      <c r="E155" s="243" t="s">
        <v>565</v>
      </c>
      <c r="F155" s="242" t="s">
        <v>564</v>
      </c>
      <c r="G155" s="242" t="s">
        <v>43</v>
      </c>
      <c r="H155" s="253">
        <v>33510356</v>
      </c>
      <c r="I155" s="258">
        <v>39923</v>
      </c>
      <c r="J155" s="230">
        <f ca="1">+DATEDIF(I155,TODAY(),"Y")</f>
        <v>17</v>
      </c>
      <c r="K155" s="254" t="s">
        <v>566</v>
      </c>
      <c r="L155" s="244" t="s">
        <v>567</v>
      </c>
      <c r="M155" s="261" t="s">
        <v>568</v>
      </c>
      <c r="N155" s="243" t="s">
        <v>569</v>
      </c>
      <c r="O155" s="246" t="s">
        <v>570</v>
      </c>
      <c r="P155" s="247" t="s">
        <v>571</v>
      </c>
      <c r="Q155" s="259" t="s">
        <v>572</v>
      </c>
      <c r="R155" s="248" t="s">
        <v>50</v>
      </c>
      <c r="S155" s="248" t="s">
        <v>146</v>
      </c>
      <c r="T155" s="248"/>
      <c r="U155" s="255"/>
      <c r="V155" s="249">
        <v>390</v>
      </c>
      <c r="W155" s="250" t="s">
        <v>78</v>
      </c>
      <c r="X155" s="257">
        <v>45313</v>
      </c>
      <c r="Y155" s="255" t="s">
        <v>50</v>
      </c>
      <c r="Z155" s="288">
        <v>130</v>
      </c>
      <c r="AA155" s="251"/>
      <c r="AB155" s="251"/>
      <c r="AC155" s="251"/>
      <c r="AD155" s="242"/>
      <c r="AE155" s="242"/>
      <c r="AF155" s="250"/>
      <c r="AG155" s="251"/>
      <c r="AH155" s="251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60"/>
      <c r="AS155" s="202"/>
    </row>
    <row r="156" spans="1:45" ht="13.5" customHeight="1">
      <c r="A156" s="202"/>
      <c r="B156" s="299"/>
      <c r="C156" s="242"/>
      <c r="D156" s="242"/>
      <c r="E156" s="243"/>
      <c r="F156" s="242"/>
      <c r="G156" s="242"/>
      <c r="H156" s="242"/>
      <c r="I156" s="258"/>
      <c r="J156" s="230"/>
      <c r="K156" s="247"/>
      <c r="L156" s="244"/>
      <c r="M156" s="261"/>
      <c r="N156" s="243"/>
      <c r="O156" s="246"/>
      <c r="P156" s="247"/>
      <c r="Q156" s="257"/>
      <c r="R156" s="248"/>
      <c r="S156" s="248"/>
      <c r="T156" s="248"/>
      <c r="U156" s="255"/>
      <c r="V156" s="249"/>
      <c r="W156" s="250"/>
      <c r="X156" s="257"/>
      <c r="Y156" s="255"/>
      <c r="Z156" s="288"/>
      <c r="AA156" s="251"/>
      <c r="AB156" s="251"/>
      <c r="AC156" s="251"/>
      <c r="AD156" s="242"/>
      <c r="AE156" s="242"/>
      <c r="AF156" s="250"/>
      <c r="AG156" s="251"/>
      <c r="AH156" s="251"/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60"/>
      <c r="AS156" s="202"/>
    </row>
    <row r="157" spans="1:45" ht="13.5" customHeight="1">
      <c r="A157" s="202"/>
      <c r="B157" s="299"/>
      <c r="C157" s="242">
        <v>16</v>
      </c>
      <c r="D157" s="226">
        <v>76</v>
      </c>
      <c r="E157" s="243" t="s">
        <v>574</v>
      </c>
      <c r="F157" s="242" t="s">
        <v>573</v>
      </c>
      <c r="G157" s="242" t="s">
        <v>43</v>
      </c>
      <c r="H157" s="253">
        <v>36235519</v>
      </c>
      <c r="I157" s="242">
        <v>41411</v>
      </c>
      <c r="J157" s="230">
        <f ca="1">+DATEDIF(I157,TODAY(),"Y")</f>
        <v>13</v>
      </c>
      <c r="K157" s="247"/>
      <c r="L157" s="244"/>
      <c r="M157" s="245" t="s">
        <v>575</v>
      </c>
      <c r="N157" s="243" t="s">
        <v>576</v>
      </c>
      <c r="O157" s="246">
        <v>14674498</v>
      </c>
      <c r="P157" s="247" t="s">
        <v>577</v>
      </c>
      <c r="Q157" s="254" t="s">
        <v>578</v>
      </c>
      <c r="R157" s="248" t="s">
        <v>579</v>
      </c>
      <c r="S157" s="248" t="s">
        <v>580</v>
      </c>
      <c r="T157" s="248"/>
      <c r="U157" s="255"/>
      <c r="V157" s="249">
        <v>300</v>
      </c>
      <c r="W157" s="250" t="s">
        <v>78</v>
      </c>
      <c r="X157" s="257">
        <v>45313</v>
      </c>
      <c r="Y157" s="255" t="s">
        <v>369</v>
      </c>
      <c r="Z157" s="288">
        <v>300</v>
      </c>
      <c r="AA157" s="242"/>
      <c r="AB157" s="242"/>
      <c r="AC157" s="250"/>
      <c r="AD157" s="251"/>
      <c r="AE157" s="251"/>
      <c r="AF157" s="251"/>
      <c r="AG157" s="251"/>
      <c r="AH157" s="251"/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60"/>
      <c r="AS157" s="202"/>
    </row>
    <row r="158" spans="1:45" ht="13.5" customHeight="1">
      <c r="A158" s="202"/>
      <c r="B158" s="299"/>
      <c r="C158" s="242"/>
      <c r="D158" s="242"/>
      <c r="E158" s="243"/>
      <c r="F158" s="242"/>
      <c r="G158" s="242"/>
      <c r="H158" s="253"/>
      <c r="I158" s="242"/>
      <c r="J158" s="230"/>
      <c r="K158" s="247"/>
      <c r="L158" s="244"/>
      <c r="M158" s="245"/>
      <c r="N158" s="243"/>
      <c r="O158" s="246"/>
      <c r="P158" s="247"/>
      <c r="Q158" s="247"/>
      <c r="R158" s="248"/>
      <c r="S158" s="248"/>
      <c r="T158" s="248"/>
      <c r="U158" s="255"/>
      <c r="V158" s="249"/>
      <c r="W158" s="250"/>
      <c r="X158" s="257"/>
      <c r="Y158" s="255"/>
      <c r="Z158" s="288"/>
      <c r="AA158" s="242"/>
      <c r="AB158" s="242"/>
      <c r="AC158" s="250"/>
      <c r="AD158" s="251"/>
      <c r="AE158" s="251"/>
      <c r="AF158" s="251"/>
      <c r="AG158" s="251"/>
      <c r="AH158" s="251"/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60"/>
      <c r="AS158" s="202"/>
    </row>
    <row r="159" spans="1:45" ht="13.5" customHeight="1">
      <c r="A159" s="202"/>
      <c r="B159" s="299"/>
      <c r="C159" s="242">
        <v>17</v>
      </c>
      <c r="D159" s="226">
        <v>77</v>
      </c>
      <c r="E159" s="243" t="s">
        <v>582</v>
      </c>
      <c r="F159" s="242" t="s">
        <v>581</v>
      </c>
      <c r="G159" s="242" t="s">
        <v>43</v>
      </c>
      <c r="H159" s="253">
        <v>35121040</v>
      </c>
      <c r="I159" s="242">
        <v>41510</v>
      </c>
      <c r="J159" s="230">
        <f ca="1">+DATEDIF(I159,TODAY(),"Y")</f>
        <v>12</v>
      </c>
      <c r="K159" s="247"/>
      <c r="L159" s="244"/>
      <c r="M159" s="245" t="s">
        <v>583</v>
      </c>
      <c r="N159" s="243" t="s">
        <v>584</v>
      </c>
      <c r="O159" s="246">
        <v>14574474</v>
      </c>
      <c r="P159" s="247" t="s">
        <v>585</v>
      </c>
      <c r="Q159" s="254" t="s">
        <v>586</v>
      </c>
      <c r="R159" s="248" t="s">
        <v>579</v>
      </c>
      <c r="S159" s="248" t="s">
        <v>146</v>
      </c>
      <c r="T159" s="248"/>
      <c r="U159" s="255"/>
      <c r="V159" s="287">
        <v>300</v>
      </c>
      <c r="W159" s="250" t="s">
        <v>78</v>
      </c>
      <c r="X159" s="257">
        <v>45313</v>
      </c>
      <c r="Y159" s="255" t="s">
        <v>369</v>
      </c>
      <c r="Z159" s="288">
        <v>300</v>
      </c>
      <c r="AA159" s="251"/>
      <c r="AB159" s="251"/>
      <c r="AC159" s="251"/>
      <c r="AD159" s="251"/>
      <c r="AE159" s="251"/>
      <c r="AF159" s="251"/>
      <c r="AG159" s="251"/>
      <c r="AH159" s="251"/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60"/>
      <c r="AS159" s="202"/>
    </row>
    <row r="160" spans="1:45" ht="13.5" customHeight="1">
      <c r="A160" s="202"/>
      <c r="B160" s="299"/>
      <c r="C160" s="242"/>
      <c r="D160" s="242"/>
      <c r="E160" s="243"/>
      <c r="F160" s="242"/>
      <c r="G160" s="242"/>
      <c r="H160" s="242"/>
      <c r="I160" s="242"/>
      <c r="J160" s="230"/>
      <c r="K160" s="247"/>
      <c r="L160" s="244"/>
      <c r="M160" s="245"/>
      <c r="N160" s="243"/>
      <c r="O160" s="246"/>
      <c r="P160" s="247"/>
      <c r="Q160" s="247"/>
      <c r="R160" s="248"/>
      <c r="S160" s="248"/>
      <c r="T160" s="248"/>
      <c r="U160" s="255"/>
      <c r="V160" s="287"/>
      <c r="W160" s="250"/>
      <c r="X160" s="257"/>
      <c r="Y160" s="255"/>
      <c r="Z160" s="288"/>
      <c r="AA160" s="251"/>
      <c r="AB160" s="251"/>
      <c r="AC160" s="251"/>
      <c r="AD160" s="251"/>
      <c r="AE160" s="251"/>
      <c r="AF160" s="251"/>
      <c r="AG160" s="251"/>
      <c r="AH160" s="251"/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60"/>
      <c r="AS160" s="202"/>
    </row>
    <row r="161" spans="1:45" ht="13.5" customHeight="1">
      <c r="A161" s="202" t="s">
        <v>587</v>
      </c>
      <c r="B161" s="299"/>
      <c r="C161" s="242">
        <v>18</v>
      </c>
      <c r="D161" s="226">
        <v>78</v>
      </c>
      <c r="E161" s="243" t="s">
        <v>589</v>
      </c>
      <c r="F161" s="242" t="s">
        <v>588</v>
      </c>
      <c r="G161" s="242" t="s">
        <v>43</v>
      </c>
      <c r="H161" s="253"/>
      <c r="I161" s="242"/>
      <c r="J161" s="230">
        <f ca="1">+DATEDIF(I161,TODAY(),"Y")</f>
        <v>126</v>
      </c>
      <c r="K161" s="247"/>
      <c r="L161" s="244"/>
      <c r="M161" s="245"/>
      <c r="N161" s="243"/>
      <c r="O161" s="246"/>
      <c r="P161" s="247"/>
      <c r="Q161" s="247"/>
      <c r="R161" s="248" t="s">
        <v>281</v>
      </c>
      <c r="S161" s="248" t="s">
        <v>146</v>
      </c>
      <c r="T161" s="248"/>
      <c r="U161" s="255"/>
      <c r="V161" s="249">
        <v>300</v>
      </c>
      <c r="W161" s="250" t="s">
        <v>78</v>
      </c>
      <c r="X161" s="257">
        <v>45302</v>
      </c>
      <c r="Y161" s="255" t="s">
        <v>590</v>
      </c>
      <c r="Z161" s="288"/>
      <c r="AA161" s="251"/>
      <c r="AB161" s="251"/>
      <c r="AC161" s="251"/>
      <c r="AD161" s="242"/>
      <c r="AE161" s="242"/>
      <c r="AF161" s="250"/>
      <c r="AG161" s="251"/>
      <c r="AH161" s="251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60"/>
      <c r="AS161" s="202"/>
    </row>
    <row r="162" spans="1:45" ht="13.5" customHeight="1">
      <c r="A162" s="202"/>
      <c r="B162" s="299"/>
      <c r="C162" s="242"/>
      <c r="D162" s="242"/>
      <c r="E162" s="301"/>
      <c r="F162" s="242"/>
      <c r="G162" s="242"/>
      <c r="H162" s="253"/>
      <c r="I162" s="242"/>
      <c r="J162" s="230"/>
      <c r="K162" s="247"/>
      <c r="L162" s="244"/>
      <c r="M162" s="245"/>
      <c r="N162" s="243"/>
      <c r="O162" s="246"/>
      <c r="P162" s="247"/>
      <c r="Q162" s="247"/>
      <c r="R162" s="248"/>
      <c r="S162" s="248"/>
      <c r="T162" s="248"/>
      <c r="U162" s="255"/>
      <c r="V162" s="249"/>
      <c r="W162" s="250"/>
      <c r="X162" s="257"/>
      <c r="Y162" s="255"/>
      <c r="Z162" s="288"/>
      <c r="AA162" s="251"/>
      <c r="AB162" s="251"/>
      <c r="AC162" s="251"/>
      <c r="AD162" s="242"/>
      <c r="AE162" s="242"/>
      <c r="AF162" s="250"/>
      <c r="AG162" s="251"/>
      <c r="AH162" s="251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60"/>
      <c r="AS162" s="202"/>
    </row>
    <row r="163" spans="1:45" ht="13.5" customHeight="1">
      <c r="A163" s="202"/>
      <c r="B163" s="299"/>
      <c r="C163" s="242">
        <v>19</v>
      </c>
      <c r="D163" s="226">
        <v>79</v>
      </c>
      <c r="E163" s="243" t="s">
        <v>592</v>
      </c>
      <c r="F163" s="242" t="s">
        <v>591</v>
      </c>
      <c r="G163" s="242" t="s">
        <v>43</v>
      </c>
      <c r="H163" s="253">
        <v>36057718</v>
      </c>
      <c r="I163" s="242">
        <v>41768</v>
      </c>
      <c r="J163" s="230">
        <f ca="1">+DATEDIF(I163,TODAY(),"Y")</f>
        <v>12</v>
      </c>
      <c r="K163" s="242"/>
      <c r="L163" s="244" t="s">
        <v>593</v>
      </c>
      <c r="M163" s="245" t="s">
        <v>594</v>
      </c>
      <c r="N163" s="243" t="s">
        <v>595</v>
      </c>
      <c r="O163" s="262">
        <v>13980047</v>
      </c>
      <c r="P163" s="247" t="s">
        <v>596</v>
      </c>
      <c r="Q163" s="259" t="s">
        <v>597</v>
      </c>
      <c r="R163" s="248" t="s">
        <v>579</v>
      </c>
      <c r="S163" s="248" t="s">
        <v>130</v>
      </c>
      <c r="T163" s="248"/>
      <c r="U163" s="255"/>
      <c r="V163" s="249">
        <v>300</v>
      </c>
      <c r="W163" s="250" t="s">
        <v>78</v>
      </c>
      <c r="X163" s="257">
        <v>45315</v>
      </c>
      <c r="Y163" s="255" t="s">
        <v>369</v>
      </c>
      <c r="Z163" s="288">
        <v>300</v>
      </c>
      <c r="AA163" s="251"/>
      <c r="AB163" s="251"/>
      <c r="AC163" s="251"/>
      <c r="AD163" s="242"/>
      <c r="AE163" s="242"/>
      <c r="AF163" s="250"/>
      <c r="AG163" s="251"/>
      <c r="AH163" s="251"/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60"/>
      <c r="AS163" s="202"/>
    </row>
    <row r="164" spans="1:45" ht="13.5" customHeight="1">
      <c r="A164" s="202"/>
      <c r="B164" s="299"/>
      <c r="C164" s="242"/>
      <c r="D164" s="242"/>
      <c r="E164" s="243"/>
      <c r="F164" s="242"/>
      <c r="G164" s="242"/>
      <c r="H164" s="253"/>
      <c r="I164" s="242"/>
      <c r="J164" s="230"/>
      <c r="K164" s="242"/>
      <c r="L164" s="244"/>
      <c r="M164" s="245"/>
      <c r="N164" s="243"/>
      <c r="O164" s="247"/>
      <c r="P164" s="247"/>
      <c r="Q164" s="257"/>
      <c r="R164" s="248"/>
      <c r="S164" s="248"/>
      <c r="T164" s="248"/>
      <c r="U164" s="255"/>
      <c r="V164" s="249"/>
      <c r="W164" s="250"/>
      <c r="X164" s="257"/>
      <c r="Y164" s="255"/>
      <c r="Z164" s="288"/>
      <c r="AA164" s="251"/>
      <c r="AB164" s="251"/>
      <c r="AC164" s="251"/>
      <c r="AD164" s="242"/>
      <c r="AE164" s="242"/>
      <c r="AF164" s="250"/>
      <c r="AG164" s="251"/>
      <c r="AH164" s="251"/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60"/>
      <c r="AS164" s="202"/>
    </row>
    <row r="165" spans="1:45" ht="13.5" customHeight="1">
      <c r="A165" s="202"/>
      <c r="B165" s="299"/>
      <c r="C165" s="242">
        <v>20</v>
      </c>
      <c r="D165" s="226">
        <v>80</v>
      </c>
      <c r="E165" s="243" t="s">
        <v>599</v>
      </c>
      <c r="F165" s="242" t="s">
        <v>598</v>
      </c>
      <c r="G165" s="242" t="s">
        <v>43</v>
      </c>
      <c r="H165" s="253">
        <v>33884397</v>
      </c>
      <c r="I165" s="242"/>
      <c r="J165" s="230">
        <f ca="1">+DATEDIF(I165,TODAY(),"Y")</f>
        <v>126</v>
      </c>
      <c r="K165" s="254" t="s">
        <v>600</v>
      </c>
      <c r="L165" s="244" t="s">
        <v>601</v>
      </c>
      <c r="M165" s="245" t="s">
        <v>602</v>
      </c>
      <c r="N165" s="243" t="s">
        <v>603</v>
      </c>
      <c r="O165" s="246">
        <v>12729203</v>
      </c>
      <c r="P165" s="247" t="s">
        <v>604</v>
      </c>
      <c r="Q165" s="254" t="s">
        <v>605</v>
      </c>
      <c r="R165" s="248" t="s">
        <v>281</v>
      </c>
      <c r="S165" s="248" t="s">
        <v>146</v>
      </c>
      <c r="T165" s="248"/>
      <c r="U165" s="255"/>
      <c r="V165" s="249">
        <v>280</v>
      </c>
      <c r="W165" s="250" t="s">
        <v>78</v>
      </c>
      <c r="X165" s="247">
        <v>45315</v>
      </c>
      <c r="Y165" s="255" t="s">
        <v>281</v>
      </c>
      <c r="Z165" s="288">
        <v>280</v>
      </c>
      <c r="AA165" s="242"/>
      <c r="AB165" s="242"/>
      <c r="AC165" s="250"/>
      <c r="AD165" s="242"/>
      <c r="AE165" s="242"/>
      <c r="AF165" s="250"/>
      <c r="AG165" s="251"/>
      <c r="AH165" s="251"/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60"/>
      <c r="AS165" s="202"/>
    </row>
    <row r="166" spans="1:45" ht="13.5" customHeight="1">
      <c r="A166" s="202"/>
      <c r="B166" s="302"/>
      <c r="C166" s="264"/>
      <c r="D166" s="242"/>
      <c r="E166" s="265"/>
      <c r="F166" s="264"/>
      <c r="G166" s="264"/>
      <c r="H166" s="266"/>
      <c r="I166" s="264"/>
      <c r="J166" s="230"/>
      <c r="K166" s="267"/>
      <c r="L166" s="268"/>
      <c r="M166" s="269"/>
      <c r="N166" s="265"/>
      <c r="O166" s="270"/>
      <c r="P166" s="267"/>
      <c r="Q166" s="267"/>
      <c r="R166" s="271"/>
      <c r="S166" s="271"/>
      <c r="T166" s="271"/>
      <c r="U166" s="292"/>
      <c r="V166" s="272"/>
      <c r="W166" s="273"/>
      <c r="X166" s="267"/>
      <c r="Y166" s="292"/>
      <c r="Z166" s="296"/>
      <c r="AA166" s="264"/>
      <c r="AB166" s="264"/>
      <c r="AC166" s="273"/>
      <c r="AD166" s="264"/>
      <c r="AE166" s="264"/>
      <c r="AF166" s="273"/>
      <c r="AG166" s="274"/>
      <c r="AH166" s="274"/>
      <c r="AI166" s="274"/>
      <c r="AJ166" s="274"/>
      <c r="AK166" s="274"/>
      <c r="AL166" s="274"/>
      <c r="AM166" s="274"/>
      <c r="AN166" s="274"/>
      <c r="AO166" s="274"/>
      <c r="AP166" s="274"/>
      <c r="AQ166" s="274"/>
      <c r="AR166" s="275"/>
      <c r="AS166" s="202"/>
    </row>
    <row r="167" spans="1:45" ht="13.5" customHeight="1">
      <c r="A167" s="202"/>
      <c r="B167" s="276" t="s">
        <v>606</v>
      </c>
      <c r="C167" s="226">
        <v>1</v>
      </c>
      <c r="D167" s="226">
        <v>81</v>
      </c>
      <c r="E167" s="227" t="s">
        <v>608</v>
      </c>
      <c r="F167" s="226" t="s">
        <v>607</v>
      </c>
      <c r="G167" s="226" t="s">
        <v>43</v>
      </c>
      <c r="H167" s="226"/>
      <c r="I167" s="226"/>
      <c r="J167" s="230">
        <f ca="1">+DATEDIF(I167,TODAY(),"Y")</f>
        <v>126</v>
      </c>
      <c r="K167" s="235"/>
      <c r="L167" s="232" t="s">
        <v>609</v>
      </c>
      <c r="M167" s="233" t="s">
        <v>610</v>
      </c>
      <c r="N167" s="227" t="s">
        <v>611</v>
      </c>
      <c r="O167" s="234">
        <v>15519023</v>
      </c>
      <c r="P167" s="235"/>
      <c r="Q167" s="231" t="s">
        <v>612</v>
      </c>
      <c r="R167" s="236" t="s">
        <v>281</v>
      </c>
      <c r="S167" s="236"/>
      <c r="T167" s="236"/>
      <c r="U167" s="280"/>
      <c r="V167" s="237">
        <v>280</v>
      </c>
      <c r="W167" s="238" t="s">
        <v>78</v>
      </c>
      <c r="X167" s="282">
        <v>45320</v>
      </c>
      <c r="Y167" s="280" t="s">
        <v>281</v>
      </c>
      <c r="Z167" s="283">
        <v>280</v>
      </c>
      <c r="AA167" s="226"/>
      <c r="AB167" s="226"/>
      <c r="AC167" s="238"/>
      <c r="AD167" s="239"/>
      <c r="AE167" s="226"/>
      <c r="AF167" s="238"/>
      <c r="AG167" s="239"/>
      <c r="AH167" s="239"/>
      <c r="AI167" s="239"/>
      <c r="AJ167" s="239"/>
      <c r="AK167" s="239"/>
      <c r="AL167" s="239"/>
      <c r="AM167" s="239"/>
      <c r="AN167" s="239"/>
      <c r="AO167" s="239"/>
      <c r="AP167" s="239"/>
      <c r="AQ167" s="239"/>
      <c r="AR167" s="284"/>
      <c r="AS167" s="202"/>
    </row>
    <row r="168" spans="1:45" ht="13.5" customHeight="1">
      <c r="A168" s="202"/>
      <c r="B168" s="285"/>
      <c r="C168" s="242"/>
      <c r="D168" s="242"/>
      <c r="E168" s="243"/>
      <c r="F168" s="242"/>
      <c r="G168" s="242"/>
      <c r="H168" s="242"/>
      <c r="I168" s="242"/>
      <c r="J168" s="230"/>
      <c r="K168" s="247"/>
      <c r="L168" s="244"/>
      <c r="M168" s="245"/>
      <c r="N168" s="243"/>
      <c r="O168" s="246"/>
      <c r="P168" s="247"/>
      <c r="Q168" s="247"/>
      <c r="R168" s="248"/>
      <c r="S168" s="248"/>
      <c r="T168" s="248"/>
      <c r="U168" s="255"/>
      <c r="V168" s="249"/>
      <c r="W168" s="250"/>
      <c r="X168" s="257"/>
      <c r="Y168" s="255"/>
      <c r="Z168" s="288"/>
      <c r="AA168" s="242"/>
      <c r="AB168" s="242"/>
      <c r="AC168" s="250"/>
      <c r="AD168" s="251"/>
      <c r="AE168" s="242"/>
      <c r="AF168" s="250"/>
      <c r="AG168" s="251"/>
      <c r="AH168" s="251"/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60"/>
      <c r="AS168" s="202"/>
    </row>
    <row r="169" spans="1:45" ht="13.5" customHeight="1">
      <c r="A169" s="202"/>
      <c r="B169" s="285"/>
      <c r="C169" s="242">
        <v>2</v>
      </c>
      <c r="D169" s="226">
        <v>82</v>
      </c>
      <c r="E169" s="243" t="s">
        <v>614</v>
      </c>
      <c r="F169" s="242" t="s">
        <v>613</v>
      </c>
      <c r="G169" s="242" t="s">
        <v>43</v>
      </c>
      <c r="H169" s="253"/>
      <c r="I169" s="242">
        <v>41810</v>
      </c>
      <c r="J169" s="230">
        <f ca="1">+DATEDIF(I169,TODAY(),"Y")</f>
        <v>11</v>
      </c>
      <c r="K169" s="254" t="s">
        <v>615</v>
      </c>
      <c r="L169" s="244" t="s">
        <v>616</v>
      </c>
      <c r="M169" s="245" t="s">
        <v>617</v>
      </c>
      <c r="N169" s="243" t="s">
        <v>618</v>
      </c>
      <c r="O169" s="246">
        <v>17056273</v>
      </c>
      <c r="P169" s="247">
        <v>4123786366</v>
      </c>
      <c r="Q169" s="254" t="s">
        <v>615</v>
      </c>
      <c r="R169" s="248" t="s">
        <v>552</v>
      </c>
      <c r="S169" s="248" t="s">
        <v>619</v>
      </c>
      <c r="T169" s="248"/>
      <c r="U169" s="255"/>
      <c r="V169" s="249">
        <v>300</v>
      </c>
      <c r="W169" s="250" t="s">
        <v>620</v>
      </c>
      <c r="X169" s="247">
        <v>45320</v>
      </c>
      <c r="Y169" s="255" t="s">
        <v>552</v>
      </c>
      <c r="Z169" s="288">
        <v>100</v>
      </c>
      <c r="AA169" s="242"/>
      <c r="AB169" s="242"/>
      <c r="AC169" s="250"/>
      <c r="AD169" s="242"/>
      <c r="AE169" s="242"/>
      <c r="AF169" s="250"/>
      <c r="AG169" s="242"/>
      <c r="AH169" s="242"/>
      <c r="AI169" s="250"/>
      <c r="AJ169" s="251"/>
      <c r="AK169" s="251"/>
      <c r="AL169" s="251"/>
      <c r="AM169" s="251"/>
      <c r="AN169" s="251"/>
      <c r="AO169" s="251"/>
      <c r="AP169" s="251"/>
      <c r="AQ169" s="251"/>
      <c r="AR169" s="260"/>
      <c r="AS169" s="202"/>
    </row>
    <row r="170" spans="1:45" ht="13.5" customHeight="1">
      <c r="A170" s="202"/>
      <c r="B170" s="285"/>
      <c r="C170" s="242"/>
      <c r="D170" s="242"/>
      <c r="E170" s="243"/>
      <c r="F170" s="242"/>
      <c r="G170" s="242"/>
      <c r="H170" s="253"/>
      <c r="I170" s="242"/>
      <c r="J170" s="230"/>
      <c r="K170" s="247"/>
      <c r="L170" s="244"/>
      <c r="M170" s="245"/>
      <c r="N170" s="243"/>
      <c r="O170" s="246"/>
      <c r="P170" s="247"/>
      <c r="Q170" s="242"/>
      <c r="R170" s="248"/>
      <c r="S170" s="248"/>
      <c r="T170" s="248"/>
      <c r="U170" s="255"/>
      <c r="V170" s="249"/>
      <c r="W170" s="250"/>
      <c r="X170" s="247"/>
      <c r="Y170" s="255"/>
      <c r="Z170" s="288"/>
      <c r="AA170" s="242"/>
      <c r="AB170" s="242"/>
      <c r="AC170" s="250"/>
      <c r="AD170" s="242"/>
      <c r="AE170" s="242"/>
      <c r="AF170" s="250"/>
      <c r="AG170" s="242"/>
      <c r="AH170" s="242"/>
      <c r="AI170" s="250"/>
      <c r="AJ170" s="251"/>
      <c r="AK170" s="251"/>
      <c r="AL170" s="251"/>
      <c r="AM170" s="251"/>
      <c r="AN170" s="251"/>
      <c r="AO170" s="251"/>
      <c r="AP170" s="251"/>
      <c r="AQ170" s="251"/>
      <c r="AR170" s="260"/>
      <c r="AS170" s="202"/>
    </row>
    <row r="171" spans="1:45" ht="13.5" customHeight="1">
      <c r="A171" s="202"/>
      <c r="B171" s="285"/>
      <c r="C171" s="242">
        <v>3</v>
      </c>
      <c r="D171" s="226">
        <v>83</v>
      </c>
      <c r="E171" s="243" t="s">
        <v>622</v>
      </c>
      <c r="F171" s="242" t="s">
        <v>621</v>
      </c>
      <c r="G171" s="242" t="s">
        <v>43</v>
      </c>
      <c r="H171" s="253">
        <v>25702379</v>
      </c>
      <c r="I171" s="242">
        <v>35006</v>
      </c>
      <c r="J171" s="230">
        <f ca="1">+DATEDIF(I171,TODAY(),"Y")</f>
        <v>30</v>
      </c>
      <c r="K171" s="303" t="s">
        <v>623</v>
      </c>
      <c r="L171" s="244" t="s">
        <v>624</v>
      </c>
      <c r="M171" s="245" t="s">
        <v>625</v>
      </c>
      <c r="N171" s="243"/>
      <c r="O171" s="246"/>
      <c r="P171" s="247"/>
      <c r="Q171" s="254"/>
      <c r="R171" s="248" t="s">
        <v>281</v>
      </c>
      <c r="S171" s="248" t="s">
        <v>626</v>
      </c>
      <c r="T171" s="248"/>
      <c r="U171" s="255"/>
      <c r="V171" s="249">
        <v>280</v>
      </c>
      <c r="W171" s="250" t="s">
        <v>78</v>
      </c>
      <c r="X171" s="257">
        <v>45320</v>
      </c>
      <c r="Y171" s="248" t="s">
        <v>627</v>
      </c>
      <c r="Z171" s="288">
        <v>280</v>
      </c>
      <c r="AA171" s="242"/>
      <c r="AB171" s="242"/>
      <c r="AC171" s="251"/>
      <c r="AD171" s="242"/>
      <c r="AE171" s="242"/>
      <c r="AF171" s="250"/>
      <c r="AG171" s="251"/>
      <c r="AH171" s="251"/>
      <c r="AI171" s="251"/>
      <c r="AJ171" s="242"/>
      <c r="AK171" s="242"/>
      <c r="AL171" s="250"/>
      <c r="AM171" s="251"/>
      <c r="AN171" s="251"/>
      <c r="AO171" s="251"/>
      <c r="AP171" s="251"/>
      <c r="AQ171" s="251"/>
      <c r="AR171" s="260"/>
      <c r="AS171" s="202"/>
    </row>
    <row r="172" spans="1:45" ht="13.5" customHeight="1">
      <c r="A172" s="202"/>
      <c r="B172" s="285"/>
      <c r="C172" s="242"/>
      <c r="D172" s="242"/>
      <c r="E172" s="243"/>
      <c r="F172" s="242"/>
      <c r="G172" s="242"/>
      <c r="H172" s="253"/>
      <c r="I172" s="242"/>
      <c r="J172" s="230"/>
      <c r="K172" s="242"/>
      <c r="L172" s="244"/>
      <c r="M172" s="245"/>
      <c r="N172" s="243"/>
      <c r="O172" s="246"/>
      <c r="P172" s="247"/>
      <c r="Q172" s="247"/>
      <c r="R172" s="248"/>
      <c r="S172" s="248"/>
      <c r="T172" s="248"/>
      <c r="U172" s="255"/>
      <c r="V172" s="249"/>
      <c r="W172" s="250"/>
      <c r="X172" s="257"/>
      <c r="Y172" s="248"/>
      <c r="Z172" s="288"/>
      <c r="AA172" s="242"/>
      <c r="AB172" s="242"/>
      <c r="AC172" s="251"/>
      <c r="AD172" s="242"/>
      <c r="AE172" s="242"/>
      <c r="AF172" s="250"/>
      <c r="AG172" s="251"/>
      <c r="AH172" s="251"/>
      <c r="AI172" s="251"/>
      <c r="AJ172" s="242"/>
      <c r="AK172" s="242"/>
      <c r="AL172" s="250"/>
      <c r="AM172" s="251"/>
      <c r="AN172" s="251"/>
      <c r="AO172" s="251"/>
      <c r="AP172" s="251"/>
      <c r="AQ172" s="251"/>
      <c r="AR172" s="260"/>
      <c r="AS172" s="202"/>
    </row>
    <row r="173" spans="1:45" ht="13.5" customHeight="1">
      <c r="A173" s="202"/>
      <c r="B173" s="285"/>
      <c r="C173" s="242">
        <v>4</v>
      </c>
      <c r="D173" s="226">
        <v>84</v>
      </c>
      <c r="E173" s="243" t="s">
        <v>629</v>
      </c>
      <c r="F173" s="242" t="s">
        <v>628</v>
      </c>
      <c r="G173" s="242" t="s">
        <v>43</v>
      </c>
      <c r="H173" s="253">
        <v>36190356</v>
      </c>
      <c r="I173" s="242">
        <v>41672</v>
      </c>
      <c r="J173" s="230">
        <f ca="1">+DATEDIF(I173,TODAY(),"Y")</f>
        <v>12</v>
      </c>
      <c r="K173" s="254" t="s">
        <v>630</v>
      </c>
      <c r="L173" s="244" t="s">
        <v>631</v>
      </c>
      <c r="M173" s="245" t="s">
        <v>632</v>
      </c>
      <c r="N173" s="243" t="s">
        <v>633</v>
      </c>
      <c r="O173" s="262">
        <v>18738222</v>
      </c>
      <c r="P173" s="247">
        <v>4241503683</v>
      </c>
      <c r="Q173" s="259" t="s">
        <v>630</v>
      </c>
      <c r="R173" s="248" t="s">
        <v>50</v>
      </c>
      <c r="S173" s="248" t="s">
        <v>634</v>
      </c>
      <c r="T173" s="248"/>
      <c r="U173" s="255"/>
      <c r="V173" s="287">
        <v>300</v>
      </c>
      <c r="W173" s="250" t="s">
        <v>78</v>
      </c>
      <c r="X173" s="257">
        <v>45322</v>
      </c>
      <c r="Y173" s="255" t="s">
        <v>50</v>
      </c>
      <c r="Z173" s="288">
        <v>100</v>
      </c>
      <c r="AA173" s="247"/>
      <c r="AB173" s="247"/>
      <c r="AC173" s="250"/>
      <c r="AD173" s="251"/>
      <c r="AE173" s="251"/>
      <c r="AF173" s="251"/>
      <c r="AG173" s="251"/>
      <c r="AH173" s="251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60"/>
      <c r="AS173" s="202"/>
    </row>
    <row r="174" spans="1:45" ht="13.5" customHeight="1">
      <c r="A174" s="202"/>
      <c r="B174" s="285"/>
      <c r="C174" s="242"/>
      <c r="D174" s="242"/>
      <c r="E174" s="243"/>
      <c r="F174" s="242"/>
      <c r="G174" s="242"/>
      <c r="H174" s="242"/>
      <c r="I174" s="242"/>
      <c r="J174" s="230"/>
      <c r="K174" s="242"/>
      <c r="L174" s="244"/>
      <c r="M174" s="245"/>
      <c r="N174" s="243"/>
      <c r="O174" s="247"/>
      <c r="P174" s="247"/>
      <c r="Q174" s="258"/>
      <c r="R174" s="248"/>
      <c r="S174" s="248"/>
      <c r="T174" s="248"/>
      <c r="U174" s="255"/>
      <c r="V174" s="287"/>
      <c r="W174" s="250"/>
      <c r="X174" s="257"/>
      <c r="Y174" s="255"/>
      <c r="Z174" s="288"/>
      <c r="AA174" s="247"/>
      <c r="AB174" s="247"/>
      <c r="AC174" s="250"/>
      <c r="AD174" s="251"/>
      <c r="AE174" s="251"/>
      <c r="AF174" s="251"/>
      <c r="AG174" s="251"/>
      <c r="AH174" s="251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60"/>
      <c r="AS174" s="202"/>
    </row>
    <row r="175" spans="1:45" ht="13.5" customHeight="1">
      <c r="A175" s="202"/>
      <c r="B175" s="285"/>
      <c r="C175" s="242">
        <v>5</v>
      </c>
      <c r="D175" s="226">
        <v>85</v>
      </c>
      <c r="E175" s="243" t="s">
        <v>636</v>
      </c>
      <c r="F175" s="242" t="s">
        <v>635</v>
      </c>
      <c r="G175" s="242" t="s">
        <v>43</v>
      </c>
      <c r="H175" s="242"/>
      <c r="I175" s="242">
        <v>43369</v>
      </c>
      <c r="J175" s="230">
        <f ca="1">+DATEDIF(I175,TODAY(),"Y")</f>
        <v>7</v>
      </c>
      <c r="K175" s="254" t="s">
        <v>637</v>
      </c>
      <c r="L175" s="244">
        <v>4241050545</v>
      </c>
      <c r="M175" s="245" t="s">
        <v>638</v>
      </c>
      <c r="N175" s="243" t="s">
        <v>639</v>
      </c>
      <c r="O175" s="246">
        <v>19228704</v>
      </c>
      <c r="P175" s="247" t="s">
        <v>640</v>
      </c>
      <c r="Q175" s="259" t="s">
        <v>637</v>
      </c>
      <c r="R175" s="248" t="s">
        <v>641</v>
      </c>
      <c r="S175" s="248" t="s">
        <v>642</v>
      </c>
      <c r="T175" s="248"/>
      <c r="U175" s="248"/>
      <c r="V175" s="249">
        <v>300</v>
      </c>
      <c r="W175" s="250" t="s">
        <v>78</v>
      </c>
      <c r="X175" s="257">
        <v>45327</v>
      </c>
      <c r="Y175" s="255" t="s">
        <v>641</v>
      </c>
      <c r="Z175" s="288">
        <v>300</v>
      </c>
      <c r="AA175" s="242"/>
      <c r="AB175" s="242"/>
      <c r="AC175" s="250"/>
      <c r="AD175" s="242"/>
      <c r="AE175" s="242"/>
      <c r="AF175" s="250"/>
      <c r="AG175" s="242"/>
      <c r="AH175" s="242"/>
      <c r="AI175" s="250"/>
      <c r="AJ175" s="251"/>
      <c r="AK175" s="251"/>
      <c r="AL175" s="251"/>
      <c r="AM175" s="251"/>
      <c r="AN175" s="251"/>
      <c r="AO175" s="251"/>
      <c r="AP175" s="251"/>
      <c r="AQ175" s="251"/>
      <c r="AR175" s="260"/>
      <c r="AS175" s="202"/>
    </row>
    <row r="176" spans="1:45" ht="13.5" customHeight="1">
      <c r="A176" s="202"/>
      <c r="B176" s="285"/>
      <c r="C176" s="242"/>
      <c r="D176" s="242"/>
      <c r="E176" s="243"/>
      <c r="F176" s="242"/>
      <c r="G176" s="242"/>
      <c r="H176" s="242"/>
      <c r="I176" s="242"/>
      <c r="J176" s="230"/>
      <c r="K176" s="247"/>
      <c r="L176" s="244"/>
      <c r="M176" s="245"/>
      <c r="N176" s="243"/>
      <c r="O176" s="246"/>
      <c r="P176" s="247"/>
      <c r="Q176" s="257"/>
      <c r="R176" s="248"/>
      <c r="S176" s="248"/>
      <c r="T176" s="248"/>
      <c r="U176" s="248"/>
      <c r="V176" s="249"/>
      <c r="W176" s="250"/>
      <c r="X176" s="257"/>
      <c r="Y176" s="255"/>
      <c r="Z176" s="288"/>
      <c r="AA176" s="242"/>
      <c r="AB176" s="242"/>
      <c r="AC176" s="250"/>
      <c r="AD176" s="242"/>
      <c r="AE176" s="242"/>
      <c r="AF176" s="250"/>
      <c r="AG176" s="242"/>
      <c r="AH176" s="242"/>
      <c r="AI176" s="250"/>
      <c r="AJ176" s="251"/>
      <c r="AK176" s="251"/>
      <c r="AL176" s="251"/>
      <c r="AM176" s="251"/>
      <c r="AN176" s="251"/>
      <c r="AO176" s="251"/>
      <c r="AP176" s="251"/>
      <c r="AQ176" s="251"/>
      <c r="AR176" s="260"/>
      <c r="AS176" s="202"/>
    </row>
    <row r="177" spans="1:45" ht="13.5" customHeight="1">
      <c r="A177" s="202"/>
      <c r="B177" s="285"/>
      <c r="C177" s="242">
        <v>6</v>
      </c>
      <c r="D177" s="226">
        <v>86</v>
      </c>
      <c r="E177" s="243" t="s">
        <v>644</v>
      </c>
      <c r="F177" s="242" t="s">
        <v>643</v>
      </c>
      <c r="G177" s="242" t="s">
        <v>43</v>
      </c>
      <c r="H177" s="253">
        <v>29765783</v>
      </c>
      <c r="I177" s="242">
        <v>36762</v>
      </c>
      <c r="J177" s="230">
        <f ca="1">+DATEDIF(I177,TODAY(),"Y")</f>
        <v>25</v>
      </c>
      <c r="K177" s="247"/>
      <c r="L177" s="244">
        <v>4125930704</v>
      </c>
      <c r="M177" s="245" t="s">
        <v>645</v>
      </c>
      <c r="N177" s="243" t="s">
        <v>646</v>
      </c>
      <c r="O177" s="246">
        <v>22906241</v>
      </c>
      <c r="P177" s="247" t="s">
        <v>647</v>
      </c>
      <c r="Q177" s="303" t="s">
        <v>648</v>
      </c>
      <c r="R177" s="248"/>
      <c r="S177" s="248"/>
      <c r="T177" s="248"/>
      <c r="U177" s="255"/>
      <c r="V177" s="249">
        <v>280</v>
      </c>
      <c r="W177" s="250" t="s">
        <v>649</v>
      </c>
      <c r="X177" s="257">
        <v>45327</v>
      </c>
      <c r="Y177" s="248"/>
      <c r="Z177" s="288">
        <v>150</v>
      </c>
      <c r="AA177" s="251"/>
      <c r="AB177" s="242"/>
      <c r="AC177" s="251"/>
      <c r="AD177" s="251"/>
      <c r="AE177" s="242"/>
      <c r="AF177" s="251"/>
      <c r="AG177" s="242"/>
      <c r="AH177" s="242"/>
      <c r="AI177" s="250"/>
      <c r="AJ177" s="242"/>
      <c r="AK177" s="242"/>
      <c r="AL177" s="250"/>
      <c r="AM177" s="251"/>
      <c r="AN177" s="251"/>
      <c r="AO177" s="251"/>
      <c r="AP177" s="251"/>
      <c r="AQ177" s="251"/>
      <c r="AR177" s="260"/>
      <c r="AS177" s="202"/>
    </row>
    <row r="178" spans="1:45" ht="13.5" customHeight="1">
      <c r="A178" s="202"/>
      <c r="B178" s="285"/>
      <c r="C178" s="242"/>
      <c r="D178" s="242"/>
      <c r="E178" s="243"/>
      <c r="F178" s="242"/>
      <c r="G178" s="242"/>
      <c r="H178" s="253"/>
      <c r="I178" s="242"/>
      <c r="J178" s="230"/>
      <c r="K178" s="247"/>
      <c r="L178" s="244"/>
      <c r="M178" s="245"/>
      <c r="N178" s="243"/>
      <c r="O178" s="246"/>
      <c r="P178" s="247"/>
      <c r="Q178" s="247"/>
      <c r="R178" s="248"/>
      <c r="S178" s="248"/>
      <c r="T178" s="248"/>
      <c r="U178" s="255"/>
      <c r="V178" s="249"/>
      <c r="W178" s="250"/>
      <c r="X178" s="257"/>
      <c r="Y178" s="248"/>
      <c r="Z178" s="288"/>
      <c r="AA178" s="251"/>
      <c r="AB178" s="242"/>
      <c r="AC178" s="251"/>
      <c r="AD178" s="251"/>
      <c r="AE178" s="242"/>
      <c r="AF178" s="251"/>
      <c r="AG178" s="242"/>
      <c r="AH178" s="242"/>
      <c r="AI178" s="250"/>
      <c r="AJ178" s="242"/>
      <c r="AK178" s="242"/>
      <c r="AL178" s="250"/>
      <c r="AM178" s="251"/>
      <c r="AN178" s="251"/>
      <c r="AO178" s="251"/>
      <c r="AP178" s="251"/>
      <c r="AQ178" s="251"/>
      <c r="AR178" s="260"/>
      <c r="AS178" s="202"/>
    </row>
    <row r="179" spans="1:45" ht="13.5" customHeight="1">
      <c r="A179" s="202"/>
      <c r="B179" s="285"/>
      <c r="C179" s="242">
        <v>7</v>
      </c>
      <c r="D179" s="226">
        <v>87</v>
      </c>
      <c r="E179" s="243" t="s">
        <v>2562</v>
      </c>
      <c r="F179" s="242" t="s">
        <v>650</v>
      </c>
      <c r="G179" s="242" t="s">
        <v>43</v>
      </c>
      <c r="H179" s="253">
        <v>36158232</v>
      </c>
      <c r="I179" s="242">
        <v>41231</v>
      </c>
      <c r="J179" s="230">
        <f ca="1">+DATEDIF(I179,TODAY(),"Y")</f>
        <v>13</v>
      </c>
      <c r="K179" s="254" t="s">
        <v>652</v>
      </c>
      <c r="L179" s="244">
        <v>4125930704</v>
      </c>
      <c r="M179" s="245" t="s">
        <v>645</v>
      </c>
      <c r="N179" s="243" t="s">
        <v>646</v>
      </c>
      <c r="O179" s="246">
        <v>22906241</v>
      </c>
      <c r="P179" s="247" t="s">
        <v>647</v>
      </c>
      <c r="Q179" s="303" t="s">
        <v>648</v>
      </c>
      <c r="R179" s="248" t="s">
        <v>653</v>
      </c>
      <c r="S179" s="248" t="s">
        <v>634</v>
      </c>
      <c r="T179" s="248"/>
      <c r="U179" s="248"/>
      <c r="V179" s="249">
        <v>280</v>
      </c>
      <c r="W179" s="250" t="s">
        <v>649</v>
      </c>
      <c r="X179" s="257">
        <v>45327</v>
      </c>
      <c r="Y179" s="255" t="s">
        <v>654</v>
      </c>
      <c r="Z179" s="288">
        <v>100</v>
      </c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60"/>
      <c r="AS179" s="202"/>
    </row>
    <row r="180" spans="1:45" ht="13.5" customHeight="1">
      <c r="A180" s="202"/>
      <c r="B180" s="285"/>
      <c r="C180" s="242"/>
      <c r="D180" s="242"/>
      <c r="E180" s="243"/>
      <c r="F180" s="242"/>
      <c r="G180" s="242"/>
      <c r="H180" s="253"/>
      <c r="I180" s="242"/>
      <c r="J180" s="230"/>
      <c r="K180" s="247"/>
      <c r="L180" s="244"/>
      <c r="M180" s="245"/>
      <c r="N180" s="243"/>
      <c r="O180" s="246"/>
      <c r="P180" s="247"/>
      <c r="Q180" s="247"/>
      <c r="R180" s="248"/>
      <c r="S180" s="248"/>
      <c r="T180" s="248"/>
      <c r="U180" s="248"/>
      <c r="V180" s="249"/>
      <c r="W180" s="250"/>
      <c r="X180" s="257"/>
      <c r="Y180" s="255"/>
      <c r="Z180" s="288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60"/>
      <c r="AS180" s="202"/>
    </row>
    <row r="181" spans="1:45" ht="13.5" customHeight="1">
      <c r="A181" s="202"/>
      <c r="B181" s="285"/>
      <c r="C181" s="242">
        <v>8</v>
      </c>
      <c r="D181" s="226">
        <v>88</v>
      </c>
      <c r="E181" s="243" t="s">
        <v>656</v>
      </c>
      <c r="F181" s="242" t="s">
        <v>655</v>
      </c>
      <c r="G181" s="242" t="s">
        <v>43</v>
      </c>
      <c r="H181" s="253">
        <v>30411302</v>
      </c>
      <c r="I181" s="242">
        <v>37672</v>
      </c>
      <c r="J181" s="230">
        <f ca="1">+DATEDIF(I181,TODAY(),"Y")</f>
        <v>23</v>
      </c>
      <c r="K181" s="247"/>
      <c r="L181" s="244">
        <v>4125930704</v>
      </c>
      <c r="M181" s="245" t="s">
        <v>645</v>
      </c>
      <c r="N181" s="243" t="s">
        <v>646</v>
      </c>
      <c r="O181" s="246">
        <v>22906241</v>
      </c>
      <c r="P181" s="247" t="s">
        <v>647</v>
      </c>
      <c r="Q181" s="303" t="s">
        <v>648</v>
      </c>
      <c r="R181" s="248" t="s">
        <v>657</v>
      </c>
      <c r="S181" s="248" t="s">
        <v>658</v>
      </c>
      <c r="T181" s="248"/>
      <c r="U181" s="248"/>
      <c r="V181" s="249">
        <v>280</v>
      </c>
      <c r="W181" s="250" t="s">
        <v>649</v>
      </c>
      <c r="X181" s="257">
        <v>45327</v>
      </c>
      <c r="Y181" s="255"/>
      <c r="Z181" s="288">
        <v>200</v>
      </c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60"/>
      <c r="AS181" s="202"/>
    </row>
    <row r="182" spans="1:45" ht="13.5" customHeight="1">
      <c r="A182" s="202"/>
      <c r="B182" s="285"/>
      <c r="C182" s="242"/>
      <c r="D182" s="242"/>
      <c r="E182" s="243"/>
      <c r="F182" s="242"/>
      <c r="G182" s="242"/>
      <c r="H182" s="253"/>
      <c r="I182" s="242"/>
      <c r="J182" s="230"/>
      <c r="K182" s="247"/>
      <c r="L182" s="244"/>
      <c r="M182" s="245"/>
      <c r="N182" s="243"/>
      <c r="O182" s="246"/>
      <c r="P182" s="247"/>
      <c r="Q182" s="247"/>
      <c r="R182" s="248"/>
      <c r="S182" s="248"/>
      <c r="T182" s="248"/>
      <c r="U182" s="248"/>
      <c r="V182" s="249"/>
      <c r="W182" s="250"/>
      <c r="X182" s="257"/>
      <c r="Y182" s="255"/>
      <c r="Z182" s="288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60"/>
      <c r="AS182" s="202"/>
    </row>
    <row r="183" spans="1:45" ht="13.5" customHeight="1">
      <c r="A183" s="202"/>
      <c r="B183" s="285"/>
      <c r="C183" s="242">
        <v>9</v>
      </c>
      <c r="D183" s="226">
        <v>89</v>
      </c>
      <c r="E183" s="243" t="s">
        <v>660</v>
      </c>
      <c r="F183" s="242" t="s">
        <v>659</v>
      </c>
      <c r="G183" s="242" t="s">
        <v>43</v>
      </c>
      <c r="H183" s="253">
        <v>27448331</v>
      </c>
      <c r="I183" s="242">
        <v>36535</v>
      </c>
      <c r="J183" s="230">
        <f ca="1">+DATEDIF(I183,TODAY(),"Y")</f>
        <v>26</v>
      </c>
      <c r="K183" s="254" t="s">
        <v>661</v>
      </c>
      <c r="L183" s="244">
        <v>4122556366</v>
      </c>
      <c r="M183" s="245" t="s">
        <v>662</v>
      </c>
      <c r="N183" s="243"/>
      <c r="O183" s="247"/>
      <c r="P183" s="247"/>
      <c r="Q183" s="257"/>
      <c r="R183" s="248" t="s">
        <v>50</v>
      </c>
      <c r="S183" s="248" t="s">
        <v>663</v>
      </c>
      <c r="T183" s="248" t="s">
        <v>664</v>
      </c>
      <c r="U183" s="255"/>
      <c r="V183" s="287" t="s">
        <v>396</v>
      </c>
      <c r="W183" s="250" t="s">
        <v>78</v>
      </c>
      <c r="X183" s="257">
        <v>45327</v>
      </c>
      <c r="Y183" s="255" t="s">
        <v>50</v>
      </c>
      <c r="Z183" s="288" t="s">
        <v>396</v>
      </c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60"/>
      <c r="AS183" s="202"/>
    </row>
    <row r="184" spans="1:45" ht="13.5" customHeight="1">
      <c r="A184" s="202"/>
      <c r="B184" s="285"/>
      <c r="C184" s="242"/>
      <c r="D184" s="242"/>
      <c r="E184" s="243"/>
      <c r="F184" s="242"/>
      <c r="G184" s="242"/>
      <c r="H184" s="242"/>
      <c r="I184" s="242"/>
      <c r="J184" s="230"/>
      <c r="K184" s="247"/>
      <c r="L184" s="244"/>
      <c r="M184" s="245"/>
      <c r="N184" s="243"/>
      <c r="O184" s="247"/>
      <c r="P184" s="247"/>
      <c r="Q184" s="257"/>
      <c r="R184" s="248"/>
      <c r="S184" s="248"/>
      <c r="T184" s="248"/>
      <c r="U184" s="255"/>
      <c r="V184" s="287"/>
      <c r="W184" s="250"/>
      <c r="X184" s="257"/>
      <c r="Y184" s="255"/>
      <c r="Z184" s="288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60"/>
      <c r="AS184" s="202"/>
    </row>
    <row r="185" spans="1:45" ht="13.5" customHeight="1">
      <c r="A185" s="202"/>
      <c r="B185" s="285"/>
      <c r="C185" s="242">
        <v>10</v>
      </c>
      <c r="D185" s="226">
        <v>90</v>
      </c>
      <c r="E185" s="243" t="s">
        <v>666</v>
      </c>
      <c r="F185" s="242" t="s">
        <v>665</v>
      </c>
      <c r="G185" s="242" t="s">
        <v>43</v>
      </c>
      <c r="H185" s="242"/>
      <c r="I185" s="242">
        <v>42229</v>
      </c>
      <c r="J185" s="230">
        <f ca="1">+DATEDIF(I185,TODAY(),"Y")</f>
        <v>10</v>
      </c>
      <c r="K185" s="254" t="s">
        <v>667</v>
      </c>
      <c r="L185" s="244">
        <v>4142357496</v>
      </c>
      <c r="M185" s="261" t="s">
        <v>668</v>
      </c>
      <c r="N185" s="243" t="s">
        <v>669</v>
      </c>
      <c r="O185" s="246">
        <v>11817664</v>
      </c>
      <c r="P185" s="247">
        <f>-F1</f>
        <v>0</v>
      </c>
      <c r="Q185" s="254" t="s">
        <v>670</v>
      </c>
      <c r="R185" s="248"/>
      <c r="S185" s="248" t="s">
        <v>671</v>
      </c>
      <c r="T185" s="248"/>
      <c r="U185" s="248"/>
      <c r="V185" s="249">
        <v>300</v>
      </c>
      <c r="W185" s="250" t="s">
        <v>649</v>
      </c>
      <c r="X185" s="257">
        <v>45327</v>
      </c>
      <c r="Y185" s="248"/>
      <c r="Z185" s="288">
        <v>150</v>
      </c>
      <c r="AA185" s="242"/>
      <c r="AB185" s="242"/>
      <c r="AC185" s="250"/>
      <c r="AD185" s="242"/>
      <c r="AE185" s="242"/>
      <c r="AF185" s="250"/>
      <c r="AG185" s="242"/>
      <c r="AH185" s="242"/>
      <c r="AI185" s="250"/>
      <c r="AJ185" s="251"/>
      <c r="AK185" s="251"/>
      <c r="AL185" s="251"/>
      <c r="AM185" s="251"/>
      <c r="AN185" s="251"/>
      <c r="AO185" s="251"/>
      <c r="AP185" s="251"/>
      <c r="AQ185" s="251"/>
      <c r="AR185" s="260"/>
      <c r="AS185" s="202"/>
    </row>
    <row r="186" spans="1:45" ht="13.5" customHeight="1">
      <c r="A186" s="202"/>
      <c r="B186" s="285"/>
      <c r="C186" s="242"/>
      <c r="D186" s="242"/>
      <c r="E186" s="243"/>
      <c r="F186" s="242"/>
      <c r="G186" s="242"/>
      <c r="H186" s="242"/>
      <c r="I186" s="242"/>
      <c r="J186" s="230"/>
      <c r="K186" s="247"/>
      <c r="L186" s="244"/>
      <c r="M186" s="261"/>
      <c r="N186" s="243"/>
      <c r="O186" s="246"/>
      <c r="P186" s="247"/>
      <c r="Q186" s="247"/>
      <c r="R186" s="248"/>
      <c r="S186" s="248"/>
      <c r="T186" s="248"/>
      <c r="U186" s="248"/>
      <c r="V186" s="249"/>
      <c r="W186" s="250"/>
      <c r="X186" s="257"/>
      <c r="Y186" s="248"/>
      <c r="Z186" s="288"/>
      <c r="AA186" s="242"/>
      <c r="AB186" s="242"/>
      <c r="AC186" s="250"/>
      <c r="AD186" s="242"/>
      <c r="AE186" s="242"/>
      <c r="AF186" s="250"/>
      <c r="AG186" s="242"/>
      <c r="AH186" s="242"/>
      <c r="AI186" s="250"/>
      <c r="AJ186" s="251"/>
      <c r="AK186" s="251"/>
      <c r="AL186" s="251"/>
      <c r="AM186" s="251"/>
      <c r="AN186" s="251"/>
      <c r="AO186" s="251"/>
      <c r="AP186" s="251"/>
      <c r="AQ186" s="251"/>
      <c r="AR186" s="260"/>
      <c r="AS186" s="202"/>
    </row>
    <row r="187" spans="1:45" ht="13.5" customHeight="1">
      <c r="A187" s="202"/>
      <c r="B187" s="285"/>
      <c r="C187" s="242">
        <v>11</v>
      </c>
      <c r="D187" s="226">
        <v>91</v>
      </c>
      <c r="E187" s="243" t="s">
        <v>673</v>
      </c>
      <c r="F187" s="242" t="s">
        <v>672</v>
      </c>
      <c r="G187" s="242" t="s">
        <v>43</v>
      </c>
      <c r="H187" s="253">
        <v>17199811</v>
      </c>
      <c r="I187" s="258">
        <v>31572</v>
      </c>
      <c r="J187" s="230">
        <f ca="1">+DATEDIF(I187,TODAY(),"Y")</f>
        <v>39</v>
      </c>
      <c r="K187" s="254" t="s">
        <v>461</v>
      </c>
      <c r="L187" s="244" t="s">
        <v>674</v>
      </c>
      <c r="M187" s="261" t="s">
        <v>675</v>
      </c>
      <c r="N187" s="243"/>
      <c r="O187" s="247"/>
      <c r="P187" s="247"/>
      <c r="Q187" s="257"/>
      <c r="R187" s="248" t="s">
        <v>479</v>
      </c>
      <c r="S187" s="248" t="s">
        <v>663</v>
      </c>
      <c r="T187" s="248"/>
      <c r="U187" s="255"/>
      <c r="V187" s="249">
        <v>300</v>
      </c>
      <c r="W187" s="250" t="s">
        <v>78</v>
      </c>
      <c r="X187" s="257">
        <v>45327</v>
      </c>
      <c r="Y187" s="248" t="s">
        <v>657</v>
      </c>
      <c r="Z187" s="250">
        <v>300</v>
      </c>
      <c r="AA187" s="242"/>
      <c r="AB187" s="242"/>
      <c r="AC187" s="250"/>
      <c r="AD187" s="251"/>
      <c r="AE187" s="251"/>
      <c r="AF187" s="251"/>
      <c r="AG187" s="242"/>
      <c r="AH187" s="242"/>
      <c r="AI187" s="250"/>
      <c r="AJ187" s="251"/>
      <c r="AK187" s="251"/>
      <c r="AL187" s="251"/>
      <c r="AM187" s="251"/>
      <c r="AN187" s="251"/>
      <c r="AO187" s="251"/>
      <c r="AP187" s="251"/>
      <c r="AQ187" s="251"/>
      <c r="AR187" s="260"/>
      <c r="AS187" s="202"/>
    </row>
    <row r="188" spans="1:45" ht="13.5" customHeight="1">
      <c r="A188" s="202"/>
      <c r="B188" s="285"/>
      <c r="C188" s="242"/>
      <c r="D188" s="242"/>
      <c r="E188" s="243"/>
      <c r="F188" s="242"/>
      <c r="G188" s="242"/>
      <c r="H188" s="242"/>
      <c r="I188" s="258"/>
      <c r="J188" s="230"/>
      <c r="K188" s="247"/>
      <c r="L188" s="244"/>
      <c r="M188" s="261"/>
      <c r="N188" s="243"/>
      <c r="O188" s="247"/>
      <c r="P188" s="247"/>
      <c r="Q188" s="257"/>
      <c r="R188" s="248"/>
      <c r="S188" s="248"/>
      <c r="T188" s="248"/>
      <c r="U188" s="255"/>
      <c r="V188" s="249"/>
      <c r="W188" s="250"/>
      <c r="X188" s="257"/>
      <c r="Y188" s="248"/>
      <c r="Z188" s="250"/>
      <c r="AA188" s="242"/>
      <c r="AB188" s="242"/>
      <c r="AC188" s="250"/>
      <c r="AD188" s="251"/>
      <c r="AE188" s="251"/>
      <c r="AF188" s="251"/>
      <c r="AG188" s="242"/>
      <c r="AH188" s="242"/>
      <c r="AI188" s="250"/>
      <c r="AJ188" s="251"/>
      <c r="AK188" s="251"/>
      <c r="AL188" s="251"/>
      <c r="AM188" s="251"/>
      <c r="AN188" s="251"/>
      <c r="AO188" s="251"/>
      <c r="AP188" s="251"/>
      <c r="AQ188" s="251"/>
      <c r="AR188" s="260"/>
      <c r="AS188" s="202"/>
    </row>
    <row r="189" spans="1:45" ht="13.5" customHeight="1">
      <c r="A189" s="202"/>
      <c r="B189" s="285"/>
      <c r="C189" s="242">
        <v>12</v>
      </c>
      <c r="D189" s="226">
        <v>92</v>
      </c>
      <c r="E189" s="243" t="s">
        <v>677</v>
      </c>
      <c r="F189" s="242" t="s">
        <v>676</v>
      </c>
      <c r="G189" s="242" t="s">
        <v>43</v>
      </c>
      <c r="H189" s="253">
        <v>19061035</v>
      </c>
      <c r="I189" s="258">
        <v>32520</v>
      </c>
      <c r="J189" s="230">
        <f ca="1">+DATEDIF(I189,TODAY(),"Y")</f>
        <v>37</v>
      </c>
      <c r="K189" s="254" t="s">
        <v>678</v>
      </c>
      <c r="L189" s="244" t="s">
        <v>679</v>
      </c>
      <c r="M189" s="261" t="s">
        <v>675</v>
      </c>
      <c r="N189" s="243"/>
      <c r="O189" s="247"/>
      <c r="P189" s="247"/>
      <c r="Q189" s="257"/>
      <c r="R189" s="248" t="s">
        <v>479</v>
      </c>
      <c r="S189" s="248" t="s">
        <v>663</v>
      </c>
      <c r="T189" s="248"/>
      <c r="U189" s="255"/>
      <c r="V189" s="287">
        <v>300</v>
      </c>
      <c r="W189" s="250" t="s">
        <v>78</v>
      </c>
      <c r="X189" s="257">
        <v>45327</v>
      </c>
      <c r="Y189" s="248" t="s">
        <v>657</v>
      </c>
      <c r="Z189" s="288">
        <v>300</v>
      </c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60"/>
      <c r="AS189" s="202"/>
    </row>
    <row r="190" spans="1:45" ht="13.5" customHeight="1">
      <c r="A190" s="202"/>
      <c r="B190" s="285"/>
      <c r="C190" s="242"/>
      <c r="D190" s="242"/>
      <c r="E190" s="243"/>
      <c r="F190" s="242"/>
      <c r="G190" s="242"/>
      <c r="H190" s="242"/>
      <c r="I190" s="258"/>
      <c r="J190" s="230"/>
      <c r="K190" s="247"/>
      <c r="L190" s="244"/>
      <c r="M190" s="261"/>
      <c r="N190" s="243"/>
      <c r="O190" s="247"/>
      <c r="P190" s="247"/>
      <c r="Q190" s="257"/>
      <c r="R190" s="248"/>
      <c r="S190" s="248"/>
      <c r="T190" s="248"/>
      <c r="U190" s="255"/>
      <c r="V190" s="287"/>
      <c r="W190" s="250"/>
      <c r="X190" s="257"/>
      <c r="Y190" s="248"/>
      <c r="Z190" s="288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60"/>
      <c r="AS190" s="202"/>
    </row>
    <row r="191" spans="1:45" ht="13.5" customHeight="1">
      <c r="A191" s="202"/>
      <c r="B191" s="285"/>
      <c r="C191" s="242">
        <v>13</v>
      </c>
      <c r="D191" s="226">
        <v>93</v>
      </c>
      <c r="E191" s="243" t="s">
        <v>681</v>
      </c>
      <c r="F191" s="242" t="s">
        <v>680</v>
      </c>
      <c r="G191" s="242" t="s">
        <v>43</v>
      </c>
      <c r="H191" s="253">
        <v>24461140</v>
      </c>
      <c r="I191" s="258">
        <v>35012</v>
      </c>
      <c r="J191" s="230">
        <f ca="1">+DATEDIF(I191,TODAY(),"Y")</f>
        <v>30</v>
      </c>
      <c r="K191" s="254" t="s">
        <v>682</v>
      </c>
      <c r="L191" s="244" t="s">
        <v>683</v>
      </c>
      <c r="M191" s="245"/>
      <c r="N191" s="243"/>
      <c r="O191" s="246"/>
      <c r="P191" s="247"/>
      <c r="Q191" s="247"/>
      <c r="R191" s="248" t="s">
        <v>684</v>
      </c>
      <c r="S191" s="248" t="s">
        <v>663</v>
      </c>
      <c r="T191" s="248"/>
      <c r="U191" s="255"/>
      <c r="V191" s="249">
        <v>300</v>
      </c>
      <c r="W191" s="250" t="s">
        <v>649</v>
      </c>
      <c r="X191" s="257">
        <v>45329</v>
      </c>
      <c r="Y191" s="248" t="s">
        <v>657</v>
      </c>
      <c r="Z191" s="288">
        <v>300</v>
      </c>
      <c r="AA191" s="251"/>
      <c r="AB191" s="251"/>
      <c r="AC191" s="251"/>
      <c r="AD191" s="242"/>
      <c r="AE191" s="242"/>
      <c r="AF191" s="250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60"/>
      <c r="AS191" s="202"/>
    </row>
    <row r="192" spans="1:45" ht="13.5" customHeight="1">
      <c r="A192" s="202"/>
      <c r="B192" s="285"/>
      <c r="C192" s="242"/>
      <c r="D192" s="242"/>
      <c r="E192" s="243"/>
      <c r="F192" s="242"/>
      <c r="G192" s="242"/>
      <c r="H192" s="242"/>
      <c r="I192" s="258"/>
      <c r="J192" s="230"/>
      <c r="K192" s="247"/>
      <c r="L192" s="244"/>
      <c r="M192" s="245"/>
      <c r="N192" s="243"/>
      <c r="O192" s="246"/>
      <c r="P192" s="247"/>
      <c r="Q192" s="247"/>
      <c r="R192" s="248"/>
      <c r="S192" s="248"/>
      <c r="T192" s="248"/>
      <c r="U192" s="255"/>
      <c r="V192" s="249"/>
      <c r="W192" s="250"/>
      <c r="X192" s="257"/>
      <c r="Y192" s="248"/>
      <c r="Z192" s="288"/>
      <c r="AA192" s="251"/>
      <c r="AB192" s="251"/>
      <c r="AC192" s="251"/>
      <c r="AD192" s="242"/>
      <c r="AE192" s="242"/>
      <c r="AF192" s="250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60"/>
      <c r="AS192" s="202"/>
    </row>
    <row r="193" spans="1:45" ht="13.5" customHeight="1">
      <c r="A193" s="202"/>
      <c r="B193" s="285"/>
      <c r="C193" s="242">
        <v>14</v>
      </c>
      <c r="D193" s="226">
        <v>94</v>
      </c>
      <c r="E193" s="243" t="s">
        <v>686</v>
      </c>
      <c r="F193" s="242" t="s">
        <v>685</v>
      </c>
      <c r="G193" s="242" t="s">
        <v>43</v>
      </c>
      <c r="H193" s="242"/>
      <c r="I193" s="242">
        <v>36613</v>
      </c>
      <c r="J193" s="230">
        <f ca="1">+DATEDIF(I193,TODAY(),"Y")</f>
        <v>26</v>
      </c>
      <c r="K193" s="247"/>
      <c r="L193" s="244" t="s">
        <v>687</v>
      </c>
      <c r="M193" s="245" t="s">
        <v>688</v>
      </c>
      <c r="N193" s="243" t="s">
        <v>689</v>
      </c>
      <c r="O193" s="246">
        <v>15403317</v>
      </c>
      <c r="P193" s="247" t="s">
        <v>687</v>
      </c>
      <c r="Q193" s="247"/>
      <c r="R193" s="248" t="s">
        <v>657</v>
      </c>
      <c r="S193" s="248" t="s">
        <v>690</v>
      </c>
      <c r="T193" s="248" t="s">
        <v>664</v>
      </c>
      <c r="U193" s="255"/>
      <c r="V193" s="249"/>
      <c r="W193" s="250" t="s">
        <v>691</v>
      </c>
      <c r="X193" s="257">
        <v>45331</v>
      </c>
      <c r="Y193" s="248" t="s">
        <v>657</v>
      </c>
      <c r="Z193" s="288"/>
      <c r="AA193" s="251"/>
      <c r="AB193" s="251"/>
      <c r="AC193" s="251"/>
      <c r="AD193" s="242"/>
      <c r="AE193" s="242"/>
      <c r="AF193" s="250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60"/>
      <c r="AS193" s="202"/>
    </row>
    <row r="194" spans="1:45" ht="13.5" customHeight="1">
      <c r="A194" s="202"/>
      <c r="B194" s="285"/>
      <c r="C194" s="242"/>
      <c r="D194" s="242"/>
      <c r="E194" s="243"/>
      <c r="F194" s="242"/>
      <c r="G194" s="242"/>
      <c r="H194" s="242"/>
      <c r="I194" s="242"/>
      <c r="J194" s="230"/>
      <c r="K194" s="247"/>
      <c r="L194" s="244"/>
      <c r="M194" s="245"/>
      <c r="N194" s="243"/>
      <c r="O194" s="246"/>
      <c r="P194" s="247"/>
      <c r="Q194" s="247"/>
      <c r="R194" s="248"/>
      <c r="S194" s="248"/>
      <c r="T194" s="248"/>
      <c r="U194" s="255"/>
      <c r="V194" s="249"/>
      <c r="W194" s="250"/>
      <c r="X194" s="257"/>
      <c r="Y194" s="248"/>
      <c r="Z194" s="288"/>
      <c r="AA194" s="251"/>
      <c r="AB194" s="251"/>
      <c r="AC194" s="251"/>
      <c r="AD194" s="242"/>
      <c r="AE194" s="242"/>
      <c r="AF194" s="250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60"/>
      <c r="AS194" s="202"/>
    </row>
    <row r="195" spans="1:45" ht="13.5" customHeight="1">
      <c r="A195" s="202"/>
      <c r="B195" s="285"/>
      <c r="C195" s="242">
        <v>15</v>
      </c>
      <c r="D195" s="226">
        <v>95</v>
      </c>
      <c r="E195" s="243" t="s">
        <v>693</v>
      </c>
      <c r="F195" s="242" t="s">
        <v>692</v>
      </c>
      <c r="G195" s="242" t="s">
        <v>43</v>
      </c>
      <c r="H195" s="253">
        <v>22034284</v>
      </c>
      <c r="I195" s="242">
        <v>34758</v>
      </c>
      <c r="J195" s="230">
        <f ca="1">+DATEDIF(I195,TODAY(),"Y")</f>
        <v>31</v>
      </c>
      <c r="K195" s="254" t="s">
        <v>694</v>
      </c>
      <c r="L195" s="244" t="s">
        <v>687</v>
      </c>
      <c r="M195" s="261" t="s">
        <v>688</v>
      </c>
      <c r="N195" s="245" t="s">
        <v>695</v>
      </c>
      <c r="O195" s="262">
        <v>15403318</v>
      </c>
      <c r="P195" s="247" t="s">
        <v>687</v>
      </c>
      <c r="Q195" s="257"/>
      <c r="R195" s="248" t="s">
        <v>479</v>
      </c>
      <c r="S195" s="248" t="s">
        <v>696</v>
      </c>
      <c r="T195" s="248" t="s">
        <v>664</v>
      </c>
      <c r="U195" s="255"/>
      <c r="V195" s="287"/>
      <c r="W195" s="250" t="s">
        <v>691</v>
      </c>
      <c r="X195" s="257">
        <v>45331</v>
      </c>
      <c r="Y195" s="248" t="s">
        <v>479</v>
      </c>
      <c r="Z195" s="288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60"/>
      <c r="AS195" s="202"/>
    </row>
    <row r="196" spans="1:45" ht="13.5" customHeight="1">
      <c r="A196" s="202"/>
      <c r="B196" s="285"/>
      <c r="C196" s="242"/>
      <c r="D196" s="242"/>
      <c r="E196" s="243"/>
      <c r="F196" s="242"/>
      <c r="G196" s="242"/>
      <c r="H196" s="242"/>
      <c r="I196" s="242"/>
      <c r="J196" s="230"/>
      <c r="K196" s="247"/>
      <c r="L196" s="244"/>
      <c r="M196" s="261"/>
      <c r="N196" s="245"/>
      <c r="O196" s="247"/>
      <c r="P196" s="247"/>
      <c r="Q196" s="257"/>
      <c r="R196" s="248"/>
      <c r="S196" s="248"/>
      <c r="T196" s="248"/>
      <c r="U196" s="255"/>
      <c r="V196" s="287"/>
      <c r="W196" s="250"/>
      <c r="X196" s="257"/>
      <c r="Y196" s="248"/>
      <c r="Z196" s="288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60"/>
      <c r="AS196" s="202"/>
    </row>
    <row r="197" spans="1:45" ht="13.5" customHeight="1">
      <c r="A197" s="202"/>
      <c r="B197" s="285"/>
      <c r="C197" s="242">
        <v>16</v>
      </c>
      <c r="D197" s="226">
        <v>96</v>
      </c>
      <c r="E197" s="243" t="s">
        <v>698</v>
      </c>
      <c r="F197" s="242" t="s">
        <v>697</v>
      </c>
      <c r="G197" s="242" t="s">
        <v>43</v>
      </c>
      <c r="H197" s="253">
        <v>34815830</v>
      </c>
      <c r="I197" s="242">
        <v>41434</v>
      </c>
      <c r="J197" s="230">
        <f ca="1">+DATEDIF(I197,TODAY(),"Y")</f>
        <v>12</v>
      </c>
      <c r="K197" s="254" t="s">
        <v>699</v>
      </c>
      <c r="L197" s="244" t="s">
        <v>700</v>
      </c>
      <c r="M197" s="245" t="s">
        <v>701</v>
      </c>
      <c r="N197" s="243" t="s">
        <v>702</v>
      </c>
      <c r="O197" s="262">
        <v>15913016</v>
      </c>
      <c r="P197" s="247" t="s">
        <v>703</v>
      </c>
      <c r="Q197" s="257"/>
      <c r="R197" s="248" t="s">
        <v>704</v>
      </c>
      <c r="S197" s="248" t="s">
        <v>705</v>
      </c>
      <c r="T197" s="248" t="s">
        <v>706</v>
      </c>
      <c r="U197" s="255"/>
      <c r="V197" s="287">
        <v>480</v>
      </c>
      <c r="W197" s="250" t="s">
        <v>78</v>
      </c>
      <c r="X197" s="257">
        <v>45331</v>
      </c>
      <c r="Y197" s="255" t="s">
        <v>704</v>
      </c>
      <c r="Z197" s="288">
        <v>120</v>
      </c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60"/>
      <c r="AS197" s="202"/>
    </row>
    <row r="198" spans="1:45" ht="13.5" customHeight="1">
      <c r="A198" s="202"/>
      <c r="B198" s="285"/>
      <c r="C198" s="242"/>
      <c r="D198" s="242"/>
      <c r="E198" s="243"/>
      <c r="F198" s="242"/>
      <c r="G198" s="242"/>
      <c r="H198" s="253"/>
      <c r="I198" s="242"/>
      <c r="J198" s="230"/>
      <c r="K198" s="247"/>
      <c r="L198" s="244"/>
      <c r="M198" s="245"/>
      <c r="N198" s="243"/>
      <c r="O198" s="247"/>
      <c r="P198" s="247"/>
      <c r="Q198" s="257"/>
      <c r="R198" s="248"/>
      <c r="S198" s="248"/>
      <c r="T198" s="248"/>
      <c r="U198" s="255"/>
      <c r="V198" s="287"/>
      <c r="W198" s="250"/>
      <c r="X198" s="257"/>
      <c r="Y198" s="255"/>
      <c r="Z198" s="288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60"/>
      <c r="AS198" s="202"/>
    </row>
    <row r="199" spans="1:45" ht="13.5" customHeight="1">
      <c r="A199" s="202"/>
      <c r="B199" s="285"/>
      <c r="C199" s="242">
        <v>17</v>
      </c>
      <c r="D199" s="226">
        <v>97</v>
      </c>
      <c r="E199" s="243" t="s">
        <v>708</v>
      </c>
      <c r="F199" s="242" t="s">
        <v>707</v>
      </c>
      <c r="G199" s="242" t="s">
        <v>43</v>
      </c>
      <c r="H199" s="253">
        <v>29751428</v>
      </c>
      <c r="I199" s="258">
        <v>41408</v>
      </c>
      <c r="J199" s="230">
        <f ca="1">+DATEDIF(I199,TODAY(),"Y")</f>
        <v>13</v>
      </c>
      <c r="K199" s="254" t="s">
        <v>709</v>
      </c>
      <c r="L199" s="244" t="s">
        <v>710</v>
      </c>
      <c r="M199" s="245" t="s">
        <v>701</v>
      </c>
      <c r="N199" s="243" t="s">
        <v>702</v>
      </c>
      <c r="O199" s="262">
        <v>15913016</v>
      </c>
      <c r="P199" s="247" t="s">
        <v>703</v>
      </c>
      <c r="Q199" s="257"/>
      <c r="R199" s="248" t="s">
        <v>704</v>
      </c>
      <c r="S199" s="248" t="s">
        <v>705</v>
      </c>
      <c r="T199" s="248" t="s">
        <v>706</v>
      </c>
      <c r="U199" s="255"/>
      <c r="V199" s="287">
        <v>480</v>
      </c>
      <c r="W199" s="250" t="s">
        <v>78</v>
      </c>
      <c r="X199" s="257">
        <v>45331</v>
      </c>
      <c r="Y199" s="255" t="s">
        <v>704</v>
      </c>
      <c r="Z199" s="288">
        <v>120</v>
      </c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60"/>
      <c r="AS199" s="202"/>
    </row>
    <row r="200" spans="1:45" ht="13.5" customHeight="1">
      <c r="A200" s="202"/>
      <c r="B200" s="285"/>
      <c r="C200" s="242"/>
      <c r="D200" s="242"/>
      <c r="E200" s="243"/>
      <c r="F200" s="242"/>
      <c r="G200" s="242"/>
      <c r="H200" s="242"/>
      <c r="I200" s="258"/>
      <c r="J200" s="230"/>
      <c r="K200" s="247"/>
      <c r="L200" s="244"/>
      <c r="M200" s="245"/>
      <c r="N200" s="243"/>
      <c r="O200" s="247"/>
      <c r="P200" s="247"/>
      <c r="Q200" s="257"/>
      <c r="R200" s="248"/>
      <c r="S200" s="248"/>
      <c r="T200" s="248"/>
      <c r="U200" s="255"/>
      <c r="V200" s="287"/>
      <c r="W200" s="250"/>
      <c r="X200" s="257"/>
      <c r="Y200" s="255"/>
      <c r="Z200" s="288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60"/>
      <c r="AS200" s="202"/>
    </row>
    <row r="201" spans="1:45" ht="13.5" customHeight="1">
      <c r="A201" s="202"/>
      <c r="B201" s="285"/>
      <c r="C201" s="242">
        <v>18</v>
      </c>
      <c r="D201" s="226">
        <v>98</v>
      </c>
      <c r="E201" s="243" t="s">
        <v>712</v>
      </c>
      <c r="F201" s="242" t="s">
        <v>711</v>
      </c>
      <c r="G201" s="242" t="s">
        <v>43</v>
      </c>
      <c r="H201" s="253">
        <v>17533068</v>
      </c>
      <c r="I201" s="242">
        <v>86</v>
      </c>
      <c r="J201" s="230">
        <f ca="1">+DATEDIF(I201,TODAY(),"Y")</f>
        <v>126</v>
      </c>
      <c r="K201" s="254" t="s">
        <v>713</v>
      </c>
      <c r="L201" s="244">
        <v>4241472552</v>
      </c>
      <c r="M201" s="245" t="s">
        <v>2563</v>
      </c>
      <c r="N201" s="243"/>
      <c r="O201" s="246"/>
      <c r="P201" s="247"/>
      <c r="Q201" s="247"/>
      <c r="R201" s="248" t="s">
        <v>657</v>
      </c>
      <c r="S201" s="248" t="s">
        <v>690</v>
      </c>
      <c r="T201" s="248" t="s">
        <v>715</v>
      </c>
      <c r="U201" s="255" t="s">
        <v>716</v>
      </c>
      <c r="V201" s="249">
        <v>300</v>
      </c>
      <c r="W201" s="250" t="s">
        <v>78</v>
      </c>
      <c r="X201" s="257">
        <v>45331</v>
      </c>
      <c r="Y201" s="248" t="s">
        <v>657</v>
      </c>
      <c r="Z201" s="288">
        <v>300</v>
      </c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60"/>
      <c r="AS201" s="202"/>
    </row>
    <row r="202" spans="1:45" ht="13.5" customHeight="1">
      <c r="A202" s="202"/>
      <c r="B202" s="285"/>
      <c r="C202" s="242"/>
      <c r="D202" s="242"/>
      <c r="E202" s="243"/>
      <c r="F202" s="242"/>
      <c r="G202" s="242"/>
      <c r="H202" s="253"/>
      <c r="I202" s="242"/>
      <c r="J202" s="230"/>
      <c r="K202" s="242"/>
      <c r="L202" s="244"/>
      <c r="M202" s="245"/>
      <c r="N202" s="243"/>
      <c r="O202" s="246"/>
      <c r="P202" s="247"/>
      <c r="Q202" s="247"/>
      <c r="R202" s="248"/>
      <c r="S202" s="248"/>
      <c r="T202" s="248"/>
      <c r="U202" s="255"/>
      <c r="V202" s="249"/>
      <c r="W202" s="250"/>
      <c r="X202" s="257"/>
      <c r="Y202" s="248"/>
      <c r="Z202" s="288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60"/>
      <c r="AS202" s="202"/>
    </row>
    <row r="203" spans="1:45" ht="13.5" customHeight="1">
      <c r="A203" s="202"/>
      <c r="B203" s="285"/>
      <c r="C203" s="242">
        <v>19</v>
      </c>
      <c r="D203" s="226">
        <v>99</v>
      </c>
      <c r="E203" s="243" t="s">
        <v>718</v>
      </c>
      <c r="F203" s="242" t="s">
        <v>717</v>
      </c>
      <c r="G203" s="242" t="s">
        <v>43</v>
      </c>
      <c r="H203" s="253">
        <v>36038273</v>
      </c>
      <c r="I203" s="242">
        <v>41761</v>
      </c>
      <c r="J203" s="230">
        <f ca="1">+DATEDIF(I203,TODAY(),"Y")</f>
        <v>12</v>
      </c>
      <c r="K203" s="247"/>
      <c r="L203" s="244"/>
      <c r="M203" s="245" t="s">
        <v>719</v>
      </c>
      <c r="N203" s="243" t="s">
        <v>720</v>
      </c>
      <c r="O203" s="246">
        <v>16286872</v>
      </c>
      <c r="P203" s="247">
        <v>4140250526</v>
      </c>
      <c r="Q203" s="247"/>
      <c r="R203" s="248" t="s">
        <v>369</v>
      </c>
      <c r="S203" s="248" t="s">
        <v>721</v>
      </c>
      <c r="T203" s="248" t="s">
        <v>715</v>
      </c>
      <c r="U203" s="255"/>
      <c r="V203" s="249">
        <v>300</v>
      </c>
      <c r="W203" s="250" t="s">
        <v>649</v>
      </c>
      <c r="X203" s="257">
        <v>45331</v>
      </c>
      <c r="Y203" s="248" t="s">
        <v>369</v>
      </c>
      <c r="Z203" s="250">
        <v>300</v>
      </c>
      <c r="AA203" s="242"/>
      <c r="AB203" s="242"/>
      <c r="AC203" s="250"/>
      <c r="AD203" s="242"/>
      <c r="AE203" s="242"/>
      <c r="AF203" s="250"/>
      <c r="AG203" s="242"/>
      <c r="AH203" s="242"/>
      <c r="AI203" s="250"/>
      <c r="AJ203" s="251"/>
      <c r="AK203" s="251"/>
      <c r="AL203" s="251"/>
      <c r="AM203" s="251"/>
      <c r="AN203" s="251"/>
      <c r="AO203" s="251"/>
      <c r="AP203" s="251"/>
      <c r="AQ203" s="251"/>
      <c r="AR203" s="260"/>
      <c r="AS203" s="202"/>
    </row>
    <row r="204" spans="1:45" ht="13.5" customHeight="1">
      <c r="A204" s="202"/>
      <c r="B204" s="285"/>
      <c r="C204" s="242"/>
      <c r="D204" s="242"/>
      <c r="E204" s="243"/>
      <c r="F204" s="242"/>
      <c r="G204" s="242"/>
      <c r="H204" s="253"/>
      <c r="I204" s="242"/>
      <c r="J204" s="230"/>
      <c r="K204" s="247"/>
      <c r="L204" s="244"/>
      <c r="M204" s="245"/>
      <c r="N204" s="243"/>
      <c r="O204" s="246"/>
      <c r="P204" s="247"/>
      <c r="Q204" s="247"/>
      <c r="R204" s="248"/>
      <c r="S204" s="248"/>
      <c r="T204" s="248"/>
      <c r="U204" s="255"/>
      <c r="V204" s="249"/>
      <c r="W204" s="250"/>
      <c r="X204" s="257"/>
      <c r="Y204" s="248"/>
      <c r="Z204" s="250"/>
      <c r="AA204" s="242"/>
      <c r="AB204" s="242"/>
      <c r="AC204" s="250"/>
      <c r="AD204" s="242"/>
      <c r="AE204" s="242"/>
      <c r="AF204" s="250"/>
      <c r="AG204" s="242"/>
      <c r="AH204" s="242"/>
      <c r="AI204" s="250"/>
      <c r="AJ204" s="251"/>
      <c r="AK204" s="251"/>
      <c r="AL204" s="251"/>
      <c r="AM204" s="251"/>
      <c r="AN204" s="251"/>
      <c r="AO204" s="251"/>
      <c r="AP204" s="251"/>
      <c r="AQ204" s="251"/>
      <c r="AR204" s="260"/>
      <c r="AS204" s="202"/>
    </row>
    <row r="205" spans="1:45" ht="13.5" customHeight="1">
      <c r="A205" s="202"/>
      <c r="B205" s="285"/>
      <c r="C205" s="242">
        <v>20</v>
      </c>
      <c r="D205" s="226">
        <v>100</v>
      </c>
      <c r="E205" s="243" t="s">
        <v>723</v>
      </c>
      <c r="F205" s="242" t="s">
        <v>722</v>
      </c>
      <c r="G205" s="242" t="s">
        <v>43</v>
      </c>
      <c r="H205" s="253">
        <v>30936611</v>
      </c>
      <c r="I205" s="242">
        <v>38430</v>
      </c>
      <c r="J205" s="230">
        <f ca="1">+DATEDIF(I205,TODAY(),"Y")</f>
        <v>21</v>
      </c>
      <c r="K205" s="254" t="s">
        <v>724</v>
      </c>
      <c r="L205" s="244">
        <v>4120193934</v>
      </c>
      <c r="M205" s="245" t="s">
        <v>725</v>
      </c>
      <c r="N205" s="243"/>
      <c r="O205" s="246"/>
      <c r="P205" s="247"/>
      <c r="Q205" s="247"/>
      <c r="R205" s="248" t="s">
        <v>544</v>
      </c>
      <c r="S205" s="248" t="s">
        <v>726</v>
      </c>
      <c r="T205" s="248"/>
      <c r="U205" s="255"/>
      <c r="V205" s="249">
        <v>300</v>
      </c>
      <c r="W205" s="250" t="s">
        <v>649</v>
      </c>
      <c r="X205" s="257">
        <v>45332</v>
      </c>
      <c r="Y205" s="255" t="s">
        <v>76</v>
      </c>
      <c r="Z205" s="288">
        <v>300</v>
      </c>
      <c r="AA205" s="251"/>
      <c r="AB205" s="251"/>
      <c r="AC205" s="251"/>
      <c r="AD205" s="242"/>
      <c r="AE205" s="242"/>
      <c r="AF205" s="250"/>
      <c r="AG205" s="251"/>
      <c r="AH205" s="251"/>
      <c r="AI205" s="251"/>
      <c r="AJ205" s="251"/>
      <c r="AK205" s="251"/>
      <c r="AL205" s="251"/>
      <c r="AM205" s="251"/>
      <c r="AN205" s="251"/>
      <c r="AO205" s="251"/>
      <c r="AP205" s="251"/>
      <c r="AQ205" s="251"/>
      <c r="AR205" s="260"/>
      <c r="AS205" s="202"/>
    </row>
    <row r="206" spans="1:45" ht="13.5" customHeight="1">
      <c r="A206" s="202"/>
      <c r="B206" s="291"/>
      <c r="C206" s="264"/>
      <c r="D206" s="242"/>
      <c r="E206" s="265"/>
      <c r="F206" s="264"/>
      <c r="G206" s="264"/>
      <c r="H206" s="266"/>
      <c r="I206" s="264"/>
      <c r="J206" s="230"/>
      <c r="K206" s="267"/>
      <c r="L206" s="268"/>
      <c r="M206" s="269"/>
      <c r="N206" s="265"/>
      <c r="O206" s="270"/>
      <c r="P206" s="267"/>
      <c r="Q206" s="267"/>
      <c r="R206" s="271"/>
      <c r="S206" s="271"/>
      <c r="T206" s="271"/>
      <c r="U206" s="292"/>
      <c r="V206" s="272"/>
      <c r="W206" s="273"/>
      <c r="X206" s="295"/>
      <c r="Y206" s="292"/>
      <c r="Z206" s="296"/>
      <c r="AA206" s="274"/>
      <c r="AB206" s="274"/>
      <c r="AC206" s="274"/>
      <c r="AD206" s="264"/>
      <c r="AE206" s="264"/>
      <c r="AF206" s="273"/>
      <c r="AG206" s="274"/>
      <c r="AH206" s="274"/>
      <c r="AI206" s="274"/>
      <c r="AJ206" s="274"/>
      <c r="AK206" s="274"/>
      <c r="AL206" s="274"/>
      <c r="AM206" s="274"/>
      <c r="AN206" s="274"/>
      <c r="AO206" s="274"/>
      <c r="AP206" s="274"/>
      <c r="AQ206" s="274"/>
      <c r="AR206" s="275"/>
      <c r="AS206" s="202"/>
    </row>
    <row r="207" spans="1:45" ht="13.5" customHeight="1">
      <c r="A207" s="202"/>
      <c r="B207" s="276" t="s">
        <v>727</v>
      </c>
      <c r="C207" s="226">
        <v>1</v>
      </c>
      <c r="D207" s="226">
        <v>101</v>
      </c>
      <c r="E207" s="227" t="s">
        <v>729</v>
      </c>
      <c r="F207" s="226"/>
      <c r="G207" s="226" t="s">
        <v>43</v>
      </c>
      <c r="H207" s="228">
        <v>32453106</v>
      </c>
      <c r="I207" s="226">
        <v>39748</v>
      </c>
      <c r="J207" s="230">
        <f ca="1">+DATEDIF(I207,TODAY(),"Y")</f>
        <v>17</v>
      </c>
      <c r="K207" s="231" t="s">
        <v>730</v>
      </c>
      <c r="L207" s="232" t="s">
        <v>731</v>
      </c>
      <c r="M207" s="233" t="s">
        <v>732</v>
      </c>
      <c r="N207" s="227" t="s">
        <v>733</v>
      </c>
      <c r="O207" s="234">
        <v>18740602</v>
      </c>
      <c r="P207" s="235" t="s">
        <v>731</v>
      </c>
      <c r="Q207" s="231" t="s">
        <v>730</v>
      </c>
      <c r="R207" s="236"/>
      <c r="S207" s="236" t="s">
        <v>696</v>
      </c>
      <c r="T207" s="236"/>
      <c r="U207" s="280"/>
      <c r="V207" s="281">
        <v>300</v>
      </c>
      <c r="W207" s="238" t="s">
        <v>78</v>
      </c>
      <c r="X207" s="235">
        <v>45337</v>
      </c>
      <c r="Y207" s="280"/>
      <c r="Z207" s="283">
        <v>300</v>
      </c>
      <c r="AA207" s="226"/>
      <c r="AB207" s="226"/>
      <c r="AC207" s="238"/>
      <c r="AD207" s="226"/>
      <c r="AE207" s="226"/>
      <c r="AF207" s="238"/>
      <c r="AG207" s="239"/>
      <c r="AH207" s="239"/>
      <c r="AI207" s="239"/>
      <c r="AJ207" s="239"/>
      <c r="AK207" s="239"/>
      <c r="AL207" s="239"/>
      <c r="AM207" s="239"/>
      <c r="AN207" s="239"/>
      <c r="AO207" s="239"/>
      <c r="AP207" s="239"/>
      <c r="AQ207" s="239"/>
      <c r="AR207" s="284"/>
      <c r="AS207" s="202"/>
    </row>
    <row r="208" spans="1:45" ht="13.5" customHeight="1">
      <c r="A208" s="202"/>
      <c r="B208" s="285"/>
      <c r="C208" s="242"/>
      <c r="D208" s="242"/>
      <c r="E208" s="243"/>
      <c r="F208" s="242"/>
      <c r="G208" s="242"/>
      <c r="H208" s="242"/>
      <c r="I208" s="242"/>
      <c r="J208" s="230"/>
      <c r="K208" s="254"/>
      <c r="L208" s="244"/>
      <c r="M208" s="245"/>
      <c r="N208" s="243"/>
      <c r="O208" s="246"/>
      <c r="P208" s="247"/>
      <c r="Q208" s="254"/>
      <c r="R208" s="248"/>
      <c r="S208" s="248"/>
      <c r="T208" s="248"/>
      <c r="U208" s="255"/>
      <c r="V208" s="287"/>
      <c r="W208" s="250"/>
      <c r="X208" s="247"/>
      <c r="Y208" s="255"/>
      <c r="Z208" s="288"/>
      <c r="AA208" s="242"/>
      <c r="AB208" s="242"/>
      <c r="AC208" s="250"/>
      <c r="AD208" s="242"/>
      <c r="AE208" s="242"/>
      <c r="AF208" s="250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60"/>
      <c r="AS208" s="202"/>
    </row>
    <row r="209" spans="1:45" ht="13.5" customHeight="1">
      <c r="A209" s="202"/>
      <c r="B209" s="285"/>
      <c r="C209" s="242">
        <v>2</v>
      </c>
      <c r="D209" s="226">
        <v>102</v>
      </c>
      <c r="E209" s="243" t="s">
        <v>735</v>
      </c>
      <c r="F209" s="304"/>
      <c r="G209" s="242" t="s">
        <v>43</v>
      </c>
      <c r="H209" s="253"/>
      <c r="I209" s="242">
        <v>43130</v>
      </c>
      <c r="J209" s="230">
        <f ca="1">+DATEDIF(I209,TODAY(),"Y")</f>
        <v>8</v>
      </c>
      <c r="K209" s="254" t="s">
        <v>736</v>
      </c>
      <c r="L209" s="244">
        <v>4123685620</v>
      </c>
      <c r="M209" s="245" t="s">
        <v>737</v>
      </c>
      <c r="N209" s="243" t="s">
        <v>738</v>
      </c>
      <c r="O209" s="246">
        <v>16394794</v>
      </c>
      <c r="P209" s="247">
        <v>4123685620</v>
      </c>
      <c r="Q209" s="254" t="s">
        <v>739</v>
      </c>
      <c r="R209" s="248" t="s">
        <v>740</v>
      </c>
      <c r="S209" s="248" t="s">
        <v>741</v>
      </c>
      <c r="T209" s="248" t="s">
        <v>706</v>
      </c>
      <c r="U209" s="255"/>
      <c r="V209" s="287">
        <v>300</v>
      </c>
      <c r="W209" s="250" t="s">
        <v>78</v>
      </c>
      <c r="X209" s="257">
        <v>45339</v>
      </c>
      <c r="Y209" s="255" t="s">
        <v>2564</v>
      </c>
      <c r="Z209" s="288">
        <v>50</v>
      </c>
      <c r="AA209" s="242"/>
      <c r="AB209" s="242"/>
      <c r="AC209" s="250"/>
      <c r="AD209" s="242"/>
      <c r="AE209" s="242"/>
      <c r="AF209" s="250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60"/>
      <c r="AS209" s="202"/>
    </row>
    <row r="210" spans="1:45" ht="13.5" customHeight="1">
      <c r="A210" s="202"/>
      <c r="B210" s="285"/>
      <c r="C210" s="242"/>
      <c r="D210" s="242"/>
      <c r="E210" s="243"/>
      <c r="F210" s="304"/>
      <c r="G210" s="242"/>
      <c r="H210" s="253"/>
      <c r="I210" s="242"/>
      <c r="J210" s="230"/>
      <c r="K210" s="254"/>
      <c r="L210" s="244"/>
      <c r="M210" s="245"/>
      <c r="N210" s="243"/>
      <c r="O210" s="246"/>
      <c r="P210" s="247"/>
      <c r="Q210" s="247"/>
      <c r="R210" s="248"/>
      <c r="S210" s="248"/>
      <c r="T210" s="248"/>
      <c r="U210" s="255"/>
      <c r="V210" s="287"/>
      <c r="W210" s="250"/>
      <c r="X210" s="257"/>
      <c r="Y210" s="255"/>
      <c r="Z210" s="288"/>
      <c r="AA210" s="242"/>
      <c r="AB210" s="242"/>
      <c r="AC210" s="250"/>
      <c r="AD210" s="242"/>
      <c r="AE210" s="242"/>
      <c r="AF210" s="250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60"/>
      <c r="AS210" s="202"/>
    </row>
    <row r="211" spans="1:45" ht="13.5" customHeight="1">
      <c r="A211" s="202"/>
      <c r="B211" s="285"/>
      <c r="C211" s="242">
        <v>3</v>
      </c>
      <c r="D211" s="226">
        <v>103</v>
      </c>
      <c r="E211" s="243" t="s">
        <v>744</v>
      </c>
      <c r="F211" s="304"/>
      <c r="G211" s="242" t="s">
        <v>43</v>
      </c>
      <c r="H211" s="253">
        <v>29622244</v>
      </c>
      <c r="I211" s="242">
        <v>37223</v>
      </c>
      <c r="J211" s="230">
        <f ca="1">+DATEDIF(I211,TODAY(),"Y")</f>
        <v>24</v>
      </c>
      <c r="K211" s="247"/>
      <c r="L211" s="244" t="s">
        <v>745</v>
      </c>
      <c r="M211" s="245" t="s">
        <v>746</v>
      </c>
      <c r="N211" s="243" t="s">
        <v>747</v>
      </c>
      <c r="O211" s="246">
        <v>13726233</v>
      </c>
      <c r="P211" s="247" t="s">
        <v>745</v>
      </c>
      <c r="Q211" s="254" t="s">
        <v>748</v>
      </c>
      <c r="R211" s="248" t="s">
        <v>657</v>
      </c>
      <c r="S211" s="248" t="s">
        <v>749</v>
      </c>
      <c r="T211" s="248" t="s">
        <v>706</v>
      </c>
      <c r="U211" s="255"/>
      <c r="V211" s="287">
        <v>480</v>
      </c>
      <c r="W211" s="250" t="s">
        <v>78</v>
      </c>
      <c r="X211" s="257">
        <v>45341</v>
      </c>
      <c r="Y211" s="255" t="s">
        <v>750</v>
      </c>
      <c r="Z211" s="288">
        <v>120</v>
      </c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60"/>
      <c r="AS211" s="202"/>
    </row>
    <row r="212" spans="1:45" ht="13.5" customHeight="1">
      <c r="A212" s="202"/>
      <c r="B212" s="285"/>
      <c r="C212" s="242"/>
      <c r="D212" s="242"/>
      <c r="E212" s="243"/>
      <c r="F212" s="304"/>
      <c r="G212" s="242"/>
      <c r="H212" s="253"/>
      <c r="I212" s="242"/>
      <c r="J212" s="230"/>
      <c r="K212" s="254" t="s">
        <v>2565</v>
      </c>
      <c r="L212" s="244"/>
      <c r="M212" s="245"/>
      <c r="N212" s="243"/>
      <c r="O212" s="246"/>
      <c r="P212" s="247"/>
      <c r="Q212" s="247"/>
      <c r="R212" s="248"/>
      <c r="S212" s="248"/>
      <c r="T212" s="248"/>
      <c r="U212" s="255"/>
      <c r="V212" s="287"/>
      <c r="W212" s="250"/>
      <c r="X212" s="257"/>
      <c r="Y212" s="255"/>
      <c r="Z212" s="288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60"/>
      <c r="AS212" s="202"/>
    </row>
    <row r="213" spans="1:45" ht="13.5" customHeight="1">
      <c r="A213" s="202"/>
      <c r="B213" s="285"/>
      <c r="C213" s="242">
        <v>4</v>
      </c>
      <c r="D213" s="226">
        <v>104</v>
      </c>
      <c r="E213" s="243" t="s">
        <v>752</v>
      </c>
      <c r="F213" s="304"/>
      <c r="G213" s="242" t="s">
        <v>43</v>
      </c>
      <c r="H213" s="253">
        <v>30318533</v>
      </c>
      <c r="I213" s="242">
        <v>38350</v>
      </c>
      <c r="J213" s="230">
        <f ca="1">+DATEDIF(I213,TODAY(),"Y")</f>
        <v>21</v>
      </c>
      <c r="K213" s="254" t="s">
        <v>753</v>
      </c>
      <c r="L213" s="244" t="s">
        <v>754</v>
      </c>
      <c r="M213" s="245" t="s">
        <v>746</v>
      </c>
      <c r="N213" s="243" t="s">
        <v>747</v>
      </c>
      <c r="O213" s="246">
        <v>13726233</v>
      </c>
      <c r="P213" s="247" t="s">
        <v>745</v>
      </c>
      <c r="Q213" s="254" t="s">
        <v>748</v>
      </c>
      <c r="R213" s="248" t="s">
        <v>657</v>
      </c>
      <c r="S213" s="248" t="s">
        <v>749</v>
      </c>
      <c r="T213" s="248" t="s">
        <v>706</v>
      </c>
      <c r="U213" s="255"/>
      <c r="V213" s="249">
        <v>480</v>
      </c>
      <c r="W213" s="250" t="s">
        <v>78</v>
      </c>
      <c r="X213" s="257">
        <v>45341</v>
      </c>
      <c r="Y213" s="255" t="s">
        <v>750</v>
      </c>
      <c r="Z213" s="250">
        <v>120</v>
      </c>
      <c r="AA213" s="251"/>
      <c r="AB213" s="251"/>
      <c r="AC213" s="251"/>
      <c r="AD213" s="242"/>
      <c r="AE213" s="242"/>
      <c r="AF213" s="250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60"/>
      <c r="AS213" s="202"/>
    </row>
    <row r="214" spans="1:45" ht="13.5" customHeight="1">
      <c r="A214" s="202"/>
      <c r="B214" s="285"/>
      <c r="C214" s="242"/>
      <c r="D214" s="242"/>
      <c r="E214" s="243"/>
      <c r="F214" s="304"/>
      <c r="G214" s="242"/>
      <c r="H214" s="253"/>
      <c r="I214" s="242"/>
      <c r="J214" s="230"/>
      <c r="K214" s="242"/>
      <c r="L214" s="244"/>
      <c r="M214" s="245"/>
      <c r="N214" s="243"/>
      <c r="O214" s="246"/>
      <c r="P214" s="247"/>
      <c r="Q214" s="247"/>
      <c r="R214" s="248"/>
      <c r="S214" s="248"/>
      <c r="T214" s="248"/>
      <c r="U214" s="255"/>
      <c r="V214" s="249"/>
      <c r="W214" s="250"/>
      <c r="X214" s="257"/>
      <c r="Y214" s="255"/>
      <c r="Z214" s="250"/>
      <c r="AA214" s="251"/>
      <c r="AB214" s="251"/>
      <c r="AC214" s="251"/>
      <c r="AD214" s="242"/>
      <c r="AE214" s="242"/>
      <c r="AF214" s="250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60"/>
      <c r="AS214" s="202"/>
    </row>
    <row r="215" spans="1:45" ht="13.5" customHeight="1">
      <c r="A215" s="202"/>
      <c r="B215" s="285"/>
      <c r="C215" s="242">
        <v>5</v>
      </c>
      <c r="D215" s="226">
        <v>105</v>
      </c>
      <c r="E215" s="243" t="s">
        <v>756</v>
      </c>
      <c r="F215" s="304"/>
      <c r="G215" s="242" t="s">
        <v>43</v>
      </c>
      <c r="H215" s="253">
        <v>36023617</v>
      </c>
      <c r="I215" s="242">
        <v>41614</v>
      </c>
      <c r="J215" s="230">
        <f ca="1">+DATEDIF(I215,TODAY(),"Y")</f>
        <v>12</v>
      </c>
      <c r="K215" s="254" t="s">
        <v>757</v>
      </c>
      <c r="L215" s="244" t="s">
        <v>758</v>
      </c>
      <c r="M215" s="245" t="s">
        <v>759</v>
      </c>
      <c r="N215" s="243" t="s">
        <v>760</v>
      </c>
      <c r="O215" s="246">
        <v>16370424</v>
      </c>
      <c r="P215" s="247" t="s">
        <v>758</v>
      </c>
      <c r="Q215" s="254" t="s">
        <v>757</v>
      </c>
      <c r="R215" s="248" t="s">
        <v>369</v>
      </c>
      <c r="S215" s="248" t="s">
        <v>761</v>
      </c>
      <c r="T215" s="248"/>
      <c r="U215" s="255"/>
      <c r="V215" s="249">
        <v>280</v>
      </c>
      <c r="W215" s="250" t="s">
        <v>78</v>
      </c>
      <c r="X215" s="247">
        <v>45342</v>
      </c>
      <c r="Y215" s="248" t="s">
        <v>369</v>
      </c>
      <c r="Z215" s="250">
        <v>280</v>
      </c>
      <c r="AA215" s="242"/>
      <c r="AB215" s="242"/>
      <c r="AC215" s="250"/>
      <c r="AD215" s="242"/>
      <c r="AE215" s="242"/>
      <c r="AF215" s="250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60"/>
      <c r="AS215" s="202"/>
    </row>
    <row r="216" spans="1:45" ht="13.5" customHeight="1">
      <c r="A216" s="202"/>
      <c r="B216" s="285"/>
      <c r="C216" s="242"/>
      <c r="D216" s="242"/>
      <c r="E216" s="243"/>
      <c r="F216" s="304"/>
      <c r="G216" s="242"/>
      <c r="H216" s="242"/>
      <c r="I216" s="242"/>
      <c r="J216" s="230"/>
      <c r="K216" s="247"/>
      <c r="L216" s="244"/>
      <c r="M216" s="245"/>
      <c r="N216" s="243"/>
      <c r="O216" s="246"/>
      <c r="P216" s="247"/>
      <c r="Q216" s="247"/>
      <c r="R216" s="248"/>
      <c r="S216" s="248"/>
      <c r="T216" s="248"/>
      <c r="U216" s="255"/>
      <c r="V216" s="249"/>
      <c r="W216" s="250"/>
      <c r="X216" s="247"/>
      <c r="Y216" s="248"/>
      <c r="Z216" s="250"/>
      <c r="AA216" s="242"/>
      <c r="AB216" s="242"/>
      <c r="AC216" s="250"/>
      <c r="AD216" s="242"/>
      <c r="AE216" s="242"/>
      <c r="AF216" s="250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60"/>
      <c r="AS216" s="202"/>
    </row>
    <row r="217" spans="1:45" ht="13.5" customHeight="1">
      <c r="A217" s="202"/>
      <c r="B217" s="285"/>
      <c r="C217" s="242">
        <v>6</v>
      </c>
      <c r="D217" s="226">
        <v>106</v>
      </c>
      <c r="E217" s="243" t="s">
        <v>763</v>
      </c>
      <c r="F217" s="304"/>
      <c r="G217" s="242" t="s">
        <v>43</v>
      </c>
      <c r="H217" s="253">
        <v>36023618</v>
      </c>
      <c r="I217" s="242">
        <v>41124</v>
      </c>
      <c r="J217" s="230">
        <f ca="1">+DATEDIF(I217,TODAY(),"Y")</f>
        <v>13</v>
      </c>
      <c r="K217" s="254" t="s">
        <v>757</v>
      </c>
      <c r="L217" s="244" t="s">
        <v>758</v>
      </c>
      <c r="M217" s="245" t="s">
        <v>759</v>
      </c>
      <c r="N217" s="243" t="s">
        <v>760</v>
      </c>
      <c r="O217" s="246">
        <v>16370424</v>
      </c>
      <c r="P217" s="247" t="s">
        <v>758</v>
      </c>
      <c r="Q217" s="254" t="s">
        <v>757</v>
      </c>
      <c r="R217" s="248" t="s">
        <v>764</v>
      </c>
      <c r="S217" s="248" t="s">
        <v>761</v>
      </c>
      <c r="T217" s="248"/>
      <c r="U217" s="255"/>
      <c r="V217" s="249">
        <v>280</v>
      </c>
      <c r="W217" s="250" t="s">
        <v>78</v>
      </c>
      <c r="X217" s="247">
        <v>45342</v>
      </c>
      <c r="Y217" s="248" t="s">
        <v>369</v>
      </c>
      <c r="Z217" s="250">
        <v>280</v>
      </c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60"/>
      <c r="AS217" s="202"/>
    </row>
    <row r="218" spans="1:45" ht="13.5" customHeight="1">
      <c r="A218" s="202"/>
      <c r="B218" s="285"/>
      <c r="C218" s="242"/>
      <c r="D218" s="242"/>
      <c r="E218" s="243"/>
      <c r="F218" s="304"/>
      <c r="G218" s="242"/>
      <c r="H218" s="242"/>
      <c r="I218" s="242"/>
      <c r="J218" s="230"/>
      <c r="K218" s="247"/>
      <c r="L218" s="244"/>
      <c r="M218" s="245"/>
      <c r="N218" s="243"/>
      <c r="O218" s="246"/>
      <c r="P218" s="247"/>
      <c r="Q218" s="247"/>
      <c r="R218" s="248"/>
      <c r="S218" s="248"/>
      <c r="T218" s="248"/>
      <c r="U218" s="255"/>
      <c r="V218" s="249"/>
      <c r="W218" s="250"/>
      <c r="X218" s="247"/>
      <c r="Y218" s="248"/>
      <c r="Z218" s="250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60"/>
      <c r="AS218" s="202"/>
    </row>
    <row r="219" spans="1:45" ht="13.5" customHeight="1">
      <c r="A219" s="202"/>
      <c r="B219" s="285"/>
      <c r="C219" s="242">
        <v>7</v>
      </c>
      <c r="D219" s="226">
        <v>107</v>
      </c>
      <c r="E219" s="243" t="s">
        <v>766</v>
      </c>
      <c r="F219" s="242"/>
      <c r="G219" s="242" t="s">
        <v>43</v>
      </c>
      <c r="H219" s="253">
        <v>19274524</v>
      </c>
      <c r="I219" s="242">
        <v>32520</v>
      </c>
      <c r="J219" s="230">
        <f ca="1">+DATEDIF(I219,TODAY(),"Y")</f>
        <v>37</v>
      </c>
      <c r="K219" s="254" t="s">
        <v>767</v>
      </c>
      <c r="L219" s="244" t="s">
        <v>768</v>
      </c>
      <c r="M219" s="245" t="s">
        <v>769</v>
      </c>
      <c r="N219" s="243"/>
      <c r="O219" s="246"/>
      <c r="P219" s="247"/>
      <c r="Q219" s="242"/>
      <c r="R219" s="248" t="s">
        <v>657</v>
      </c>
      <c r="S219" s="248" t="s">
        <v>770</v>
      </c>
      <c r="T219" s="248" t="s">
        <v>715</v>
      </c>
      <c r="U219" s="255"/>
      <c r="V219" s="249">
        <v>300</v>
      </c>
      <c r="W219" s="250" t="s">
        <v>620</v>
      </c>
      <c r="X219" s="247">
        <v>45345</v>
      </c>
      <c r="Y219" s="255" t="s">
        <v>750</v>
      </c>
      <c r="Z219" s="288">
        <v>300</v>
      </c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60"/>
      <c r="AS219" s="202"/>
    </row>
    <row r="220" spans="1:45" ht="13.5" customHeight="1">
      <c r="A220" s="202"/>
      <c r="B220" s="285"/>
      <c r="C220" s="242"/>
      <c r="D220" s="242"/>
      <c r="E220" s="243"/>
      <c r="F220" s="242"/>
      <c r="G220" s="242"/>
      <c r="H220" s="253"/>
      <c r="I220" s="242"/>
      <c r="J220" s="230"/>
      <c r="K220" s="247"/>
      <c r="L220" s="244"/>
      <c r="M220" s="245"/>
      <c r="N220" s="243"/>
      <c r="O220" s="246"/>
      <c r="P220" s="247"/>
      <c r="Q220" s="242"/>
      <c r="R220" s="248"/>
      <c r="S220" s="248"/>
      <c r="T220" s="248"/>
      <c r="U220" s="255"/>
      <c r="V220" s="249"/>
      <c r="W220" s="250"/>
      <c r="X220" s="247"/>
      <c r="Y220" s="255"/>
      <c r="Z220" s="288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60"/>
      <c r="AS220" s="202"/>
    </row>
    <row r="221" spans="1:45" ht="13.5" customHeight="1">
      <c r="A221" s="202"/>
      <c r="B221" s="285"/>
      <c r="C221" s="242">
        <v>8</v>
      </c>
      <c r="D221" s="226">
        <v>108</v>
      </c>
      <c r="E221" s="243" t="s">
        <v>772</v>
      </c>
      <c r="F221" s="242"/>
      <c r="G221" s="242" t="s">
        <v>43</v>
      </c>
      <c r="H221" s="253">
        <v>33993090</v>
      </c>
      <c r="I221" s="242">
        <v>40759</v>
      </c>
      <c r="J221" s="230">
        <f ca="1">+DATEDIF(I221,TODAY(),"Y")</f>
        <v>14</v>
      </c>
      <c r="K221" s="254" t="s">
        <v>773</v>
      </c>
      <c r="L221" s="244" t="s">
        <v>774</v>
      </c>
      <c r="M221" s="245" t="s">
        <v>775</v>
      </c>
      <c r="N221" s="243" t="s">
        <v>776</v>
      </c>
      <c r="O221" s="246">
        <v>17534389</v>
      </c>
      <c r="P221" s="247" t="s">
        <v>774</v>
      </c>
      <c r="Q221" s="254" t="s">
        <v>773</v>
      </c>
      <c r="R221" s="248" t="s">
        <v>76</v>
      </c>
      <c r="S221" s="248" t="s">
        <v>741</v>
      </c>
      <c r="T221" s="248"/>
      <c r="U221" s="255"/>
      <c r="V221" s="249">
        <v>300</v>
      </c>
      <c r="W221" s="250" t="s">
        <v>777</v>
      </c>
      <c r="X221" s="247">
        <v>45346</v>
      </c>
      <c r="Y221" s="255" t="s">
        <v>778</v>
      </c>
      <c r="Z221" s="288">
        <v>300</v>
      </c>
      <c r="AA221" s="251"/>
      <c r="AB221" s="251"/>
      <c r="AC221" s="251"/>
      <c r="AD221" s="242"/>
      <c r="AE221" s="242"/>
      <c r="AF221" s="250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60"/>
      <c r="AS221" s="202"/>
    </row>
    <row r="222" spans="1:45" ht="13.5" customHeight="1">
      <c r="A222" s="202"/>
      <c r="B222" s="285"/>
      <c r="C222" s="242"/>
      <c r="D222" s="242"/>
      <c r="E222" s="243"/>
      <c r="F222" s="242"/>
      <c r="G222" s="242"/>
      <c r="H222" s="253"/>
      <c r="I222" s="242"/>
      <c r="J222" s="230"/>
      <c r="K222" s="247"/>
      <c r="L222" s="244"/>
      <c r="M222" s="245"/>
      <c r="N222" s="243"/>
      <c r="O222" s="246"/>
      <c r="P222" s="247"/>
      <c r="Q222" s="242"/>
      <c r="R222" s="248"/>
      <c r="S222" s="248"/>
      <c r="T222" s="248"/>
      <c r="U222" s="255"/>
      <c r="V222" s="249"/>
      <c r="W222" s="250"/>
      <c r="X222" s="247"/>
      <c r="Y222" s="255"/>
      <c r="Z222" s="288"/>
      <c r="AA222" s="251"/>
      <c r="AB222" s="251"/>
      <c r="AC222" s="251"/>
      <c r="AD222" s="242"/>
      <c r="AE222" s="242"/>
      <c r="AF222" s="250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60"/>
      <c r="AS222" s="202"/>
    </row>
    <row r="223" spans="1:45" ht="13.5" customHeight="1">
      <c r="A223" s="305"/>
      <c r="B223" s="285"/>
      <c r="C223" s="242">
        <v>9</v>
      </c>
      <c r="D223" s="226">
        <v>109</v>
      </c>
      <c r="E223" s="243" t="s">
        <v>780</v>
      </c>
      <c r="F223" s="304"/>
      <c r="G223" s="242" t="s">
        <v>43</v>
      </c>
      <c r="H223" s="253">
        <v>27222339</v>
      </c>
      <c r="I223" s="242">
        <v>36464</v>
      </c>
      <c r="J223" s="230">
        <f ca="1">+DATEDIF(I223,TODAY(),"Y")</f>
        <v>26</v>
      </c>
      <c r="K223" s="254" t="s">
        <v>781</v>
      </c>
      <c r="L223" s="244" t="s">
        <v>782</v>
      </c>
      <c r="M223" s="245" t="s">
        <v>783</v>
      </c>
      <c r="N223" s="243"/>
      <c r="O223" s="242"/>
      <c r="P223" s="242"/>
      <c r="Q223" s="258"/>
      <c r="R223" s="248" t="s">
        <v>657</v>
      </c>
      <c r="S223" s="248" t="s">
        <v>784</v>
      </c>
      <c r="T223" s="248" t="s">
        <v>785</v>
      </c>
      <c r="U223" s="248"/>
      <c r="V223" s="249" t="s">
        <v>786</v>
      </c>
      <c r="W223" s="250" t="s">
        <v>78</v>
      </c>
      <c r="X223" s="242">
        <v>45348</v>
      </c>
      <c r="Y223" s="248" t="s">
        <v>281</v>
      </c>
      <c r="Z223" s="288">
        <v>300</v>
      </c>
      <c r="AA223" s="242"/>
      <c r="AB223" s="242"/>
      <c r="AC223" s="250"/>
      <c r="AD223" s="242"/>
      <c r="AE223" s="242"/>
      <c r="AF223" s="250"/>
      <c r="AG223" s="306"/>
      <c r="AH223" s="306"/>
      <c r="AI223" s="306"/>
      <c r="AJ223" s="306"/>
      <c r="AK223" s="306"/>
      <c r="AL223" s="306"/>
      <c r="AM223" s="306"/>
      <c r="AN223" s="306"/>
      <c r="AO223" s="306"/>
      <c r="AP223" s="306"/>
      <c r="AQ223" s="306"/>
      <c r="AR223" s="307"/>
      <c r="AS223" s="305"/>
    </row>
    <row r="224" spans="1:45" ht="13.5" customHeight="1">
      <c r="A224" s="305"/>
      <c r="B224" s="285"/>
      <c r="C224" s="242"/>
      <c r="D224" s="242"/>
      <c r="E224" s="243"/>
      <c r="F224" s="304"/>
      <c r="G224" s="242"/>
      <c r="H224" s="253"/>
      <c r="I224" s="242"/>
      <c r="J224" s="230"/>
      <c r="K224" s="242"/>
      <c r="L224" s="244"/>
      <c r="M224" s="245"/>
      <c r="N224" s="243"/>
      <c r="O224" s="242"/>
      <c r="P224" s="242"/>
      <c r="Q224" s="258"/>
      <c r="R224" s="248"/>
      <c r="S224" s="248"/>
      <c r="T224" s="248"/>
      <c r="U224" s="248"/>
      <c r="V224" s="249"/>
      <c r="W224" s="250"/>
      <c r="X224" s="242"/>
      <c r="Y224" s="248"/>
      <c r="Z224" s="288"/>
      <c r="AA224" s="242"/>
      <c r="AB224" s="242"/>
      <c r="AC224" s="250"/>
      <c r="AD224" s="242"/>
      <c r="AE224" s="242"/>
      <c r="AF224" s="250"/>
      <c r="AG224" s="306"/>
      <c r="AH224" s="306"/>
      <c r="AI224" s="306"/>
      <c r="AJ224" s="306"/>
      <c r="AK224" s="306"/>
      <c r="AL224" s="306"/>
      <c r="AM224" s="306"/>
      <c r="AN224" s="306"/>
      <c r="AO224" s="306"/>
      <c r="AP224" s="306"/>
      <c r="AQ224" s="306"/>
      <c r="AR224" s="307"/>
      <c r="AS224" s="305"/>
    </row>
    <row r="225" spans="1:45" ht="13.5" customHeight="1">
      <c r="A225" s="202"/>
      <c r="B225" s="285"/>
      <c r="C225" s="242">
        <v>10</v>
      </c>
      <c r="D225" s="226">
        <v>110</v>
      </c>
      <c r="E225" s="243" t="s">
        <v>788</v>
      </c>
      <c r="F225" s="304"/>
      <c r="G225" s="242" t="s">
        <v>43</v>
      </c>
      <c r="H225" s="253">
        <v>33206839</v>
      </c>
      <c r="I225" s="242">
        <v>39795</v>
      </c>
      <c r="J225" s="230">
        <f ca="1">+DATEDIF(I225,TODAY(),"Y")</f>
        <v>17</v>
      </c>
      <c r="K225" s="254" t="s">
        <v>789</v>
      </c>
      <c r="L225" s="244" t="s">
        <v>790</v>
      </c>
      <c r="M225" s="245" t="s">
        <v>791</v>
      </c>
      <c r="N225" s="243" t="s">
        <v>792</v>
      </c>
      <c r="O225" s="247">
        <v>15107249</v>
      </c>
      <c r="P225" s="246" t="s">
        <v>793</v>
      </c>
      <c r="Q225" s="254" t="s">
        <v>794</v>
      </c>
      <c r="R225" s="248" t="s">
        <v>657</v>
      </c>
      <c r="S225" s="248" t="s">
        <v>795</v>
      </c>
      <c r="T225" s="248" t="s">
        <v>796</v>
      </c>
      <c r="U225" s="255"/>
      <c r="V225" s="249" t="s">
        <v>786</v>
      </c>
      <c r="W225" s="250" t="s">
        <v>78</v>
      </c>
      <c r="X225" s="247">
        <v>45348</v>
      </c>
      <c r="Y225" s="248" t="s">
        <v>778</v>
      </c>
      <c r="Z225" s="250"/>
      <c r="AA225" s="251"/>
      <c r="AB225" s="251"/>
      <c r="AC225" s="251"/>
      <c r="AD225" s="242"/>
      <c r="AE225" s="242"/>
      <c r="AF225" s="250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60"/>
      <c r="AS225" s="202"/>
    </row>
    <row r="226" spans="1:45" ht="13.5" customHeight="1">
      <c r="A226" s="202"/>
      <c r="B226" s="285"/>
      <c r="C226" s="242"/>
      <c r="D226" s="242"/>
      <c r="E226" s="243"/>
      <c r="F226" s="304"/>
      <c r="G226" s="242"/>
      <c r="H226" s="253"/>
      <c r="I226" s="242"/>
      <c r="J226" s="230"/>
      <c r="K226" s="254"/>
      <c r="L226" s="244"/>
      <c r="M226" s="245"/>
      <c r="N226" s="243"/>
      <c r="O226" s="247"/>
      <c r="P226" s="246"/>
      <c r="Q226" s="247"/>
      <c r="R226" s="248"/>
      <c r="S226" s="248"/>
      <c r="T226" s="248"/>
      <c r="U226" s="255"/>
      <c r="V226" s="249"/>
      <c r="W226" s="250"/>
      <c r="X226" s="247"/>
      <c r="Y226" s="248"/>
      <c r="Z226" s="250"/>
      <c r="AA226" s="251"/>
      <c r="AB226" s="251"/>
      <c r="AC226" s="251"/>
      <c r="AD226" s="242"/>
      <c r="AE226" s="242"/>
      <c r="AF226" s="250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60"/>
      <c r="AS226" s="202"/>
    </row>
    <row r="227" spans="1:45" ht="13.5" customHeight="1">
      <c r="A227" s="202"/>
      <c r="B227" s="285"/>
      <c r="C227" s="242">
        <v>11</v>
      </c>
      <c r="D227" s="226">
        <v>111</v>
      </c>
      <c r="E227" s="243" t="s">
        <v>798</v>
      </c>
      <c r="F227" s="308"/>
      <c r="G227" s="242" t="s">
        <v>43</v>
      </c>
      <c r="H227" s="253"/>
      <c r="I227" s="242"/>
      <c r="J227" s="230">
        <f ca="1">+DATEDIF(I227,TODAY(),"Y")</f>
        <v>126</v>
      </c>
      <c r="K227" s="254" t="s">
        <v>313</v>
      </c>
      <c r="L227" s="244" t="s">
        <v>799</v>
      </c>
      <c r="M227" s="245" t="s">
        <v>800</v>
      </c>
      <c r="N227" s="243" t="s">
        <v>315</v>
      </c>
      <c r="O227" s="246">
        <v>15199917</v>
      </c>
      <c r="P227" s="247" t="s">
        <v>799</v>
      </c>
      <c r="Q227" s="254" t="s">
        <v>313</v>
      </c>
      <c r="R227" s="248" t="s">
        <v>369</v>
      </c>
      <c r="S227" s="248" t="s">
        <v>801</v>
      </c>
      <c r="T227" s="248"/>
      <c r="U227" s="248"/>
      <c r="V227" s="249"/>
      <c r="W227" s="250" t="s">
        <v>78</v>
      </c>
      <c r="X227" s="247">
        <v>45351</v>
      </c>
      <c r="Y227" s="248" t="s">
        <v>369</v>
      </c>
      <c r="Z227" s="250"/>
      <c r="AA227" s="251"/>
      <c r="AB227" s="251"/>
      <c r="AC227" s="251"/>
      <c r="AD227" s="242"/>
      <c r="AE227" s="242"/>
      <c r="AF227" s="250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60"/>
      <c r="AS227" s="202"/>
    </row>
    <row r="228" spans="1:45" ht="13.5" customHeight="1">
      <c r="A228" s="202"/>
      <c r="B228" s="285"/>
      <c r="C228" s="242"/>
      <c r="D228" s="242"/>
      <c r="E228" s="243"/>
      <c r="F228" s="308"/>
      <c r="G228" s="242"/>
      <c r="H228" s="253"/>
      <c r="I228" s="242"/>
      <c r="J228" s="230"/>
      <c r="K228" s="247"/>
      <c r="L228" s="244"/>
      <c r="M228" s="245"/>
      <c r="N228" s="243"/>
      <c r="O228" s="246"/>
      <c r="P228" s="247"/>
      <c r="Q228" s="254"/>
      <c r="R228" s="248"/>
      <c r="S228" s="248"/>
      <c r="T228" s="248"/>
      <c r="U228" s="248"/>
      <c r="V228" s="249"/>
      <c r="W228" s="250"/>
      <c r="X228" s="247"/>
      <c r="Y228" s="248"/>
      <c r="Z228" s="250"/>
      <c r="AA228" s="251"/>
      <c r="AB228" s="251"/>
      <c r="AC228" s="251"/>
      <c r="AD228" s="242"/>
      <c r="AE228" s="242"/>
      <c r="AF228" s="250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60"/>
      <c r="AS228" s="202"/>
    </row>
    <row r="229" spans="1:45" ht="13.5" customHeight="1">
      <c r="A229" s="309"/>
      <c r="B229" s="285"/>
      <c r="C229" s="242">
        <v>12</v>
      </c>
      <c r="D229" s="226">
        <v>112</v>
      </c>
      <c r="E229" s="243" t="s">
        <v>803</v>
      </c>
      <c r="F229" s="304"/>
      <c r="G229" s="242" t="s">
        <v>43</v>
      </c>
      <c r="H229" s="253"/>
      <c r="I229" s="242">
        <v>45601</v>
      </c>
      <c r="J229" s="230">
        <f ca="1">+DATEDIF(I229,TODAY(),"Y")</f>
        <v>1</v>
      </c>
      <c r="K229" s="254" t="s">
        <v>804</v>
      </c>
      <c r="L229" s="244" t="s">
        <v>805</v>
      </c>
      <c r="M229" s="245" t="s">
        <v>806</v>
      </c>
      <c r="N229" s="243" t="s">
        <v>807</v>
      </c>
      <c r="O229" s="262">
        <v>18738711</v>
      </c>
      <c r="P229" s="247">
        <v>4127264455</v>
      </c>
      <c r="Q229" s="254" t="s">
        <v>804</v>
      </c>
      <c r="R229" s="248" t="s">
        <v>369</v>
      </c>
      <c r="S229" s="248" t="s">
        <v>741</v>
      </c>
      <c r="T229" s="248" t="s">
        <v>785</v>
      </c>
      <c r="U229" s="255"/>
      <c r="V229" s="249">
        <v>300</v>
      </c>
      <c r="W229" s="250" t="s">
        <v>78</v>
      </c>
      <c r="X229" s="247">
        <v>45352</v>
      </c>
      <c r="Y229" s="248"/>
      <c r="Z229" s="250"/>
      <c r="AA229" s="242"/>
      <c r="AB229" s="242"/>
      <c r="AC229" s="250"/>
      <c r="AD229" s="242"/>
      <c r="AE229" s="242"/>
      <c r="AF229" s="250"/>
      <c r="AG229" s="289"/>
      <c r="AH229" s="289"/>
      <c r="AI229" s="289"/>
      <c r="AJ229" s="289"/>
      <c r="AK229" s="289"/>
      <c r="AL229" s="289"/>
      <c r="AM229" s="289"/>
      <c r="AN229" s="289"/>
      <c r="AO229" s="289"/>
      <c r="AP229" s="289"/>
      <c r="AQ229" s="289"/>
      <c r="AR229" s="310"/>
      <c r="AS229" s="309"/>
    </row>
    <row r="230" spans="1:45" ht="13.5" customHeight="1">
      <c r="A230" s="309"/>
      <c r="B230" s="285"/>
      <c r="C230" s="242"/>
      <c r="D230" s="242"/>
      <c r="E230" s="243"/>
      <c r="F230" s="304"/>
      <c r="G230" s="242"/>
      <c r="H230" s="253"/>
      <c r="I230" s="242"/>
      <c r="J230" s="230"/>
      <c r="K230" s="247"/>
      <c r="L230" s="244"/>
      <c r="M230" s="245"/>
      <c r="N230" s="243"/>
      <c r="O230" s="247"/>
      <c r="P230" s="247"/>
      <c r="Q230" s="247"/>
      <c r="R230" s="248"/>
      <c r="S230" s="248"/>
      <c r="T230" s="248"/>
      <c r="U230" s="255"/>
      <c r="V230" s="249"/>
      <c r="W230" s="250"/>
      <c r="X230" s="247"/>
      <c r="Y230" s="248"/>
      <c r="Z230" s="250"/>
      <c r="AA230" s="242"/>
      <c r="AB230" s="242"/>
      <c r="AC230" s="250"/>
      <c r="AD230" s="242"/>
      <c r="AE230" s="242"/>
      <c r="AF230" s="250"/>
      <c r="AG230" s="289"/>
      <c r="AH230" s="289"/>
      <c r="AI230" s="289"/>
      <c r="AJ230" s="289"/>
      <c r="AK230" s="289"/>
      <c r="AL230" s="289"/>
      <c r="AM230" s="289"/>
      <c r="AN230" s="289"/>
      <c r="AO230" s="289"/>
      <c r="AP230" s="289"/>
      <c r="AQ230" s="289"/>
      <c r="AR230" s="310"/>
      <c r="AS230" s="309"/>
    </row>
    <row r="231" spans="1:45" ht="13.5" customHeight="1">
      <c r="A231" s="309"/>
      <c r="B231" s="285"/>
      <c r="C231" s="242">
        <v>13</v>
      </c>
      <c r="D231" s="226">
        <v>113</v>
      </c>
      <c r="E231" s="243" t="s">
        <v>809</v>
      </c>
      <c r="F231" s="304"/>
      <c r="G231" s="242" t="s">
        <v>43</v>
      </c>
      <c r="H231" s="253">
        <v>33351925</v>
      </c>
      <c r="I231" s="242">
        <v>40277</v>
      </c>
      <c r="J231" s="230">
        <f ca="1">+DATEDIF(I231,TODAY(),"Y")</f>
        <v>16</v>
      </c>
      <c r="K231" s="254" t="s">
        <v>810</v>
      </c>
      <c r="L231" s="244" t="s">
        <v>811</v>
      </c>
      <c r="M231" s="245" t="s">
        <v>812</v>
      </c>
      <c r="N231" s="243" t="s">
        <v>813</v>
      </c>
      <c r="O231" s="246">
        <v>14215015</v>
      </c>
      <c r="P231" s="247">
        <v>4241002715</v>
      </c>
      <c r="Q231" s="254" t="s">
        <v>810</v>
      </c>
      <c r="R231" s="248" t="s">
        <v>814</v>
      </c>
      <c r="S231" s="248" t="s">
        <v>815</v>
      </c>
      <c r="T231" s="248"/>
      <c r="U231" s="248" t="s">
        <v>816</v>
      </c>
      <c r="V231" s="249">
        <v>480</v>
      </c>
      <c r="W231" s="250" t="s">
        <v>78</v>
      </c>
      <c r="X231" s="247">
        <v>45352</v>
      </c>
      <c r="Y231" s="248" t="s">
        <v>369</v>
      </c>
      <c r="Z231" s="250"/>
      <c r="AA231" s="242"/>
      <c r="AB231" s="242"/>
      <c r="AC231" s="250"/>
      <c r="AD231" s="242"/>
      <c r="AE231" s="242"/>
      <c r="AF231" s="250"/>
      <c r="AG231" s="289"/>
      <c r="AH231" s="289"/>
      <c r="AI231" s="289"/>
      <c r="AJ231" s="289"/>
      <c r="AK231" s="289"/>
      <c r="AL231" s="289"/>
      <c r="AM231" s="289"/>
      <c r="AN231" s="289"/>
      <c r="AO231" s="289"/>
      <c r="AP231" s="289"/>
      <c r="AQ231" s="289"/>
      <c r="AR231" s="310"/>
      <c r="AS231" s="309"/>
    </row>
    <row r="232" spans="1:45" ht="13.5" customHeight="1">
      <c r="A232" s="309"/>
      <c r="B232" s="285"/>
      <c r="C232" s="242"/>
      <c r="D232" s="242"/>
      <c r="E232" s="243"/>
      <c r="F232" s="304"/>
      <c r="G232" s="242"/>
      <c r="H232" s="253"/>
      <c r="I232" s="242"/>
      <c r="J232" s="230"/>
      <c r="K232" s="254"/>
      <c r="L232" s="244"/>
      <c r="M232" s="245"/>
      <c r="N232" s="243"/>
      <c r="O232" s="246"/>
      <c r="P232" s="247"/>
      <c r="Q232" s="247"/>
      <c r="R232" s="248"/>
      <c r="S232" s="248"/>
      <c r="T232" s="248"/>
      <c r="U232" s="248"/>
      <c r="V232" s="249"/>
      <c r="W232" s="250"/>
      <c r="X232" s="247"/>
      <c r="Y232" s="248"/>
      <c r="Z232" s="250"/>
      <c r="AA232" s="242"/>
      <c r="AB232" s="242"/>
      <c r="AC232" s="250"/>
      <c r="AD232" s="242"/>
      <c r="AE232" s="242"/>
      <c r="AF232" s="250"/>
      <c r="AG232" s="289"/>
      <c r="AH232" s="289"/>
      <c r="AI232" s="289"/>
      <c r="AJ232" s="289"/>
      <c r="AK232" s="289"/>
      <c r="AL232" s="289"/>
      <c r="AM232" s="289"/>
      <c r="AN232" s="289"/>
      <c r="AO232" s="289"/>
      <c r="AP232" s="289"/>
      <c r="AQ232" s="289"/>
      <c r="AR232" s="310"/>
      <c r="AS232" s="309"/>
    </row>
    <row r="233" spans="1:45" ht="13.5" customHeight="1">
      <c r="A233" s="202"/>
      <c r="B233" s="285"/>
      <c r="C233" s="242">
        <v>14</v>
      </c>
      <c r="D233" s="226">
        <v>114</v>
      </c>
      <c r="E233" s="243" t="s">
        <v>818</v>
      </c>
      <c r="F233" s="304"/>
      <c r="G233" s="242" t="s">
        <v>43</v>
      </c>
      <c r="H233" s="253">
        <v>32479015</v>
      </c>
      <c r="I233" s="242">
        <v>39619</v>
      </c>
      <c r="J233" s="230">
        <f ca="1">+DATEDIF(I233,TODAY(),"Y")</f>
        <v>17</v>
      </c>
      <c r="K233" s="254" t="s">
        <v>810</v>
      </c>
      <c r="L233" s="244" t="s">
        <v>819</v>
      </c>
      <c r="M233" s="245" t="s">
        <v>812</v>
      </c>
      <c r="N233" s="243" t="s">
        <v>813</v>
      </c>
      <c r="O233" s="246">
        <v>14215015</v>
      </c>
      <c r="P233" s="247">
        <v>4241002715</v>
      </c>
      <c r="Q233" s="257"/>
      <c r="R233" s="248" t="s">
        <v>814</v>
      </c>
      <c r="S233" s="248"/>
      <c r="T233" s="248"/>
      <c r="U233" s="248"/>
      <c r="V233" s="249"/>
      <c r="W233" s="250" t="s">
        <v>78</v>
      </c>
      <c r="X233" s="247">
        <v>45352</v>
      </c>
      <c r="Y233" s="248"/>
      <c r="Z233" s="250"/>
      <c r="AA233" s="242"/>
      <c r="AB233" s="242"/>
      <c r="AC233" s="250"/>
      <c r="AD233" s="242"/>
      <c r="AE233" s="242"/>
      <c r="AF233" s="250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60"/>
      <c r="AS233" s="202"/>
    </row>
    <row r="234" spans="1:45" ht="13.5" customHeight="1">
      <c r="A234" s="202"/>
      <c r="B234" s="285"/>
      <c r="C234" s="242"/>
      <c r="D234" s="242"/>
      <c r="E234" s="243"/>
      <c r="F234" s="304"/>
      <c r="G234" s="242"/>
      <c r="H234" s="253"/>
      <c r="I234" s="242"/>
      <c r="J234" s="230"/>
      <c r="K234" s="254"/>
      <c r="L234" s="244"/>
      <c r="M234" s="245"/>
      <c r="N234" s="243"/>
      <c r="O234" s="246"/>
      <c r="P234" s="247"/>
      <c r="Q234" s="257"/>
      <c r="R234" s="248"/>
      <c r="S234" s="248"/>
      <c r="T234" s="248"/>
      <c r="U234" s="248"/>
      <c r="V234" s="249"/>
      <c r="W234" s="250"/>
      <c r="X234" s="247"/>
      <c r="Y234" s="248"/>
      <c r="Z234" s="250"/>
      <c r="AA234" s="242"/>
      <c r="AB234" s="242"/>
      <c r="AC234" s="250"/>
      <c r="AD234" s="242"/>
      <c r="AE234" s="242"/>
      <c r="AF234" s="250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60"/>
      <c r="AS234" s="202"/>
    </row>
    <row r="235" spans="1:45" ht="13.5" customHeight="1">
      <c r="A235" s="309"/>
      <c r="B235" s="285"/>
      <c r="C235" s="242">
        <v>15</v>
      </c>
      <c r="D235" s="226">
        <v>115</v>
      </c>
      <c r="E235" s="243" t="s">
        <v>821</v>
      </c>
      <c r="F235" s="304"/>
      <c r="G235" s="242" t="s">
        <v>43</v>
      </c>
      <c r="H235" s="253" t="s">
        <v>2566</v>
      </c>
      <c r="I235" s="242">
        <v>45463</v>
      </c>
      <c r="J235" s="230">
        <f ca="1">+DATEDIF(I235,TODAY(),"Y")</f>
        <v>1</v>
      </c>
      <c r="K235" s="254" t="s">
        <v>823</v>
      </c>
      <c r="L235" s="244" t="s">
        <v>824</v>
      </c>
      <c r="M235" s="245"/>
      <c r="N235" s="243"/>
      <c r="O235" s="247"/>
      <c r="P235" s="247"/>
      <c r="Q235" s="247"/>
      <c r="R235" s="248" t="s">
        <v>778</v>
      </c>
      <c r="S235" s="248"/>
      <c r="T235" s="248"/>
      <c r="U235" s="248"/>
      <c r="V235" s="249"/>
      <c r="W235" s="250" t="s">
        <v>777</v>
      </c>
      <c r="X235" s="247">
        <v>45352</v>
      </c>
      <c r="Y235" s="248"/>
      <c r="Z235" s="250"/>
      <c r="AA235" s="242"/>
      <c r="AB235" s="242"/>
      <c r="AC235" s="250"/>
      <c r="AD235" s="242"/>
      <c r="AE235" s="242"/>
      <c r="AF235" s="250"/>
      <c r="AG235" s="289"/>
      <c r="AH235" s="289"/>
      <c r="AI235" s="289"/>
      <c r="AJ235" s="289"/>
      <c r="AK235" s="289"/>
      <c r="AL235" s="289"/>
      <c r="AM235" s="289"/>
      <c r="AN235" s="289"/>
      <c r="AO235" s="289"/>
      <c r="AP235" s="289"/>
      <c r="AQ235" s="289"/>
      <c r="AR235" s="310"/>
      <c r="AS235" s="309"/>
    </row>
    <row r="236" spans="1:45" ht="13.5" customHeight="1">
      <c r="A236" s="309"/>
      <c r="B236" s="285"/>
      <c r="C236" s="242"/>
      <c r="D236" s="242"/>
      <c r="E236" s="243"/>
      <c r="F236" s="304"/>
      <c r="G236" s="242"/>
      <c r="H236" s="253"/>
      <c r="I236" s="242"/>
      <c r="J236" s="230"/>
      <c r="K236" s="254"/>
      <c r="L236" s="244"/>
      <c r="M236" s="245"/>
      <c r="N236" s="243"/>
      <c r="O236" s="247"/>
      <c r="P236" s="247"/>
      <c r="Q236" s="247"/>
      <c r="R236" s="248"/>
      <c r="S236" s="248"/>
      <c r="T236" s="248"/>
      <c r="U236" s="248"/>
      <c r="V236" s="249"/>
      <c r="W236" s="250"/>
      <c r="X236" s="247"/>
      <c r="Y236" s="248"/>
      <c r="Z236" s="250"/>
      <c r="AA236" s="242"/>
      <c r="AB236" s="242"/>
      <c r="AC236" s="250"/>
      <c r="AD236" s="242"/>
      <c r="AE236" s="242"/>
      <c r="AF236" s="250"/>
      <c r="AG236" s="289"/>
      <c r="AH236" s="289"/>
      <c r="AI236" s="289"/>
      <c r="AJ236" s="289"/>
      <c r="AK236" s="289"/>
      <c r="AL236" s="289"/>
      <c r="AM236" s="289"/>
      <c r="AN236" s="289"/>
      <c r="AO236" s="289"/>
      <c r="AP236" s="289"/>
      <c r="AQ236" s="289"/>
      <c r="AR236" s="310"/>
      <c r="AS236" s="309"/>
    </row>
    <row r="237" spans="1:45" ht="13.5" customHeight="1">
      <c r="A237" s="202"/>
      <c r="B237" s="285"/>
      <c r="C237" s="242">
        <v>16</v>
      </c>
      <c r="D237" s="226">
        <v>116</v>
      </c>
      <c r="E237" s="243" t="s">
        <v>826</v>
      </c>
      <c r="F237" s="304"/>
      <c r="G237" s="242" t="s">
        <v>43</v>
      </c>
      <c r="H237" s="253">
        <v>32301598</v>
      </c>
      <c r="I237" s="242">
        <v>38837</v>
      </c>
      <c r="J237" s="230">
        <f ca="1">+DATEDIF(I237,TODAY(),"Y")</f>
        <v>20</v>
      </c>
      <c r="K237" s="254" t="s">
        <v>827</v>
      </c>
      <c r="L237" s="244" t="s">
        <v>828</v>
      </c>
      <c r="M237" s="245" t="s">
        <v>829</v>
      </c>
      <c r="N237" s="243" t="s">
        <v>830</v>
      </c>
      <c r="O237" s="246">
        <v>19147251</v>
      </c>
      <c r="P237" s="242">
        <v>4126330677</v>
      </c>
      <c r="Q237" s="254" t="s">
        <v>831</v>
      </c>
      <c r="R237" s="248" t="s">
        <v>479</v>
      </c>
      <c r="S237" s="248"/>
      <c r="T237" s="248"/>
      <c r="U237" s="248"/>
      <c r="V237" s="249"/>
      <c r="W237" s="250" t="s">
        <v>78</v>
      </c>
      <c r="X237" s="247">
        <v>45353</v>
      </c>
      <c r="Y237" s="248"/>
      <c r="Z237" s="250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60"/>
      <c r="AS237" s="202"/>
    </row>
    <row r="238" spans="1:45" ht="13.5" customHeight="1">
      <c r="A238" s="202"/>
      <c r="B238" s="285"/>
      <c r="C238" s="242"/>
      <c r="D238" s="242"/>
      <c r="E238" s="243"/>
      <c r="F238" s="304"/>
      <c r="G238" s="242"/>
      <c r="H238" s="253"/>
      <c r="I238" s="242"/>
      <c r="J238" s="230"/>
      <c r="K238" s="254"/>
      <c r="L238" s="244"/>
      <c r="M238" s="245"/>
      <c r="N238" s="243"/>
      <c r="O238" s="246"/>
      <c r="P238" s="242"/>
      <c r="Q238" s="247"/>
      <c r="R238" s="248"/>
      <c r="S238" s="248"/>
      <c r="T238" s="248"/>
      <c r="U238" s="248"/>
      <c r="V238" s="249"/>
      <c r="W238" s="250"/>
      <c r="X238" s="247"/>
      <c r="Y238" s="248"/>
      <c r="Z238" s="250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60"/>
      <c r="AS238" s="202"/>
    </row>
    <row r="239" spans="1:45" ht="13.5" customHeight="1">
      <c r="A239" s="311"/>
      <c r="B239" s="285"/>
      <c r="C239" s="242">
        <v>17</v>
      </c>
      <c r="D239" s="226">
        <v>117</v>
      </c>
      <c r="E239" s="243" t="s">
        <v>833</v>
      </c>
      <c r="F239" s="242"/>
      <c r="G239" s="242" t="s">
        <v>43</v>
      </c>
      <c r="H239" s="242"/>
      <c r="I239" s="242">
        <v>42631</v>
      </c>
      <c r="J239" s="230">
        <f ca="1">+DATEDIF(I239,TODAY(),"Y")</f>
        <v>9</v>
      </c>
      <c r="K239" s="254" t="s">
        <v>834</v>
      </c>
      <c r="L239" s="244" t="s">
        <v>835</v>
      </c>
      <c r="M239" s="245" t="s">
        <v>836</v>
      </c>
      <c r="N239" s="243" t="s">
        <v>837</v>
      </c>
      <c r="O239" s="253">
        <v>20115605</v>
      </c>
      <c r="P239" s="242">
        <v>4142408262</v>
      </c>
      <c r="Q239" s="257"/>
      <c r="R239" s="248" t="s">
        <v>369</v>
      </c>
      <c r="S239" s="248"/>
      <c r="T239" s="248"/>
      <c r="U239" s="248"/>
      <c r="V239" s="249"/>
      <c r="W239" s="250" t="s">
        <v>777</v>
      </c>
      <c r="X239" s="247">
        <v>45355</v>
      </c>
      <c r="Y239" s="248"/>
      <c r="Z239" s="250"/>
      <c r="AA239" s="247"/>
      <c r="AB239" s="247"/>
      <c r="AC239" s="247"/>
      <c r="AD239" s="247"/>
      <c r="AE239" s="247"/>
      <c r="AF239" s="247"/>
      <c r="AG239" s="247"/>
      <c r="AH239" s="247"/>
      <c r="AI239" s="247"/>
      <c r="AJ239" s="247"/>
      <c r="AK239" s="247"/>
      <c r="AL239" s="247"/>
      <c r="AM239" s="247"/>
      <c r="AN239" s="247"/>
      <c r="AO239" s="247"/>
      <c r="AP239" s="247"/>
      <c r="AQ239" s="247"/>
      <c r="AR239" s="312"/>
      <c r="AS239" s="311"/>
    </row>
    <row r="240" spans="1:45" ht="13.5" customHeight="1">
      <c r="A240" s="311"/>
      <c r="B240" s="285"/>
      <c r="C240" s="242"/>
      <c r="D240" s="242"/>
      <c r="E240" s="243"/>
      <c r="F240" s="242"/>
      <c r="G240" s="242"/>
      <c r="H240" s="242"/>
      <c r="I240" s="242"/>
      <c r="J240" s="230"/>
      <c r="K240" s="254"/>
      <c r="L240" s="244"/>
      <c r="M240" s="245"/>
      <c r="N240" s="243"/>
      <c r="O240" s="242"/>
      <c r="P240" s="242"/>
      <c r="Q240" s="257"/>
      <c r="R240" s="248"/>
      <c r="S240" s="248"/>
      <c r="T240" s="248"/>
      <c r="U240" s="248"/>
      <c r="V240" s="249"/>
      <c r="W240" s="250"/>
      <c r="X240" s="247"/>
      <c r="Y240" s="248"/>
      <c r="Z240" s="250"/>
      <c r="AA240" s="247"/>
      <c r="AB240" s="247"/>
      <c r="AC240" s="247"/>
      <c r="AD240" s="247"/>
      <c r="AE240" s="247"/>
      <c r="AF240" s="247"/>
      <c r="AG240" s="247"/>
      <c r="AH240" s="247"/>
      <c r="AI240" s="247"/>
      <c r="AJ240" s="247"/>
      <c r="AK240" s="247"/>
      <c r="AL240" s="247"/>
      <c r="AM240" s="247"/>
      <c r="AN240" s="247"/>
      <c r="AO240" s="247"/>
      <c r="AP240" s="247"/>
      <c r="AQ240" s="247"/>
      <c r="AR240" s="312"/>
      <c r="AS240" s="311"/>
    </row>
    <row r="241" spans="1:45" ht="13.5" customHeight="1">
      <c r="A241" s="202"/>
      <c r="B241" s="285"/>
      <c r="C241" s="242">
        <v>18</v>
      </c>
      <c r="D241" s="226">
        <v>118</v>
      </c>
      <c r="E241" s="243" t="s">
        <v>839</v>
      </c>
      <c r="F241" s="304"/>
      <c r="G241" s="242" t="s">
        <v>43</v>
      </c>
      <c r="H241" s="253">
        <v>4850006</v>
      </c>
      <c r="I241" s="258">
        <v>45629</v>
      </c>
      <c r="J241" s="230">
        <f ca="1">+DATEDIF(I241,TODAY(),"Y")</f>
        <v>1</v>
      </c>
      <c r="K241" s="254" t="s">
        <v>840</v>
      </c>
      <c r="L241" s="244" t="s">
        <v>841</v>
      </c>
      <c r="M241" s="245" t="s">
        <v>842</v>
      </c>
      <c r="N241" s="243"/>
      <c r="O241" s="247"/>
      <c r="P241" s="242"/>
      <c r="Q241" s="257"/>
      <c r="R241" s="248" t="s">
        <v>657</v>
      </c>
      <c r="S241" s="248"/>
      <c r="T241" s="248"/>
      <c r="U241" s="248"/>
      <c r="V241" s="249"/>
      <c r="W241" s="250" t="s">
        <v>843</v>
      </c>
      <c r="X241" s="247">
        <v>45358</v>
      </c>
      <c r="Y241" s="248"/>
      <c r="Z241" s="250"/>
      <c r="AA241" s="242"/>
      <c r="AB241" s="242"/>
      <c r="AC241" s="250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60"/>
      <c r="AS241" s="202"/>
    </row>
    <row r="242" spans="1:45" ht="13.5" customHeight="1">
      <c r="A242" s="202"/>
      <c r="B242" s="285"/>
      <c r="C242" s="242"/>
      <c r="D242" s="242"/>
      <c r="E242" s="243"/>
      <c r="F242" s="304"/>
      <c r="G242" s="242"/>
      <c r="H242" s="242"/>
      <c r="I242" s="258"/>
      <c r="J242" s="230"/>
      <c r="K242" s="254"/>
      <c r="L242" s="244"/>
      <c r="M242" s="245"/>
      <c r="N242" s="243"/>
      <c r="O242" s="247"/>
      <c r="P242" s="242"/>
      <c r="Q242" s="257"/>
      <c r="R242" s="248"/>
      <c r="S242" s="248"/>
      <c r="T242" s="248"/>
      <c r="U242" s="248"/>
      <c r="V242" s="249"/>
      <c r="W242" s="250"/>
      <c r="X242" s="247"/>
      <c r="Y242" s="248"/>
      <c r="Z242" s="250"/>
      <c r="AA242" s="242"/>
      <c r="AB242" s="242"/>
      <c r="AC242" s="250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60"/>
      <c r="AS242" s="202"/>
    </row>
    <row r="243" spans="1:45" ht="13.5" customHeight="1">
      <c r="A243" s="202"/>
      <c r="B243" s="285"/>
      <c r="C243" s="242">
        <v>19</v>
      </c>
      <c r="D243" s="226">
        <v>119</v>
      </c>
      <c r="E243" s="243" t="s">
        <v>845</v>
      </c>
      <c r="F243" s="304"/>
      <c r="G243" s="242" t="s">
        <v>43</v>
      </c>
      <c r="H243" s="253"/>
      <c r="I243" s="242">
        <v>45465</v>
      </c>
      <c r="J243" s="230">
        <f ca="1">+DATEDIF(I243,TODAY(),"Y")</f>
        <v>1</v>
      </c>
      <c r="K243" s="254" t="s">
        <v>846</v>
      </c>
      <c r="L243" s="244" t="s">
        <v>847</v>
      </c>
      <c r="M243" s="245" t="s">
        <v>848</v>
      </c>
      <c r="N243" s="243" t="s">
        <v>849</v>
      </c>
      <c r="O243" s="246">
        <v>13910263</v>
      </c>
      <c r="P243" s="247">
        <v>4241103872</v>
      </c>
      <c r="Q243" s="254" t="s">
        <v>850</v>
      </c>
      <c r="R243" s="248" t="s">
        <v>851</v>
      </c>
      <c r="S243" s="248"/>
      <c r="T243" s="248"/>
      <c r="U243" s="248"/>
      <c r="V243" s="249"/>
      <c r="W243" s="250" t="s">
        <v>852</v>
      </c>
      <c r="X243" s="247">
        <v>45365</v>
      </c>
      <c r="Y243" s="248"/>
      <c r="Z243" s="250"/>
      <c r="AA243" s="242"/>
      <c r="AB243" s="242"/>
      <c r="AC243" s="250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60"/>
      <c r="AS243" s="202"/>
    </row>
    <row r="244" spans="1:45" ht="13.5" customHeight="1">
      <c r="A244" s="202"/>
      <c r="B244" s="285"/>
      <c r="C244" s="242"/>
      <c r="D244" s="242"/>
      <c r="E244" s="243"/>
      <c r="F244" s="304"/>
      <c r="G244" s="242"/>
      <c r="H244" s="253"/>
      <c r="I244" s="242"/>
      <c r="J244" s="230"/>
      <c r="K244" s="247"/>
      <c r="L244" s="244"/>
      <c r="M244" s="245"/>
      <c r="N244" s="243"/>
      <c r="O244" s="246"/>
      <c r="P244" s="247"/>
      <c r="Q244" s="247"/>
      <c r="R244" s="248"/>
      <c r="S244" s="248"/>
      <c r="T244" s="248"/>
      <c r="U244" s="248"/>
      <c r="V244" s="249"/>
      <c r="W244" s="250"/>
      <c r="X244" s="247"/>
      <c r="Y244" s="248"/>
      <c r="Z244" s="250"/>
      <c r="AA244" s="242"/>
      <c r="AB244" s="242"/>
      <c r="AC244" s="250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60"/>
      <c r="AS244" s="202"/>
    </row>
    <row r="245" spans="1:45" ht="13.5" customHeight="1">
      <c r="A245" s="8"/>
      <c r="B245" s="285"/>
      <c r="C245" s="242">
        <v>20</v>
      </c>
      <c r="D245" s="226">
        <v>120</v>
      </c>
      <c r="E245" s="243" t="s">
        <v>854</v>
      </c>
      <c r="F245" s="304"/>
      <c r="G245" s="242" t="s">
        <v>43</v>
      </c>
      <c r="H245" s="253">
        <v>36362537</v>
      </c>
      <c r="I245" s="242">
        <v>41761</v>
      </c>
      <c r="J245" s="230">
        <f ca="1">+DATEDIF(I245,TODAY(),"Y")</f>
        <v>12</v>
      </c>
      <c r="K245" s="313" t="s">
        <v>855</v>
      </c>
      <c r="L245" s="244" t="s">
        <v>856</v>
      </c>
      <c r="M245" s="245" t="s">
        <v>857</v>
      </c>
      <c r="N245" s="243" t="s">
        <v>858</v>
      </c>
      <c r="O245" s="253">
        <v>20413885</v>
      </c>
      <c r="P245" s="242">
        <v>4242997997</v>
      </c>
      <c r="Q245" s="254" t="s">
        <v>859</v>
      </c>
      <c r="R245" s="248"/>
      <c r="S245" s="248"/>
      <c r="T245" s="248"/>
      <c r="U245" s="248"/>
      <c r="V245" s="249"/>
      <c r="W245" s="250" t="s">
        <v>649</v>
      </c>
      <c r="X245" s="242">
        <v>45371</v>
      </c>
      <c r="Y245" s="248"/>
      <c r="Z245" s="250"/>
      <c r="AA245" s="242"/>
      <c r="AB245" s="242"/>
      <c r="AC245" s="250"/>
      <c r="AD245" s="304"/>
      <c r="AE245" s="304"/>
      <c r="AF245" s="304"/>
      <c r="AG245" s="304"/>
      <c r="AH245" s="304"/>
      <c r="AI245" s="304"/>
      <c r="AJ245" s="304"/>
      <c r="AK245" s="304"/>
      <c r="AL245" s="304"/>
      <c r="AM245" s="304"/>
      <c r="AN245" s="304"/>
      <c r="AO245" s="304"/>
      <c r="AP245" s="304"/>
      <c r="AQ245" s="304"/>
      <c r="AR245" s="314"/>
      <c r="AS245" s="8"/>
    </row>
    <row r="246" spans="1:45" ht="13.5" customHeight="1">
      <c r="A246" s="8"/>
      <c r="B246" s="291"/>
      <c r="C246" s="264"/>
      <c r="D246" s="242"/>
      <c r="E246" s="265"/>
      <c r="F246" s="315"/>
      <c r="G246" s="264"/>
      <c r="H246" s="266"/>
      <c r="I246" s="264"/>
      <c r="J246" s="230"/>
      <c r="K246" s="316"/>
      <c r="L246" s="268"/>
      <c r="M246" s="269"/>
      <c r="N246" s="265"/>
      <c r="O246" s="264"/>
      <c r="P246" s="264"/>
      <c r="Q246" s="264"/>
      <c r="R246" s="271"/>
      <c r="S246" s="271"/>
      <c r="T246" s="271"/>
      <c r="U246" s="271"/>
      <c r="V246" s="272"/>
      <c r="W246" s="273"/>
      <c r="X246" s="264"/>
      <c r="Y246" s="271"/>
      <c r="Z246" s="273"/>
      <c r="AA246" s="264"/>
      <c r="AB246" s="264"/>
      <c r="AC246" s="273"/>
      <c r="AD246" s="315"/>
      <c r="AE246" s="315"/>
      <c r="AF246" s="315"/>
      <c r="AG246" s="315"/>
      <c r="AH246" s="315"/>
      <c r="AI246" s="315"/>
      <c r="AJ246" s="315"/>
      <c r="AK246" s="315"/>
      <c r="AL246" s="315"/>
      <c r="AM246" s="315"/>
      <c r="AN246" s="315"/>
      <c r="AO246" s="315"/>
      <c r="AP246" s="315"/>
      <c r="AQ246" s="315"/>
      <c r="AR246" s="317"/>
      <c r="AS246" s="8"/>
    </row>
    <row r="247" spans="1:45" ht="13.5" customHeight="1">
      <c r="A247" s="202"/>
      <c r="B247" s="225" t="s">
        <v>860</v>
      </c>
      <c r="C247" s="226">
        <v>1</v>
      </c>
      <c r="D247" s="226">
        <v>121</v>
      </c>
      <c r="E247" s="227" t="s">
        <v>862</v>
      </c>
      <c r="F247" s="318"/>
      <c r="G247" s="226" t="s">
        <v>43</v>
      </c>
      <c r="H247" s="228">
        <v>26624400</v>
      </c>
      <c r="I247" s="226">
        <v>36069</v>
      </c>
      <c r="J247" s="230">
        <f ca="1">+DATEDIF(I247,TODAY(),"Y")</f>
        <v>27</v>
      </c>
      <c r="K247" s="231" t="s">
        <v>863</v>
      </c>
      <c r="L247" s="232" t="s">
        <v>864</v>
      </c>
      <c r="M247" s="233" t="s">
        <v>865</v>
      </c>
      <c r="N247" s="227"/>
      <c r="O247" s="235"/>
      <c r="P247" s="235"/>
      <c r="Q247" s="282"/>
      <c r="R247" s="236" t="s">
        <v>684</v>
      </c>
      <c r="S247" s="236"/>
      <c r="T247" s="236"/>
      <c r="U247" s="236"/>
      <c r="V247" s="237"/>
      <c r="W247" s="238" t="s">
        <v>866</v>
      </c>
      <c r="X247" s="235">
        <v>45103</v>
      </c>
      <c r="Y247" s="236"/>
      <c r="Z247" s="238"/>
      <c r="AA247" s="239"/>
      <c r="AB247" s="239"/>
      <c r="AC247" s="239"/>
      <c r="AD247" s="239"/>
      <c r="AE247" s="239"/>
      <c r="AF247" s="239"/>
      <c r="AG247" s="239"/>
      <c r="AH247" s="239"/>
      <c r="AI247" s="239"/>
      <c r="AJ247" s="239"/>
      <c r="AK247" s="239"/>
      <c r="AL247" s="239"/>
      <c r="AM247" s="239"/>
      <c r="AN247" s="239"/>
      <c r="AO247" s="239"/>
      <c r="AP247" s="239"/>
      <c r="AQ247" s="239"/>
      <c r="AR247" s="284"/>
      <c r="AS247" s="202"/>
    </row>
    <row r="248" spans="1:45" ht="13.5" customHeight="1">
      <c r="A248" s="202"/>
      <c r="B248" s="241"/>
      <c r="C248" s="242"/>
      <c r="D248" s="242"/>
      <c r="E248" s="243"/>
      <c r="F248" s="304"/>
      <c r="G248" s="242"/>
      <c r="H248" s="253"/>
      <c r="I248" s="242"/>
      <c r="J248" s="230"/>
      <c r="K248" s="254"/>
      <c r="L248" s="244"/>
      <c r="M248" s="245"/>
      <c r="N248" s="243"/>
      <c r="O248" s="247"/>
      <c r="P248" s="247"/>
      <c r="Q248" s="257"/>
      <c r="R248" s="248"/>
      <c r="S248" s="248"/>
      <c r="T248" s="248"/>
      <c r="U248" s="248"/>
      <c r="V248" s="249"/>
      <c r="W248" s="250"/>
      <c r="X248" s="247"/>
      <c r="Y248" s="248"/>
      <c r="Z248" s="250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60"/>
      <c r="AS248" s="202"/>
    </row>
    <row r="249" spans="1:45" ht="13.5" customHeight="1">
      <c r="A249" s="202"/>
      <c r="B249" s="241"/>
      <c r="C249" s="242">
        <v>2</v>
      </c>
      <c r="D249" s="226">
        <v>122</v>
      </c>
      <c r="E249" s="243" t="s">
        <v>868</v>
      </c>
      <c r="F249" s="304"/>
      <c r="G249" s="242" t="s">
        <v>43</v>
      </c>
      <c r="H249" s="253">
        <v>34281740</v>
      </c>
      <c r="I249" s="242">
        <v>40737</v>
      </c>
      <c r="J249" s="230">
        <f ca="1">+DATEDIF(I249,TODAY(),"Y")</f>
        <v>14</v>
      </c>
      <c r="K249" s="254" t="s">
        <v>869</v>
      </c>
      <c r="L249" s="244" t="s">
        <v>870</v>
      </c>
      <c r="M249" s="245" t="s">
        <v>871</v>
      </c>
      <c r="N249" s="243" t="s">
        <v>872</v>
      </c>
      <c r="O249" s="246">
        <v>16620650</v>
      </c>
      <c r="P249" s="247">
        <v>4241480194</v>
      </c>
      <c r="Q249" s="254" t="s">
        <v>873</v>
      </c>
      <c r="R249" s="248"/>
      <c r="S249" s="248"/>
      <c r="T249" s="248"/>
      <c r="U249" s="248"/>
      <c r="V249" s="249"/>
      <c r="W249" s="250" t="s">
        <v>78</v>
      </c>
      <c r="X249" s="247" t="s">
        <v>874</v>
      </c>
      <c r="Y249" s="248"/>
      <c r="Z249" s="250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60"/>
      <c r="AS249" s="202"/>
    </row>
    <row r="250" spans="1:45" ht="13.5" customHeight="1">
      <c r="A250" s="202"/>
      <c r="B250" s="241"/>
      <c r="C250" s="242"/>
      <c r="D250" s="242"/>
      <c r="E250" s="243"/>
      <c r="F250" s="304"/>
      <c r="G250" s="242"/>
      <c r="H250" s="242"/>
      <c r="I250" s="242"/>
      <c r="J250" s="230"/>
      <c r="K250" s="254"/>
      <c r="L250" s="244"/>
      <c r="M250" s="245"/>
      <c r="N250" s="243"/>
      <c r="O250" s="246"/>
      <c r="P250" s="247"/>
      <c r="Q250" s="247"/>
      <c r="R250" s="248"/>
      <c r="S250" s="248"/>
      <c r="T250" s="248"/>
      <c r="U250" s="248"/>
      <c r="V250" s="249"/>
      <c r="W250" s="250"/>
      <c r="X250" s="247"/>
      <c r="Y250" s="248"/>
      <c r="Z250" s="250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60"/>
      <c r="AS250" s="202"/>
    </row>
    <row r="251" spans="1:45" ht="13.5" customHeight="1">
      <c r="A251" s="202"/>
      <c r="B251" s="241"/>
      <c r="C251" s="242">
        <v>3</v>
      </c>
      <c r="D251" s="226">
        <v>123</v>
      </c>
      <c r="E251" s="243" t="s">
        <v>876</v>
      </c>
      <c r="F251" s="304"/>
      <c r="G251" s="242" t="s">
        <v>43</v>
      </c>
      <c r="H251" s="253">
        <v>31507745</v>
      </c>
      <c r="I251" s="242">
        <v>39036</v>
      </c>
      <c r="J251" s="230">
        <f ca="1">+DATEDIF(I251,TODAY(),"Y")</f>
        <v>19</v>
      </c>
      <c r="K251" s="254" t="s">
        <v>877</v>
      </c>
      <c r="L251" s="244" t="s">
        <v>878</v>
      </c>
      <c r="M251" s="245" t="s">
        <v>879</v>
      </c>
      <c r="N251" s="243" t="s">
        <v>880</v>
      </c>
      <c r="O251" s="246">
        <v>13232041</v>
      </c>
      <c r="P251" s="247">
        <v>4129835368</v>
      </c>
      <c r="Q251" s="254" t="s">
        <v>881</v>
      </c>
      <c r="R251" s="248" t="s">
        <v>544</v>
      </c>
      <c r="S251" s="248" t="s">
        <v>882</v>
      </c>
      <c r="T251" s="248"/>
      <c r="U251" s="248"/>
      <c r="V251" s="249">
        <v>300</v>
      </c>
      <c r="W251" s="250" t="s">
        <v>78</v>
      </c>
      <c r="X251" s="247">
        <v>45383</v>
      </c>
      <c r="Y251" s="248"/>
      <c r="Z251" s="250"/>
      <c r="AA251" s="242"/>
      <c r="AB251" s="242"/>
      <c r="AC251" s="250"/>
      <c r="AD251" s="242"/>
      <c r="AE251" s="242"/>
      <c r="AF251" s="250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60"/>
      <c r="AS251" s="202"/>
    </row>
    <row r="252" spans="1:45" ht="13.5" customHeight="1">
      <c r="A252" s="202"/>
      <c r="B252" s="241"/>
      <c r="C252" s="242"/>
      <c r="D252" s="242"/>
      <c r="E252" s="243"/>
      <c r="F252" s="304"/>
      <c r="G252" s="242"/>
      <c r="H252" s="253"/>
      <c r="I252" s="242"/>
      <c r="J252" s="230"/>
      <c r="K252" s="254"/>
      <c r="L252" s="244"/>
      <c r="M252" s="245"/>
      <c r="N252" s="243"/>
      <c r="O252" s="246"/>
      <c r="P252" s="247"/>
      <c r="Q252" s="247"/>
      <c r="R252" s="248"/>
      <c r="S252" s="248"/>
      <c r="T252" s="248"/>
      <c r="U252" s="248"/>
      <c r="V252" s="249"/>
      <c r="W252" s="250"/>
      <c r="X252" s="247"/>
      <c r="Y252" s="248"/>
      <c r="Z252" s="250"/>
      <c r="AA252" s="242"/>
      <c r="AB252" s="242"/>
      <c r="AC252" s="250"/>
      <c r="AD252" s="242"/>
      <c r="AE252" s="242"/>
      <c r="AF252" s="250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60"/>
      <c r="AS252" s="202"/>
    </row>
    <row r="253" spans="1:45" ht="13.5" customHeight="1">
      <c r="A253" s="202"/>
      <c r="B253" s="241"/>
      <c r="C253" s="242">
        <v>4</v>
      </c>
      <c r="D253" s="226">
        <v>124</v>
      </c>
      <c r="E253" s="243" t="s">
        <v>884</v>
      </c>
      <c r="F253" s="304"/>
      <c r="G253" s="319" t="s">
        <v>278</v>
      </c>
      <c r="H253" s="253">
        <v>34183359</v>
      </c>
      <c r="I253" s="242">
        <v>40646</v>
      </c>
      <c r="J253" s="230">
        <f ca="1">+DATEDIF(I253,TODAY(),"Y")</f>
        <v>15</v>
      </c>
      <c r="K253" s="254" t="s">
        <v>885</v>
      </c>
      <c r="L253" s="244" t="s">
        <v>886</v>
      </c>
      <c r="M253" s="245" t="s">
        <v>887</v>
      </c>
      <c r="N253" s="243" t="s">
        <v>888</v>
      </c>
      <c r="O253" s="246">
        <v>17978871</v>
      </c>
      <c r="P253" s="247" t="s">
        <v>889</v>
      </c>
      <c r="Q253" s="254" t="s">
        <v>890</v>
      </c>
      <c r="R253" s="248" t="s">
        <v>891</v>
      </c>
      <c r="S253" s="248" t="s">
        <v>892</v>
      </c>
      <c r="T253" s="248"/>
      <c r="U253" s="248"/>
      <c r="V253" s="249"/>
      <c r="W253" s="250" t="s">
        <v>866</v>
      </c>
      <c r="X253" s="247">
        <v>44943</v>
      </c>
      <c r="Y253" s="248"/>
      <c r="Z253" s="250"/>
      <c r="AA253" s="242"/>
      <c r="AB253" s="242"/>
      <c r="AC253" s="250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60"/>
      <c r="AS253" s="202"/>
    </row>
    <row r="254" spans="1:45" ht="13.5" customHeight="1">
      <c r="A254" s="202"/>
      <c r="B254" s="241"/>
      <c r="C254" s="242"/>
      <c r="D254" s="242"/>
      <c r="E254" s="243"/>
      <c r="F254" s="304"/>
      <c r="G254" s="319"/>
      <c r="H254" s="253"/>
      <c r="I254" s="242"/>
      <c r="J254" s="230"/>
      <c r="K254" s="247"/>
      <c r="L254" s="244"/>
      <c r="M254" s="245"/>
      <c r="N254" s="243"/>
      <c r="O254" s="246"/>
      <c r="P254" s="247"/>
      <c r="Q254" s="254"/>
      <c r="R254" s="248"/>
      <c r="S254" s="248"/>
      <c r="T254" s="248"/>
      <c r="U254" s="248"/>
      <c r="V254" s="249"/>
      <c r="W254" s="250"/>
      <c r="X254" s="247"/>
      <c r="Y254" s="248"/>
      <c r="Z254" s="250"/>
      <c r="AA254" s="242"/>
      <c r="AB254" s="242"/>
      <c r="AC254" s="250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60"/>
      <c r="AS254" s="202"/>
    </row>
    <row r="255" spans="1:45" ht="13.5" customHeight="1">
      <c r="A255" s="202"/>
      <c r="B255" s="241"/>
      <c r="C255" s="242">
        <v>5</v>
      </c>
      <c r="D255" s="226">
        <v>125</v>
      </c>
      <c r="E255" s="243" t="s">
        <v>894</v>
      </c>
      <c r="F255" s="304"/>
      <c r="G255" s="242" t="s">
        <v>43</v>
      </c>
      <c r="H255" s="253">
        <v>10663304</v>
      </c>
      <c r="I255" s="242">
        <v>27635</v>
      </c>
      <c r="J255" s="230">
        <f ca="1">+DATEDIF(I255,TODAY(),"Y")</f>
        <v>50</v>
      </c>
      <c r="K255" s="254"/>
      <c r="L255" s="244" t="s">
        <v>895</v>
      </c>
      <c r="M255" s="245" t="s">
        <v>896</v>
      </c>
      <c r="N255" s="243"/>
      <c r="O255" s="246"/>
      <c r="P255" s="247"/>
      <c r="Q255" s="247"/>
      <c r="R255" s="248" t="s">
        <v>684</v>
      </c>
      <c r="S255" s="248" t="s">
        <v>892</v>
      </c>
      <c r="T255" s="248"/>
      <c r="U255" s="248"/>
      <c r="V255" s="249">
        <v>300</v>
      </c>
      <c r="W255" s="250" t="s">
        <v>78</v>
      </c>
      <c r="X255" s="247">
        <v>45390</v>
      </c>
      <c r="Y255" s="248"/>
      <c r="Z255" s="250"/>
      <c r="AA255" s="242"/>
      <c r="AB255" s="242"/>
      <c r="AC255" s="250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60"/>
      <c r="AS255" s="202"/>
    </row>
    <row r="256" spans="1:45" ht="13.5" customHeight="1">
      <c r="A256" s="202"/>
      <c r="B256" s="241"/>
      <c r="C256" s="242"/>
      <c r="D256" s="242"/>
      <c r="E256" s="243"/>
      <c r="F256" s="304"/>
      <c r="G256" s="242"/>
      <c r="H256" s="253"/>
      <c r="I256" s="242"/>
      <c r="J256" s="230"/>
      <c r="K256" s="254"/>
      <c r="L256" s="244"/>
      <c r="M256" s="245"/>
      <c r="N256" s="243"/>
      <c r="O256" s="246"/>
      <c r="P256" s="247"/>
      <c r="Q256" s="247"/>
      <c r="R256" s="248"/>
      <c r="S256" s="248"/>
      <c r="T256" s="248"/>
      <c r="U256" s="248"/>
      <c r="V256" s="249"/>
      <c r="W256" s="250"/>
      <c r="X256" s="247"/>
      <c r="Y256" s="248"/>
      <c r="Z256" s="250"/>
      <c r="AA256" s="242"/>
      <c r="AB256" s="242"/>
      <c r="AC256" s="250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60"/>
      <c r="AS256" s="202"/>
    </row>
    <row r="257" spans="1:45" ht="13.5" customHeight="1">
      <c r="A257" s="202"/>
      <c r="B257" s="241"/>
      <c r="C257" s="242">
        <v>6</v>
      </c>
      <c r="D257" s="226">
        <v>126</v>
      </c>
      <c r="E257" s="243" t="s">
        <v>898</v>
      </c>
      <c r="F257" s="304"/>
      <c r="G257" s="242" t="s">
        <v>43</v>
      </c>
      <c r="H257" s="253">
        <v>32270936</v>
      </c>
      <c r="I257" s="242">
        <v>39212</v>
      </c>
      <c r="J257" s="230">
        <f ca="1">+DATEDIF(I257,TODAY(),"Y")</f>
        <v>19</v>
      </c>
      <c r="K257" s="254" t="s">
        <v>899</v>
      </c>
      <c r="L257" s="244" t="s">
        <v>900</v>
      </c>
      <c r="M257" s="245" t="s">
        <v>901</v>
      </c>
      <c r="N257" s="243" t="s">
        <v>902</v>
      </c>
      <c r="O257" s="246">
        <v>16591698</v>
      </c>
      <c r="P257" s="247" t="s">
        <v>903</v>
      </c>
      <c r="Q257" s="254" t="s">
        <v>899</v>
      </c>
      <c r="R257" s="248" t="s">
        <v>50</v>
      </c>
      <c r="S257" s="248" t="s">
        <v>904</v>
      </c>
      <c r="T257" s="248"/>
      <c r="U257" s="248"/>
      <c r="V257" s="249" t="s">
        <v>905</v>
      </c>
      <c r="W257" s="250" t="s">
        <v>649</v>
      </c>
      <c r="X257" s="247">
        <v>45393</v>
      </c>
      <c r="Y257" s="248"/>
      <c r="Z257" s="250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60"/>
      <c r="AS257" s="202"/>
    </row>
    <row r="258" spans="1:45" ht="13.5" customHeight="1">
      <c r="A258" s="202"/>
      <c r="B258" s="241"/>
      <c r="C258" s="242"/>
      <c r="D258" s="242"/>
      <c r="E258" s="243"/>
      <c r="F258" s="304"/>
      <c r="G258" s="242"/>
      <c r="H258" s="253"/>
      <c r="I258" s="242"/>
      <c r="J258" s="230"/>
      <c r="K258" s="247"/>
      <c r="L258" s="244"/>
      <c r="M258" s="245"/>
      <c r="N258" s="243"/>
      <c r="O258" s="246"/>
      <c r="P258" s="247"/>
      <c r="Q258" s="247"/>
      <c r="R258" s="248"/>
      <c r="S258" s="248"/>
      <c r="T258" s="248"/>
      <c r="U258" s="248"/>
      <c r="V258" s="249"/>
      <c r="W258" s="250"/>
      <c r="X258" s="247"/>
      <c r="Y258" s="248"/>
      <c r="Z258" s="250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60"/>
      <c r="AS258" s="202"/>
    </row>
    <row r="259" spans="1:45" ht="13.5" customHeight="1">
      <c r="A259" s="202"/>
      <c r="B259" s="241"/>
      <c r="C259" s="242">
        <v>7</v>
      </c>
      <c r="D259" s="226">
        <v>127</v>
      </c>
      <c r="E259" s="243" t="s">
        <v>907</v>
      </c>
      <c r="F259" s="304"/>
      <c r="G259" s="242" t="s">
        <v>43</v>
      </c>
      <c r="H259" s="253">
        <v>33884179</v>
      </c>
      <c r="I259" s="242">
        <v>40774</v>
      </c>
      <c r="J259" s="230">
        <f ca="1">+DATEDIF(I259,TODAY(),"Y")</f>
        <v>14</v>
      </c>
      <c r="K259" s="254" t="s">
        <v>908</v>
      </c>
      <c r="L259" s="244" t="s">
        <v>909</v>
      </c>
      <c r="M259" s="245" t="s">
        <v>910</v>
      </c>
      <c r="N259" s="243" t="s">
        <v>911</v>
      </c>
      <c r="O259" s="246">
        <v>18537938</v>
      </c>
      <c r="P259" s="253" t="s">
        <v>909</v>
      </c>
      <c r="Q259" s="254" t="s">
        <v>908</v>
      </c>
      <c r="R259" s="248" t="s">
        <v>912</v>
      </c>
      <c r="S259" s="248" t="s">
        <v>913</v>
      </c>
      <c r="T259" s="248"/>
      <c r="U259" s="248"/>
      <c r="V259" s="249"/>
      <c r="W259" s="250" t="s">
        <v>905</v>
      </c>
      <c r="X259" s="247">
        <v>45394</v>
      </c>
      <c r="Y259" s="248"/>
      <c r="Z259" s="250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60"/>
      <c r="AS259" s="202"/>
    </row>
    <row r="260" spans="1:45" ht="13.5" customHeight="1">
      <c r="A260" s="202"/>
      <c r="B260" s="241"/>
      <c r="C260" s="242"/>
      <c r="D260" s="242"/>
      <c r="E260" s="243"/>
      <c r="F260" s="304"/>
      <c r="G260" s="242"/>
      <c r="H260" s="253"/>
      <c r="I260" s="242"/>
      <c r="J260" s="230"/>
      <c r="K260" s="247"/>
      <c r="L260" s="244"/>
      <c r="M260" s="245"/>
      <c r="N260" s="243"/>
      <c r="O260" s="246"/>
      <c r="P260" s="242"/>
      <c r="Q260" s="247"/>
      <c r="R260" s="248"/>
      <c r="S260" s="248"/>
      <c r="T260" s="248"/>
      <c r="U260" s="248"/>
      <c r="V260" s="249"/>
      <c r="W260" s="250"/>
      <c r="X260" s="247"/>
      <c r="Y260" s="248"/>
      <c r="Z260" s="250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60"/>
      <c r="AS260" s="202"/>
    </row>
    <row r="261" spans="1:45" ht="13.5" customHeight="1">
      <c r="A261" s="309"/>
      <c r="B261" s="241"/>
      <c r="C261" s="242">
        <v>8</v>
      </c>
      <c r="D261" s="226">
        <v>128</v>
      </c>
      <c r="E261" s="243" t="s">
        <v>915</v>
      </c>
      <c r="F261" s="304"/>
      <c r="G261" s="242" t="s">
        <v>43</v>
      </c>
      <c r="H261" s="253"/>
      <c r="I261" s="242"/>
      <c r="J261" s="230">
        <f ca="1">+DATEDIF(I261,TODAY(),"Y")</f>
        <v>126</v>
      </c>
      <c r="K261" s="254" t="s">
        <v>916</v>
      </c>
      <c r="L261" s="244" t="s">
        <v>917</v>
      </c>
      <c r="M261" s="245" t="s">
        <v>918</v>
      </c>
      <c r="N261" s="243" t="s">
        <v>919</v>
      </c>
      <c r="O261" s="253">
        <v>16370194</v>
      </c>
      <c r="P261" s="247" t="s">
        <v>920</v>
      </c>
      <c r="Q261" s="254" t="s">
        <v>916</v>
      </c>
      <c r="R261" s="248" t="s">
        <v>369</v>
      </c>
      <c r="S261" s="248" t="s">
        <v>913</v>
      </c>
      <c r="T261" s="248"/>
      <c r="U261" s="248"/>
      <c r="V261" s="249"/>
      <c r="W261" s="250" t="s">
        <v>78</v>
      </c>
      <c r="X261" s="247">
        <v>45391</v>
      </c>
      <c r="Y261" s="248"/>
      <c r="Z261" s="250"/>
      <c r="AA261" s="289"/>
      <c r="AB261" s="289"/>
      <c r="AC261" s="289"/>
      <c r="AD261" s="289"/>
      <c r="AE261" s="289"/>
      <c r="AF261" s="289"/>
      <c r="AG261" s="289"/>
      <c r="AH261" s="289"/>
      <c r="AI261" s="289"/>
      <c r="AJ261" s="289"/>
      <c r="AK261" s="289"/>
      <c r="AL261" s="289"/>
      <c r="AM261" s="289"/>
      <c r="AN261" s="289"/>
      <c r="AO261" s="289"/>
      <c r="AP261" s="289"/>
      <c r="AQ261" s="289"/>
      <c r="AR261" s="310"/>
      <c r="AS261" s="309"/>
    </row>
    <row r="262" spans="1:45" ht="13.5" customHeight="1">
      <c r="A262" s="309"/>
      <c r="B262" s="241"/>
      <c r="C262" s="242"/>
      <c r="D262" s="242"/>
      <c r="E262" s="243"/>
      <c r="F262" s="304"/>
      <c r="G262" s="242"/>
      <c r="H262" s="253"/>
      <c r="I262" s="242"/>
      <c r="J262" s="230"/>
      <c r="K262" s="254"/>
      <c r="L262" s="244"/>
      <c r="M262" s="245"/>
      <c r="N262" s="243"/>
      <c r="O262" s="242"/>
      <c r="P262" s="247"/>
      <c r="Q262" s="247"/>
      <c r="R262" s="248"/>
      <c r="S262" s="248"/>
      <c r="T262" s="248"/>
      <c r="U262" s="248"/>
      <c r="V262" s="249"/>
      <c r="W262" s="250"/>
      <c r="X262" s="247"/>
      <c r="Y262" s="248"/>
      <c r="Z262" s="250"/>
      <c r="AA262" s="289"/>
      <c r="AB262" s="289"/>
      <c r="AC262" s="289"/>
      <c r="AD262" s="289"/>
      <c r="AE262" s="289"/>
      <c r="AF262" s="289"/>
      <c r="AG262" s="289"/>
      <c r="AH262" s="289"/>
      <c r="AI262" s="289"/>
      <c r="AJ262" s="289"/>
      <c r="AK262" s="289"/>
      <c r="AL262" s="289"/>
      <c r="AM262" s="289"/>
      <c r="AN262" s="289"/>
      <c r="AO262" s="289"/>
      <c r="AP262" s="289"/>
      <c r="AQ262" s="289"/>
      <c r="AR262" s="310"/>
      <c r="AS262" s="309"/>
    </row>
    <row r="263" spans="1:45" ht="13.5" customHeight="1">
      <c r="A263" s="202"/>
      <c r="B263" s="241"/>
      <c r="C263" s="242">
        <v>9</v>
      </c>
      <c r="D263" s="226">
        <v>129</v>
      </c>
      <c r="E263" s="243" t="s">
        <v>922</v>
      </c>
      <c r="F263" s="304"/>
      <c r="G263" s="242" t="s">
        <v>43</v>
      </c>
      <c r="H263" s="253">
        <v>30051946</v>
      </c>
      <c r="I263" s="242">
        <v>45444</v>
      </c>
      <c r="J263" s="230">
        <f ca="1">+DATEDIF(I263,TODAY(),"Y")</f>
        <v>2</v>
      </c>
      <c r="K263" s="254" t="s">
        <v>923</v>
      </c>
      <c r="L263" s="244" t="s">
        <v>924</v>
      </c>
      <c r="M263" s="245" t="s">
        <v>925</v>
      </c>
      <c r="N263" s="243"/>
      <c r="O263" s="246"/>
      <c r="P263" s="247"/>
      <c r="Q263" s="247"/>
      <c r="R263" s="248" t="s">
        <v>63</v>
      </c>
      <c r="S263" s="248" t="s">
        <v>926</v>
      </c>
      <c r="T263" s="248"/>
      <c r="U263" s="248"/>
      <c r="V263" s="249"/>
      <c r="W263" s="250" t="s">
        <v>78</v>
      </c>
      <c r="X263" s="247">
        <v>45400</v>
      </c>
      <c r="Y263" s="248"/>
      <c r="Z263" s="250"/>
      <c r="AA263" s="242"/>
      <c r="AB263" s="242"/>
      <c r="AC263" s="250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60"/>
      <c r="AS263" s="202"/>
    </row>
    <row r="264" spans="1:45" ht="13.5" customHeight="1">
      <c r="A264" s="202"/>
      <c r="B264" s="241"/>
      <c r="C264" s="242"/>
      <c r="D264" s="242"/>
      <c r="E264" s="243"/>
      <c r="F264" s="304"/>
      <c r="G264" s="242"/>
      <c r="H264" s="253"/>
      <c r="I264" s="242"/>
      <c r="J264" s="230"/>
      <c r="K264" s="254"/>
      <c r="L264" s="244"/>
      <c r="M264" s="245"/>
      <c r="N264" s="243"/>
      <c r="O264" s="246"/>
      <c r="P264" s="247"/>
      <c r="Q264" s="247"/>
      <c r="R264" s="248"/>
      <c r="S264" s="248"/>
      <c r="T264" s="248"/>
      <c r="U264" s="248"/>
      <c r="V264" s="249"/>
      <c r="W264" s="250"/>
      <c r="X264" s="247"/>
      <c r="Y264" s="248"/>
      <c r="Z264" s="250"/>
      <c r="AA264" s="242"/>
      <c r="AB264" s="242"/>
      <c r="AC264" s="250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60"/>
      <c r="AS264" s="202"/>
    </row>
    <row r="265" spans="1:45" ht="13.5" customHeight="1">
      <c r="A265" s="202"/>
      <c r="B265" s="241"/>
      <c r="C265" s="242">
        <v>10</v>
      </c>
      <c r="D265" s="226">
        <v>130</v>
      </c>
      <c r="E265" s="243" t="s">
        <v>928</v>
      </c>
      <c r="F265" s="304"/>
      <c r="G265" s="242" t="s">
        <v>43</v>
      </c>
      <c r="H265" s="253"/>
      <c r="I265" s="242">
        <v>42766</v>
      </c>
      <c r="J265" s="230">
        <f ca="1">+DATEDIF(I265,TODAY(),"Y")</f>
        <v>9</v>
      </c>
      <c r="K265" s="254"/>
      <c r="L265" s="244" t="s">
        <v>929</v>
      </c>
      <c r="M265" s="245" t="s">
        <v>930</v>
      </c>
      <c r="N265" s="243" t="s">
        <v>931</v>
      </c>
      <c r="O265" s="262">
        <v>16410861</v>
      </c>
      <c r="P265" s="247">
        <v>4123822180</v>
      </c>
      <c r="Q265" s="254" t="s">
        <v>932</v>
      </c>
      <c r="R265" s="248" t="s">
        <v>369</v>
      </c>
      <c r="S265" s="248" t="s">
        <v>933</v>
      </c>
      <c r="T265" s="248"/>
      <c r="U265" s="248"/>
      <c r="V265" s="249"/>
      <c r="W265" s="250" t="s">
        <v>78</v>
      </c>
      <c r="X265" s="247">
        <v>45411</v>
      </c>
      <c r="Y265" s="248"/>
      <c r="Z265" s="250"/>
      <c r="AA265" s="242"/>
      <c r="AB265" s="242"/>
      <c r="AC265" s="250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60"/>
      <c r="AS265" s="202"/>
    </row>
    <row r="266" spans="1:45" ht="13.5" customHeight="1">
      <c r="A266" s="202"/>
      <c r="B266" s="241"/>
      <c r="C266" s="242"/>
      <c r="D266" s="242"/>
      <c r="E266" s="243"/>
      <c r="F266" s="304"/>
      <c r="G266" s="242"/>
      <c r="H266" s="253"/>
      <c r="I266" s="242"/>
      <c r="J266" s="230"/>
      <c r="K266" s="254"/>
      <c r="L266" s="244"/>
      <c r="M266" s="245"/>
      <c r="N266" s="243"/>
      <c r="O266" s="247"/>
      <c r="P266" s="247"/>
      <c r="Q266" s="247"/>
      <c r="R266" s="248"/>
      <c r="S266" s="248"/>
      <c r="T266" s="248"/>
      <c r="U266" s="248"/>
      <c r="V266" s="249"/>
      <c r="W266" s="250"/>
      <c r="X266" s="247"/>
      <c r="Y266" s="248"/>
      <c r="Z266" s="250"/>
      <c r="AA266" s="242"/>
      <c r="AB266" s="242"/>
      <c r="AC266" s="250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60"/>
      <c r="AS266" s="202"/>
    </row>
    <row r="267" spans="1:45" ht="13.5" customHeight="1">
      <c r="A267" s="202"/>
      <c r="B267" s="241"/>
      <c r="C267" s="242">
        <v>11</v>
      </c>
      <c r="D267" s="226">
        <v>131</v>
      </c>
      <c r="E267" s="243" t="s">
        <v>935</v>
      </c>
      <c r="F267" s="304"/>
      <c r="G267" s="242" t="s">
        <v>43</v>
      </c>
      <c r="H267" s="242"/>
      <c r="I267" s="242">
        <v>42108</v>
      </c>
      <c r="J267" s="230">
        <f ca="1">+DATEDIF(I267,TODAY(),"Y")</f>
        <v>11</v>
      </c>
      <c r="K267" s="247"/>
      <c r="L267" s="244" t="s">
        <v>936</v>
      </c>
      <c r="M267" s="245" t="s">
        <v>725</v>
      </c>
      <c r="N267" s="243" t="s">
        <v>937</v>
      </c>
      <c r="O267" s="246">
        <v>18709347</v>
      </c>
      <c r="P267" s="247">
        <v>4144771894</v>
      </c>
      <c r="Q267" s="254" t="s">
        <v>938</v>
      </c>
      <c r="R267" s="248" t="s">
        <v>369</v>
      </c>
      <c r="S267" s="248" t="s">
        <v>939</v>
      </c>
      <c r="T267" s="248"/>
      <c r="U267" s="248"/>
      <c r="V267" s="287"/>
      <c r="W267" s="250" t="s">
        <v>78</v>
      </c>
      <c r="X267" s="247">
        <v>45410</v>
      </c>
      <c r="Y267" s="248"/>
      <c r="Z267" s="250"/>
      <c r="AA267" s="242"/>
      <c r="AB267" s="242"/>
      <c r="AC267" s="250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60"/>
      <c r="AS267" s="202"/>
    </row>
    <row r="268" spans="1:45" ht="13.5" customHeight="1">
      <c r="A268" s="202"/>
      <c r="B268" s="241"/>
      <c r="C268" s="242"/>
      <c r="D268" s="242"/>
      <c r="E268" s="243"/>
      <c r="F268" s="304"/>
      <c r="G268" s="242"/>
      <c r="H268" s="242"/>
      <c r="I268" s="242"/>
      <c r="J268" s="230"/>
      <c r="K268" s="247"/>
      <c r="L268" s="244"/>
      <c r="M268" s="245"/>
      <c r="N268" s="243"/>
      <c r="O268" s="246"/>
      <c r="P268" s="247"/>
      <c r="Q268" s="247"/>
      <c r="R268" s="248"/>
      <c r="S268" s="248"/>
      <c r="T268" s="248"/>
      <c r="U268" s="248"/>
      <c r="V268" s="287"/>
      <c r="W268" s="250"/>
      <c r="X268" s="247"/>
      <c r="Y268" s="248"/>
      <c r="Z268" s="250"/>
      <c r="AA268" s="242"/>
      <c r="AB268" s="242"/>
      <c r="AC268" s="250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60"/>
      <c r="AS268" s="202"/>
    </row>
    <row r="269" spans="1:45" ht="13.5" customHeight="1">
      <c r="A269" s="305"/>
      <c r="B269" s="241"/>
      <c r="C269" s="242">
        <v>12</v>
      </c>
      <c r="D269" s="226">
        <v>132</v>
      </c>
      <c r="E269" s="243" t="s">
        <v>941</v>
      </c>
      <c r="F269" s="304"/>
      <c r="G269" s="242" t="s">
        <v>43</v>
      </c>
      <c r="H269" s="253">
        <v>33696987</v>
      </c>
      <c r="I269" s="242">
        <v>40354</v>
      </c>
      <c r="J269" s="230">
        <f ca="1">+DATEDIF(I269,TODAY(),"Y")</f>
        <v>15</v>
      </c>
      <c r="K269" s="313" t="s">
        <v>942</v>
      </c>
      <c r="L269" s="244" t="s">
        <v>943</v>
      </c>
      <c r="M269" s="245" t="s">
        <v>944</v>
      </c>
      <c r="N269" s="243" t="s">
        <v>945</v>
      </c>
      <c r="O269" s="246">
        <v>16148098</v>
      </c>
      <c r="P269" s="242">
        <v>4125756303</v>
      </c>
      <c r="Q269" s="254" t="s">
        <v>946</v>
      </c>
      <c r="R269" s="248" t="s">
        <v>947</v>
      </c>
      <c r="S269" s="248" t="s">
        <v>933</v>
      </c>
      <c r="T269" s="248"/>
      <c r="U269" s="248"/>
      <c r="V269" s="249"/>
      <c r="W269" s="250" t="s">
        <v>78</v>
      </c>
      <c r="X269" s="242">
        <v>45417</v>
      </c>
      <c r="Y269" s="248"/>
      <c r="Z269" s="250"/>
      <c r="AA269" s="306"/>
      <c r="AB269" s="306"/>
      <c r="AC269" s="306"/>
      <c r="AD269" s="306"/>
      <c r="AE269" s="306"/>
      <c r="AF269" s="306"/>
      <c r="AG269" s="306"/>
      <c r="AH269" s="306"/>
      <c r="AI269" s="306"/>
      <c r="AJ269" s="306"/>
      <c r="AK269" s="306"/>
      <c r="AL269" s="306"/>
      <c r="AM269" s="306"/>
      <c r="AN269" s="306"/>
      <c r="AO269" s="306"/>
      <c r="AP269" s="306"/>
      <c r="AQ269" s="306"/>
      <c r="AR269" s="307"/>
      <c r="AS269" s="305"/>
    </row>
    <row r="270" spans="1:45" ht="13.5" customHeight="1">
      <c r="A270" s="305"/>
      <c r="B270" s="241"/>
      <c r="C270" s="242"/>
      <c r="D270" s="242"/>
      <c r="E270" s="243"/>
      <c r="F270" s="304"/>
      <c r="G270" s="242"/>
      <c r="H270" s="253"/>
      <c r="I270" s="242"/>
      <c r="J270" s="230"/>
      <c r="K270" s="313"/>
      <c r="L270" s="244"/>
      <c r="M270" s="245"/>
      <c r="N270" s="243"/>
      <c r="O270" s="246"/>
      <c r="P270" s="242"/>
      <c r="Q270" s="242"/>
      <c r="R270" s="248"/>
      <c r="S270" s="248"/>
      <c r="T270" s="248"/>
      <c r="U270" s="248"/>
      <c r="V270" s="249"/>
      <c r="W270" s="250"/>
      <c r="X270" s="242"/>
      <c r="Y270" s="248"/>
      <c r="Z270" s="250"/>
      <c r="AA270" s="306"/>
      <c r="AB270" s="306"/>
      <c r="AC270" s="306"/>
      <c r="AD270" s="306"/>
      <c r="AE270" s="306"/>
      <c r="AF270" s="306"/>
      <c r="AG270" s="306"/>
      <c r="AH270" s="306"/>
      <c r="AI270" s="306"/>
      <c r="AJ270" s="306"/>
      <c r="AK270" s="306"/>
      <c r="AL270" s="306"/>
      <c r="AM270" s="306"/>
      <c r="AN270" s="306"/>
      <c r="AO270" s="306"/>
      <c r="AP270" s="306"/>
      <c r="AQ270" s="306"/>
      <c r="AR270" s="307"/>
      <c r="AS270" s="305"/>
    </row>
    <row r="271" spans="1:45" ht="13.5" customHeight="1">
      <c r="A271" s="202"/>
      <c r="B271" s="241"/>
      <c r="C271" s="242">
        <v>13</v>
      </c>
      <c r="D271" s="226">
        <v>133</v>
      </c>
      <c r="E271" s="243" t="s">
        <v>949</v>
      </c>
      <c r="F271" s="304"/>
      <c r="G271" s="242" t="s">
        <v>43</v>
      </c>
      <c r="H271" s="253">
        <v>30818516</v>
      </c>
      <c r="I271" s="242">
        <v>45407</v>
      </c>
      <c r="J271" s="230">
        <f ca="1">+DATEDIF(I271,TODAY(),"Y")</f>
        <v>2</v>
      </c>
      <c r="K271" s="254" t="s">
        <v>950</v>
      </c>
      <c r="L271" s="244" t="s">
        <v>951</v>
      </c>
      <c r="M271" s="245" t="s">
        <v>952</v>
      </c>
      <c r="N271" s="243" t="s">
        <v>953</v>
      </c>
      <c r="O271" s="246">
        <v>12731027</v>
      </c>
      <c r="P271" s="247">
        <v>4125970543</v>
      </c>
      <c r="Q271" s="254" t="s">
        <v>954</v>
      </c>
      <c r="R271" s="248" t="s">
        <v>947</v>
      </c>
      <c r="S271" s="248" t="s">
        <v>955</v>
      </c>
      <c r="T271" s="248"/>
      <c r="U271" s="248"/>
      <c r="V271" s="249"/>
      <c r="W271" s="250" t="s">
        <v>664</v>
      </c>
      <c r="X271" s="247">
        <v>45384</v>
      </c>
      <c r="Y271" s="248" t="s">
        <v>956</v>
      </c>
      <c r="Z271" s="250"/>
      <c r="AA271" s="242"/>
      <c r="AB271" s="242"/>
      <c r="AC271" s="250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60"/>
      <c r="AS271" s="202"/>
    </row>
    <row r="272" spans="1:45" ht="13.5" customHeight="1">
      <c r="A272" s="202"/>
      <c r="B272" s="241"/>
      <c r="C272" s="242"/>
      <c r="D272" s="242"/>
      <c r="E272" s="243"/>
      <c r="F272" s="304"/>
      <c r="G272" s="242"/>
      <c r="H272" s="242"/>
      <c r="I272" s="242"/>
      <c r="J272" s="230"/>
      <c r="K272" s="254"/>
      <c r="L272" s="244"/>
      <c r="M272" s="245"/>
      <c r="N272" s="243"/>
      <c r="O272" s="246"/>
      <c r="P272" s="247"/>
      <c r="Q272" s="247"/>
      <c r="R272" s="248"/>
      <c r="S272" s="248"/>
      <c r="T272" s="248"/>
      <c r="U272" s="248"/>
      <c r="V272" s="249"/>
      <c r="W272" s="250"/>
      <c r="X272" s="247"/>
      <c r="Y272" s="248"/>
      <c r="Z272" s="250"/>
      <c r="AA272" s="242"/>
      <c r="AB272" s="242"/>
      <c r="AC272" s="250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60"/>
      <c r="AS272" s="202"/>
    </row>
    <row r="273" spans="1:45" ht="13.5" customHeight="1">
      <c r="A273" s="202"/>
      <c r="B273" s="241"/>
      <c r="C273" s="242">
        <v>14</v>
      </c>
      <c r="D273" s="226">
        <v>134</v>
      </c>
      <c r="E273" s="243" t="s">
        <v>958</v>
      </c>
      <c r="F273" s="304"/>
      <c r="G273" s="242" t="s">
        <v>43</v>
      </c>
      <c r="H273" s="253"/>
      <c r="I273" s="242">
        <v>45575</v>
      </c>
      <c r="J273" s="230">
        <f ca="1">+DATEDIF(I273,TODAY(),"Y")</f>
        <v>1</v>
      </c>
      <c r="K273" s="254" t="s">
        <v>959</v>
      </c>
      <c r="L273" s="244"/>
      <c r="M273" s="245" t="s">
        <v>960</v>
      </c>
      <c r="N273" s="243" t="s">
        <v>961</v>
      </c>
      <c r="O273" s="262">
        <v>16378715</v>
      </c>
      <c r="P273" s="247">
        <v>4246662661</v>
      </c>
      <c r="Q273" s="257"/>
      <c r="R273" s="248" t="s">
        <v>947</v>
      </c>
      <c r="S273" s="248" t="s">
        <v>955</v>
      </c>
      <c r="T273" s="248"/>
      <c r="U273" s="248"/>
      <c r="V273" s="249"/>
      <c r="W273" s="250"/>
      <c r="X273" s="247">
        <v>45416</v>
      </c>
      <c r="Y273" s="248"/>
      <c r="Z273" s="250"/>
      <c r="AA273" s="242"/>
      <c r="AB273" s="242"/>
      <c r="AC273" s="250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60"/>
      <c r="AS273" s="202"/>
    </row>
    <row r="274" spans="1:45" ht="13.5" customHeight="1">
      <c r="A274" s="202"/>
      <c r="B274" s="241"/>
      <c r="C274" s="242"/>
      <c r="D274" s="242"/>
      <c r="E274" s="243"/>
      <c r="F274" s="304"/>
      <c r="G274" s="242"/>
      <c r="H274" s="253"/>
      <c r="I274" s="242"/>
      <c r="J274" s="230"/>
      <c r="K274" s="254"/>
      <c r="L274" s="244"/>
      <c r="M274" s="245"/>
      <c r="N274" s="243"/>
      <c r="O274" s="247"/>
      <c r="P274" s="247"/>
      <c r="Q274" s="257"/>
      <c r="R274" s="248"/>
      <c r="S274" s="248"/>
      <c r="T274" s="248"/>
      <c r="U274" s="248"/>
      <c r="V274" s="249"/>
      <c r="W274" s="250"/>
      <c r="X274" s="247"/>
      <c r="Y274" s="248"/>
      <c r="Z274" s="250"/>
      <c r="AA274" s="242"/>
      <c r="AB274" s="242"/>
      <c r="AC274" s="250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60"/>
      <c r="AS274" s="202"/>
    </row>
    <row r="275" spans="1:45" ht="13.5" customHeight="1">
      <c r="A275" s="305"/>
      <c r="B275" s="241"/>
      <c r="C275" s="242">
        <v>15</v>
      </c>
      <c r="D275" s="226">
        <v>135</v>
      </c>
      <c r="E275" s="243" t="s">
        <v>963</v>
      </c>
      <c r="F275" s="242"/>
      <c r="G275" s="242" t="s">
        <v>43</v>
      </c>
      <c r="H275" s="253">
        <v>33288298</v>
      </c>
      <c r="I275" s="242">
        <v>40084</v>
      </c>
      <c r="J275" s="230">
        <f ca="1">+DATEDIF(I275,TODAY(),"Y")</f>
        <v>16</v>
      </c>
      <c r="K275" s="254" t="s">
        <v>959</v>
      </c>
      <c r="L275" s="244" t="s">
        <v>964</v>
      </c>
      <c r="M275" s="245" t="s">
        <v>965</v>
      </c>
      <c r="N275" s="243" t="s">
        <v>961</v>
      </c>
      <c r="O275" s="262">
        <v>16378715</v>
      </c>
      <c r="P275" s="247">
        <v>4246662661</v>
      </c>
      <c r="Q275" s="313"/>
      <c r="R275" s="248" t="s">
        <v>947</v>
      </c>
      <c r="S275" s="248" t="s">
        <v>955</v>
      </c>
      <c r="T275" s="248"/>
      <c r="U275" s="248"/>
      <c r="V275" s="249"/>
      <c r="W275" s="250"/>
      <c r="X275" s="247">
        <v>45416</v>
      </c>
      <c r="Y275" s="248"/>
      <c r="Z275" s="250"/>
      <c r="AA275" s="242"/>
      <c r="AB275" s="242"/>
      <c r="AC275" s="250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60"/>
      <c r="AS275" s="305"/>
    </row>
    <row r="276" spans="1:45" ht="13.5" customHeight="1">
      <c r="A276" s="305"/>
      <c r="B276" s="241"/>
      <c r="C276" s="242"/>
      <c r="D276" s="242"/>
      <c r="E276" s="243"/>
      <c r="F276" s="242"/>
      <c r="G276" s="242"/>
      <c r="H276" s="242"/>
      <c r="I276" s="242"/>
      <c r="J276" s="230"/>
      <c r="K276" s="313"/>
      <c r="L276" s="244"/>
      <c r="M276" s="245"/>
      <c r="N276" s="243"/>
      <c r="O276" s="247"/>
      <c r="P276" s="247"/>
      <c r="Q276" s="242"/>
      <c r="R276" s="248"/>
      <c r="S276" s="248"/>
      <c r="T276" s="248"/>
      <c r="U276" s="248"/>
      <c r="V276" s="249"/>
      <c r="W276" s="250"/>
      <c r="X276" s="247"/>
      <c r="Y276" s="248"/>
      <c r="Z276" s="250"/>
      <c r="AA276" s="242"/>
      <c r="AB276" s="242"/>
      <c r="AC276" s="250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60"/>
      <c r="AS276" s="305"/>
    </row>
    <row r="277" spans="1:45" ht="13.5" customHeight="1">
      <c r="A277" s="202"/>
      <c r="B277" s="241"/>
      <c r="C277" s="242">
        <v>16</v>
      </c>
      <c r="D277" s="226">
        <v>136</v>
      </c>
      <c r="E277" s="243" t="s">
        <v>967</v>
      </c>
      <c r="F277" s="304"/>
      <c r="G277" s="242" t="s">
        <v>43</v>
      </c>
      <c r="H277" s="253">
        <v>34218191</v>
      </c>
      <c r="I277" s="242">
        <v>40973</v>
      </c>
      <c r="J277" s="230">
        <f ca="1">+DATEDIF(I277,TODAY(),"Y")</f>
        <v>14</v>
      </c>
      <c r="K277" s="254"/>
      <c r="L277" s="244" t="s">
        <v>964</v>
      </c>
      <c r="M277" s="245" t="s">
        <v>965</v>
      </c>
      <c r="N277" s="243" t="s">
        <v>961</v>
      </c>
      <c r="O277" s="246">
        <v>16378715</v>
      </c>
      <c r="P277" s="247">
        <v>4246662661</v>
      </c>
      <c r="Q277" s="254" t="s">
        <v>959</v>
      </c>
      <c r="R277" s="248" t="s">
        <v>947</v>
      </c>
      <c r="S277" s="248" t="s">
        <v>955</v>
      </c>
      <c r="T277" s="248"/>
      <c r="U277" s="248"/>
      <c r="V277" s="249"/>
      <c r="W277" s="250"/>
      <c r="X277" s="247">
        <v>45416</v>
      </c>
      <c r="Y277" s="248"/>
      <c r="Z277" s="250"/>
      <c r="AA277" s="242"/>
      <c r="AB277" s="242"/>
      <c r="AC277" s="250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60"/>
      <c r="AS277" s="320"/>
    </row>
    <row r="278" spans="1:45" ht="13.5" customHeight="1">
      <c r="A278" s="202"/>
      <c r="B278" s="241"/>
      <c r="C278" s="242"/>
      <c r="D278" s="242"/>
      <c r="E278" s="243"/>
      <c r="F278" s="304"/>
      <c r="G278" s="242"/>
      <c r="H278" s="253"/>
      <c r="I278" s="242"/>
      <c r="J278" s="230"/>
      <c r="K278" s="254"/>
      <c r="L278" s="244"/>
      <c r="M278" s="245"/>
      <c r="N278" s="243"/>
      <c r="O278" s="246"/>
      <c r="P278" s="247"/>
      <c r="Q278" s="247"/>
      <c r="R278" s="248"/>
      <c r="S278" s="248"/>
      <c r="T278" s="248"/>
      <c r="U278" s="248"/>
      <c r="V278" s="249"/>
      <c r="W278" s="250"/>
      <c r="X278" s="247"/>
      <c r="Y278" s="248"/>
      <c r="Z278" s="250"/>
      <c r="AA278" s="242"/>
      <c r="AB278" s="242"/>
      <c r="AC278" s="250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60"/>
      <c r="AS278" s="202"/>
    </row>
    <row r="279" spans="1:45" ht="13.5" customHeight="1">
      <c r="A279" s="202"/>
      <c r="B279" s="241"/>
      <c r="C279" s="242">
        <v>17</v>
      </c>
      <c r="D279" s="226">
        <v>137</v>
      </c>
      <c r="E279" s="243" t="s">
        <v>969</v>
      </c>
      <c r="F279" s="304"/>
      <c r="G279" s="242" t="s">
        <v>43</v>
      </c>
      <c r="H279" s="253">
        <v>22350300</v>
      </c>
      <c r="I279" s="242">
        <v>34197</v>
      </c>
      <c r="J279" s="230">
        <f ca="1">+DATEDIF(I279,TODAY(),"Y")</f>
        <v>32</v>
      </c>
      <c r="K279" s="254" t="s">
        <v>970</v>
      </c>
      <c r="L279" s="244" t="s">
        <v>971</v>
      </c>
      <c r="M279" s="245" t="s">
        <v>972</v>
      </c>
      <c r="N279" s="243"/>
      <c r="O279" s="246"/>
      <c r="P279" s="247"/>
      <c r="Q279" s="247"/>
      <c r="R279" s="248" t="s">
        <v>281</v>
      </c>
      <c r="S279" s="321" t="s">
        <v>973</v>
      </c>
      <c r="T279" s="248" t="s">
        <v>974</v>
      </c>
      <c r="U279" s="248" t="s">
        <v>706</v>
      </c>
      <c r="V279" s="249"/>
      <c r="W279" s="250" t="s">
        <v>975</v>
      </c>
      <c r="X279" s="247">
        <v>45420</v>
      </c>
      <c r="Y279" s="248"/>
      <c r="Z279" s="250"/>
      <c r="AA279" s="242"/>
      <c r="AB279" s="242"/>
      <c r="AC279" s="250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60"/>
      <c r="AS279" s="320"/>
    </row>
    <row r="280" spans="1:45" ht="13.5" customHeight="1">
      <c r="A280" s="202"/>
      <c r="B280" s="241"/>
      <c r="C280" s="242"/>
      <c r="D280" s="242"/>
      <c r="E280" s="243"/>
      <c r="F280" s="304"/>
      <c r="G280" s="242"/>
      <c r="H280" s="253"/>
      <c r="I280" s="242"/>
      <c r="J280" s="230"/>
      <c r="K280" s="254"/>
      <c r="L280" s="244"/>
      <c r="M280" s="245"/>
      <c r="N280" s="243"/>
      <c r="O280" s="246"/>
      <c r="P280" s="247"/>
      <c r="Q280" s="247"/>
      <c r="R280" s="248"/>
      <c r="S280" s="321"/>
      <c r="T280" s="248"/>
      <c r="U280" s="248"/>
      <c r="V280" s="249"/>
      <c r="W280" s="250"/>
      <c r="X280" s="247"/>
      <c r="Y280" s="248"/>
      <c r="Z280" s="250"/>
      <c r="AA280" s="242"/>
      <c r="AB280" s="242"/>
      <c r="AC280" s="250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60"/>
      <c r="AS280" s="202"/>
    </row>
    <row r="281" spans="1:45" ht="13.5" customHeight="1">
      <c r="A281" s="202"/>
      <c r="B281" s="241"/>
      <c r="C281" s="242">
        <v>18</v>
      </c>
      <c r="D281" s="226">
        <v>138</v>
      </c>
      <c r="E281" s="243" t="s">
        <v>977</v>
      </c>
      <c r="F281" s="304"/>
      <c r="G281" s="242" t="s">
        <v>43</v>
      </c>
      <c r="H281" s="253">
        <v>33303438</v>
      </c>
      <c r="I281" s="242">
        <v>40170</v>
      </c>
      <c r="J281" s="230">
        <f ca="1">+DATEDIF(I281,TODAY(),"Y")</f>
        <v>16</v>
      </c>
      <c r="K281" s="254" t="s">
        <v>978</v>
      </c>
      <c r="L281" s="244" t="s">
        <v>979</v>
      </c>
      <c r="M281" s="245" t="s">
        <v>980</v>
      </c>
      <c r="N281" s="243" t="s">
        <v>981</v>
      </c>
      <c r="O281" s="246">
        <v>12879846</v>
      </c>
      <c r="P281" s="247">
        <v>4121145700</v>
      </c>
      <c r="Q281" s="254" t="s">
        <v>982</v>
      </c>
      <c r="R281" s="248" t="s">
        <v>983</v>
      </c>
      <c r="S281" s="248" t="s">
        <v>696</v>
      </c>
      <c r="T281" s="248" t="s">
        <v>984</v>
      </c>
      <c r="U281" s="248"/>
      <c r="V281" s="287"/>
      <c r="W281" s="250"/>
      <c r="X281" s="247">
        <v>45419</v>
      </c>
      <c r="Y281" s="248"/>
      <c r="Z281" s="250"/>
      <c r="AA281" s="242"/>
      <c r="AB281" s="242"/>
      <c r="AC281" s="250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60"/>
      <c r="AS281" s="320"/>
    </row>
    <row r="282" spans="1:45" ht="13.5" customHeight="1">
      <c r="A282" s="202"/>
      <c r="B282" s="241"/>
      <c r="C282" s="242"/>
      <c r="D282" s="242"/>
      <c r="E282" s="243"/>
      <c r="F282" s="304"/>
      <c r="G282" s="242"/>
      <c r="H282" s="253"/>
      <c r="I282" s="242"/>
      <c r="J282" s="230"/>
      <c r="K282" s="254"/>
      <c r="L282" s="244"/>
      <c r="M282" s="245"/>
      <c r="N282" s="243"/>
      <c r="O282" s="246"/>
      <c r="P282" s="247"/>
      <c r="Q282" s="247"/>
      <c r="R282" s="248"/>
      <c r="S282" s="248"/>
      <c r="T282" s="248"/>
      <c r="U282" s="248"/>
      <c r="V282" s="287"/>
      <c r="W282" s="250"/>
      <c r="X282" s="247"/>
      <c r="Y282" s="248"/>
      <c r="Z282" s="250"/>
      <c r="AA282" s="242"/>
      <c r="AB282" s="242"/>
      <c r="AC282" s="250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60"/>
      <c r="AS282" s="202"/>
    </row>
    <row r="283" spans="1:45" ht="13.5" customHeight="1">
      <c r="A283" s="202"/>
      <c r="B283" s="241"/>
      <c r="C283" s="242">
        <v>19</v>
      </c>
      <c r="D283" s="226">
        <v>139</v>
      </c>
      <c r="E283" s="243" t="s">
        <v>986</v>
      </c>
      <c r="F283" s="304"/>
      <c r="G283" s="242" t="s">
        <v>43</v>
      </c>
      <c r="H283" s="253"/>
      <c r="I283" s="242">
        <v>42219</v>
      </c>
      <c r="J283" s="230">
        <f ca="1">+DATEDIF(I283,TODAY(),"Y")</f>
        <v>10</v>
      </c>
      <c r="K283" s="254" t="s">
        <v>987</v>
      </c>
      <c r="L283" s="244" t="s">
        <v>988</v>
      </c>
      <c r="M283" s="245" t="s">
        <v>989</v>
      </c>
      <c r="N283" s="243" t="s">
        <v>990</v>
      </c>
      <c r="O283" s="246" t="s">
        <v>991</v>
      </c>
      <c r="P283" s="247">
        <v>4242442234</v>
      </c>
      <c r="Q283" s="254" t="s">
        <v>992</v>
      </c>
      <c r="R283" s="248" t="s">
        <v>369</v>
      </c>
      <c r="S283" s="248" t="s">
        <v>939</v>
      </c>
      <c r="T283" s="321" t="s">
        <v>993</v>
      </c>
      <c r="U283" s="248"/>
      <c r="V283" s="249"/>
      <c r="W283" s="250"/>
      <c r="X283" s="247">
        <v>45422</v>
      </c>
      <c r="Y283" s="248"/>
      <c r="Z283" s="250"/>
      <c r="AA283" s="242"/>
      <c r="AB283" s="242"/>
      <c r="AC283" s="250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60"/>
      <c r="AS283" s="320"/>
    </row>
    <row r="284" spans="1:45" ht="13.5" customHeight="1">
      <c r="A284" s="202"/>
      <c r="B284" s="241"/>
      <c r="C284" s="242"/>
      <c r="D284" s="242"/>
      <c r="E284" s="243"/>
      <c r="F284" s="304"/>
      <c r="G284" s="242"/>
      <c r="H284" s="253"/>
      <c r="I284" s="242"/>
      <c r="J284" s="230"/>
      <c r="K284" s="254"/>
      <c r="L284" s="244"/>
      <c r="M284" s="245"/>
      <c r="N284" s="243"/>
      <c r="O284" s="246"/>
      <c r="P284" s="247"/>
      <c r="Q284" s="254"/>
      <c r="R284" s="248"/>
      <c r="S284" s="248"/>
      <c r="T284" s="321"/>
      <c r="U284" s="248"/>
      <c r="V284" s="249"/>
      <c r="W284" s="250"/>
      <c r="X284" s="247"/>
      <c r="Y284" s="248"/>
      <c r="Z284" s="250"/>
      <c r="AA284" s="242"/>
      <c r="AB284" s="242"/>
      <c r="AC284" s="250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60"/>
      <c r="AS284" s="202"/>
    </row>
    <row r="285" spans="1:45" ht="13.5" customHeight="1">
      <c r="A285" s="202"/>
      <c r="B285" s="241"/>
      <c r="C285" s="242">
        <v>20</v>
      </c>
      <c r="D285" s="226">
        <v>140</v>
      </c>
      <c r="E285" s="243" t="s">
        <v>995</v>
      </c>
      <c r="F285" s="304"/>
      <c r="G285" s="242" t="s">
        <v>43</v>
      </c>
      <c r="H285" s="253"/>
      <c r="I285" s="242">
        <v>41506</v>
      </c>
      <c r="J285" s="230">
        <f ca="1">+DATEDIF(I285,TODAY(),"Y")</f>
        <v>12</v>
      </c>
      <c r="K285" s="254" t="s">
        <v>987</v>
      </c>
      <c r="L285" s="244" t="s">
        <v>996</v>
      </c>
      <c r="M285" s="245" t="s">
        <v>989</v>
      </c>
      <c r="N285" s="243"/>
      <c r="O285" s="246"/>
      <c r="P285" s="247"/>
      <c r="Q285" s="254"/>
      <c r="R285" s="248"/>
      <c r="S285" s="248"/>
      <c r="T285" s="321"/>
      <c r="U285" s="248"/>
      <c r="V285" s="249"/>
      <c r="W285" s="322"/>
      <c r="X285" s="247">
        <v>45422</v>
      </c>
      <c r="Y285" s="248"/>
      <c r="Z285" s="250"/>
      <c r="AA285" s="242"/>
      <c r="AB285" s="242"/>
      <c r="AC285" s="250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60"/>
      <c r="AS285" s="320"/>
    </row>
    <row r="286" spans="1:45" ht="13.5" customHeight="1">
      <c r="A286" s="202"/>
      <c r="B286" s="241"/>
      <c r="C286" s="242"/>
      <c r="D286" s="242"/>
      <c r="E286" s="243"/>
      <c r="F286" s="304"/>
      <c r="G286" s="242"/>
      <c r="H286" s="253"/>
      <c r="I286" s="242"/>
      <c r="J286" s="230"/>
      <c r="K286" s="254"/>
      <c r="L286" s="244"/>
      <c r="M286" s="245"/>
      <c r="N286" s="243"/>
      <c r="O286" s="246"/>
      <c r="P286" s="247"/>
      <c r="Q286" s="254"/>
      <c r="R286" s="248"/>
      <c r="S286" s="248"/>
      <c r="T286" s="321"/>
      <c r="U286" s="248"/>
      <c r="V286" s="249"/>
      <c r="W286" s="322"/>
      <c r="X286" s="247"/>
      <c r="Y286" s="248"/>
      <c r="Z286" s="250"/>
      <c r="AA286" s="242"/>
      <c r="AB286" s="242"/>
      <c r="AC286" s="250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60"/>
      <c r="AS286" s="202"/>
    </row>
    <row r="287" spans="1:45" ht="13.5" customHeight="1">
      <c r="A287" s="202"/>
      <c r="B287" s="241"/>
      <c r="C287" s="242">
        <v>1</v>
      </c>
      <c r="D287" s="226">
        <v>141</v>
      </c>
      <c r="E287" s="243" t="s">
        <v>999</v>
      </c>
      <c r="F287" s="304"/>
      <c r="G287" s="242" t="s">
        <v>43</v>
      </c>
      <c r="H287" s="253"/>
      <c r="I287" s="242">
        <v>40205</v>
      </c>
      <c r="J287" s="230">
        <f ca="1">+DATEDIF(I287,TODAY(),"Y")</f>
        <v>16</v>
      </c>
      <c r="K287" s="254" t="s">
        <v>987</v>
      </c>
      <c r="L287" s="244" t="s">
        <v>996</v>
      </c>
      <c r="M287" s="245" t="s">
        <v>989</v>
      </c>
      <c r="N287" s="243"/>
      <c r="O287" s="246"/>
      <c r="P287" s="247"/>
      <c r="Q287" s="254"/>
      <c r="R287" s="248" t="s">
        <v>947</v>
      </c>
      <c r="S287" s="321" t="s">
        <v>1000</v>
      </c>
      <c r="T287" s="321"/>
      <c r="U287" s="248"/>
      <c r="V287" s="249"/>
      <c r="W287" s="250"/>
      <c r="X287" s="247">
        <v>45422</v>
      </c>
      <c r="Y287" s="248"/>
      <c r="Z287" s="250"/>
      <c r="AA287" s="242"/>
      <c r="AB287" s="242"/>
      <c r="AC287" s="250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60"/>
      <c r="AS287" s="320"/>
    </row>
    <row r="288" spans="1:45" ht="13.5" customHeight="1">
      <c r="A288" s="202"/>
      <c r="B288" s="241"/>
      <c r="C288" s="264"/>
      <c r="D288" s="242"/>
      <c r="E288" s="265"/>
      <c r="F288" s="315"/>
      <c r="G288" s="264"/>
      <c r="H288" s="266"/>
      <c r="I288" s="264"/>
      <c r="J288" s="230"/>
      <c r="K288" s="323"/>
      <c r="L288" s="268"/>
      <c r="M288" s="269"/>
      <c r="N288" s="265"/>
      <c r="O288" s="270"/>
      <c r="P288" s="267"/>
      <c r="Q288" s="323"/>
      <c r="R288" s="271"/>
      <c r="S288" s="324"/>
      <c r="T288" s="324"/>
      <c r="U288" s="271"/>
      <c r="V288" s="272"/>
      <c r="W288" s="273"/>
      <c r="X288" s="267"/>
      <c r="Y288" s="271"/>
      <c r="Z288" s="273"/>
      <c r="AA288" s="264"/>
      <c r="AB288" s="264"/>
      <c r="AC288" s="273"/>
      <c r="AD288" s="274"/>
      <c r="AE288" s="274"/>
      <c r="AF288" s="274"/>
      <c r="AG288" s="274"/>
      <c r="AH288" s="274"/>
      <c r="AI288" s="274"/>
      <c r="AJ288" s="274"/>
      <c r="AK288" s="274"/>
      <c r="AL288" s="274"/>
      <c r="AM288" s="274"/>
      <c r="AN288" s="274"/>
      <c r="AO288" s="274"/>
      <c r="AP288" s="274"/>
      <c r="AQ288" s="274"/>
      <c r="AR288" s="275"/>
      <c r="AS288" s="202"/>
    </row>
    <row r="289" spans="1:45" ht="13.5" customHeight="1">
      <c r="A289" s="202"/>
      <c r="B289" s="225" t="s">
        <v>2567</v>
      </c>
      <c r="C289" s="226">
        <v>2</v>
      </c>
      <c r="D289" s="226">
        <v>142</v>
      </c>
      <c r="E289" s="227" t="s">
        <v>1002</v>
      </c>
      <c r="F289" s="318"/>
      <c r="G289" s="226" t="s">
        <v>43</v>
      </c>
      <c r="H289" s="228">
        <v>32674524</v>
      </c>
      <c r="I289" s="226">
        <v>45443</v>
      </c>
      <c r="J289" s="230">
        <f ca="1">+DATEDIF(I289,TODAY(),"Y")</f>
        <v>2</v>
      </c>
      <c r="K289" s="231" t="s">
        <v>1003</v>
      </c>
      <c r="L289" s="232" t="s">
        <v>1004</v>
      </c>
      <c r="M289" s="233" t="s">
        <v>1005</v>
      </c>
      <c r="N289" s="227" t="s">
        <v>1006</v>
      </c>
      <c r="O289" s="234">
        <v>11044964</v>
      </c>
      <c r="P289" s="235">
        <v>4241279132</v>
      </c>
      <c r="Q289" s="231" t="s">
        <v>1007</v>
      </c>
      <c r="R289" s="236" t="s">
        <v>1008</v>
      </c>
      <c r="S289" s="236" t="s">
        <v>1009</v>
      </c>
      <c r="T289" s="236" t="s">
        <v>1010</v>
      </c>
      <c r="U289" s="236" t="s">
        <v>1010</v>
      </c>
      <c r="V289" s="281"/>
      <c r="W289" s="238"/>
      <c r="X289" s="235">
        <v>45425</v>
      </c>
      <c r="Y289" s="236"/>
      <c r="Z289" s="238"/>
      <c r="AA289" s="226"/>
      <c r="AB289" s="226"/>
      <c r="AC289" s="238"/>
      <c r="AD289" s="239"/>
      <c r="AE289" s="239"/>
      <c r="AF289" s="239"/>
      <c r="AG289" s="239"/>
      <c r="AH289" s="239"/>
      <c r="AI289" s="239"/>
      <c r="AJ289" s="239"/>
      <c r="AK289" s="239"/>
      <c r="AL289" s="239"/>
      <c r="AM289" s="239"/>
      <c r="AN289" s="239"/>
      <c r="AO289" s="239"/>
      <c r="AP289" s="239"/>
      <c r="AQ289" s="239"/>
      <c r="AR289" s="284"/>
      <c r="AS289" s="320"/>
    </row>
    <row r="290" spans="1:45" ht="13.5" customHeight="1">
      <c r="A290" s="202"/>
      <c r="B290" s="241"/>
      <c r="C290" s="242"/>
      <c r="D290" s="242"/>
      <c r="E290" s="243"/>
      <c r="F290" s="304"/>
      <c r="G290" s="242"/>
      <c r="H290" s="253"/>
      <c r="I290" s="242"/>
      <c r="J290" s="230"/>
      <c r="K290" s="254"/>
      <c r="L290" s="244"/>
      <c r="M290" s="245"/>
      <c r="N290" s="243"/>
      <c r="O290" s="246"/>
      <c r="P290" s="247"/>
      <c r="Q290" s="247"/>
      <c r="R290" s="248"/>
      <c r="S290" s="248"/>
      <c r="T290" s="248"/>
      <c r="U290" s="248"/>
      <c r="V290" s="287"/>
      <c r="W290" s="250"/>
      <c r="X290" s="247"/>
      <c r="Y290" s="248"/>
      <c r="Z290" s="250"/>
      <c r="AA290" s="242"/>
      <c r="AB290" s="242"/>
      <c r="AC290" s="250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60"/>
      <c r="AS290" s="202"/>
    </row>
    <row r="291" spans="1:45" ht="13.5" customHeight="1">
      <c r="A291" s="202"/>
      <c r="B291" s="241"/>
      <c r="C291" s="242">
        <v>3</v>
      </c>
      <c r="D291" s="226">
        <v>143</v>
      </c>
      <c r="E291" s="243" t="s">
        <v>1012</v>
      </c>
      <c r="F291" s="304"/>
      <c r="G291" s="242" t="s">
        <v>43</v>
      </c>
      <c r="H291" s="253">
        <v>27988116</v>
      </c>
      <c r="I291" s="242">
        <v>45356</v>
      </c>
      <c r="J291" s="230">
        <f ca="1">+DATEDIF(I291,TODAY(),"Y")</f>
        <v>2</v>
      </c>
      <c r="K291" s="254" t="s">
        <v>1013</v>
      </c>
      <c r="L291" s="244" t="s">
        <v>1014</v>
      </c>
      <c r="M291" s="245" t="s">
        <v>1015</v>
      </c>
      <c r="N291" s="243"/>
      <c r="O291" s="246"/>
      <c r="P291" s="247"/>
      <c r="Q291" s="254" t="s">
        <v>1016</v>
      </c>
      <c r="R291" s="248" t="s">
        <v>1017</v>
      </c>
      <c r="S291" s="248" t="s">
        <v>973</v>
      </c>
      <c r="T291" s="248"/>
      <c r="U291" s="248"/>
      <c r="V291" s="287"/>
      <c r="W291" s="250"/>
      <c r="X291" s="247">
        <v>45425</v>
      </c>
      <c r="Y291" s="248"/>
      <c r="Z291" s="250"/>
      <c r="AA291" s="242"/>
      <c r="AB291" s="242"/>
      <c r="AC291" s="250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60"/>
      <c r="AS291" s="320"/>
    </row>
    <row r="292" spans="1:45" ht="13.5" customHeight="1">
      <c r="A292" s="202"/>
      <c r="B292" s="241"/>
      <c r="C292" s="242"/>
      <c r="D292" s="242"/>
      <c r="E292" s="243"/>
      <c r="F292" s="304"/>
      <c r="G292" s="242"/>
      <c r="H292" s="253"/>
      <c r="I292" s="242"/>
      <c r="J292" s="230"/>
      <c r="K292" s="254"/>
      <c r="L292" s="244"/>
      <c r="M292" s="245"/>
      <c r="N292" s="243"/>
      <c r="O292" s="246"/>
      <c r="P292" s="247"/>
      <c r="Q292" s="247"/>
      <c r="R292" s="248"/>
      <c r="S292" s="248"/>
      <c r="T292" s="248"/>
      <c r="U292" s="248"/>
      <c r="V292" s="287"/>
      <c r="W292" s="250"/>
      <c r="X292" s="247"/>
      <c r="Y292" s="248"/>
      <c r="Z292" s="250"/>
      <c r="AA292" s="242"/>
      <c r="AB292" s="242"/>
      <c r="AC292" s="250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60"/>
      <c r="AS292" s="202"/>
    </row>
    <row r="293" spans="1:45" ht="13.5" customHeight="1">
      <c r="A293" s="202"/>
      <c r="B293" s="241"/>
      <c r="C293" s="242">
        <v>4</v>
      </c>
      <c r="D293" s="226">
        <v>144</v>
      </c>
      <c r="E293" s="243" t="s">
        <v>1019</v>
      </c>
      <c r="F293" s="304"/>
      <c r="G293" s="242" t="s">
        <v>43</v>
      </c>
      <c r="H293" s="253">
        <v>34582733</v>
      </c>
      <c r="I293" s="242">
        <v>45425</v>
      </c>
      <c r="J293" s="230">
        <f ca="1">+DATEDIF(I293,TODAY(),"Y")</f>
        <v>2</v>
      </c>
      <c r="K293" s="254" t="s">
        <v>1020</v>
      </c>
      <c r="L293" s="244" t="s">
        <v>1021</v>
      </c>
      <c r="M293" s="245" t="s">
        <v>1022</v>
      </c>
      <c r="N293" s="243" t="s">
        <v>1023</v>
      </c>
      <c r="O293" s="246">
        <v>17533013</v>
      </c>
      <c r="P293" s="247">
        <v>4122760994</v>
      </c>
      <c r="Q293" s="254" t="s">
        <v>1024</v>
      </c>
      <c r="R293" s="248" t="s">
        <v>778</v>
      </c>
      <c r="S293" s="248" t="s">
        <v>1025</v>
      </c>
      <c r="T293" s="248" t="s">
        <v>1026</v>
      </c>
      <c r="U293" s="248"/>
      <c r="V293" s="287"/>
      <c r="W293" s="250"/>
      <c r="X293" s="247">
        <v>45425</v>
      </c>
      <c r="Y293" s="248"/>
      <c r="Z293" s="250"/>
      <c r="AA293" s="242"/>
      <c r="AB293" s="242"/>
      <c r="AC293" s="250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60"/>
      <c r="AS293" s="320"/>
    </row>
    <row r="294" spans="1:45" ht="13.5" customHeight="1">
      <c r="A294" s="202"/>
      <c r="B294" s="241"/>
      <c r="C294" s="242"/>
      <c r="D294" s="242"/>
      <c r="E294" s="243"/>
      <c r="F294" s="304"/>
      <c r="G294" s="242"/>
      <c r="H294" s="253"/>
      <c r="I294" s="242"/>
      <c r="J294" s="230"/>
      <c r="K294" s="254"/>
      <c r="L294" s="244"/>
      <c r="M294" s="245"/>
      <c r="N294" s="243"/>
      <c r="O294" s="246"/>
      <c r="P294" s="247"/>
      <c r="Q294" s="247"/>
      <c r="R294" s="248"/>
      <c r="S294" s="248"/>
      <c r="T294" s="248"/>
      <c r="U294" s="248"/>
      <c r="V294" s="287"/>
      <c r="W294" s="250"/>
      <c r="X294" s="247"/>
      <c r="Y294" s="248"/>
      <c r="Z294" s="250"/>
      <c r="AA294" s="242"/>
      <c r="AB294" s="242"/>
      <c r="AC294" s="250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60"/>
      <c r="AS294" s="202"/>
    </row>
    <row r="295" spans="1:45" ht="13.5" customHeight="1">
      <c r="A295" s="202"/>
      <c r="B295" s="241"/>
      <c r="C295" s="242">
        <v>5</v>
      </c>
      <c r="D295" s="226">
        <v>145</v>
      </c>
      <c r="E295" s="243" t="s">
        <v>1028</v>
      </c>
      <c r="F295" s="304"/>
      <c r="G295" s="242" t="s">
        <v>43</v>
      </c>
      <c r="H295" s="253">
        <v>31604500</v>
      </c>
      <c r="I295" s="242">
        <v>38943</v>
      </c>
      <c r="J295" s="230">
        <f ca="1">+DATEDIF(I295,TODAY(),"Y")</f>
        <v>19</v>
      </c>
      <c r="K295" s="254" t="s">
        <v>1029</v>
      </c>
      <c r="L295" s="244" t="s">
        <v>1030</v>
      </c>
      <c r="M295" s="245" t="s">
        <v>1031</v>
      </c>
      <c r="N295" s="243" t="s">
        <v>1032</v>
      </c>
      <c r="O295" s="246">
        <v>16269840</v>
      </c>
      <c r="P295" s="247">
        <v>4127103087</v>
      </c>
      <c r="Q295" s="254" t="s">
        <v>1029</v>
      </c>
      <c r="R295" s="248" t="s">
        <v>778</v>
      </c>
      <c r="S295" s="248" t="s">
        <v>696</v>
      </c>
      <c r="T295" s="248" t="s">
        <v>1033</v>
      </c>
      <c r="U295" s="248"/>
      <c r="V295" s="287"/>
      <c r="W295" s="250"/>
      <c r="X295" s="247">
        <v>45223</v>
      </c>
      <c r="Y295" s="248"/>
      <c r="Z295" s="250"/>
      <c r="AA295" s="242"/>
      <c r="AB295" s="242"/>
      <c r="AC295" s="250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60"/>
      <c r="AS295" s="320"/>
    </row>
    <row r="296" spans="1:45" ht="13.5" customHeight="1">
      <c r="A296" s="202"/>
      <c r="B296" s="241"/>
      <c r="C296" s="242"/>
      <c r="D296" s="242"/>
      <c r="E296" s="243"/>
      <c r="F296" s="304"/>
      <c r="G296" s="242"/>
      <c r="H296" s="253"/>
      <c r="I296" s="242"/>
      <c r="J296" s="230"/>
      <c r="K296" s="254"/>
      <c r="L296" s="244"/>
      <c r="M296" s="245"/>
      <c r="N296" s="243"/>
      <c r="O296" s="246"/>
      <c r="P296" s="247"/>
      <c r="Q296" s="247"/>
      <c r="R296" s="248"/>
      <c r="S296" s="248"/>
      <c r="T296" s="248"/>
      <c r="U296" s="248"/>
      <c r="V296" s="287"/>
      <c r="W296" s="250"/>
      <c r="X296" s="247"/>
      <c r="Y296" s="248"/>
      <c r="Z296" s="250"/>
      <c r="AA296" s="242"/>
      <c r="AB296" s="242"/>
      <c r="AC296" s="250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60"/>
      <c r="AS296" s="202"/>
    </row>
    <row r="297" spans="1:45" ht="13.5" customHeight="1">
      <c r="A297" s="202"/>
      <c r="B297" s="241"/>
      <c r="C297" s="242">
        <v>6</v>
      </c>
      <c r="D297" s="226">
        <v>146</v>
      </c>
      <c r="E297" s="243" t="s">
        <v>1035</v>
      </c>
      <c r="F297" s="304"/>
      <c r="G297" s="242" t="s">
        <v>43</v>
      </c>
      <c r="H297" s="253"/>
      <c r="I297" s="242">
        <v>42316</v>
      </c>
      <c r="J297" s="230">
        <f ca="1">+DATEDIF(I297,TODAY(),"Y")</f>
        <v>10</v>
      </c>
      <c r="K297" s="254" t="s">
        <v>1036</v>
      </c>
      <c r="L297" s="244" t="s">
        <v>1037</v>
      </c>
      <c r="M297" s="245" t="s">
        <v>1038</v>
      </c>
      <c r="N297" s="243" t="s">
        <v>1039</v>
      </c>
      <c r="O297" s="246">
        <v>19763671</v>
      </c>
      <c r="P297" s="247">
        <v>4129962477</v>
      </c>
      <c r="Q297" s="254" t="s">
        <v>1040</v>
      </c>
      <c r="R297" s="248" t="s">
        <v>579</v>
      </c>
      <c r="S297" s="248" t="s">
        <v>933</v>
      </c>
      <c r="T297" s="248" t="s">
        <v>1041</v>
      </c>
      <c r="U297" s="248"/>
      <c r="V297" s="287"/>
      <c r="W297" s="250"/>
      <c r="X297" s="247">
        <v>45428</v>
      </c>
      <c r="Y297" s="248"/>
      <c r="Z297" s="250"/>
      <c r="AA297" s="242"/>
      <c r="AB297" s="242"/>
      <c r="AC297" s="250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60"/>
      <c r="AS297" s="320"/>
    </row>
    <row r="298" spans="1:45" ht="13.5" customHeight="1">
      <c r="A298" s="202"/>
      <c r="B298" s="241"/>
      <c r="C298" s="242"/>
      <c r="D298" s="242"/>
      <c r="E298" s="243"/>
      <c r="F298" s="304"/>
      <c r="G298" s="242"/>
      <c r="H298" s="253"/>
      <c r="I298" s="242"/>
      <c r="J298" s="230"/>
      <c r="K298" s="254"/>
      <c r="L298" s="244"/>
      <c r="M298" s="245"/>
      <c r="N298" s="243"/>
      <c r="O298" s="246"/>
      <c r="P298" s="247"/>
      <c r="Q298" s="247"/>
      <c r="R298" s="248"/>
      <c r="S298" s="248"/>
      <c r="T298" s="248"/>
      <c r="U298" s="248"/>
      <c r="V298" s="287"/>
      <c r="W298" s="250"/>
      <c r="X298" s="247"/>
      <c r="Y298" s="248"/>
      <c r="Z298" s="250"/>
      <c r="AA298" s="242"/>
      <c r="AB298" s="242"/>
      <c r="AC298" s="250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60"/>
      <c r="AS298" s="202"/>
    </row>
    <row r="299" spans="1:45" ht="13.5" customHeight="1">
      <c r="A299" s="202"/>
      <c r="B299" s="241"/>
      <c r="C299" s="242">
        <v>7</v>
      </c>
      <c r="D299" s="226">
        <v>147</v>
      </c>
      <c r="E299" s="243" t="s">
        <v>1043</v>
      </c>
      <c r="F299" s="304"/>
      <c r="G299" s="242" t="s">
        <v>43</v>
      </c>
      <c r="H299" s="253">
        <v>33884275</v>
      </c>
      <c r="I299" s="242">
        <v>40828</v>
      </c>
      <c r="J299" s="230">
        <f ca="1">+DATEDIF(I299,TODAY(),"Y")</f>
        <v>14</v>
      </c>
      <c r="K299" s="254" t="s">
        <v>1044</v>
      </c>
      <c r="L299" s="244"/>
      <c r="M299" s="245" t="s">
        <v>1045</v>
      </c>
      <c r="N299" s="243" t="s">
        <v>1046</v>
      </c>
      <c r="O299" s="246">
        <v>14756232</v>
      </c>
      <c r="P299" s="247">
        <v>4142446182</v>
      </c>
      <c r="Q299" s="254" t="s">
        <v>1044</v>
      </c>
      <c r="R299" s="248" t="s">
        <v>947</v>
      </c>
      <c r="S299" s="248" t="s">
        <v>933</v>
      </c>
      <c r="T299" s="248" t="s">
        <v>1047</v>
      </c>
      <c r="U299" s="248"/>
      <c r="V299" s="287"/>
      <c r="W299" s="250"/>
      <c r="X299" s="247">
        <v>45408</v>
      </c>
      <c r="Y299" s="248"/>
      <c r="Z299" s="250"/>
      <c r="AA299" s="242"/>
      <c r="AB299" s="242"/>
      <c r="AC299" s="250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60"/>
      <c r="AS299" s="320"/>
    </row>
    <row r="300" spans="1:45" ht="13.5" customHeight="1">
      <c r="A300" s="202"/>
      <c r="B300" s="241"/>
      <c r="C300" s="242"/>
      <c r="D300" s="242"/>
      <c r="E300" s="243"/>
      <c r="F300" s="304"/>
      <c r="G300" s="242"/>
      <c r="H300" s="253"/>
      <c r="I300" s="242"/>
      <c r="J300" s="230"/>
      <c r="K300" s="254"/>
      <c r="L300" s="244"/>
      <c r="M300" s="245"/>
      <c r="N300" s="243"/>
      <c r="O300" s="246"/>
      <c r="P300" s="247"/>
      <c r="Q300" s="247"/>
      <c r="R300" s="248"/>
      <c r="S300" s="248"/>
      <c r="T300" s="248"/>
      <c r="U300" s="248"/>
      <c r="V300" s="287"/>
      <c r="W300" s="250"/>
      <c r="X300" s="247"/>
      <c r="Y300" s="248"/>
      <c r="Z300" s="250"/>
      <c r="AA300" s="242"/>
      <c r="AB300" s="242"/>
      <c r="AC300" s="250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60"/>
      <c r="AS300" s="202"/>
    </row>
    <row r="301" spans="1:45" ht="13.5" customHeight="1">
      <c r="A301" s="202"/>
      <c r="B301" s="241"/>
      <c r="C301" s="242">
        <v>8</v>
      </c>
      <c r="D301" s="226">
        <v>148</v>
      </c>
      <c r="E301" s="243" t="s">
        <v>1049</v>
      </c>
      <c r="F301" s="304"/>
      <c r="G301" s="242" t="s">
        <v>43</v>
      </c>
      <c r="H301" s="253">
        <v>33884276</v>
      </c>
      <c r="I301" s="242">
        <v>40828</v>
      </c>
      <c r="J301" s="230">
        <f ca="1">+DATEDIF(I301,TODAY(),"Y")</f>
        <v>14</v>
      </c>
      <c r="K301" s="254" t="s">
        <v>1044</v>
      </c>
      <c r="L301" s="244" t="s">
        <v>1050</v>
      </c>
      <c r="M301" s="245" t="s">
        <v>1045</v>
      </c>
      <c r="N301" s="243" t="s">
        <v>1046</v>
      </c>
      <c r="O301" s="246">
        <v>14756232</v>
      </c>
      <c r="P301" s="247">
        <v>4142446182</v>
      </c>
      <c r="Q301" s="254" t="s">
        <v>1044</v>
      </c>
      <c r="R301" s="248" t="s">
        <v>947</v>
      </c>
      <c r="S301" s="248" t="s">
        <v>933</v>
      </c>
      <c r="T301" s="248" t="s">
        <v>1047</v>
      </c>
      <c r="U301" s="248"/>
      <c r="V301" s="287"/>
      <c r="W301" s="250"/>
      <c r="X301" s="247">
        <v>45408</v>
      </c>
      <c r="Y301" s="248"/>
      <c r="Z301" s="250"/>
      <c r="AA301" s="242"/>
      <c r="AB301" s="242"/>
      <c r="AC301" s="250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60"/>
      <c r="AS301" s="320"/>
    </row>
    <row r="302" spans="1:45" ht="13.5" customHeight="1">
      <c r="A302" s="202"/>
      <c r="B302" s="241"/>
      <c r="C302" s="242"/>
      <c r="D302" s="242"/>
      <c r="E302" s="243"/>
      <c r="F302" s="304"/>
      <c r="G302" s="242"/>
      <c r="H302" s="253"/>
      <c r="I302" s="242"/>
      <c r="J302" s="230"/>
      <c r="K302" s="254"/>
      <c r="L302" s="244"/>
      <c r="M302" s="245"/>
      <c r="N302" s="243"/>
      <c r="O302" s="246"/>
      <c r="P302" s="247"/>
      <c r="Q302" s="247"/>
      <c r="R302" s="248"/>
      <c r="S302" s="248"/>
      <c r="T302" s="248"/>
      <c r="U302" s="248"/>
      <c r="V302" s="287"/>
      <c r="W302" s="250"/>
      <c r="X302" s="247"/>
      <c r="Y302" s="248"/>
      <c r="Z302" s="250"/>
      <c r="AA302" s="242"/>
      <c r="AB302" s="242"/>
      <c r="AC302" s="250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60"/>
      <c r="AS302" s="202"/>
    </row>
    <row r="303" spans="1:45" ht="13.5" customHeight="1">
      <c r="A303" s="202"/>
      <c r="B303" s="241"/>
      <c r="C303" s="242">
        <v>9</v>
      </c>
      <c r="D303" s="226">
        <v>149</v>
      </c>
      <c r="E303" s="243" t="s">
        <v>1052</v>
      </c>
      <c r="F303" s="304"/>
      <c r="G303" s="242" t="s">
        <v>43</v>
      </c>
      <c r="H303" s="253">
        <v>34428782</v>
      </c>
      <c r="I303" s="242">
        <v>41536</v>
      </c>
      <c r="J303" s="230">
        <f ca="1">+DATEDIF(I303,TODAY(),"Y")</f>
        <v>12</v>
      </c>
      <c r="K303" s="254" t="s">
        <v>1053</v>
      </c>
      <c r="L303" s="244" t="s">
        <v>1054</v>
      </c>
      <c r="M303" s="245" t="s">
        <v>1055</v>
      </c>
      <c r="N303" s="243" t="s">
        <v>1056</v>
      </c>
      <c r="O303" s="246">
        <v>18782201</v>
      </c>
      <c r="P303" s="247">
        <v>4125399838</v>
      </c>
      <c r="Q303" s="254" t="s">
        <v>1053</v>
      </c>
      <c r="R303" s="248" t="s">
        <v>579</v>
      </c>
      <c r="S303" s="248" t="s">
        <v>1057</v>
      </c>
      <c r="T303" s="248"/>
      <c r="U303" s="248"/>
      <c r="V303" s="287"/>
      <c r="W303" s="250"/>
      <c r="X303" s="247">
        <v>45408</v>
      </c>
      <c r="Y303" s="248"/>
      <c r="Z303" s="250"/>
      <c r="AA303" s="242"/>
      <c r="AB303" s="242"/>
      <c r="AC303" s="250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60"/>
      <c r="AS303" s="320"/>
    </row>
    <row r="304" spans="1:45" ht="13.5" customHeight="1">
      <c r="A304" s="202"/>
      <c r="B304" s="241"/>
      <c r="C304" s="242"/>
      <c r="D304" s="242"/>
      <c r="E304" s="243"/>
      <c r="F304" s="304"/>
      <c r="G304" s="242"/>
      <c r="H304" s="253"/>
      <c r="I304" s="242"/>
      <c r="J304" s="230"/>
      <c r="K304" s="254"/>
      <c r="L304" s="244"/>
      <c r="M304" s="245"/>
      <c r="N304" s="243"/>
      <c r="O304" s="246"/>
      <c r="P304" s="247"/>
      <c r="Q304" s="247"/>
      <c r="R304" s="248"/>
      <c r="S304" s="248"/>
      <c r="T304" s="248"/>
      <c r="U304" s="248"/>
      <c r="V304" s="287"/>
      <c r="W304" s="250"/>
      <c r="X304" s="247"/>
      <c r="Y304" s="248"/>
      <c r="Z304" s="250"/>
      <c r="AA304" s="242"/>
      <c r="AB304" s="242"/>
      <c r="AC304" s="250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60"/>
      <c r="AS304" s="202"/>
    </row>
    <row r="305" spans="1:45" ht="13.5" customHeight="1">
      <c r="A305" s="202"/>
      <c r="B305" s="241"/>
      <c r="C305" s="242">
        <v>10</v>
      </c>
      <c r="D305" s="226">
        <v>150</v>
      </c>
      <c r="E305" s="243" t="s">
        <v>1059</v>
      </c>
      <c r="F305" s="304"/>
      <c r="G305" s="242" t="s">
        <v>43</v>
      </c>
      <c r="H305" s="253">
        <v>31975111</v>
      </c>
      <c r="I305" s="242">
        <v>45416</v>
      </c>
      <c r="J305" s="230">
        <f ca="1">+DATEDIF(I305,TODAY(),"Y")</f>
        <v>2</v>
      </c>
      <c r="K305" s="254"/>
      <c r="L305" s="244" t="s">
        <v>1060</v>
      </c>
      <c r="M305" s="245" t="s">
        <v>1061</v>
      </c>
      <c r="N305" s="243" t="s">
        <v>1062</v>
      </c>
      <c r="O305" s="246">
        <v>4577489</v>
      </c>
      <c r="P305" s="247">
        <v>4125844956</v>
      </c>
      <c r="Q305" s="254"/>
      <c r="R305" s="248" t="s">
        <v>1063</v>
      </c>
      <c r="S305" s="248" t="s">
        <v>1064</v>
      </c>
      <c r="T305" s="248" t="s">
        <v>1065</v>
      </c>
      <c r="U305" s="248"/>
      <c r="V305" s="287"/>
      <c r="W305" s="250"/>
      <c r="X305" s="247">
        <v>45416</v>
      </c>
      <c r="Y305" s="248"/>
      <c r="Z305" s="250"/>
      <c r="AA305" s="242"/>
      <c r="AB305" s="242"/>
      <c r="AC305" s="250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60"/>
      <c r="AS305" s="320"/>
    </row>
    <row r="306" spans="1:45" ht="13.5" customHeight="1">
      <c r="A306" s="202"/>
      <c r="B306" s="241"/>
      <c r="C306" s="242"/>
      <c r="D306" s="242"/>
      <c r="E306" s="243"/>
      <c r="F306" s="304"/>
      <c r="G306" s="242"/>
      <c r="H306" s="253"/>
      <c r="I306" s="242"/>
      <c r="J306" s="230"/>
      <c r="K306" s="254"/>
      <c r="L306" s="244"/>
      <c r="M306" s="245"/>
      <c r="N306" s="243"/>
      <c r="O306" s="246"/>
      <c r="P306" s="247"/>
      <c r="Q306" s="247"/>
      <c r="R306" s="248"/>
      <c r="S306" s="248"/>
      <c r="T306" s="248"/>
      <c r="U306" s="248"/>
      <c r="V306" s="287"/>
      <c r="W306" s="250"/>
      <c r="X306" s="247"/>
      <c r="Y306" s="248"/>
      <c r="Z306" s="250"/>
      <c r="AA306" s="242"/>
      <c r="AB306" s="242"/>
      <c r="AC306" s="250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60"/>
      <c r="AS306" s="202"/>
    </row>
    <row r="307" spans="1:45" ht="13.5" customHeight="1">
      <c r="A307" s="202"/>
      <c r="B307" s="241"/>
      <c r="C307" s="242">
        <v>11</v>
      </c>
      <c r="D307" s="226">
        <v>151</v>
      </c>
      <c r="E307" s="243" t="s">
        <v>1067</v>
      </c>
      <c r="F307" s="304"/>
      <c r="G307" s="242" t="s">
        <v>43</v>
      </c>
      <c r="H307" s="253">
        <v>32478951</v>
      </c>
      <c r="I307" s="242">
        <v>45439</v>
      </c>
      <c r="J307" s="230">
        <f ca="1">+DATEDIF(I307,TODAY(),"Y")</f>
        <v>2</v>
      </c>
      <c r="K307" s="254" t="s">
        <v>1068</v>
      </c>
      <c r="L307" s="244" t="s">
        <v>1069</v>
      </c>
      <c r="M307" s="245" t="s">
        <v>1070</v>
      </c>
      <c r="N307" s="243" t="s">
        <v>1070</v>
      </c>
      <c r="O307" s="246">
        <v>18712446</v>
      </c>
      <c r="P307" s="247">
        <v>4242516590</v>
      </c>
      <c r="Q307" s="254" t="s">
        <v>1071</v>
      </c>
      <c r="R307" s="248" t="s">
        <v>1063</v>
      </c>
      <c r="S307" s="248" t="s">
        <v>939</v>
      </c>
      <c r="T307" s="248" t="s">
        <v>1065</v>
      </c>
      <c r="U307" s="248"/>
      <c r="V307" s="287"/>
      <c r="W307" s="250"/>
      <c r="X307" s="247">
        <v>45439</v>
      </c>
      <c r="Y307" s="248"/>
      <c r="Z307" s="250"/>
      <c r="AA307" s="242"/>
      <c r="AB307" s="242"/>
      <c r="AC307" s="250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60"/>
      <c r="AS307" s="320"/>
    </row>
    <row r="308" spans="1:45" ht="13.5" customHeight="1">
      <c r="A308" s="202"/>
      <c r="B308" s="241"/>
      <c r="C308" s="242"/>
      <c r="D308" s="242"/>
      <c r="E308" s="243"/>
      <c r="F308" s="304"/>
      <c r="G308" s="242"/>
      <c r="H308" s="253"/>
      <c r="I308" s="242"/>
      <c r="J308" s="230"/>
      <c r="K308" s="254"/>
      <c r="L308" s="244"/>
      <c r="M308" s="245"/>
      <c r="N308" s="243"/>
      <c r="O308" s="246"/>
      <c r="P308" s="247"/>
      <c r="Q308" s="247"/>
      <c r="R308" s="248"/>
      <c r="S308" s="248"/>
      <c r="T308" s="248"/>
      <c r="U308" s="248"/>
      <c r="V308" s="287"/>
      <c r="W308" s="250"/>
      <c r="X308" s="247"/>
      <c r="Y308" s="248"/>
      <c r="Z308" s="250"/>
      <c r="AA308" s="242"/>
      <c r="AB308" s="242"/>
      <c r="AC308" s="250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60"/>
      <c r="AS308" s="202"/>
    </row>
    <row r="309" spans="1:45" ht="13.5" customHeight="1">
      <c r="A309" s="202"/>
      <c r="B309" s="241"/>
      <c r="C309" s="242">
        <v>12</v>
      </c>
      <c r="D309" s="226">
        <v>152</v>
      </c>
      <c r="E309" s="243" t="s">
        <v>1073</v>
      </c>
      <c r="F309" s="304"/>
      <c r="G309" s="242" t="s">
        <v>43</v>
      </c>
      <c r="H309" s="253">
        <v>32479068</v>
      </c>
      <c r="I309" s="242">
        <v>45416</v>
      </c>
      <c r="J309" s="230">
        <f ca="1">+DATEDIF(I309,TODAY(),"Y")</f>
        <v>2</v>
      </c>
      <c r="K309" s="254"/>
      <c r="L309" s="244" t="s">
        <v>1074</v>
      </c>
      <c r="M309" s="245" t="s">
        <v>1075</v>
      </c>
      <c r="N309" s="243" t="s">
        <v>1076</v>
      </c>
      <c r="O309" s="246">
        <v>13726161</v>
      </c>
      <c r="P309" s="247">
        <v>4129608920</v>
      </c>
      <c r="Q309" s="254" t="s">
        <v>1077</v>
      </c>
      <c r="R309" s="248"/>
      <c r="S309" s="248"/>
      <c r="T309" s="248" t="s">
        <v>1065</v>
      </c>
      <c r="U309" s="248"/>
      <c r="V309" s="287"/>
      <c r="W309" s="250"/>
      <c r="X309" s="247">
        <v>45416</v>
      </c>
      <c r="Y309" s="248"/>
      <c r="Z309" s="250"/>
      <c r="AA309" s="242"/>
      <c r="AB309" s="242"/>
      <c r="AC309" s="250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60"/>
      <c r="AS309" s="320"/>
    </row>
    <row r="310" spans="1:45" ht="13.5" customHeight="1">
      <c r="A310" s="202"/>
      <c r="B310" s="241"/>
      <c r="C310" s="242"/>
      <c r="D310" s="242"/>
      <c r="E310" s="243"/>
      <c r="F310" s="304"/>
      <c r="G310" s="242"/>
      <c r="H310" s="253"/>
      <c r="I310" s="242"/>
      <c r="J310" s="230"/>
      <c r="K310" s="254"/>
      <c r="L310" s="244"/>
      <c r="M310" s="245"/>
      <c r="N310" s="243"/>
      <c r="O310" s="246"/>
      <c r="P310" s="247"/>
      <c r="Q310" s="247"/>
      <c r="R310" s="248"/>
      <c r="S310" s="248"/>
      <c r="T310" s="248"/>
      <c r="U310" s="248"/>
      <c r="V310" s="287"/>
      <c r="W310" s="250"/>
      <c r="X310" s="247"/>
      <c r="Y310" s="248"/>
      <c r="Z310" s="250"/>
      <c r="AA310" s="242"/>
      <c r="AB310" s="242"/>
      <c r="AC310" s="250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60"/>
      <c r="AS310" s="202"/>
    </row>
    <row r="311" spans="1:45" ht="13.5" customHeight="1">
      <c r="A311" s="202"/>
      <c r="B311" s="241"/>
      <c r="C311" s="242">
        <v>13</v>
      </c>
      <c r="D311" s="226">
        <v>153</v>
      </c>
      <c r="E311" s="243" t="s">
        <v>1079</v>
      </c>
      <c r="F311" s="304"/>
      <c r="G311" s="242" t="s">
        <v>43</v>
      </c>
      <c r="H311" s="253">
        <v>33327919</v>
      </c>
      <c r="I311" s="242">
        <v>45416</v>
      </c>
      <c r="J311" s="230">
        <f ca="1">+DATEDIF(I311,TODAY(),"Y")</f>
        <v>2</v>
      </c>
      <c r="K311" s="254" t="s">
        <v>1080</v>
      </c>
      <c r="L311" s="244" t="s">
        <v>1081</v>
      </c>
      <c r="M311" s="245" t="s">
        <v>1082</v>
      </c>
      <c r="N311" s="243" t="s">
        <v>1083</v>
      </c>
      <c r="O311" s="246">
        <v>14130636</v>
      </c>
      <c r="P311" s="247">
        <v>4126044539</v>
      </c>
      <c r="Q311" s="254" t="s">
        <v>1084</v>
      </c>
      <c r="R311" s="248" t="s">
        <v>657</v>
      </c>
      <c r="S311" s="248" t="s">
        <v>1057</v>
      </c>
      <c r="T311" s="248" t="s">
        <v>1065</v>
      </c>
      <c r="U311" s="248"/>
      <c r="V311" s="287"/>
      <c r="W311" s="250"/>
      <c r="X311" s="247">
        <v>45416</v>
      </c>
      <c r="Y311" s="248"/>
      <c r="Z311" s="250"/>
      <c r="AA311" s="242"/>
      <c r="AB311" s="242"/>
      <c r="AC311" s="250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60"/>
      <c r="AS311" s="320"/>
    </row>
    <row r="312" spans="1:45" ht="13.5" customHeight="1">
      <c r="A312" s="202"/>
      <c r="B312" s="241"/>
      <c r="C312" s="242"/>
      <c r="D312" s="242"/>
      <c r="E312" s="243"/>
      <c r="F312" s="304"/>
      <c r="G312" s="242"/>
      <c r="H312" s="253"/>
      <c r="I312" s="242"/>
      <c r="J312" s="230"/>
      <c r="K312" s="254"/>
      <c r="L312" s="244"/>
      <c r="M312" s="245"/>
      <c r="N312" s="243"/>
      <c r="O312" s="246"/>
      <c r="P312" s="247"/>
      <c r="Q312" s="247"/>
      <c r="R312" s="248"/>
      <c r="S312" s="248"/>
      <c r="T312" s="248"/>
      <c r="U312" s="248"/>
      <c r="V312" s="287"/>
      <c r="W312" s="250"/>
      <c r="X312" s="247"/>
      <c r="Y312" s="248"/>
      <c r="Z312" s="250"/>
      <c r="AA312" s="242"/>
      <c r="AB312" s="242"/>
      <c r="AC312" s="250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60"/>
      <c r="AS312" s="202"/>
    </row>
    <row r="313" spans="1:45" ht="13.5" customHeight="1">
      <c r="A313" s="202"/>
      <c r="B313" s="241"/>
      <c r="C313" s="242">
        <v>14</v>
      </c>
      <c r="D313" s="226">
        <v>154</v>
      </c>
      <c r="E313" s="243" t="s">
        <v>1086</v>
      </c>
      <c r="F313" s="304"/>
      <c r="G313" s="242" t="s">
        <v>278</v>
      </c>
      <c r="H313" s="253">
        <v>31374988</v>
      </c>
      <c r="I313" s="242"/>
      <c r="J313" s="230">
        <f ca="1">+DATEDIF(I313,TODAY(),"Y")</f>
        <v>126</v>
      </c>
      <c r="K313" s="254" t="s">
        <v>1087</v>
      </c>
      <c r="L313" s="244" t="s">
        <v>1088</v>
      </c>
      <c r="M313" s="245" t="s">
        <v>1089</v>
      </c>
      <c r="N313" s="243" t="s">
        <v>1090</v>
      </c>
      <c r="O313" s="246">
        <v>13564678</v>
      </c>
      <c r="P313" s="247">
        <v>4142889514</v>
      </c>
      <c r="Q313" s="254" t="s">
        <v>1091</v>
      </c>
      <c r="R313" s="248" t="s">
        <v>1092</v>
      </c>
      <c r="S313" s="248" t="s">
        <v>1093</v>
      </c>
      <c r="T313" s="248"/>
      <c r="U313" s="248"/>
      <c r="V313" s="287"/>
      <c r="W313" s="250"/>
      <c r="X313" s="247"/>
      <c r="Y313" s="248"/>
      <c r="Z313" s="250"/>
      <c r="AA313" s="242"/>
      <c r="AB313" s="242"/>
      <c r="AC313" s="250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60"/>
      <c r="AS313" s="320"/>
    </row>
    <row r="314" spans="1:45" ht="13.5" customHeight="1">
      <c r="A314" s="202"/>
      <c r="B314" s="241"/>
      <c r="C314" s="242"/>
      <c r="D314" s="242"/>
      <c r="E314" s="243"/>
      <c r="F314" s="304"/>
      <c r="G314" s="242"/>
      <c r="H314" s="253"/>
      <c r="I314" s="242"/>
      <c r="J314" s="230"/>
      <c r="K314" s="254"/>
      <c r="L314" s="244"/>
      <c r="M314" s="245"/>
      <c r="N314" s="243"/>
      <c r="O314" s="246"/>
      <c r="P314" s="247"/>
      <c r="Q314" s="247"/>
      <c r="R314" s="248"/>
      <c r="S314" s="248"/>
      <c r="T314" s="248"/>
      <c r="U314" s="248"/>
      <c r="V314" s="287"/>
      <c r="W314" s="250"/>
      <c r="X314" s="247"/>
      <c r="Y314" s="248"/>
      <c r="Z314" s="250"/>
      <c r="AA314" s="242"/>
      <c r="AB314" s="242"/>
      <c r="AC314" s="250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60"/>
      <c r="AS314" s="202"/>
    </row>
    <row r="315" spans="1:45" ht="13.5" customHeight="1">
      <c r="A315" s="202"/>
      <c r="B315" s="241"/>
      <c r="C315" s="242">
        <v>15</v>
      </c>
      <c r="D315" s="226">
        <v>155</v>
      </c>
      <c r="E315" s="243" t="s">
        <v>919</v>
      </c>
      <c r="F315" s="304"/>
      <c r="G315" s="242" t="s">
        <v>43</v>
      </c>
      <c r="H315" s="253">
        <v>16370194</v>
      </c>
      <c r="I315" s="242">
        <v>45404</v>
      </c>
      <c r="J315" s="230">
        <f ca="1">+DATEDIF(I315,TODAY(),"Y")</f>
        <v>2</v>
      </c>
      <c r="K315" s="254" t="s">
        <v>916</v>
      </c>
      <c r="L315" s="244" t="s">
        <v>1095</v>
      </c>
      <c r="M315" s="245" t="s">
        <v>1096</v>
      </c>
      <c r="N315" s="243"/>
      <c r="O315" s="246"/>
      <c r="P315" s="247"/>
      <c r="Q315" s="254"/>
      <c r="R315" s="248" t="s">
        <v>1097</v>
      </c>
      <c r="S315" s="248" t="s">
        <v>939</v>
      </c>
      <c r="T315" s="248"/>
      <c r="U315" s="248"/>
      <c r="V315" s="287"/>
      <c r="W315" s="250"/>
      <c r="X315" s="247">
        <v>45404</v>
      </c>
      <c r="Y315" s="248"/>
      <c r="Z315" s="250"/>
      <c r="AA315" s="242"/>
      <c r="AB315" s="242"/>
      <c r="AC315" s="250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60"/>
      <c r="AS315" s="320"/>
    </row>
    <row r="316" spans="1:45" ht="13.5" customHeight="1">
      <c r="A316" s="202"/>
      <c r="B316" s="241"/>
      <c r="C316" s="242"/>
      <c r="D316" s="242"/>
      <c r="E316" s="243"/>
      <c r="F316" s="304"/>
      <c r="G316" s="242"/>
      <c r="H316" s="253"/>
      <c r="I316" s="242"/>
      <c r="J316" s="230"/>
      <c r="K316" s="254"/>
      <c r="L316" s="244"/>
      <c r="M316" s="245"/>
      <c r="N316" s="243"/>
      <c r="O316" s="246"/>
      <c r="P316" s="247"/>
      <c r="Q316" s="247"/>
      <c r="R316" s="248"/>
      <c r="S316" s="248"/>
      <c r="T316" s="248"/>
      <c r="U316" s="248"/>
      <c r="V316" s="287"/>
      <c r="W316" s="250"/>
      <c r="X316" s="247"/>
      <c r="Y316" s="248"/>
      <c r="Z316" s="250"/>
      <c r="AA316" s="242"/>
      <c r="AB316" s="242"/>
      <c r="AC316" s="250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60"/>
      <c r="AS316" s="202"/>
    </row>
    <row r="317" spans="1:45" ht="13.5" customHeight="1">
      <c r="A317" s="202"/>
      <c r="B317" s="241"/>
      <c r="C317" s="242">
        <v>16</v>
      </c>
      <c r="D317" s="226">
        <v>156</v>
      </c>
      <c r="E317" s="243" t="s">
        <v>1099</v>
      </c>
      <c r="F317" s="304"/>
      <c r="G317" s="242" t="s">
        <v>43</v>
      </c>
      <c r="H317" s="253">
        <v>32503208</v>
      </c>
      <c r="I317" s="242">
        <v>45433</v>
      </c>
      <c r="J317" s="230">
        <f ca="1">+DATEDIF(I317,TODAY(),"Y")</f>
        <v>2</v>
      </c>
      <c r="K317" s="254" t="s">
        <v>1100</v>
      </c>
      <c r="L317" s="244" t="s">
        <v>1101</v>
      </c>
      <c r="M317" s="245" t="s">
        <v>1102</v>
      </c>
      <c r="N317" s="243" t="s">
        <v>1103</v>
      </c>
      <c r="O317" s="246">
        <v>13641818</v>
      </c>
      <c r="P317" s="247">
        <v>4242719691</v>
      </c>
      <c r="Q317" s="254" t="s">
        <v>1100</v>
      </c>
      <c r="R317" s="248" t="s">
        <v>1063</v>
      </c>
      <c r="S317" s="248" t="s">
        <v>939</v>
      </c>
      <c r="T317" s="248"/>
      <c r="U317" s="248"/>
      <c r="V317" s="287"/>
      <c r="W317" s="250"/>
      <c r="X317" s="247">
        <v>45433</v>
      </c>
      <c r="Y317" s="248"/>
      <c r="Z317" s="250"/>
      <c r="AA317" s="242"/>
      <c r="AB317" s="242"/>
      <c r="AC317" s="250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60"/>
      <c r="AS317" s="320"/>
    </row>
    <row r="318" spans="1:45" ht="13.5" customHeight="1">
      <c r="A318" s="202"/>
      <c r="B318" s="241"/>
      <c r="C318" s="242"/>
      <c r="D318" s="242"/>
      <c r="E318" s="243"/>
      <c r="F318" s="304"/>
      <c r="G318" s="242"/>
      <c r="H318" s="253"/>
      <c r="I318" s="242"/>
      <c r="J318" s="230"/>
      <c r="K318" s="254"/>
      <c r="L318" s="244"/>
      <c r="M318" s="245"/>
      <c r="N318" s="243"/>
      <c r="O318" s="246"/>
      <c r="P318" s="247"/>
      <c r="Q318" s="247"/>
      <c r="R318" s="248"/>
      <c r="S318" s="248"/>
      <c r="T318" s="248"/>
      <c r="U318" s="248"/>
      <c r="V318" s="287"/>
      <c r="W318" s="250"/>
      <c r="X318" s="247"/>
      <c r="Y318" s="248"/>
      <c r="Z318" s="250"/>
      <c r="AA318" s="242"/>
      <c r="AB318" s="242"/>
      <c r="AC318" s="250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60"/>
      <c r="AS318" s="202"/>
    </row>
    <row r="319" spans="1:45" ht="13.5" customHeight="1">
      <c r="A319" s="202"/>
      <c r="B319" s="241"/>
      <c r="C319" s="242">
        <v>17</v>
      </c>
      <c r="D319" s="226">
        <v>157</v>
      </c>
      <c r="E319" s="243" t="s">
        <v>1105</v>
      </c>
      <c r="F319" s="304"/>
      <c r="G319" s="242" t="s">
        <v>43</v>
      </c>
      <c r="H319" s="253"/>
      <c r="I319" s="242">
        <v>39484</v>
      </c>
      <c r="J319" s="230">
        <f ca="1">+DATEDIF(I319,TODAY(),"Y")</f>
        <v>18</v>
      </c>
      <c r="K319" s="254"/>
      <c r="L319" s="244" t="s">
        <v>1106</v>
      </c>
      <c r="M319" s="245" t="s">
        <v>1107</v>
      </c>
      <c r="N319" s="243" t="s">
        <v>1108</v>
      </c>
      <c r="O319" s="246">
        <v>10280139</v>
      </c>
      <c r="P319" s="247">
        <v>414027185</v>
      </c>
      <c r="Q319" s="254" t="s">
        <v>1109</v>
      </c>
      <c r="R319" s="248" t="s">
        <v>657</v>
      </c>
      <c r="S319" s="248" t="s">
        <v>1110</v>
      </c>
      <c r="T319" s="248"/>
      <c r="U319" s="248"/>
      <c r="V319" s="287"/>
      <c r="W319" s="250"/>
      <c r="X319" s="247">
        <v>45433</v>
      </c>
      <c r="Y319" s="248"/>
      <c r="Z319" s="250"/>
      <c r="AA319" s="242"/>
      <c r="AB319" s="242"/>
      <c r="AC319" s="250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60"/>
      <c r="AS319" s="320"/>
    </row>
    <row r="320" spans="1:45" ht="13.5" customHeight="1">
      <c r="A320" s="202"/>
      <c r="B320" s="241"/>
      <c r="C320" s="242"/>
      <c r="D320" s="242"/>
      <c r="E320" s="243"/>
      <c r="F320" s="304"/>
      <c r="G320" s="242"/>
      <c r="H320" s="253"/>
      <c r="I320" s="242"/>
      <c r="J320" s="230"/>
      <c r="K320" s="254"/>
      <c r="L320" s="244"/>
      <c r="M320" s="245"/>
      <c r="N320" s="243"/>
      <c r="O320" s="246"/>
      <c r="P320" s="247"/>
      <c r="Q320" s="247"/>
      <c r="R320" s="248"/>
      <c r="S320" s="248"/>
      <c r="T320" s="248"/>
      <c r="U320" s="248"/>
      <c r="V320" s="287"/>
      <c r="W320" s="250"/>
      <c r="X320" s="247"/>
      <c r="Y320" s="248"/>
      <c r="Z320" s="250"/>
      <c r="AA320" s="242"/>
      <c r="AB320" s="242"/>
      <c r="AC320" s="250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60"/>
      <c r="AS320" s="202"/>
    </row>
    <row r="321" spans="1:45" ht="13.5" customHeight="1">
      <c r="A321" s="202"/>
      <c r="B321" s="241"/>
      <c r="C321" s="242">
        <v>18</v>
      </c>
      <c r="D321" s="226">
        <v>158</v>
      </c>
      <c r="E321" s="243" t="s">
        <v>1112</v>
      </c>
      <c r="F321" s="304"/>
      <c r="G321" s="242" t="s">
        <v>43</v>
      </c>
      <c r="H321" s="253">
        <v>33329736</v>
      </c>
      <c r="I321" s="242">
        <v>45435</v>
      </c>
      <c r="J321" s="230">
        <f ca="1">+DATEDIF(I321,TODAY(),"Y")</f>
        <v>2</v>
      </c>
      <c r="K321" s="254" t="s">
        <v>1113</v>
      </c>
      <c r="L321" s="244" t="s">
        <v>1114</v>
      </c>
      <c r="M321" s="245" t="s">
        <v>1115</v>
      </c>
      <c r="N321" s="243" t="s">
        <v>1116</v>
      </c>
      <c r="O321" s="246">
        <v>33329736</v>
      </c>
      <c r="P321" s="247">
        <v>4143664381</v>
      </c>
      <c r="Q321" s="254"/>
      <c r="R321" s="248" t="s">
        <v>1117</v>
      </c>
      <c r="S321" s="248" t="s">
        <v>1118</v>
      </c>
      <c r="T321" s="248" t="s">
        <v>1119</v>
      </c>
      <c r="U321" s="248"/>
      <c r="V321" s="287"/>
      <c r="W321" s="250"/>
      <c r="X321" s="247">
        <v>45435</v>
      </c>
      <c r="Y321" s="248"/>
      <c r="Z321" s="250"/>
      <c r="AA321" s="242"/>
      <c r="AB321" s="242"/>
      <c r="AC321" s="250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60"/>
      <c r="AS321" s="320"/>
    </row>
    <row r="322" spans="1:45" ht="13.5" customHeight="1">
      <c r="A322" s="202"/>
      <c r="B322" s="241"/>
      <c r="C322" s="242"/>
      <c r="D322" s="242"/>
      <c r="E322" s="243"/>
      <c r="F322" s="304"/>
      <c r="G322" s="242"/>
      <c r="H322" s="253"/>
      <c r="I322" s="242"/>
      <c r="J322" s="230"/>
      <c r="K322" s="254"/>
      <c r="L322" s="244"/>
      <c r="M322" s="245"/>
      <c r="N322" s="243"/>
      <c r="O322" s="246"/>
      <c r="P322" s="247"/>
      <c r="Q322" s="247"/>
      <c r="R322" s="248"/>
      <c r="S322" s="248"/>
      <c r="T322" s="248"/>
      <c r="U322" s="248"/>
      <c r="V322" s="287"/>
      <c r="W322" s="250"/>
      <c r="X322" s="247"/>
      <c r="Y322" s="248"/>
      <c r="Z322" s="250"/>
      <c r="AA322" s="242"/>
      <c r="AB322" s="242"/>
      <c r="AC322" s="250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60"/>
      <c r="AS322" s="202"/>
    </row>
    <row r="323" spans="1:45" ht="13.5" customHeight="1">
      <c r="A323" s="202"/>
      <c r="B323" s="241"/>
      <c r="C323" s="242">
        <v>19</v>
      </c>
      <c r="D323" s="226">
        <v>159</v>
      </c>
      <c r="E323" s="243" t="s">
        <v>1121</v>
      </c>
      <c r="F323" s="304"/>
      <c r="G323" s="242" t="s">
        <v>43</v>
      </c>
      <c r="H323" s="253">
        <v>32283430</v>
      </c>
      <c r="I323" s="242">
        <v>23</v>
      </c>
      <c r="J323" s="230">
        <f ca="1">+DATEDIF(I323,TODAY(),"Y")</f>
        <v>126</v>
      </c>
      <c r="K323" s="254" t="s">
        <v>1122</v>
      </c>
      <c r="L323" s="244" t="s">
        <v>1123</v>
      </c>
      <c r="M323" s="245" t="s">
        <v>1124</v>
      </c>
      <c r="N323" s="243" t="s">
        <v>1125</v>
      </c>
      <c r="O323" s="246">
        <v>18023176</v>
      </c>
      <c r="P323" s="247">
        <v>4129930403</v>
      </c>
      <c r="Q323" s="254" t="s">
        <v>1126</v>
      </c>
      <c r="R323" s="248" t="s">
        <v>657</v>
      </c>
      <c r="S323" s="248" t="s">
        <v>1057</v>
      </c>
      <c r="T323" s="248" t="s">
        <v>1119</v>
      </c>
      <c r="U323" s="248"/>
      <c r="V323" s="287"/>
      <c r="W323" s="250"/>
      <c r="X323" s="247"/>
      <c r="Y323" s="248"/>
      <c r="Z323" s="250"/>
      <c r="AA323" s="242"/>
      <c r="AB323" s="242"/>
      <c r="AC323" s="250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60"/>
      <c r="AS323" s="320"/>
    </row>
    <row r="324" spans="1:45" ht="13.5" customHeight="1">
      <c r="A324" s="202"/>
      <c r="B324" s="241"/>
      <c r="C324" s="242"/>
      <c r="D324" s="242"/>
      <c r="E324" s="243"/>
      <c r="F324" s="304"/>
      <c r="G324" s="242"/>
      <c r="H324" s="253"/>
      <c r="I324" s="242"/>
      <c r="J324" s="230"/>
      <c r="K324" s="254"/>
      <c r="L324" s="244"/>
      <c r="M324" s="245"/>
      <c r="N324" s="243"/>
      <c r="O324" s="246"/>
      <c r="P324" s="247"/>
      <c r="Q324" s="247"/>
      <c r="R324" s="248"/>
      <c r="S324" s="248"/>
      <c r="T324" s="248"/>
      <c r="U324" s="248"/>
      <c r="V324" s="287"/>
      <c r="W324" s="250"/>
      <c r="X324" s="247"/>
      <c r="Y324" s="248"/>
      <c r="Z324" s="250"/>
      <c r="AA324" s="242"/>
      <c r="AB324" s="242"/>
      <c r="AC324" s="250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60"/>
      <c r="AS324" s="202"/>
    </row>
    <row r="325" spans="1:45" ht="13.5" customHeight="1">
      <c r="A325" s="202"/>
      <c r="B325" s="241"/>
      <c r="C325" s="242">
        <v>20</v>
      </c>
      <c r="D325" s="226">
        <v>160</v>
      </c>
      <c r="E325" s="243" t="s">
        <v>1128</v>
      </c>
      <c r="F325" s="304"/>
      <c r="G325" s="242" t="s">
        <v>43</v>
      </c>
      <c r="H325" s="253">
        <v>34321235</v>
      </c>
      <c r="I325" s="242">
        <v>45416</v>
      </c>
      <c r="J325" s="230">
        <f ca="1">+DATEDIF(I325,TODAY(),"Y")</f>
        <v>2</v>
      </c>
      <c r="K325" s="254" t="s">
        <v>1129</v>
      </c>
      <c r="L325" s="244" t="s">
        <v>1130</v>
      </c>
      <c r="M325" s="245" t="s">
        <v>1131</v>
      </c>
      <c r="N325" s="243" t="s">
        <v>1132</v>
      </c>
      <c r="O325" s="246"/>
      <c r="P325" s="247">
        <v>4128283027</v>
      </c>
      <c r="Q325" s="254" t="s">
        <v>1133</v>
      </c>
      <c r="R325" s="248" t="s">
        <v>657</v>
      </c>
      <c r="S325" s="248" t="s">
        <v>1057</v>
      </c>
      <c r="T325" s="248" t="s">
        <v>1134</v>
      </c>
      <c r="U325" s="248"/>
      <c r="V325" s="287"/>
      <c r="W325" s="250"/>
      <c r="X325" s="247">
        <v>45416</v>
      </c>
      <c r="Y325" s="248"/>
      <c r="Z325" s="250"/>
      <c r="AA325" s="242"/>
      <c r="AB325" s="242"/>
      <c r="AC325" s="250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60"/>
      <c r="AS325" s="320"/>
    </row>
    <row r="326" spans="1:45" ht="13.5" customHeight="1">
      <c r="A326" s="202"/>
      <c r="B326" s="325"/>
      <c r="C326" s="326"/>
      <c r="D326" s="242"/>
      <c r="E326" s="327"/>
      <c r="F326" s="328"/>
      <c r="G326" s="326"/>
      <c r="H326" s="329"/>
      <c r="I326" s="326"/>
      <c r="J326" s="230"/>
      <c r="K326" s="330"/>
      <c r="L326" s="331"/>
      <c r="M326" s="332"/>
      <c r="N326" s="327"/>
      <c r="O326" s="333"/>
      <c r="P326" s="334"/>
      <c r="Q326" s="334"/>
      <c r="R326" s="335"/>
      <c r="S326" s="335"/>
      <c r="T326" s="335"/>
      <c r="U326" s="335"/>
      <c r="V326" s="336"/>
      <c r="W326" s="337"/>
      <c r="X326" s="334"/>
      <c r="Y326" s="335"/>
      <c r="Z326" s="337"/>
      <c r="AA326" s="326"/>
      <c r="AB326" s="326"/>
      <c r="AC326" s="337"/>
      <c r="AD326" s="338"/>
      <c r="AE326" s="338"/>
      <c r="AF326" s="338"/>
      <c r="AG326" s="338"/>
      <c r="AH326" s="338"/>
      <c r="AI326" s="338"/>
      <c r="AJ326" s="338"/>
      <c r="AK326" s="338"/>
      <c r="AL326" s="338"/>
      <c r="AM326" s="338"/>
      <c r="AN326" s="338"/>
      <c r="AO326" s="338"/>
      <c r="AP326" s="338"/>
      <c r="AQ326" s="338"/>
      <c r="AR326" s="339"/>
      <c r="AS326" s="202"/>
    </row>
    <row r="327" spans="1:45" ht="13.5" customHeight="1">
      <c r="A327" s="202"/>
      <c r="B327" s="241" t="s">
        <v>2568</v>
      </c>
      <c r="C327" s="242">
        <v>1</v>
      </c>
      <c r="D327" s="226">
        <v>161</v>
      </c>
      <c r="E327" s="243" t="s">
        <v>1137</v>
      </c>
      <c r="F327" s="304"/>
      <c r="G327" s="242" t="s">
        <v>43</v>
      </c>
      <c r="H327" s="253">
        <v>32723474</v>
      </c>
      <c r="I327" s="242">
        <v>45435</v>
      </c>
      <c r="J327" s="230">
        <f ca="1">+DATEDIF(I327,TODAY(),"Y")</f>
        <v>2</v>
      </c>
      <c r="K327" s="254" t="s">
        <v>1138</v>
      </c>
      <c r="L327" s="244" t="s">
        <v>1139</v>
      </c>
      <c r="M327" s="245" t="s">
        <v>1140</v>
      </c>
      <c r="N327" s="243" t="s">
        <v>1141</v>
      </c>
      <c r="O327" s="246">
        <v>11035568</v>
      </c>
      <c r="P327" s="247">
        <v>4141298113</v>
      </c>
      <c r="Q327" s="254" t="s">
        <v>1142</v>
      </c>
      <c r="R327" s="248" t="s">
        <v>1063</v>
      </c>
      <c r="S327" s="248" t="s">
        <v>1143</v>
      </c>
      <c r="T327" s="248" t="s">
        <v>1134</v>
      </c>
      <c r="U327" s="248"/>
      <c r="V327" s="287"/>
      <c r="W327" s="250"/>
      <c r="X327" s="247">
        <v>45435</v>
      </c>
      <c r="Y327" s="248"/>
      <c r="Z327" s="250"/>
      <c r="AA327" s="242"/>
      <c r="AB327" s="242"/>
      <c r="AC327" s="250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60"/>
      <c r="AS327" s="320"/>
    </row>
    <row r="328" spans="1:45" ht="13.5" customHeight="1">
      <c r="A328" s="202"/>
      <c r="B328" s="241"/>
      <c r="C328" s="242"/>
      <c r="D328" s="242"/>
      <c r="E328" s="243"/>
      <c r="F328" s="304"/>
      <c r="G328" s="242"/>
      <c r="H328" s="253"/>
      <c r="I328" s="242"/>
      <c r="J328" s="230"/>
      <c r="K328" s="254"/>
      <c r="L328" s="244"/>
      <c r="M328" s="245"/>
      <c r="N328" s="243"/>
      <c r="O328" s="246"/>
      <c r="P328" s="247"/>
      <c r="Q328" s="247"/>
      <c r="R328" s="248"/>
      <c r="S328" s="248"/>
      <c r="T328" s="248"/>
      <c r="U328" s="248"/>
      <c r="V328" s="287"/>
      <c r="W328" s="250"/>
      <c r="X328" s="247"/>
      <c r="Y328" s="248"/>
      <c r="Z328" s="250"/>
      <c r="AA328" s="242"/>
      <c r="AB328" s="242"/>
      <c r="AC328" s="250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60"/>
      <c r="AS328" s="202"/>
    </row>
    <row r="329" spans="1:45" ht="13.5" customHeight="1">
      <c r="A329" s="202"/>
      <c r="B329" s="241"/>
      <c r="C329" s="242">
        <v>3</v>
      </c>
      <c r="D329" s="226">
        <v>162</v>
      </c>
      <c r="E329" s="243" t="s">
        <v>1152</v>
      </c>
      <c r="F329" s="304"/>
      <c r="G329" s="242" t="s">
        <v>43</v>
      </c>
      <c r="H329" s="253">
        <v>32267110</v>
      </c>
      <c r="I329" s="242">
        <v>45423</v>
      </c>
      <c r="J329" s="230">
        <f ca="1">+DATEDIF(I329,TODAY(),"Y")</f>
        <v>2</v>
      </c>
      <c r="K329" s="254" t="s">
        <v>1153</v>
      </c>
      <c r="L329" s="244" t="s">
        <v>1154</v>
      </c>
      <c r="M329" s="245" t="s">
        <v>1155</v>
      </c>
      <c r="N329" s="243" t="s">
        <v>1156</v>
      </c>
      <c r="O329" s="246">
        <v>16591955</v>
      </c>
      <c r="P329" s="247">
        <v>4142004302</v>
      </c>
      <c r="Q329" s="254" t="s">
        <v>1153</v>
      </c>
      <c r="R329" s="248" t="s">
        <v>1157</v>
      </c>
      <c r="S329" s="248"/>
      <c r="T329" s="248"/>
      <c r="U329" s="248"/>
      <c r="V329" s="287"/>
      <c r="W329" s="250"/>
      <c r="X329" s="247">
        <v>45423</v>
      </c>
      <c r="Y329" s="248"/>
      <c r="Z329" s="250"/>
      <c r="AA329" s="242"/>
      <c r="AB329" s="242"/>
      <c r="AC329" s="250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60"/>
      <c r="AS329" s="320"/>
    </row>
    <row r="330" spans="1:45" ht="13.5" customHeight="1">
      <c r="A330" s="202"/>
      <c r="B330" s="241"/>
      <c r="C330" s="242"/>
      <c r="D330" s="242"/>
      <c r="E330" s="243"/>
      <c r="F330" s="304"/>
      <c r="G330" s="242"/>
      <c r="H330" s="253"/>
      <c r="I330" s="242"/>
      <c r="J330" s="230"/>
      <c r="K330" s="254"/>
      <c r="L330" s="244"/>
      <c r="M330" s="245"/>
      <c r="N330" s="243"/>
      <c r="O330" s="246"/>
      <c r="P330" s="247"/>
      <c r="Q330" s="247"/>
      <c r="R330" s="248"/>
      <c r="S330" s="248"/>
      <c r="T330" s="248"/>
      <c r="U330" s="248"/>
      <c r="V330" s="287"/>
      <c r="W330" s="250"/>
      <c r="X330" s="247"/>
      <c r="Y330" s="248"/>
      <c r="Z330" s="250"/>
      <c r="AA330" s="242"/>
      <c r="AB330" s="242"/>
      <c r="AC330" s="250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60"/>
      <c r="AS330" s="202"/>
    </row>
    <row r="331" spans="1:45" ht="13.5" customHeight="1">
      <c r="A331" s="202"/>
      <c r="B331" s="241"/>
      <c r="C331" s="242">
        <v>4</v>
      </c>
      <c r="D331" s="226">
        <v>163</v>
      </c>
      <c r="E331" s="243" t="s">
        <v>1159</v>
      </c>
      <c r="F331" s="304"/>
      <c r="G331" s="242" t="s">
        <v>43</v>
      </c>
      <c r="H331" s="253">
        <v>32922986</v>
      </c>
      <c r="I331" s="242">
        <v>45411</v>
      </c>
      <c r="J331" s="230">
        <f ca="1">+DATEDIF(I331,TODAY(),"Y")</f>
        <v>2</v>
      </c>
      <c r="K331" s="254" t="s">
        <v>1160</v>
      </c>
      <c r="L331" s="244" t="s">
        <v>1161</v>
      </c>
      <c r="M331" s="245" t="s">
        <v>1162</v>
      </c>
      <c r="N331" s="243" t="s">
        <v>1163</v>
      </c>
      <c r="O331" s="246">
        <v>13861439</v>
      </c>
      <c r="P331" s="247">
        <v>4123706087</v>
      </c>
      <c r="Q331" s="254" t="s">
        <v>1164</v>
      </c>
      <c r="R331" s="248" t="s">
        <v>1063</v>
      </c>
      <c r="S331" s="248" t="s">
        <v>1143</v>
      </c>
      <c r="T331" s="248" t="s">
        <v>1134</v>
      </c>
      <c r="U331" s="248"/>
      <c r="V331" s="287"/>
      <c r="W331" s="250"/>
      <c r="X331" s="247">
        <v>45423</v>
      </c>
      <c r="Y331" s="248"/>
      <c r="Z331" s="250"/>
      <c r="AA331" s="242"/>
      <c r="AB331" s="242"/>
      <c r="AC331" s="250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60"/>
      <c r="AS331" s="320"/>
    </row>
    <row r="332" spans="1:45" ht="13.5" customHeight="1">
      <c r="A332" s="202"/>
      <c r="B332" s="241"/>
      <c r="C332" s="242"/>
      <c r="D332" s="242"/>
      <c r="E332" s="243"/>
      <c r="F332" s="304"/>
      <c r="G332" s="242"/>
      <c r="H332" s="253"/>
      <c r="I332" s="242"/>
      <c r="J332" s="230"/>
      <c r="K332" s="254"/>
      <c r="L332" s="244"/>
      <c r="M332" s="245"/>
      <c r="N332" s="243"/>
      <c r="O332" s="246"/>
      <c r="P332" s="247"/>
      <c r="Q332" s="247"/>
      <c r="R332" s="248"/>
      <c r="S332" s="248"/>
      <c r="T332" s="248"/>
      <c r="U332" s="248"/>
      <c r="V332" s="287"/>
      <c r="W332" s="250"/>
      <c r="X332" s="247"/>
      <c r="Y332" s="248"/>
      <c r="Z332" s="250"/>
      <c r="AA332" s="242"/>
      <c r="AB332" s="242"/>
      <c r="AC332" s="250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60"/>
      <c r="AS332" s="202"/>
    </row>
    <row r="333" spans="1:45" ht="13.5" customHeight="1">
      <c r="A333" s="202"/>
      <c r="B333" s="241"/>
      <c r="C333" s="242">
        <v>5</v>
      </c>
      <c r="D333" s="226">
        <v>164</v>
      </c>
      <c r="E333" s="243" t="s">
        <v>1166</v>
      </c>
      <c r="F333" s="304"/>
      <c r="G333" s="242" t="s">
        <v>43</v>
      </c>
      <c r="H333" s="253"/>
      <c r="I333" s="242">
        <v>45402</v>
      </c>
      <c r="J333" s="230">
        <f ca="1">+DATEDIF(I333,TODAY(),"Y")</f>
        <v>2</v>
      </c>
      <c r="K333" s="254" t="s">
        <v>1167</v>
      </c>
      <c r="L333" s="244" t="s">
        <v>1168</v>
      </c>
      <c r="M333" s="245" t="s">
        <v>1169</v>
      </c>
      <c r="N333" s="243" t="s">
        <v>1170</v>
      </c>
      <c r="O333" s="246">
        <v>15315972</v>
      </c>
      <c r="P333" s="247">
        <v>4242070544</v>
      </c>
      <c r="Q333" s="254" t="s">
        <v>1171</v>
      </c>
      <c r="R333" s="248" t="s">
        <v>1063</v>
      </c>
      <c r="S333" s="248" t="s">
        <v>1172</v>
      </c>
      <c r="T333" s="248"/>
      <c r="U333" s="248"/>
      <c r="V333" s="287"/>
      <c r="W333" s="250"/>
      <c r="X333" s="247">
        <v>45394</v>
      </c>
      <c r="Y333" s="248"/>
      <c r="Z333" s="250"/>
      <c r="AA333" s="242"/>
      <c r="AB333" s="242"/>
      <c r="AC333" s="250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60"/>
      <c r="AS333" s="320"/>
    </row>
    <row r="334" spans="1:45" ht="13.5" customHeight="1">
      <c r="A334" s="202"/>
      <c r="B334" s="241"/>
      <c r="C334" s="242"/>
      <c r="D334" s="242"/>
      <c r="E334" s="243"/>
      <c r="F334" s="304"/>
      <c r="G334" s="242"/>
      <c r="H334" s="253"/>
      <c r="I334" s="242"/>
      <c r="J334" s="230"/>
      <c r="K334" s="254"/>
      <c r="L334" s="244"/>
      <c r="M334" s="245"/>
      <c r="N334" s="243"/>
      <c r="O334" s="246"/>
      <c r="P334" s="247"/>
      <c r="Q334" s="247"/>
      <c r="R334" s="248"/>
      <c r="S334" s="248"/>
      <c r="T334" s="248"/>
      <c r="U334" s="248"/>
      <c r="V334" s="287"/>
      <c r="W334" s="250"/>
      <c r="X334" s="247"/>
      <c r="Y334" s="248"/>
      <c r="Z334" s="250"/>
      <c r="AA334" s="242"/>
      <c r="AB334" s="242"/>
      <c r="AC334" s="250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60"/>
      <c r="AS334" s="202"/>
    </row>
    <row r="335" spans="1:45" ht="13.5" customHeight="1">
      <c r="A335" s="202"/>
      <c r="B335" s="241"/>
      <c r="C335" s="242">
        <v>6</v>
      </c>
      <c r="D335" s="226">
        <v>165</v>
      </c>
      <c r="E335" s="243" t="s">
        <v>1174</v>
      </c>
      <c r="F335" s="304"/>
      <c r="G335" s="242" t="s">
        <v>1175</v>
      </c>
      <c r="H335" s="253"/>
      <c r="I335" s="242">
        <v>45485</v>
      </c>
      <c r="J335" s="230">
        <f ca="1">+DATEDIF(I335,TODAY(),"Y")</f>
        <v>1</v>
      </c>
      <c r="K335" s="254" t="s">
        <v>1176</v>
      </c>
      <c r="L335" s="244"/>
      <c r="M335" s="245" t="s">
        <v>1177</v>
      </c>
      <c r="N335" s="243"/>
      <c r="O335" s="246"/>
      <c r="P335" s="247"/>
      <c r="Q335" s="254"/>
      <c r="R335" s="248" t="s">
        <v>1178</v>
      </c>
      <c r="S335" s="248" t="s">
        <v>1178</v>
      </c>
      <c r="T335" s="248"/>
      <c r="U335" s="248"/>
      <c r="V335" s="287"/>
      <c r="W335" s="250"/>
      <c r="X335" s="247">
        <v>45393</v>
      </c>
      <c r="Y335" s="248"/>
      <c r="Z335" s="250"/>
      <c r="AA335" s="242"/>
      <c r="AB335" s="242"/>
      <c r="AC335" s="250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60"/>
      <c r="AS335" s="320"/>
    </row>
    <row r="336" spans="1:45" ht="13.5" customHeight="1">
      <c r="A336" s="202"/>
      <c r="B336" s="241"/>
      <c r="C336" s="242"/>
      <c r="D336" s="242"/>
      <c r="E336" s="243"/>
      <c r="F336" s="304"/>
      <c r="G336" s="242"/>
      <c r="H336" s="253"/>
      <c r="I336" s="242"/>
      <c r="J336" s="230"/>
      <c r="K336" s="254"/>
      <c r="L336" s="244"/>
      <c r="M336" s="245"/>
      <c r="N336" s="243"/>
      <c r="O336" s="246"/>
      <c r="P336" s="247"/>
      <c r="Q336" s="247"/>
      <c r="R336" s="248"/>
      <c r="S336" s="248"/>
      <c r="T336" s="248"/>
      <c r="U336" s="248"/>
      <c r="V336" s="287"/>
      <c r="W336" s="250"/>
      <c r="X336" s="247"/>
      <c r="Y336" s="248"/>
      <c r="Z336" s="250"/>
      <c r="AA336" s="242"/>
      <c r="AB336" s="242"/>
      <c r="AC336" s="250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60"/>
      <c r="AS336" s="202"/>
    </row>
    <row r="337" spans="1:45" ht="13.5" customHeight="1">
      <c r="A337" s="202"/>
      <c r="B337" s="241"/>
      <c r="C337" s="242">
        <v>7</v>
      </c>
      <c r="D337" s="226">
        <v>166</v>
      </c>
      <c r="E337" s="243" t="s">
        <v>1180</v>
      </c>
      <c r="F337" s="304"/>
      <c r="G337" s="242" t="s">
        <v>1175</v>
      </c>
      <c r="H337" s="253"/>
      <c r="I337" s="242">
        <v>45423</v>
      </c>
      <c r="J337" s="230">
        <f ca="1">+DATEDIF(I337,TODAY(),"Y")</f>
        <v>2</v>
      </c>
      <c r="K337" s="254" t="s">
        <v>1181</v>
      </c>
      <c r="L337" s="244" t="s">
        <v>1182</v>
      </c>
      <c r="M337" s="245" t="s">
        <v>1183</v>
      </c>
      <c r="N337" s="243"/>
      <c r="O337" s="246"/>
      <c r="P337" s="247"/>
      <c r="Q337" s="254"/>
      <c r="R337" s="248" t="s">
        <v>1178</v>
      </c>
      <c r="S337" s="248" t="s">
        <v>1178</v>
      </c>
      <c r="T337" s="248"/>
      <c r="U337" s="248"/>
      <c r="V337" s="287"/>
      <c r="W337" s="250"/>
      <c r="X337" s="247">
        <v>45423</v>
      </c>
      <c r="Y337" s="248"/>
      <c r="Z337" s="250"/>
      <c r="AA337" s="242"/>
      <c r="AB337" s="242"/>
      <c r="AC337" s="250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60"/>
      <c r="AS337" s="320"/>
    </row>
    <row r="338" spans="1:45" ht="13.5" customHeight="1">
      <c r="A338" s="202"/>
      <c r="B338" s="241"/>
      <c r="C338" s="242"/>
      <c r="D338" s="242"/>
      <c r="E338" s="243"/>
      <c r="F338" s="304"/>
      <c r="G338" s="242"/>
      <c r="H338" s="253"/>
      <c r="I338" s="242"/>
      <c r="J338" s="230"/>
      <c r="K338" s="254"/>
      <c r="L338" s="244"/>
      <c r="M338" s="245"/>
      <c r="N338" s="243"/>
      <c r="O338" s="246"/>
      <c r="P338" s="247"/>
      <c r="Q338" s="247"/>
      <c r="R338" s="248"/>
      <c r="S338" s="248"/>
      <c r="T338" s="248"/>
      <c r="U338" s="248"/>
      <c r="V338" s="287"/>
      <c r="W338" s="250"/>
      <c r="X338" s="247"/>
      <c r="Y338" s="248"/>
      <c r="Z338" s="250"/>
      <c r="AA338" s="242"/>
      <c r="AB338" s="242"/>
      <c r="AC338" s="250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60"/>
      <c r="AS338" s="202"/>
    </row>
    <row r="339" spans="1:45" ht="13.5" customHeight="1">
      <c r="A339" s="202"/>
      <c r="B339" s="241"/>
      <c r="C339" s="242">
        <v>8</v>
      </c>
      <c r="D339" s="226">
        <v>167</v>
      </c>
      <c r="E339" s="243" t="s">
        <v>1185</v>
      </c>
      <c r="F339" s="304"/>
      <c r="G339" s="242" t="s">
        <v>43</v>
      </c>
      <c r="H339" s="253">
        <v>33781226</v>
      </c>
      <c r="I339" s="242">
        <v>45423</v>
      </c>
      <c r="J339" s="230">
        <f ca="1">+DATEDIF(I339,TODAY(),"Y")</f>
        <v>2</v>
      </c>
      <c r="K339" s="254" t="s">
        <v>1186</v>
      </c>
      <c r="L339" s="244" t="s">
        <v>2569</v>
      </c>
      <c r="M339" s="245" t="s">
        <v>1188</v>
      </c>
      <c r="N339" s="243" t="s">
        <v>1189</v>
      </c>
      <c r="O339" s="246">
        <v>19763404</v>
      </c>
      <c r="P339" s="247"/>
      <c r="Q339" s="254" t="s">
        <v>1191</v>
      </c>
      <c r="R339" s="248" t="s">
        <v>281</v>
      </c>
      <c r="S339" s="248" t="s">
        <v>1192</v>
      </c>
      <c r="T339" s="248" t="s">
        <v>1134</v>
      </c>
      <c r="U339" s="248"/>
      <c r="V339" s="287"/>
      <c r="W339" s="250"/>
      <c r="X339" s="247">
        <v>45423</v>
      </c>
      <c r="Y339" s="248"/>
      <c r="Z339" s="250"/>
      <c r="AA339" s="242"/>
      <c r="AB339" s="242"/>
      <c r="AC339" s="250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60"/>
      <c r="AS339" s="320"/>
    </row>
    <row r="340" spans="1:45" ht="13.5" customHeight="1">
      <c r="A340" s="202"/>
      <c r="B340" s="241"/>
      <c r="C340" s="242"/>
      <c r="D340" s="242"/>
      <c r="E340" s="243"/>
      <c r="F340" s="304"/>
      <c r="G340" s="242"/>
      <c r="H340" s="253"/>
      <c r="I340" s="242"/>
      <c r="J340" s="230"/>
      <c r="K340" s="254"/>
      <c r="L340" s="244"/>
      <c r="M340" s="245"/>
      <c r="N340" s="243"/>
      <c r="O340" s="246"/>
      <c r="P340" s="247"/>
      <c r="Q340" s="247"/>
      <c r="R340" s="248"/>
      <c r="S340" s="248"/>
      <c r="T340" s="248"/>
      <c r="U340" s="248"/>
      <c r="V340" s="287"/>
      <c r="W340" s="250"/>
      <c r="X340" s="247"/>
      <c r="Y340" s="248"/>
      <c r="Z340" s="250"/>
      <c r="AA340" s="242"/>
      <c r="AB340" s="242"/>
      <c r="AC340" s="250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60"/>
      <c r="AS340" s="202"/>
    </row>
    <row r="341" spans="1:45" ht="13.5" customHeight="1">
      <c r="A341" s="309"/>
      <c r="B341" s="340"/>
      <c r="C341" s="340"/>
      <c r="D341" s="340"/>
      <c r="E341" s="341"/>
      <c r="F341" s="8"/>
      <c r="G341" s="8"/>
      <c r="H341" s="208"/>
      <c r="I341" s="342"/>
      <c r="K341" s="311"/>
      <c r="L341" s="343"/>
      <c r="M341" s="344"/>
      <c r="N341" s="345"/>
      <c r="O341" s="311"/>
      <c r="P341" s="311"/>
      <c r="Q341" s="311"/>
      <c r="R341" s="346"/>
      <c r="S341" s="347"/>
      <c r="T341" s="348"/>
      <c r="U341" s="10"/>
      <c r="V341" s="349"/>
      <c r="W341" s="350"/>
      <c r="X341" s="9"/>
      <c r="Y341" s="10"/>
      <c r="Z341" s="6"/>
      <c r="AC341" s="11"/>
    </row>
    <row r="342" spans="1:45" ht="13.5" customHeight="1">
      <c r="A342" s="309"/>
      <c r="B342" s="340"/>
      <c r="C342" s="340"/>
      <c r="D342" s="340"/>
      <c r="E342" s="341"/>
      <c r="F342" s="8"/>
      <c r="G342" s="8"/>
      <c r="H342" s="208"/>
      <c r="I342" s="342"/>
      <c r="K342" s="311"/>
      <c r="L342" s="343"/>
      <c r="M342" s="344"/>
      <c r="N342" s="345"/>
      <c r="O342" s="311"/>
      <c r="P342" s="311"/>
      <c r="Q342" s="311"/>
      <c r="R342" s="346"/>
      <c r="S342" s="347"/>
      <c r="T342" s="348"/>
      <c r="U342" s="10"/>
      <c r="V342" s="349"/>
      <c r="W342" s="350"/>
      <c r="X342" s="9"/>
      <c r="Y342" s="10"/>
      <c r="Z342" s="6"/>
      <c r="AC342" s="11"/>
    </row>
    <row r="343" spans="1:45" ht="13.5" customHeight="1">
      <c r="A343" s="309"/>
      <c r="B343" s="340"/>
      <c r="C343" s="340"/>
      <c r="D343" s="340"/>
      <c r="E343" s="341"/>
      <c r="F343" s="8"/>
      <c r="G343" s="8"/>
      <c r="H343" s="208"/>
      <c r="I343" s="342"/>
      <c r="K343" s="311"/>
      <c r="L343" s="343"/>
      <c r="M343" s="344"/>
      <c r="N343" s="345"/>
      <c r="O343" s="311"/>
      <c r="P343" s="311"/>
      <c r="Q343" s="311"/>
      <c r="R343" s="346"/>
      <c r="S343" s="347"/>
      <c r="T343" s="348"/>
      <c r="U343" s="10"/>
      <c r="V343" s="349"/>
      <c r="W343" s="350"/>
      <c r="X343" s="9"/>
      <c r="Y343" s="10"/>
      <c r="Z343" s="6"/>
      <c r="AC343" s="11"/>
    </row>
    <row r="344" spans="1:45" ht="13.5" customHeight="1">
      <c r="A344" s="309"/>
      <c r="B344" s="340"/>
      <c r="C344" s="340"/>
      <c r="D344" s="340"/>
      <c r="E344" s="341"/>
      <c r="F344" s="8"/>
      <c r="G344" s="8"/>
      <c r="H344" s="208"/>
      <c r="I344" s="342"/>
      <c r="K344" s="311"/>
      <c r="L344" s="343"/>
      <c r="M344" s="344"/>
      <c r="N344" s="345"/>
      <c r="O344" s="311"/>
      <c r="P344" s="311"/>
      <c r="Q344" s="311"/>
      <c r="R344" s="346"/>
      <c r="S344" s="347"/>
      <c r="T344" s="348"/>
      <c r="U344" s="10"/>
      <c r="V344" s="349"/>
      <c r="W344" s="350"/>
      <c r="X344" s="9"/>
      <c r="Y344" s="10"/>
      <c r="Z344" s="6"/>
      <c r="AC344" s="11"/>
    </row>
    <row r="345" spans="1:45" ht="13.5" customHeight="1">
      <c r="A345" s="309"/>
      <c r="B345" s="340"/>
      <c r="C345" s="340"/>
      <c r="D345" s="340"/>
      <c r="E345" s="341"/>
      <c r="F345" s="8"/>
      <c r="G345" s="8"/>
      <c r="H345" s="208"/>
      <c r="I345" s="342"/>
      <c r="K345" s="311"/>
      <c r="L345" s="343"/>
      <c r="M345" s="344"/>
      <c r="N345" s="345"/>
      <c r="O345" s="311"/>
      <c r="P345" s="311"/>
      <c r="Q345" s="311"/>
      <c r="R345" s="346"/>
      <c r="S345" s="347"/>
      <c r="T345" s="348"/>
      <c r="U345" s="10"/>
      <c r="V345" s="349"/>
      <c r="W345" s="350"/>
      <c r="X345" s="9"/>
      <c r="Y345" s="10"/>
      <c r="Z345" s="6"/>
      <c r="AC345" s="11"/>
    </row>
    <row r="346" spans="1:45" ht="13.5" customHeight="1">
      <c r="A346" s="309"/>
      <c r="B346" s="340"/>
      <c r="C346" s="340"/>
      <c r="D346" s="340"/>
      <c r="E346" s="341"/>
      <c r="F346" s="8"/>
      <c r="G346" s="8"/>
      <c r="H346" s="208"/>
      <c r="I346" s="342"/>
      <c r="K346" s="311"/>
      <c r="L346" s="343"/>
      <c r="M346" s="344"/>
      <c r="N346" s="345"/>
      <c r="O346" s="311"/>
      <c r="P346" s="311"/>
      <c r="Q346" s="311"/>
      <c r="R346" s="346"/>
      <c r="S346" s="347"/>
      <c r="T346" s="348"/>
      <c r="U346" s="10"/>
      <c r="V346" s="349"/>
      <c r="W346" s="350"/>
      <c r="X346" s="9"/>
      <c r="Y346" s="10"/>
      <c r="Z346" s="6"/>
      <c r="AC346" s="11"/>
    </row>
    <row r="347" spans="1:45" ht="13.5" customHeight="1">
      <c r="A347" s="309"/>
      <c r="B347" s="340"/>
      <c r="C347" s="340"/>
      <c r="D347" s="340"/>
      <c r="E347" s="341"/>
      <c r="F347" s="8"/>
      <c r="G347" s="8"/>
      <c r="H347" s="208"/>
      <c r="I347" s="342"/>
      <c r="K347" s="311"/>
      <c r="L347" s="343"/>
      <c r="M347" s="344"/>
      <c r="N347" s="345"/>
      <c r="O347" s="311"/>
      <c r="P347" s="311"/>
      <c r="Q347" s="311"/>
      <c r="R347" s="346"/>
      <c r="S347" s="347"/>
      <c r="T347" s="348"/>
      <c r="U347" s="10"/>
      <c r="V347" s="349"/>
      <c r="W347" s="350"/>
      <c r="X347" s="9"/>
      <c r="Y347" s="10"/>
      <c r="Z347" s="6"/>
      <c r="AC347" s="11"/>
    </row>
    <row r="348" spans="1:45" ht="13.5" customHeight="1">
      <c r="A348" s="309"/>
      <c r="B348" s="340"/>
      <c r="C348" s="340"/>
      <c r="D348" s="340"/>
      <c r="E348" s="341"/>
      <c r="F348" s="8"/>
      <c r="G348" s="8"/>
      <c r="H348" s="208"/>
      <c r="I348" s="342"/>
      <c r="K348" s="311"/>
      <c r="L348" s="343"/>
      <c r="M348" s="344"/>
      <c r="N348" s="345"/>
      <c r="O348" s="311"/>
      <c r="P348" s="311"/>
      <c r="Q348" s="311"/>
      <c r="R348" s="346"/>
      <c r="S348" s="347"/>
      <c r="T348" s="348"/>
      <c r="U348" s="10"/>
      <c r="V348" s="349"/>
      <c r="W348" s="350"/>
      <c r="X348" s="9"/>
      <c r="Y348" s="10"/>
      <c r="Z348" s="6"/>
      <c r="AC348" s="11"/>
    </row>
    <row r="349" spans="1:45" ht="13.5" customHeight="1">
      <c r="A349" s="309"/>
      <c r="B349" s="340"/>
      <c r="C349" s="340"/>
      <c r="D349" s="340"/>
      <c r="E349" s="341"/>
      <c r="F349" s="8"/>
      <c r="G349" s="8"/>
      <c r="H349" s="208"/>
      <c r="I349" s="342"/>
      <c r="K349" s="311"/>
      <c r="L349" s="343"/>
      <c r="M349" s="344"/>
      <c r="N349" s="345"/>
      <c r="O349" s="311"/>
      <c r="P349" s="311"/>
      <c r="Q349" s="311"/>
      <c r="R349" s="346"/>
      <c r="S349" s="347"/>
      <c r="T349" s="348"/>
      <c r="U349" s="10"/>
      <c r="V349" s="349"/>
      <c r="W349" s="350"/>
      <c r="X349" s="9"/>
      <c r="Y349" s="10"/>
      <c r="Z349" s="6"/>
      <c r="AC349" s="11"/>
    </row>
    <row r="350" spans="1:45" ht="13.5" customHeight="1">
      <c r="A350" s="309"/>
      <c r="B350" s="340"/>
      <c r="C350" s="340"/>
      <c r="D350" s="340"/>
      <c r="E350" s="341"/>
      <c r="F350" s="8"/>
      <c r="G350" s="8"/>
      <c r="H350" s="208"/>
      <c r="I350" s="342"/>
      <c r="K350" s="311"/>
      <c r="L350" s="343"/>
      <c r="M350" s="344"/>
      <c r="N350" s="345"/>
      <c r="O350" s="311"/>
      <c r="P350" s="311"/>
      <c r="Q350" s="311"/>
      <c r="R350" s="346"/>
      <c r="S350" s="347"/>
      <c r="T350" s="348"/>
      <c r="U350" s="10"/>
      <c r="V350" s="349"/>
      <c r="W350" s="350"/>
      <c r="X350" s="9"/>
      <c r="Y350" s="10"/>
      <c r="Z350" s="6"/>
      <c r="AC350" s="11"/>
    </row>
    <row r="351" spans="1:45" ht="13.5" customHeight="1">
      <c r="A351" s="309"/>
      <c r="B351" s="340"/>
      <c r="C351" s="340"/>
      <c r="D351" s="340"/>
      <c r="E351" s="341"/>
      <c r="F351" s="8"/>
      <c r="G351" s="8"/>
      <c r="H351" s="208"/>
      <c r="I351" s="342"/>
      <c r="K351" s="311"/>
      <c r="L351" s="343"/>
      <c r="M351" s="344"/>
      <c r="N351" s="345"/>
      <c r="O351" s="311"/>
      <c r="P351" s="311"/>
      <c r="Q351" s="311"/>
      <c r="R351" s="346"/>
      <c r="S351" s="347"/>
      <c r="T351" s="348"/>
      <c r="U351" s="10"/>
      <c r="V351" s="349"/>
      <c r="W351" s="350"/>
      <c r="X351" s="9"/>
      <c r="Y351" s="10"/>
      <c r="Z351" s="6"/>
      <c r="AC351" s="11"/>
    </row>
    <row r="352" spans="1:45" ht="13.5" customHeight="1">
      <c r="A352" s="309"/>
      <c r="B352" s="340"/>
      <c r="C352" s="340"/>
      <c r="D352" s="340"/>
      <c r="E352" s="341"/>
      <c r="F352" s="8"/>
      <c r="G352" s="8"/>
      <c r="H352" s="208"/>
      <c r="I352" s="342"/>
      <c r="K352" s="311"/>
      <c r="L352" s="343"/>
      <c r="M352" s="344"/>
      <c r="N352" s="345"/>
      <c r="O352" s="311"/>
      <c r="P352" s="311"/>
      <c r="Q352" s="311"/>
      <c r="R352" s="346"/>
      <c r="S352" s="347"/>
      <c r="T352" s="348"/>
      <c r="U352" s="10"/>
      <c r="V352" s="349"/>
      <c r="W352" s="350"/>
      <c r="X352" s="9"/>
      <c r="Y352" s="10"/>
      <c r="Z352" s="6"/>
      <c r="AC352" s="11"/>
    </row>
    <row r="353" spans="1:29" ht="13.5" customHeight="1">
      <c r="A353" s="309"/>
      <c r="B353" s="340"/>
      <c r="C353" s="340"/>
      <c r="D353" s="340"/>
      <c r="E353" s="341"/>
      <c r="F353" s="8"/>
      <c r="G353" s="8"/>
      <c r="H353" s="208"/>
      <c r="I353" s="342"/>
      <c r="K353" s="311"/>
      <c r="L353" s="343"/>
      <c r="M353" s="344"/>
      <c r="N353" s="345"/>
      <c r="O353" s="311"/>
      <c r="P353" s="311"/>
      <c r="Q353" s="311"/>
      <c r="R353" s="346"/>
      <c r="S353" s="347"/>
      <c r="T353" s="348"/>
      <c r="U353" s="10"/>
      <c r="V353" s="349"/>
      <c r="W353" s="350"/>
      <c r="X353" s="9"/>
      <c r="Y353" s="10"/>
      <c r="Z353" s="6"/>
      <c r="AC353" s="11"/>
    </row>
    <row r="354" spans="1:29" ht="13.5" customHeight="1">
      <c r="A354" s="309"/>
      <c r="B354" s="340"/>
      <c r="C354" s="340"/>
      <c r="D354" s="340"/>
      <c r="E354" s="341"/>
      <c r="F354" s="8"/>
      <c r="G354" s="8"/>
      <c r="H354" s="208"/>
      <c r="I354" s="342"/>
      <c r="K354" s="311"/>
      <c r="L354" s="343"/>
      <c r="M354" s="344"/>
      <c r="N354" s="345"/>
      <c r="O354" s="311"/>
      <c r="P354" s="311"/>
      <c r="Q354" s="311"/>
      <c r="R354" s="346"/>
      <c r="S354" s="347"/>
      <c r="T354" s="348"/>
      <c r="U354" s="10"/>
      <c r="V354" s="349"/>
      <c r="W354" s="350"/>
      <c r="X354" s="9"/>
      <c r="Y354" s="10"/>
      <c r="Z354" s="6"/>
      <c r="AC354" s="11"/>
    </row>
    <row r="355" spans="1:29" ht="13.5" customHeight="1">
      <c r="A355" s="309"/>
      <c r="B355" s="340"/>
      <c r="C355" s="340"/>
      <c r="D355" s="340"/>
      <c r="E355" s="341"/>
      <c r="F355" s="8"/>
      <c r="G355" s="8"/>
      <c r="H355" s="208"/>
      <c r="I355" s="342"/>
      <c r="K355" s="311"/>
      <c r="L355" s="343"/>
      <c r="M355" s="344"/>
      <c r="N355" s="345"/>
      <c r="O355" s="311"/>
      <c r="P355" s="311"/>
      <c r="Q355" s="311"/>
      <c r="R355" s="346"/>
      <c r="S355" s="347"/>
      <c r="T355" s="348"/>
      <c r="U355" s="10"/>
      <c r="V355" s="349"/>
      <c r="W355" s="350"/>
      <c r="X355" s="9"/>
      <c r="Y355" s="10"/>
      <c r="Z355" s="6"/>
      <c r="AC355" s="11"/>
    </row>
    <row r="356" spans="1:29" ht="13.5" customHeight="1">
      <c r="A356" s="309"/>
      <c r="B356" s="340"/>
      <c r="C356" s="340"/>
      <c r="D356" s="340"/>
      <c r="E356" s="341"/>
      <c r="F356" s="8"/>
      <c r="G356" s="8"/>
      <c r="H356" s="208"/>
      <c r="I356" s="342"/>
      <c r="K356" s="311"/>
      <c r="L356" s="343"/>
      <c r="M356" s="344"/>
      <c r="N356" s="345"/>
      <c r="O356" s="311"/>
      <c r="P356" s="311"/>
      <c r="Q356" s="311"/>
      <c r="R356" s="346"/>
      <c r="S356" s="347"/>
      <c r="T356" s="348"/>
      <c r="U356" s="10"/>
      <c r="V356" s="349"/>
      <c r="W356" s="350"/>
      <c r="X356" s="9"/>
      <c r="Y356" s="10"/>
      <c r="Z356" s="6"/>
      <c r="AC356" s="11"/>
    </row>
    <row r="357" spans="1:29" ht="13.5" customHeight="1">
      <c r="A357" s="309"/>
      <c r="B357" s="340"/>
      <c r="C357" s="340"/>
      <c r="D357" s="340"/>
      <c r="E357" s="341"/>
      <c r="F357" s="8"/>
      <c r="G357" s="8"/>
      <c r="H357" s="208"/>
      <c r="I357" s="342"/>
      <c r="K357" s="311"/>
      <c r="L357" s="343"/>
      <c r="M357" s="344"/>
      <c r="N357" s="345"/>
      <c r="O357" s="311"/>
      <c r="P357" s="311"/>
      <c r="Q357" s="311"/>
      <c r="R357" s="346"/>
      <c r="S357" s="347"/>
      <c r="T357" s="348"/>
      <c r="U357" s="10"/>
      <c r="V357" s="349"/>
      <c r="W357" s="350"/>
      <c r="X357" s="9"/>
      <c r="Y357" s="10"/>
      <c r="Z357" s="6"/>
      <c r="AC357" s="11"/>
    </row>
    <row r="358" spans="1:29" ht="13.5" customHeight="1">
      <c r="A358" s="309"/>
      <c r="B358" s="340"/>
      <c r="C358" s="340"/>
      <c r="D358" s="340"/>
      <c r="E358" s="341"/>
      <c r="F358" s="8"/>
      <c r="G358" s="8"/>
      <c r="H358" s="208"/>
      <c r="I358" s="342"/>
      <c r="K358" s="311"/>
      <c r="L358" s="343"/>
      <c r="M358" s="344"/>
      <c r="N358" s="345"/>
      <c r="O358" s="311"/>
      <c r="P358" s="311"/>
      <c r="Q358" s="311"/>
      <c r="R358" s="346"/>
      <c r="S358" s="347"/>
      <c r="T358" s="348"/>
      <c r="U358" s="10"/>
      <c r="V358" s="349"/>
      <c r="W358" s="350"/>
      <c r="X358" s="9"/>
      <c r="Y358" s="10"/>
      <c r="Z358" s="6"/>
      <c r="AC358" s="11"/>
    </row>
    <row r="359" spans="1:29" ht="13.5" customHeight="1">
      <c r="A359" s="309"/>
      <c r="B359" s="340"/>
      <c r="C359" s="340"/>
      <c r="D359" s="340"/>
      <c r="E359" s="341"/>
      <c r="F359" s="8"/>
      <c r="G359" s="8"/>
      <c r="H359" s="208"/>
      <c r="I359" s="342"/>
      <c r="K359" s="311"/>
      <c r="L359" s="343"/>
      <c r="M359" s="344"/>
      <c r="N359" s="345"/>
      <c r="O359" s="311"/>
      <c r="P359" s="311"/>
      <c r="Q359" s="311"/>
      <c r="R359" s="346"/>
      <c r="S359" s="347"/>
      <c r="T359" s="348"/>
      <c r="U359" s="10"/>
      <c r="V359" s="349"/>
      <c r="W359" s="350"/>
      <c r="X359" s="9"/>
      <c r="Y359" s="10"/>
      <c r="Z359" s="6"/>
      <c r="AC359" s="11"/>
    </row>
    <row r="360" spans="1:29" ht="13.5" customHeight="1">
      <c r="A360" s="309"/>
      <c r="B360" s="340"/>
      <c r="C360" s="340"/>
      <c r="D360" s="340"/>
      <c r="E360" s="341"/>
      <c r="F360" s="8"/>
      <c r="G360" s="8"/>
      <c r="H360" s="208"/>
      <c r="I360" s="342"/>
      <c r="K360" s="311"/>
      <c r="L360" s="343"/>
      <c r="M360" s="344"/>
      <c r="N360" s="345"/>
      <c r="O360" s="311"/>
      <c r="P360" s="311"/>
      <c r="Q360" s="311"/>
      <c r="R360" s="346"/>
      <c r="S360" s="347"/>
      <c r="T360" s="348"/>
      <c r="U360" s="10"/>
      <c r="V360" s="349"/>
      <c r="W360" s="350"/>
      <c r="X360" s="9"/>
      <c r="Y360" s="10"/>
      <c r="Z360" s="6"/>
      <c r="AC360" s="11"/>
    </row>
    <row r="361" spans="1:29" ht="13.5" customHeight="1">
      <c r="A361" s="309"/>
      <c r="B361" s="340"/>
      <c r="C361" s="340"/>
      <c r="D361" s="340"/>
      <c r="E361" s="341"/>
      <c r="F361" s="8"/>
      <c r="G361" s="8"/>
      <c r="H361" s="208"/>
      <c r="I361" s="342"/>
      <c r="K361" s="311"/>
      <c r="L361" s="343"/>
      <c r="M361" s="344"/>
      <c r="N361" s="345"/>
      <c r="O361" s="311"/>
      <c r="P361" s="311"/>
      <c r="Q361" s="311"/>
      <c r="R361" s="346"/>
      <c r="S361" s="347"/>
      <c r="T361" s="348"/>
      <c r="U361" s="10"/>
      <c r="V361" s="349"/>
      <c r="W361" s="350"/>
      <c r="X361" s="9"/>
      <c r="Y361" s="10"/>
      <c r="Z361" s="6"/>
      <c r="AC361" s="11"/>
    </row>
    <row r="362" spans="1:29" ht="13.5" customHeight="1">
      <c r="A362" s="309"/>
      <c r="B362" s="340"/>
      <c r="C362" s="340"/>
      <c r="D362" s="340"/>
      <c r="E362" s="341"/>
      <c r="F362" s="8"/>
      <c r="G362" s="8"/>
      <c r="H362" s="208"/>
      <c r="I362" s="342"/>
      <c r="K362" s="311"/>
      <c r="L362" s="343"/>
      <c r="M362" s="344"/>
      <c r="N362" s="345"/>
      <c r="O362" s="311"/>
      <c r="P362" s="311"/>
      <c r="Q362" s="311"/>
      <c r="R362" s="346"/>
      <c r="S362" s="347"/>
      <c r="T362" s="348"/>
      <c r="U362" s="10"/>
      <c r="V362" s="349"/>
      <c r="W362" s="350"/>
      <c r="X362" s="9"/>
      <c r="Y362" s="10"/>
      <c r="Z362" s="6"/>
      <c r="AC362" s="11"/>
    </row>
    <row r="363" spans="1:29" ht="13.5" customHeight="1">
      <c r="A363" s="309"/>
      <c r="B363" s="340"/>
      <c r="C363" s="340"/>
      <c r="D363" s="340"/>
      <c r="E363" s="341"/>
      <c r="F363" s="8"/>
      <c r="G363" s="8"/>
      <c r="H363" s="208"/>
      <c r="I363" s="342"/>
      <c r="K363" s="311"/>
      <c r="L363" s="343"/>
      <c r="M363" s="344"/>
      <c r="N363" s="345"/>
      <c r="O363" s="311"/>
      <c r="P363" s="311"/>
      <c r="Q363" s="311"/>
      <c r="R363" s="346"/>
      <c r="S363" s="347"/>
      <c r="T363" s="348"/>
      <c r="U363" s="10"/>
      <c r="V363" s="349"/>
      <c r="W363" s="350"/>
      <c r="X363" s="9"/>
      <c r="Y363" s="10"/>
      <c r="Z363" s="6"/>
      <c r="AC363" s="11"/>
    </row>
    <row r="364" spans="1:29" ht="13.5" customHeight="1">
      <c r="A364" s="309"/>
      <c r="B364" s="340"/>
      <c r="C364" s="340"/>
      <c r="D364" s="340"/>
      <c r="E364" s="341"/>
      <c r="F364" s="8"/>
      <c r="G364" s="8"/>
      <c r="H364" s="208"/>
      <c r="I364" s="342"/>
      <c r="K364" s="311"/>
      <c r="L364" s="343"/>
      <c r="M364" s="344"/>
      <c r="N364" s="345"/>
      <c r="O364" s="311"/>
      <c r="P364" s="311"/>
      <c r="Q364" s="311"/>
      <c r="R364" s="346"/>
      <c r="S364" s="347"/>
      <c r="T364" s="348"/>
      <c r="U364" s="10"/>
      <c r="V364" s="349"/>
      <c r="W364" s="350"/>
      <c r="X364" s="9"/>
      <c r="Y364" s="10"/>
      <c r="Z364" s="6"/>
      <c r="AC364" s="11"/>
    </row>
    <row r="365" spans="1:29" ht="13.5" customHeight="1">
      <c r="A365" s="309"/>
      <c r="B365" s="340"/>
      <c r="C365" s="340"/>
      <c r="D365" s="340"/>
      <c r="E365" s="341"/>
      <c r="F365" s="8"/>
      <c r="G365" s="8"/>
      <c r="H365" s="208"/>
      <c r="I365" s="342"/>
      <c r="K365" s="311"/>
      <c r="L365" s="343"/>
      <c r="M365" s="344"/>
      <c r="N365" s="345"/>
      <c r="O365" s="311"/>
      <c r="P365" s="311"/>
      <c r="Q365" s="311"/>
      <c r="R365" s="346"/>
      <c r="S365" s="347"/>
      <c r="T365" s="348"/>
      <c r="U365" s="10"/>
      <c r="V365" s="349"/>
      <c r="W365" s="350"/>
      <c r="X365" s="9"/>
      <c r="Y365" s="10"/>
      <c r="Z365" s="6"/>
      <c r="AC365" s="11"/>
    </row>
    <row r="366" spans="1:29" ht="13.5" customHeight="1">
      <c r="A366" s="309"/>
      <c r="B366" s="340"/>
      <c r="C366" s="340"/>
      <c r="D366" s="340"/>
      <c r="E366" s="341"/>
      <c r="F366" s="8"/>
      <c r="G366" s="8"/>
      <c r="H366" s="208"/>
      <c r="I366" s="342"/>
      <c r="K366" s="311"/>
      <c r="L366" s="343"/>
      <c r="M366" s="344"/>
      <c r="N366" s="345"/>
      <c r="O366" s="311"/>
      <c r="P366" s="311"/>
      <c r="Q366" s="311"/>
      <c r="R366" s="346"/>
      <c r="S366" s="347"/>
      <c r="T366" s="348"/>
      <c r="U366" s="10"/>
      <c r="V366" s="349"/>
      <c r="W366" s="350"/>
      <c r="X366" s="9"/>
      <c r="Y366" s="10"/>
      <c r="Z366" s="6"/>
      <c r="AC366" s="11"/>
    </row>
    <row r="367" spans="1:29" ht="13.5" customHeight="1">
      <c r="A367" s="309"/>
      <c r="B367" s="340"/>
      <c r="C367" s="340"/>
      <c r="D367" s="340"/>
      <c r="E367" s="341"/>
      <c r="F367" s="8"/>
      <c r="G367" s="8"/>
      <c r="H367" s="208"/>
      <c r="I367" s="342"/>
      <c r="K367" s="311"/>
      <c r="L367" s="343"/>
      <c r="M367" s="344"/>
      <c r="N367" s="345"/>
      <c r="O367" s="311"/>
      <c r="P367" s="311"/>
      <c r="Q367" s="311"/>
      <c r="R367" s="346"/>
      <c r="S367" s="347"/>
      <c r="T367" s="348"/>
      <c r="U367" s="10"/>
      <c r="V367" s="349"/>
      <c r="W367" s="350"/>
      <c r="X367" s="9"/>
      <c r="Y367" s="10"/>
      <c r="Z367" s="6"/>
      <c r="AC367" s="11"/>
    </row>
    <row r="368" spans="1:29" ht="13.5" customHeight="1">
      <c r="A368" s="309"/>
      <c r="B368" s="340"/>
      <c r="C368" s="340"/>
      <c r="D368" s="340"/>
      <c r="E368" s="341"/>
      <c r="F368" s="8"/>
      <c r="G368" s="8"/>
      <c r="H368" s="208"/>
      <c r="I368" s="342"/>
      <c r="K368" s="311"/>
      <c r="L368" s="343"/>
      <c r="M368" s="344"/>
      <c r="N368" s="345"/>
      <c r="O368" s="311"/>
      <c r="P368" s="311"/>
      <c r="Q368" s="311"/>
      <c r="R368" s="346"/>
      <c r="S368" s="347"/>
      <c r="T368" s="348"/>
      <c r="U368" s="10"/>
      <c r="V368" s="349"/>
      <c r="W368" s="350"/>
      <c r="X368" s="9"/>
      <c r="Y368" s="10"/>
      <c r="Z368" s="6"/>
      <c r="AC368" s="11"/>
    </row>
    <row r="369" spans="1:45" ht="13.5" customHeight="1">
      <c r="A369" s="309"/>
      <c r="B369" s="340"/>
      <c r="C369" s="340"/>
      <c r="D369" s="340"/>
      <c r="E369" s="341"/>
      <c r="F369" s="8"/>
      <c r="G369" s="8"/>
      <c r="H369" s="208"/>
      <c r="I369" s="342"/>
      <c r="K369" s="311"/>
      <c r="L369" s="343"/>
      <c r="M369" s="344"/>
      <c r="N369" s="345"/>
      <c r="O369" s="311"/>
      <c r="P369" s="311"/>
      <c r="Q369" s="311"/>
      <c r="R369" s="346"/>
      <c r="S369" s="347"/>
      <c r="T369" s="348"/>
      <c r="U369" s="10"/>
      <c r="V369" s="349"/>
      <c r="W369" s="350"/>
      <c r="X369" s="9"/>
      <c r="Y369" s="10"/>
      <c r="Z369" s="6"/>
      <c r="AC369" s="11"/>
    </row>
    <row r="370" spans="1:45" ht="13.5" customHeight="1">
      <c r="A370" s="309"/>
      <c r="B370" s="340"/>
      <c r="C370" s="340"/>
      <c r="D370" s="340"/>
      <c r="E370" s="341"/>
      <c r="F370" s="8"/>
      <c r="G370" s="8"/>
      <c r="H370" s="208"/>
      <c r="I370" s="342"/>
      <c r="K370" s="311"/>
      <c r="L370" s="343"/>
      <c r="M370" s="344"/>
      <c r="N370" s="345"/>
      <c r="O370" s="311"/>
      <c r="P370" s="311"/>
      <c r="Q370" s="311"/>
      <c r="R370" s="346"/>
      <c r="S370" s="347"/>
      <c r="T370" s="348"/>
      <c r="U370" s="10"/>
      <c r="V370" s="349"/>
      <c r="W370" s="350"/>
      <c r="X370" s="9"/>
      <c r="Y370" s="10"/>
      <c r="Z370" s="6"/>
      <c r="AC370" s="11"/>
    </row>
    <row r="371" spans="1:45" ht="13.5" customHeight="1">
      <c r="A371" s="309"/>
      <c r="B371" s="340"/>
      <c r="C371" s="340"/>
      <c r="D371" s="340"/>
      <c r="E371" s="341"/>
      <c r="F371" s="8"/>
      <c r="G371" s="8"/>
      <c r="H371" s="208"/>
      <c r="I371" s="342"/>
      <c r="K371" s="311"/>
      <c r="L371" s="343"/>
      <c r="M371" s="344"/>
      <c r="N371" s="345"/>
      <c r="O371" s="311"/>
      <c r="P371" s="311"/>
      <c r="Q371" s="311"/>
      <c r="R371" s="346"/>
      <c r="S371" s="347"/>
      <c r="T371" s="348"/>
      <c r="U371" s="10"/>
      <c r="V371" s="349"/>
      <c r="W371" s="350"/>
      <c r="X371" s="9"/>
      <c r="Y371" s="10"/>
      <c r="Z371" s="6"/>
      <c r="AC371" s="11"/>
    </row>
    <row r="372" spans="1:45" ht="13.5" customHeight="1">
      <c r="A372" s="309"/>
      <c r="B372" s="340"/>
      <c r="C372" s="340"/>
      <c r="D372" s="340"/>
      <c r="E372" s="341"/>
      <c r="F372" s="8"/>
      <c r="G372" s="8"/>
      <c r="H372" s="208"/>
      <c r="I372" s="342"/>
      <c r="K372" s="311"/>
      <c r="L372" s="343"/>
      <c r="M372" s="344"/>
      <c r="N372" s="345"/>
      <c r="O372" s="311"/>
      <c r="P372" s="311"/>
      <c r="Q372" s="311"/>
      <c r="R372" s="346"/>
      <c r="S372" s="347"/>
      <c r="T372" s="348"/>
      <c r="U372" s="10"/>
      <c r="V372" s="349"/>
      <c r="W372" s="350"/>
      <c r="X372" s="9"/>
      <c r="Y372" s="10"/>
      <c r="Z372" s="6"/>
      <c r="AC372" s="11"/>
    </row>
    <row r="373" spans="1:45" ht="13.5" customHeight="1">
      <c r="A373" s="309"/>
      <c r="B373" s="340"/>
      <c r="C373" s="340"/>
      <c r="D373" s="340"/>
      <c r="E373" s="341"/>
      <c r="F373" s="8"/>
      <c r="G373" s="8"/>
      <c r="H373" s="208"/>
      <c r="I373" s="342"/>
      <c r="K373" s="311"/>
      <c r="L373" s="343"/>
      <c r="M373" s="344"/>
      <c r="N373" s="345"/>
      <c r="O373" s="311"/>
      <c r="P373" s="311"/>
      <c r="Q373" s="311"/>
      <c r="R373" s="346"/>
      <c r="S373" s="347"/>
      <c r="T373" s="348"/>
      <c r="U373" s="10"/>
      <c r="V373" s="349"/>
      <c r="W373" s="350"/>
      <c r="X373" s="9"/>
      <c r="Y373" s="10"/>
      <c r="Z373" s="6"/>
      <c r="AC373" s="11"/>
    </row>
    <row r="374" spans="1:45" ht="13.5" customHeight="1">
      <c r="A374" s="309"/>
      <c r="B374" s="340"/>
      <c r="C374" s="340"/>
      <c r="D374" s="340"/>
      <c r="E374" s="341"/>
      <c r="F374" s="8"/>
      <c r="G374" s="8"/>
      <c r="H374" s="208"/>
      <c r="I374" s="342"/>
      <c r="K374" s="311"/>
      <c r="L374" s="343"/>
      <c r="M374" s="344"/>
      <c r="N374" s="345"/>
      <c r="O374" s="311"/>
      <c r="P374" s="311"/>
      <c r="Q374" s="311"/>
      <c r="R374" s="346"/>
      <c r="S374" s="347"/>
      <c r="T374" s="348"/>
      <c r="U374" s="10"/>
      <c r="V374" s="349"/>
      <c r="W374" s="350"/>
      <c r="X374" s="9"/>
      <c r="Y374" s="10"/>
      <c r="Z374" s="6"/>
      <c r="AC374" s="11"/>
    </row>
    <row r="375" spans="1:45" ht="13.5" customHeight="1">
      <c r="A375" s="309"/>
      <c r="B375" s="340"/>
      <c r="C375" s="340"/>
      <c r="D375" s="340"/>
      <c r="E375" s="341"/>
      <c r="F375" s="8"/>
      <c r="G375" s="8"/>
      <c r="H375" s="208"/>
      <c r="I375" s="342"/>
      <c r="K375" s="311"/>
      <c r="L375" s="343"/>
      <c r="M375" s="344"/>
      <c r="N375" s="345"/>
      <c r="O375" s="311"/>
      <c r="P375" s="311"/>
      <c r="Q375" s="311"/>
      <c r="R375" s="346"/>
      <c r="S375" s="347"/>
      <c r="T375" s="348"/>
      <c r="U375" s="10"/>
      <c r="V375" s="349"/>
      <c r="W375" s="350"/>
      <c r="X375" s="9"/>
      <c r="Y375" s="10"/>
      <c r="Z375" s="6"/>
      <c r="AC375" s="11"/>
    </row>
    <row r="376" spans="1:45" ht="13.5" customHeight="1">
      <c r="A376" s="309"/>
      <c r="B376" s="340"/>
      <c r="C376" s="340"/>
      <c r="D376" s="340"/>
      <c r="E376" s="341"/>
      <c r="F376" s="8"/>
      <c r="G376" s="8"/>
      <c r="H376" s="208"/>
      <c r="I376" s="342"/>
      <c r="K376" s="311"/>
      <c r="L376" s="343"/>
      <c r="M376" s="344"/>
      <c r="N376" s="345"/>
      <c r="O376" s="311"/>
      <c r="P376" s="311"/>
      <c r="Q376" s="311"/>
      <c r="R376" s="346"/>
      <c r="S376" s="347"/>
      <c r="T376" s="348"/>
      <c r="U376" s="10"/>
      <c r="V376" s="349"/>
      <c r="W376" s="350"/>
      <c r="X376" s="9"/>
      <c r="Y376" s="10"/>
      <c r="Z376" s="6"/>
      <c r="AC376" s="11"/>
    </row>
    <row r="377" spans="1:45" ht="13.5" customHeight="1">
      <c r="A377" s="309"/>
      <c r="B377" s="340"/>
      <c r="C377" s="340"/>
      <c r="D377" s="340"/>
      <c r="E377" s="341"/>
      <c r="F377" s="8"/>
      <c r="G377" s="8"/>
      <c r="H377" s="208"/>
      <c r="I377" s="342"/>
      <c r="K377" s="311"/>
      <c r="L377" s="343"/>
      <c r="M377" s="344"/>
      <c r="N377" s="345"/>
      <c r="O377" s="311"/>
      <c r="P377" s="311"/>
      <c r="Q377" s="311"/>
      <c r="R377" s="346"/>
      <c r="S377" s="347"/>
      <c r="T377" s="348"/>
      <c r="U377" s="10"/>
      <c r="V377" s="349"/>
      <c r="W377" s="350"/>
      <c r="X377" s="9"/>
      <c r="Y377" s="10"/>
      <c r="Z377" s="6"/>
      <c r="AC377" s="11"/>
    </row>
    <row r="378" spans="1:45" ht="13.5" customHeight="1">
      <c r="A378" s="309"/>
      <c r="B378" s="340"/>
      <c r="C378" s="340"/>
      <c r="D378" s="340"/>
      <c r="E378" s="341"/>
      <c r="F378" s="8"/>
      <c r="G378" s="8"/>
      <c r="H378" s="208"/>
      <c r="I378" s="342"/>
      <c r="K378" s="311"/>
      <c r="L378" s="343"/>
      <c r="M378" s="344"/>
      <c r="N378" s="345"/>
      <c r="O378" s="311"/>
      <c r="P378" s="311"/>
      <c r="Q378" s="311"/>
      <c r="R378" s="346"/>
      <c r="S378" s="347"/>
      <c r="T378" s="348"/>
      <c r="U378" s="10"/>
      <c r="V378" s="349"/>
      <c r="W378" s="350"/>
      <c r="X378" s="9"/>
      <c r="Y378" s="10"/>
      <c r="Z378" s="6"/>
      <c r="AC378" s="11"/>
    </row>
    <row r="379" spans="1:45" ht="13.5" customHeight="1">
      <c r="A379" s="202"/>
      <c r="B379" s="241"/>
      <c r="C379" s="242"/>
      <c r="D379" s="242">
        <v>187</v>
      </c>
      <c r="E379" s="243"/>
      <c r="F379" s="304"/>
      <c r="G379" s="242"/>
      <c r="H379" s="253"/>
      <c r="I379" s="242"/>
      <c r="J379" s="242"/>
      <c r="K379" s="254"/>
      <c r="L379" s="244"/>
      <c r="M379" s="245"/>
      <c r="N379" s="243"/>
      <c r="O379" s="246"/>
      <c r="P379" s="247"/>
      <c r="Q379" s="254"/>
      <c r="R379" s="248"/>
      <c r="S379" s="248"/>
      <c r="T379" s="248"/>
      <c r="U379" s="248"/>
      <c r="V379" s="287"/>
      <c r="W379" s="250"/>
      <c r="X379" s="247"/>
      <c r="Y379" s="248"/>
      <c r="Z379" s="250"/>
      <c r="AA379" s="242"/>
      <c r="AB379" s="242"/>
      <c r="AC379" s="250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60"/>
      <c r="AS379" s="320"/>
    </row>
    <row r="380" spans="1:45" ht="13.5" customHeight="1">
      <c r="A380" s="202"/>
      <c r="B380" s="241" t="s">
        <v>1266</v>
      </c>
      <c r="C380" s="242">
        <v>7</v>
      </c>
      <c r="D380" s="242"/>
      <c r="E380" s="243"/>
      <c r="F380" s="304"/>
      <c r="G380" s="242"/>
      <c r="H380" s="253"/>
      <c r="I380" s="242"/>
      <c r="J380" s="242"/>
      <c r="K380" s="254"/>
      <c r="L380" s="244"/>
      <c r="M380" s="245"/>
      <c r="N380" s="243"/>
      <c r="O380" s="246"/>
      <c r="P380" s="247"/>
      <c r="Q380" s="247"/>
      <c r="R380" s="248"/>
      <c r="S380" s="248"/>
      <c r="T380" s="248"/>
      <c r="U380" s="248"/>
      <c r="V380" s="287"/>
      <c r="W380" s="250"/>
      <c r="X380" s="247"/>
      <c r="Y380" s="248"/>
      <c r="Z380" s="250"/>
      <c r="AA380" s="242"/>
      <c r="AB380" s="242"/>
      <c r="AC380" s="250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60"/>
      <c r="AS380" s="202"/>
    </row>
    <row r="381" spans="1:45" ht="13.5" customHeight="1">
      <c r="A381" s="202"/>
      <c r="B381" s="241"/>
      <c r="C381" s="242"/>
      <c r="D381" s="242">
        <v>188</v>
      </c>
      <c r="E381" s="243"/>
      <c r="F381" s="304"/>
      <c r="G381" s="242"/>
      <c r="H381" s="253"/>
      <c r="I381" s="242"/>
      <c r="J381" s="242"/>
      <c r="K381" s="254"/>
      <c r="L381" s="244"/>
      <c r="M381" s="245"/>
      <c r="N381" s="243"/>
      <c r="O381" s="246"/>
      <c r="P381" s="247"/>
      <c r="Q381" s="254"/>
      <c r="R381" s="248"/>
      <c r="S381" s="248"/>
      <c r="T381" s="248"/>
      <c r="U381" s="248"/>
      <c r="V381" s="287"/>
      <c r="W381" s="250"/>
      <c r="X381" s="247"/>
      <c r="Y381" s="248"/>
      <c r="Z381" s="250"/>
      <c r="AA381" s="242"/>
      <c r="AB381" s="242"/>
      <c r="AC381" s="250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60"/>
      <c r="AS381" s="320"/>
    </row>
    <row r="382" spans="1:45" ht="13.5" customHeight="1">
      <c r="A382" s="202"/>
      <c r="B382" s="241" t="s">
        <v>1266</v>
      </c>
      <c r="C382" s="242">
        <v>8</v>
      </c>
      <c r="D382" s="242"/>
      <c r="E382" s="243"/>
      <c r="F382" s="304"/>
      <c r="G382" s="242"/>
      <c r="H382" s="253"/>
      <c r="I382" s="242"/>
      <c r="J382" s="242"/>
      <c r="K382" s="254"/>
      <c r="L382" s="244"/>
      <c r="M382" s="245"/>
      <c r="N382" s="243"/>
      <c r="O382" s="246"/>
      <c r="P382" s="247"/>
      <c r="Q382" s="247"/>
      <c r="R382" s="248"/>
      <c r="S382" s="248"/>
      <c r="T382" s="248"/>
      <c r="U382" s="248"/>
      <c r="V382" s="287"/>
      <c r="W382" s="250"/>
      <c r="X382" s="247"/>
      <c r="Y382" s="248"/>
      <c r="Z382" s="250"/>
      <c r="AA382" s="242"/>
      <c r="AB382" s="242"/>
      <c r="AC382" s="250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60"/>
      <c r="AS382" s="202"/>
    </row>
    <row r="383" spans="1:45" ht="13.5" customHeight="1">
      <c r="A383" s="202"/>
      <c r="B383" s="241"/>
      <c r="C383" s="242"/>
      <c r="D383" s="242">
        <v>189</v>
      </c>
      <c r="E383" s="243"/>
      <c r="F383" s="304"/>
      <c r="G383" s="242"/>
      <c r="H383" s="253"/>
      <c r="I383" s="242"/>
      <c r="J383" s="242"/>
      <c r="K383" s="254"/>
      <c r="L383" s="244"/>
      <c r="M383" s="245"/>
      <c r="N383" s="243"/>
      <c r="O383" s="246"/>
      <c r="P383" s="247"/>
      <c r="Q383" s="254"/>
      <c r="R383" s="248"/>
      <c r="S383" s="248"/>
      <c r="T383" s="248"/>
      <c r="U383" s="248"/>
      <c r="V383" s="287"/>
      <c r="W383" s="250"/>
      <c r="X383" s="247"/>
      <c r="Y383" s="248"/>
      <c r="Z383" s="250"/>
      <c r="AA383" s="242"/>
      <c r="AB383" s="242"/>
      <c r="AC383" s="250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60"/>
      <c r="AS383" s="320"/>
    </row>
    <row r="384" spans="1:45" ht="13.5" customHeight="1">
      <c r="A384" s="202"/>
      <c r="B384" s="241" t="s">
        <v>1266</v>
      </c>
      <c r="C384" s="242">
        <v>9</v>
      </c>
      <c r="D384" s="242"/>
      <c r="E384" s="243"/>
      <c r="F384" s="304"/>
      <c r="G384" s="242"/>
      <c r="H384" s="253"/>
      <c r="I384" s="242"/>
      <c r="J384" s="242"/>
      <c r="K384" s="254"/>
      <c r="L384" s="244"/>
      <c r="M384" s="245"/>
      <c r="N384" s="243"/>
      <c r="O384" s="246"/>
      <c r="P384" s="247"/>
      <c r="Q384" s="247"/>
      <c r="R384" s="248"/>
      <c r="S384" s="248"/>
      <c r="T384" s="248"/>
      <c r="U384" s="248"/>
      <c r="V384" s="287"/>
      <c r="W384" s="250"/>
      <c r="X384" s="247"/>
      <c r="Y384" s="248"/>
      <c r="Z384" s="250"/>
      <c r="AA384" s="242"/>
      <c r="AB384" s="242"/>
      <c r="AC384" s="250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60"/>
      <c r="AS384" s="202"/>
    </row>
    <row r="385" spans="1:45" ht="13.5" customHeight="1">
      <c r="A385" s="202"/>
      <c r="B385" s="241"/>
      <c r="C385" s="242"/>
      <c r="D385" s="242">
        <v>190</v>
      </c>
      <c r="E385" s="243"/>
      <c r="F385" s="304"/>
      <c r="G385" s="242"/>
      <c r="H385" s="253"/>
      <c r="I385" s="242"/>
      <c r="J385" s="242"/>
      <c r="K385" s="254"/>
      <c r="L385" s="244"/>
      <c r="M385" s="245"/>
      <c r="N385" s="243"/>
      <c r="O385" s="246"/>
      <c r="P385" s="247"/>
      <c r="Q385" s="254"/>
      <c r="R385" s="248"/>
      <c r="S385" s="248"/>
      <c r="T385" s="248"/>
      <c r="U385" s="248"/>
      <c r="V385" s="287"/>
      <c r="W385" s="250"/>
      <c r="X385" s="247"/>
      <c r="Y385" s="248"/>
      <c r="Z385" s="250"/>
      <c r="AA385" s="242"/>
      <c r="AB385" s="242"/>
      <c r="AC385" s="250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60"/>
      <c r="AS385" s="320"/>
    </row>
    <row r="386" spans="1:45" ht="13.5" customHeight="1">
      <c r="A386" s="202"/>
      <c r="B386" s="241" t="s">
        <v>1266</v>
      </c>
      <c r="C386" s="242">
        <v>10</v>
      </c>
      <c r="D386" s="242"/>
      <c r="E386" s="243"/>
      <c r="F386" s="304"/>
      <c r="G386" s="242"/>
      <c r="H386" s="253"/>
      <c r="I386" s="242"/>
      <c r="J386" s="242"/>
      <c r="K386" s="254"/>
      <c r="L386" s="244"/>
      <c r="M386" s="245"/>
      <c r="N386" s="243"/>
      <c r="O386" s="246"/>
      <c r="P386" s="247"/>
      <c r="Q386" s="247"/>
      <c r="R386" s="248"/>
      <c r="S386" s="248"/>
      <c r="T386" s="248"/>
      <c r="U386" s="248"/>
      <c r="V386" s="287"/>
      <c r="W386" s="250"/>
      <c r="X386" s="247"/>
      <c r="Y386" s="248"/>
      <c r="Z386" s="250"/>
      <c r="AA386" s="242"/>
      <c r="AB386" s="242"/>
      <c r="AC386" s="250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60"/>
      <c r="AS386" s="202"/>
    </row>
    <row r="387" spans="1:45" ht="13.5" customHeight="1">
      <c r="A387" s="202"/>
      <c r="B387" s="241"/>
      <c r="C387" s="242"/>
      <c r="D387" s="242">
        <v>191</v>
      </c>
      <c r="E387" s="243"/>
      <c r="F387" s="304"/>
      <c r="G387" s="242"/>
      <c r="H387" s="253"/>
      <c r="I387" s="242"/>
      <c r="J387" s="242"/>
      <c r="K387" s="254"/>
      <c r="L387" s="244"/>
      <c r="M387" s="245"/>
      <c r="N387" s="243"/>
      <c r="O387" s="246"/>
      <c r="P387" s="247"/>
      <c r="Q387" s="254"/>
      <c r="R387" s="248"/>
      <c r="S387" s="248"/>
      <c r="T387" s="248"/>
      <c r="U387" s="248"/>
      <c r="V387" s="287"/>
      <c r="W387" s="250"/>
      <c r="X387" s="247"/>
      <c r="Y387" s="248"/>
      <c r="Z387" s="250"/>
      <c r="AA387" s="242"/>
      <c r="AB387" s="242"/>
      <c r="AC387" s="250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60"/>
      <c r="AS387" s="320"/>
    </row>
    <row r="388" spans="1:45" ht="13.5" customHeight="1">
      <c r="A388" s="202"/>
      <c r="B388" s="241" t="s">
        <v>1266</v>
      </c>
      <c r="C388" s="242">
        <v>11</v>
      </c>
      <c r="D388" s="242"/>
      <c r="E388" s="243"/>
      <c r="F388" s="304"/>
      <c r="G388" s="242"/>
      <c r="H388" s="253"/>
      <c r="I388" s="242"/>
      <c r="J388" s="242"/>
      <c r="K388" s="254"/>
      <c r="L388" s="244"/>
      <c r="M388" s="245"/>
      <c r="N388" s="243"/>
      <c r="O388" s="246"/>
      <c r="P388" s="247"/>
      <c r="Q388" s="247"/>
      <c r="R388" s="248"/>
      <c r="S388" s="248"/>
      <c r="T388" s="248"/>
      <c r="U388" s="248"/>
      <c r="V388" s="287"/>
      <c r="W388" s="250"/>
      <c r="X388" s="247"/>
      <c r="Y388" s="248"/>
      <c r="Z388" s="250"/>
      <c r="AA388" s="242"/>
      <c r="AB388" s="242"/>
      <c r="AC388" s="250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60"/>
      <c r="AS388" s="202"/>
    </row>
    <row r="389" spans="1:45" ht="13.5" customHeight="1">
      <c r="A389" s="202"/>
      <c r="B389" s="241"/>
      <c r="C389" s="242"/>
      <c r="D389" s="242">
        <v>192</v>
      </c>
      <c r="E389" s="243"/>
      <c r="F389" s="304"/>
      <c r="G389" s="242"/>
      <c r="H389" s="253"/>
      <c r="I389" s="242"/>
      <c r="J389" s="242"/>
      <c r="K389" s="254"/>
      <c r="L389" s="244"/>
      <c r="M389" s="245"/>
      <c r="N389" s="243"/>
      <c r="O389" s="246"/>
      <c r="P389" s="247"/>
      <c r="Q389" s="254"/>
      <c r="R389" s="248"/>
      <c r="S389" s="248"/>
      <c r="T389" s="248"/>
      <c r="U389" s="248"/>
      <c r="V389" s="287"/>
      <c r="W389" s="250"/>
      <c r="X389" s="247"/>
      <c r="Y389" s="248"/>
      <c r="Z389" s="250"/>
      <c r="AA389" s="242"/>
      <c r="AB389" s="242"/>
      <c r="AC389" s="250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60"/>
      <c r="AS389" s="320"/>
    </row>
    <row r="390" spans="1:45" ht="13.5" customHeight="1">
      <c r="A390" s="202"/>
      <c r="B390" s="241" t="s">
        <v>1266</v>
      </c>
      <c r="C390" s="242">
        <v>12</v>
      </c>
      <c r="D390" s="242"/>
      <c r="E390" s="243"/>
      <c r="F390" s="304"/>
      <c r="G390" s="242"/>
      <c r="H390" s="253"/>
      <c r="I390" s="242"/>
      <c r="J390" s="242"/>
      <c r="K390" s="254"/>
      <c r="L390" s="244"/>
      <c r="M390" s="245"/>
      <c r="N390" s="243"/>
      <c r="O390" s="246"/>
      <c r="P390" s="247"/>
      <c r="Q390" s="247"/>
      <c r="R390" s="248"/>
      <c r="S390" s="248"/>
      <c r="T390" s="248"/>
      <c r="U390" s="248"/>
      <c r="V390" s="287"/>
      <c r="W390" s="250"/>
      <c r="X390" s="247"/>
      <c r="Y390" s="248"/>
      <c r="Z390" s="250"/>
      <c r="AA390" s="242"/>
      <c r="AB390" s="242"/>
      <c r="AC390" s="250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60"/>
      <c r="AS390" s="202"/>
    </row>
    <row r="391" spans="1:45" ht="13.5" customHeight="1">
      <c r="A391" s="202"/>
      <c r="B391" s="241"/>
      <c r="C391" s="242"/>
      <c r="D391" s="242">
        <v>193</v>
      </c>
      <c r="E391" s="243"/>
      <c r="F391" s="304"/>
      <c r="G391" s="242"/>
      <c r="H391" s="253"/>
      <c r="I391" s="242"/>
      <c r="J391" s="242"/>
      <c r="K391" s="254"/>
      <c r="L391" s="244"/>
      <c r="M391" s="245"/>
      <c r="N391" s="243"/>
      <c r="O391" s="246"/>
      <c r="P391" s="247"/>
      <c r="Q391" s="254"/>
      <c r="R391" s="248"/>
      <c r="S391" s="248"/>
      <c r="T391" s="248"/>
      <c r="U391" s="248"/>
      <c r="V391" s="287"/>
      <c r="W391" s="250"/>
      <c r="X391" s="247"/>
      <c r="Y391" s="248"/>
      <c r="Z391" s="250"/>
      <c r="AA391" s="242"/>
      <c r="AB391" s="242"/>
      <c r="AC391" s="250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60"/>
      <c r="AS391" s="320"/>
    </row>
    <row r="392" spans="1:45" ht="13.5" customHeight="1">
      <c r="A392" s="202"/>
      <c r="B392" s="241" t="s">
        <v>1266</v>
      </c>
      <c r="C392" s="242">
        <v>13</v>
      </c>
      <c r="D392" s="242"/>
      <c r="E392" s="243"/>
      <c r="F392" s="304"/>
      <c r="G392" s="242"/>
      <c r="H392" s="253"/>
      <c r="I392" s="242"/>
      <c r="J392" s="242"/>
      <c r="K392" s="254"/>
      <c r="L392" s="244"/>
      <c r="M392" s="245"/>
      <c r="N392" s="243"/>
      <c r="O392" s="246"/>
      <c r="P392" s="247"/>
      <c r="Q392" s="247"/>
      <c r="R392" s="248"/>
      <c r="S392" s="248"/>
      <c r="T392" s="248"/>
      <c r="U392" s="248"/>
      <c r="V392" s="287"/>
      <c r="W392" s="250"/>
      <c r="X392" s="247"/>
      <c r="Y392" s="248"/>
      <c r="Z392" s="250"/>
      <c r="AA392" s="242"/>
      <c r="AB392" s="242"/>
      <c r="AC392" s="250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60"/>
      <c r="AS392" s="202"/>
    </row>
    <row r="393" spans="1:45" ht="13.5" customHeight="1">
      <c r="A393" s="202"/>
      <c r="B393" s="241"/>
      <c r="C393" s="242"/>
      <c r="D393" s="242">
        <v>194</v>
      </c>
      <c r="E393" s="243"/>
      <c r="F393" s="304"/>
      <c r="G393" s="242"/>
      <c r="H393" s="253"/>
      <c r="I393" s="242"/>
      <c r="J393" s="242"/>
      <c r="K393" s="254"/>
      <c r="L393" s="244"/>
      <c r="M393" s="245"/>
      <c r="N393" s="243"/>
      <c r="O393" s="246"/>
      <c r="P393" s="247"/>
      <c r="Q393" s="254"/>
      <c r="R393" s="248"/>
      <c r="S393" s="248"/>
      <c r="T393" s="248"/>
      <c r="U393" s="248"/>
      <c r="V393" s="287"/>
      <c r="W393" s="250"/>
      <c r="X393" s="247"/>
      <c r="Y393" s="248"/>
      <c r="Z393" s="250"/>
      <c r="AA393" s="242"/>
      <c r="AB393" s="242"/>
      <c r="AC393" s="250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60"/>
      <c r="AS393" s="320"/>
    </row>
    <row r="394" spans="1:45" ht="13.5" customHeight="1">
      <c r="A394" s="202"/>
      <c r="B394" s="241" t="s">
        <v>1266</v>
      </c>
      <c r="C394" s="242">
        <v>14</v>
      </c>
      <c r="D394" s="242"/>
      <c r="E394" s="243"/>
      <c r="F394" s="304"/>
      <c r="G394" s="242"/>
      <c r="H394" s="253"/>
      <c r="I394" s="242"/>
      <c r="J394" s="242"/>
      <c r="K394" s="254"/>
      <c r="L394" s="244"/>
      <c r="M394" s="245"/>
      <c r="N394" s="243"/>
      <c r="O394" s="246"/>
      <c r="P394" s="247"/>
      <c r="Q394" s="247"/>
      <c r="R394" s="248"/>
      <c r="S394" s="248"/>
      <c r="T394" s="248"/>
      <c r="U394" s="248"/>
      <c r="V394" s="287"/>
      <c r="W394" s="250"/>
      <c r="X394" s="247"/>
      <c r="Y394" s="248"/>
      <c r="Z394" s="250"/>
      <c r="AA394" s="242"/>
      <c r="AB394" s="242"/>
      <c r="AC394" s="250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60"/>
      <c r="AS394" s="202"/>
    </row>
    <row r="395" spans="1:45" ht="13.5" customHeight="1">
      <c r="A395" s="202"/>
      <c r="B395" s="241"/>
      <c r="C395" s="242"/>
      <c r="D395" s="242">
        <v>195</v>
      </c>
      <c r="E395" s="243"/>
      <c r="F395" s="304"/>
      <c r="G395" s="242"/>
      <c r="H395" s="253"/>
      <c r="I395" s="242"/>
      <c r="J395" s="242"/>
      <c r="K395" s="254"/>
      <c r="L395" s="244"/>
      <c r="M395" s="245"/>
      <c r="N395" s="243"/>
      <c r="O395" s="246"/>
      <c r="P395" s="247"/>
      <c r="Q395" s="254"/>
      <c r="R395" s="248"/>
      <c r="S395" s="248"/>
      <c r="T395" s="248"/>
      <c r="U395" s="248"/>
      <c r="V395" s="287"/>
      <c r="W395" s="250"/>
      <c r="X395" s="247"/>
      <c r="Y395" s="248"/>
      <c r="Z395" s="250"/>
      <c r="AA395" s="242"/>
      <c r="AB395" s="242"/>
      <c r="AC395" s="250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60"/>
      <c r="AS395" s="320"/>
    </row>
    <row r="396" spans="1:45" ht="13.5" customHeight="1">
      <c r="A396" s="202"/>
      <c r="B396" s="241" t="s">
        <v>1266</v>
      </c>
      <c r="C396" s="242">
        <v>15</v>
      </c>
      <c r="D396" s="242"/>
      <c r="E396" s="243"/>
      <c r="F396" s="304"/>
      <c r="G396" s="242"/>
      <c r="H396" s="253"/>
      <c r="I396" s="242"/>
      <c r="J396" s="242"/>
      <c r="K396" s="254"/>
      <c r="L396" s="244"/>
      <c r="M396" s="245"/>
      <c r="N396" s="243"/>
      <c r="O396" s="246"/>
      <c r="P396" s="247"/>
      <c r="Q396" s="247"/>
      <c r="R396" s="248"/>
      <c r="S396" s="248"/>
      <c r="T396" s="248"/>
      <c r="U396" s="248"/>
      <c r="V396" s="287"/>
      <c r="W396" s="250"/>
      <c r="X396" s="247"/>
      <c r="Y396" s="248"/>
      <c r="Z396" s="250"/>
      <c r="AA396" s="242"/>
      <c r="AB396" s="242"/>
      <c r="AC396" s="250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60"/>
      <c r="AS396" s="202"/>
    </row>
    <row r="397" spans="1:45" ht="13.5" customHeight="1">
      <c r="A397" s="202"/>
      <c r="B397" s="241"/>
      <c r="C397" s="242"/>
      <c r="D397" s="242">
        <v>196</v>
      </c>
      <c r="E397" s="243"/>
      <c r="F397" s="304"/>
      <c r="G397" s="242"/>
      <c r="H397" s="253"/>
      <c r="I397" s="242"/>
      <c r="J397" s="242"/>
      <c r="K397" s="254"/>
      <c r="L397" s="244"/>
      <c r="M397" s="245"/>
      <c r="N397" s="243"/>
      <c r="O397" s="246"/>
      <c r="P397" s="247"/>
      <c r="Q397" s="254"/>
      <c r="R397" s="248"/>
      <c r="S397" s="248"/>
      <c r="T397" s="248"/>
      <c r="U397" s="248"/>
      <c r="V397" s="287"/>
      <c r="W397" s="250"/>
      <c r="X397" s="247"/>
      <c r="Y397" s="248"/>
      <c r="Z397" s="250"/>
      <c r="AA397" s="242"/>
      <c r="AB397" s="242"/>
      <c r="AC397" s="250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60"/>
      <c r="AS397" s="320"/>
    </row>
    <row r="398" spans="1:45" ht="13.5" customHeight="1">
      <c r="A398" s="202"/>
      <c r="B398" s="241" t="s">
        <v>1266</v>
      </c>
      <c r="C398" s="242">
        <v>16</v>
      </c>
      <c r="D398" s="242"/>
      <c r="E398" s="243"/>
      <c r="F398" s="304"/>
      <c r="G398" s="242"/>
      <c r="H398" s="253"/>
      <c r="I398" s="242"/>
      <c r="J398" s="242"/>
      <c r="K398" s="254"/>
      <c r="L398" s="244"/>
      <c r="M398" s="245"/>
      <c r="N398" s="243"/>
      <c r="O398" s="246"/>
      <c r="P398" s="247"/>
      <c r="Q398" s="247"/>
      <c r="R398" s="248"/>
      <c r="S398" s="248"/>
      <c r="T398" s="248"/>
      <c r="U398" s="248"/>
      <c r="V398" s="287"/>
      <c r="W398" s="250"/>
      <c r="X398" s="247"/>
      <c r="Y398" s="248"/>
      <c r="Z398" s="250"/>
      <c r="AA398" s="242"/>
      <c r="AB398" s="242"/>
      <c r="AC398" s="250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60"/>
      <c r="AS398" s="202"/>
    </row>
    <row r="399" spans="1:45" ht="13.5" customHeight="1">
      <c r="A399" s="202"/>
      <c r="B399" s="241"/>
      <c r="C399" s="242"/>
      <c r="D399" s="242">
        <v>197</v>
      </c>
      <c r="E399" s="243"/>
      <c r="F399" s="304"/>
      <c r="G399" s="242"/>
      <c r="H399" s="253"/>
      <c r="I399" s="242"/>
      <c r="J399" s="242"/>
      <c r="K399" s="254"/>
      <c r="L399" s="244"/>
      <c r="M399" s="245"/>
      <c r="N399" s="243"/>
      <c r="O399" s="246"/>
      <c r="P399" s="247"/>
      <c r="Q399" s="254"/>
      <c r="R399" s="248"/>
      <c r="S399" s="248"/>
      <c r="T399" s="248"/>
      <c r="U399" s="248"/>
      <c r="V399" s="287"/>
      <c r="W399" s="250"/>
      <c r="X399" s="247"/>
      <c r="Y399" s="248"/>
      <c r="Z399" s="250"/>
      <c r="AA399" s="242"/>
      <c r="AB399" s="242"/>
      <c r="AC399" s="250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60"/>
      <c r="AS399" s="320"/>
    </row>
    <row r="400" spans="1:45" ht="13.5" customHeight="1">
      <c r="A400" s="202"/>
      <c r="B400" s="241" t="s">
        <v>1266</v>
      </c>
      <c r="C400" s="242">
        <v>17</v>
      </c>
      <c r="D400" s="242"/>
      <c r="E400" s="243"/>
      <c r="F400" s="304"/>
      <c r="G400" s="242"/>
      <c r="H400" s="253"/>
      <c r="I400" s="242"/>
      <c r="J400" s="242"/>
      <c r="K400" s="254"/>
      <c r="L400" s="244"/>
      <c r="M400" s="245"/>
      <c r="N400" s="243"/>
      <c r="O400" s="246"/>
      <c r="P400" s="247"/>
      <c r="Q400" s="247"/>
      <c r="R400" s="248"/>
      <c r="S400" s="248"/>
      <c r="T400" s="248"/>
      <c r="U400" s="248"/>
      <c r="V400" s="287"/>
      <c r="W400" s="250"/>
      <c r="X400" s="247"/>
      <c r="Y400" s="248"/>
      <c r="Z400" s="250"/>
      <c r="AA400" s="242"/>
      <c r="AB400" s="242"/>
      <c r="AC400" s="250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60"/>
      <c r="AS400" s="202"/>
    </row>
    <row r="401" spans="1:45" ht="13.5" customHeight="1">
      <c r="A401" s="202"/>
      <c r="B401" s="241"/>
      <c r="C401" s="242"/>
      <c r="D401" s="242">
        <v>198</v>
      </c>
      <c r="E401" s="243"/>
      <c r="F401" s="304"/>
      <c r="G401" s="242"/>
      <c r="H401" s="253"/>
      <c r="I401" s="242"/>
      <c r="J401" s="242"/>
      <c r="K401" s="254"/>
      <c r="L401" s="244"/>
      <c r="M401" s="245"/>
      <c r="N401" s="243"/>
      <c r="O401" s="246"/>
      <c r="P401" s="247"/>
      <c r="Q401" s="254"/>
      <c r="R401" s="248"/>
      <c r="S401" s="248"/>
      <c r="T401" s="248"/>
      <c r="U401" s="248"/>
      <c r="V401" s="287"/>
      <c r="W401" s="250"/>
      <c r="X401" s="247"/>
      <c r="Y401" s="248"/>
      <c r="Z401" s="250"/>
      <c r="AA401" s="242"/>
      <c r="AB401" s="242"/>
      <c r="AC401" s="250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60"/>
      <c r="AS401" s="320"/>
    </row>
    <row r="402" spans="1:45" ht="13.5" customHeight="1">
      <c r="A402" s="202"/>
      <c r="B402" s="241" t="s">
        <v>1266</v>
      </c>
      <c r="C402" s="242">
        <v>18</v>
      </c>
      <c r="D402" s="242"/>
      <c r="E402" s="243"/>
      <c r="F402" s="304"/>
      <c r="G402" s="242"/>
      <c r="H402" s="253"/>
      <c r="I402" s="242"/>
      <c r="J402" s="242"/>
      <c r="K402" s="254"/>
      <c r="L402" s="244"/>
      <c r="M402" s="245"/>
      <c r="N402" s="243"/>
      <c r="O402" s="246"/>
      <c r="P402" s="247"/>
      <c r="Q402" s="247"/>
      <c r="R402" s="248"/>
      <c r="S402" s="248"/>
      <c r="T402" s="248"/>
      <c r="U402" s="248"/>
      <c r="V402" s="287"/>
      <c r="W402" s="250"/>
      <c r="X402" s="247"/>
      <c r="Y402" s="248"/>
      <c r="Z402" s="250"/>
      <c r="AA402" s="242"/>
      <c r="AB402" s="242"/>
      <c r="AC402" s="250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60"/>
      <c r="AS402" s="202"/>
    </row>
    <row r="403" spans="1:45" ht="13.5" customHeight="1">
      <c r="A403" s="202"/>
      <c r="B403" s="241"/>
      <c r="C403" s="242"/>
      <c r="D403" s="242">
        <v>199</v>
      </c>
      <c r="E403" s="243"/>
      <c r="F403" s="304"/>
      <c r="G403" s="242"/>
      <c r="H403" s="253"/>
      <c r="I403" s="242"/>
      <c r="J403" s="242"/>
      <c r="K403" s="254"/>
      <c r="L403" s="244"/>
      <c r="M403" s="245"/>
      <c r="N403" s="243"/>
      <c r="O403" s="246"/>
      <c r="P403" s="247"/>
      <c r="Q403" s="254"/>
      <c r="R403" s="248"/>
      <c r="S403" s="248"/>
      <c r="T403" s="248"/>
      <c r="U403" s="248"/>
      <c r="V403" s="287"/>
      <c r="W403" s="250"/>
      <c r="X403" s="247"/>
      <c r="Y403" s="248"/>
      <c r="Z403" s="250"/>
      <c r="AA403" s="242"/>
      <c r="AB403" s="242"/>
      <c r="AC403" s="250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60"/>
      <c r="AS403" s="320"/>
    </row>
    <row r="404" spans="1:45" ht="13.5" customHeight="1">
      <c r="A404" s="202"/>
      <c r="B404" s="241" t="s">
        <v>1266</v>
      </c>
      <c r="C404" s="242">
        <v>19</v>
      </c>
      <c r="D404" s="242"/>
      <c r="E404" s="243"/>
      <c r="F404" s="304"/>
      <c r="G404" s="242"/>
      <c r="H404" s="253"/>
      <c r="I404" s="242"/>
      <c r="J404" s="242"/>
      <c r="K404" s="254"/>
      <c r="L404" s="244"/>
      <c r="M404" s="245"/>
      <c r="N404" s="243"/>
      <c r="O404" s="246"/>
      <c r="P404" s="247"/>
      <c r="Q404" s="247"/>
      <c r="R404" s="248"/>
      <c r="S404" s="248"/>
      <c r="T404" s="248"/>
      <c r="U404" s="248"/>
      <c r="V404" s="287"/>
      <c r="W404" s="250"/>
      <c r="X404" s="247"/>
      <c r="Y404" s="248"/>
      <c r="Z404" s="250"/>
      <c r="AA404" s="242"/>
      <c r="AB404" s="242"/>
      <c r="AC404" s="250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60"/>
      <c r="AS404" s="202"/>
    </row>
    <row r="405" spans="1:45" ht="13.5" customHeight="1">
      <c r="A405" s="202"/>
      <c r="B405" s="241"/>
      <c r="C405" s="242"/>
      <c r="D405" s="242">
        <v>200</v>
      </c>
      <c r="E405" s="243"/>
      <c r="F405" s="304"/>
      <c r="G405" s="242"/>
      <c r="H405" s="253"/>
      <c r="I405" s="242"/>
      <c r="J405" s="242"/>
      <c r="K405" s="254"/>
      <c r="L405" s="244"/>
      <c r="M405" s="245"/>
      <c r="N405" s="243"/>
      <c r="O405" s="246"/>
      <c r="P405" s="247"/>
      <c r="Q405" s="254"/>
      <c r="R405" s="248"/>
      <c r="S405" s="248"/>
      <c r="T405" s="248"/>
      <c r="U405" s="248"/>
      <c r="V405" s="287"/>
      <c r="W405" s="250"/>
      <c r="X405" s="247"/>
      <c r="Y405" s="248"/>
      <c r="Z405" s="250"/>
      <c r="AA405" s="242"/>
      <c r="AB405" s="242"/>
      <c r="AC405" s="250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60"/>
      <c r="AS405" s="320"/>
    </row>
    <row r="406" spans="1:45" ht="13.5" customHeight="1">
      <c r="A406" s="202"/>
      <c r="B406" s="241" t="s">
        <v>1266</v>
      </c>
      <c r="C406" s="242">
        <v>20</v>
      </c>
      <c r="D406" s="242"/>
      <c r="E406" s="243"/>
      <c r="F406" s="304"/>
      <c r="G406" s="242"/>
      <c r="H406" s="253"/>
      <c r="I406" s="242"/>
      <c r="J406" s="242"/>
      <c r="K406" s="254"/>
      <c r="L406" s="244"/>
      <c r="M406" s="245"/>
      <c r="N406" s="243"/>
      <c r="O406" s="246"/>
      <c r="P406" s="247"/>
      <c r="Q406" s="247"/>
      <c r="R406" s="248"/>
      <c r="S406" s="248"/>
      <c r="T406" s="248"/>
      <c r="U406" s="248"/>
      <c r="V406" s="287"/>
      <c r="W406" s="250"/>
      <c r="X406" s="247"/>
      <c r="Y406" s="248"/>
      <c r="Z406" s="250"/>
      <c r="AA406" s="242"/>
      <c r="AB406" s="242"/>
      <c r="AC406" s="250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60"/>
      <c r="AS406" s="202"/>
    </row>
    <row r="407" spans="1:45" ht="13.5" customHeight="1">
      <c r="A407" s="202"/>
      <c r="B407" s="241"/>
      <c r="C407" s="242"/>
      <c r="D407" s="242"/>
      <c r="E407" s="243"/>
      <c r="F407" s="304"/>
      <c r="G407" s="242"/>
      <c r="H407" s="253"/>
      <c r="I407" s="242"/>
      <c r="J407" s="242"/>
      <c r="K407" s="254"/>
      <c r="L407" s="244"/>
      <c r="M407" s="245"/>
      <c r="N407" s="243"/>
      <c r="O407" s="246"/>
      <c r="P407" s="247"/>
      <c r="Q407" s="254"/>
      <c r="R407" s="248"/>
      <c r="S407" s="248"/>
      <c r="T407" s="248"/>
      <c r="U407" s="248"/>
      <c r="V407" s="287"/>
      <c r="W407" s="250"/>
      <c r="X407" s="247"/>
      <c r="Y407" s="248"/>
      <c r="Z407" s="250"/>
      <c r="AA407" s="242"/>
      <c r="AB407" s="242"/>
      <c r="AC407" s="250"/>
      <c r="AD407" s="251"/>
      <c r="AE407" s="251"/>
      <c r="AF407" s="251"/>
      <c r="AG407" s="251"/>
      <c r="AH407" s="251"/>
      <c r="AI407" s="251"/>
      <c r="AJ407" s="251"/>
      <c r="AK407" s="251"/>
      <c r="AL407" s="251"/>
      <c r="AM407" s="251"/>
      <c r="AN407" s="251"/>
      <c r="AO407" s="251"/>
      <c r="AP407" s="251"/>
      <c r="AQ407" s="251"/>
      <c r="AR407" s="260"/>
      <c r="AS407" s="320"/>
    </row>
    <row r="408" spans="1:45" ht="13.5" customHeight="1">
      <c r="A408" s="309"/>
      <c r="B408" s="340"/>
      <c r="C408" s="340"/>
      <c r="D408" s="340"/>
      <c r="E408" s="341"/>
      <c r="F408" s="8"/>
      <c r="G408" s="8"/>
      <c r="H408" s="208"/>
      <c r="I408" s="342"/>
      <c r="K408" s="311"/>
      <c r="L408" s="343"/>
      <c r="M408" s="344"/>
      <c r="N408" s="345"/>
      <c r="O408" s="311"/>
      <c r="P408" s="311"/>
      <c r="Q408" s="311"/>
      <c r="R408" s="346"/>
      <c r="S408" s="347"/>
      <c r="T408" s="348"/>
      <c r="U408" s="10"/>
      <c r="V408" s="349"/>
      <c r="W408" s="350"/>
      <c r="X408" s="9"/>
      <c r="Y408" s="10"/>
      <c r="Z408" s="6"/>
      <c r="AC408" s="11"/>
    </row>
    <row r="409" spans="1:45" ht="13.5" customHeight="1">
      <c r="A409" s="309"/>
      <c r="B409" s="340"/>
      <c r="C409" s="340"/>
      <c r="D409" s="340"/>
      <c r="E409" s="341"/>
      <c r="F409" s="8"/>
      <c r="G409" s="8"/>
      <c r="H409" s="208"/>
      <c r="I409" s="342"/>
      <c r="K409" s="311"/>
      <c r="L409" s="343"/>
      <c r="M409" s="344"/>
      <c r="N409" s="345"/>
      <c r="O409" s="311"/>
      <c r="P409" s="311"/>
      <c r="Q409" s="311"/>
      <c r="R409" s="346"/>
      <c r="S409" s="347"/>
      <c r="T409" s="348"/>
      <c r="U409" s="10"/>
      <c r="V409" s="349"/>
      <c r="W409" s="350"/>
      <c r="X409" s="9"/>
      <c r="Y409" s="10"/>
      <c r="Z409" s="6"/>
      <c r="AC409" s="11"/>
    </row>
    <row r="410" spans="1:45" ht="13.5" customHeight="1">
      <c r="A410" s="309"/>
      <c r="B410" s="340"/>
      <c r="C410" s="340"/>
      <c r="D410" s="340"/>
      <c r="E410" s="341"/>
      <c r="F410" s="8"/>
      <c r="G410" s="8"/>
      <c r="H410" s="208"/>
      <c r="I410" s="342"/>
      <c r="K410" s="311"/>
      <c r="L410" s="343"/>
      <c r="M410" s="344"/>
      <c r="N410" s="345"/>
      <c r="O410" s="311"/>
      <c r="P410" s="311"/>
      <c r="Q410" s="311"/>
      <c r="R410" s="346"/>
      <c r="S410" s="347"/>
      <c r="T410" s="348"/>
      <c r="U410" s="10"/>
      <c r="V410" s="349"/>
      <c r="W410" s="350"/>
      <c r="X410" s="9"/>
      <c r="Y410" s="10"/>
      <c r="Z410" s="6"/>
      <c r="AC410" s="11"/>
    </row>
    <row r="411" spans="1:45" ht="13.5" customHeight="1">
      <c r="A411" s="309"/>
      <c r="B411" s="340"/>
      <c r="C411" s="340"/>
      <c r="D411" s="340"/>
      <c r="E411" s="341"/>
      <c r="F411" s="8"/>
      <c r="G411" s="8"/>
      <c r="H411" s="208"/>
      <c r="I411" s="342"/>
      <c r="K411" s="311"/>
      <c r="L411" s="343"/>
      <c r="M411" s="344"/>
      <c r="N411" s="345"/>
      <c r="O411" s="311"/>
      <c r="P411" s="311"/>
      <c r="Q411" s="311"/>
      <c r="R411" s="346"/>
      <c r="S411" s="347"/>
      <c r="T411" s="348"/>
      <c r="U411" s="10"/>
      <c r="V411" s="349"/>
      <c r="W411" s="350"/>
      <c r="X411" s="9"/>
      <c r="Y411" s="10"/>
      <c r="Z411" s="6"/>
      <c r="AC411" s="11"/>
    </row>
    <row r="412" spans="1:45" ht="13.5" customHeight="1">
      <c r="A412" s="309"/>
      <c r="B412" s="340"/>
      <c r="C412" s="340"/>
      <c r="D412" s="340"/>
      <c r="E412" s="341"/>
      <c r="F412" s="8"/>
      <c r="G412" s="8"/>
      <c r="H412" s="208"/>
      <c r="I412" s="342"/>
      <c r="K412" s="311"/>
      <c r="L412" s="343"/>
      <c r="M412" s="344"/>
      <c r="N412" s="345"/>
      <c r="O412" s="311"/>
      <c r="P412" s="311"/>
      <c r="Q412" s="311"/>
      <c r="R412" s="346"/>
      <c r="S412" s="347"/>
      <c r="T412" s="348"/>
      <c r="U412" s="10"/>
      <c r="V412" s="349"/>
      <c r="W412" s="350"/>
      <c r="X412" s="9"/>
      <c r="Y412" s="10"/>
      <c r="Z412" s="6"/>
      <c r="AC412" s="11"/>
    </row>
    <row r="413" spans="1:45" ht="13.5" customHeight="1">
      <c r="A413" s="309"/>
      <c r="B413" s="340"/>
      <c r="C413" s="340"/>
      <c r="D413" s="340"/>
      <c r="E413" s="341"/>
      <c r="F413" s="8"/>
      <c r="G413" s="8"/>
      <c r="H413" s="208"/>
      <c r="I413" s="342"/>
      <c r="K413" s="311"/>
      <c r="L413" s="343"/>
      <c r="M413" s="344"/>
      <c r="N413" s="345"/>
      <c r="O413" s="311"/>
      <c r="P413" s="311"/>
      <c r="Q413" s="311"/>
      <c r="R413" s="346"/>
      <c r="S413" s="347"/>
      <c r="T413" s="348"/>
      <c r="U413" s="10"/>
      <c r="V413" s="349"/>
      <c r="W413" s="350"/>
      <c r="X413" s="9"/>
      <c r="Y413" s="10"/>
      <c r="Z413" s="6"/>
      <c r="AC413" s="11"/>
    </row>
    <row r="414" spans="1:45" ht="13.5" customHeight="1">
      <c r="A414" s="309"/>
      <c r="B414" s="340"/>
      <c r="C414" s="340"/>
      <c r="D414" s="340"/>
      <c r="E414" s="341"/>
      <c r="F414" s="8"/>
      <c r="G414" s="8"/>
      <c r="H414" s="208"/>
      <c r="I414" s="342"/>
      <c r="K414" s="311"/>
      <c r="L414" s="343"/>
      <c r="M414" s="344"/>
      <c r="N414" s="345"/>
      <c r="O414" s="311"/>
      <c r="P414" s="311"/>
      <c r="Q414" s="311"/>
      <c r="R414" s="346"/>
      <c r="S414" s="347"/>
      <c r="T414" s="348"/>
      <c r="U414" s="10"/>
      <c r="V414" s="349"/>
      <c r="W414" s="350"/>
      <c r="X414" s="9"/>
      <c r="Y414" s="10"/>
      <c r="Z414" s="6"/>
      <c r="AC414" s="11"/>
    </row>
    <row r="415" spans="1:45" ht="13.5" customHeight="1">
      <c r="A415" s="309"/>
      <c r="B415" s="340"/>
      <c r="C415" s="340"/>
      <c r="D415" s="340"/>
      <c r="E415" s="341"/>
      <c r="F415" s="8"/>
      <c r="G415" s="8"/>
      <c r="H415" s="208"/>
      <c r="I415" s="342"/>
      <c r="K415" s="311"/>
      <c r="L415" s="343"/>
      <c r="M415" s="344"/>
      <c r="N415" s="345"/>
      <c r="O415" s="311"/>
      <c r="P415" s="311"/>
      <c r="Q415" s="311"/>
      <c r="R415" s="346"/>
      <c r="S415" s="347"/>
      <c r="T415" s="348"/>
      <c r="U415" s="10"/>
      <c r="V415" s="349"/>
      <c r="W415" s="350"/>
      <c r="X415" s="9"/>
      <c r="Y415" s="10"/>
      <c r="Z415" s="6"/>
      <c r="AC415" s="11"/>
    </row>
    <row r="416" spans="1:45" ht="13.5" customHeight="1">
      <c r="A416" s="309"/>
      <c r="B416" s="340"/>
      <c r="C416" s="340"/>
      <c r="D416" s="340"/>
      <c r="E416" s="341"/>
      <c r="F416" s="8"/>
      <c r="G416" s="8"/>
      <c r="H416" s="208"/>
      <c r="I416" s="342"/>
      <c r="K416" s="311"/>
      <c r="L416" s="343"/>
      <c r="M416" s="344"/>
      <c r="N416" s="345"/>
      <c r="O416" s="311"/>
      <c r="P416" s="311"/>
      <c r="Q416" s="311"/>
      <c r="R416" s="346"/>
      <c r="S416" s="347"/>
      <c r="T416" s="348"/>
      <c r="U416" s="10"/>
      <c r="V416" s="349"/>
      <c r="W416" s="350"/>
      <c r="X416" s="9"/>
      <c r="Y416" s="10"/>
      <c r="Z416" s="6"/>
      <c r="AC416" s="11"/>
    </row>
    <row r="417" spans="1:29" ht="13.5" customHeight="1">
      <c r="A417" s="309"/>
      <c r="B417" s="340"/>
      <c r="C417" s="340"/>
      <c r="D417" s="340"/>
      <c r="E417" s="341"/>
      <c r="F417" s="8"/>
      <c r="G417" s="8"/>
      <c r="H417" s="208"/>
      <c r="I417" s="342"/>
      <c r="K417" s="311"/>
      <c r="L417" s="343"/>
      <c r="M417" s="344"/>
      <c r="N417" s="345"/>
      <c r="O417" s="311"/>
      <c r="P417" s="311"/>
      <c r="Q417" s="311"/>
      <c r="R417" s="346"/>
      <c r="S417" s="347"/>
      <c r="T417" s="348"/>
      <c r="U417" s="10"/>
      <c r="V417" s="349"/>
      <c r="W417" s="350"/>
      <c r="X417" s="9"/>
      <c r="Y417" s="10"/>
      <c r="Z417" s="6"/>
      <c r="AC417" s="11"/>
    </row>
    <row r="418" spans="1:29" ht="13.5" customHeight="1">
      <c r="A418" s="309"/>
      <c r="B418" s="340"/>
      <c r="C418" s="340"/>
      <c r="D418" s="340"/>
      <c r="E418" s="341"/>
      <c r="F418" s="8"/>
      <c r="G418" s="8"/>
      <c r="H418" s="208"/>
      <c r="I418" s="342"/>
      <c r="K418" s="311"/>
      <c r="L418" s="343"/>
      <c r="M418" s="344"/>
      <c r="N418" s="345"/>
      <c r="O418" s="311"/>
      <c r="P418" s="311"/>
      <c r="Q418" s="311"/>
      <c r="R418" s="346"/>
      <c r="S418" s="347"/>
      <c r="T418" s="348"/>
      <c r="U418" s="10"/>
      <c r="V418" s="349"/>
      <c r="W418" s="350"/>
      <c r="X418" s="9"/>
      <c r="Y418" s="10"/>
      <c r="Z418" s="6"/>
      <c r="AC418" s="11"/>
    </row>
    <row r="419" spans="1:29" ht="13.5" customHeight="1">
      <c r="A419" s="309"/>
      <c r="B419" s="340"/>
      <c r="C419" s="340"/>
      <c r="D419" s="340"/>
      <c r="E419" s="341"/>
      <c r="F419" s="8"/>
      <c r="G419" s="8"/>
      <c r="H419" s="208"/>
      <c r="I419" s="342"/>
      <c r="K419" s="311"/>
      <c r="L419" s="343"/>
      <c r="M419" s="344"/>
      <c r="N419" s="345"/>
      <c r="O419" s="311"/>
      <c r="P419" s="311"/>
      <c r="Q419" s="311"/>
      <c r="R419" s="346"/>
      <c r="S419" s="347"/>
      <c r="T419" s="348"/>
      <c r="U419" s="10"/>
      <c r="V419" s="349"/>
      <c r="W419" s="350"/>
      <c r="X419" s="9"/>
      <c r="Y419" s="10"/>
      <c r="Z419" s="6"/>
      <c r="AC419" s="11"/>
    </row>
    <row r="420" spans="1:29" ht="13.5" customHeight="1">
      <c r="A420" s="309"/>
      <c r="B420" s="340"/>
      <c r="C420" s="340"/>
      <c r="D420" s="340"/>
      <c r="E420" s="341"/>
      <c r="F420" s="8"/>
      <c r="G420" s="8"/>
      <c r="H420" s="208"/>
      <c r="I420" s="342"/>
      <c r="K420" s="311"/>
      <c r="L420" s="343"/>
      <c r="M420" s="344"/>
      <c r="N420" s="345"/>
      <c r="O420" s="311"/>
      <c r="P420" s="311"/>
      <c r="Q420" s="311"/>
      <c r="R420" s="346"/>
      <c r="S420" s="347"/>
      <c r="T420" s="348"/>
      <c r="U420" s="10"/>
      <c r="V420" s="349"/>
      <c r="W420" s="350"/>
      <c r="X420" s="9"/>
      <c r="Y420" s="10"/>
      <c r="Z420" s="6"/>
      <c r="AC420" s="11"/>
    </row>
    <row r="421" spans="1:29" ht="13.5" customHeight="1">
      <c r="A421" s="309"/>
      <c r="B421" s="340"/>
      <c r="C421" s="340"/>
      <c r="D421" s="340"/>
      <c r="E421" s="341"/>
      <c r="F421" s="8"/>
      <c r="G421" s="8"/>
      <c r="H421" s="208"/>
      <c r="I421" s="342"/>
      <c r="K421" s="311"/>
      <c r="L421" s="343"/>
      <c r="M421" s="344"/>
      <c r="N421" s="345"/>
      <c r="O421" s="311"/>
      <c r="P421" s="311"/>
      <c r="Q421" s="311"/>
      <c r="R421" s="346"/>
      <c r="S421" s="347"/>
      <c r="T421" s="348"/>
      <c r="U421" s="10"/>
      <c r="V421" s="349"/>
      <c r="W421" s="350"/>
      <c r="X421" s="9"/>
      <c r="Y421" s="10"/>
      <c r="Z421" s="6"/>
      <c r="AC421" s="11"/>
    </row>
    <row r="422" spans="1:29" ht="13.5" customHeight="1">
      <c r="A422" s="309"/>
      <c r="B422" s="340"/>
      <c r="C422" s="340"/>
      <c r="D422" s="340"/>
      <c r="E422" s="341"/>
      <c r="F422" s="8"/>
      <c r="G422" s="8"/>
      <c r="H422" s="208"/>
      <c r="I422" s="342"/>
      <c r="K422" s="311"/>
      <c r="L422" s="343"/>
      <c r="M422" s="344"/>
      <c r="N422" s="345"/>
      <c r="O422" s="311"/>
      <c r="P422" s="311"/>
      <c r="Q422" s="311"/>
      <c r="R422" s="346"/>
      <c r="S422" s="347"/>
      <c r="T422" s="348"/>
      <c r="U422" s="10"/>
      <c r="V422" s="349"/>
      <c r="W422" s="350"/>
      <c r="X422" s="9"/>
      <c r="Y422" s="10"/>
      <c r="Z422" s="6"/>
      <c r="AC422" s="11"/>
    </row>
    <row r="423" spans="1:29" ht="13.5" customHeight="1">
      <c r="A423" s="309"/>
      <c r="B423" s="340"/>
      <c r="C423" s="340"/>
      <c r="D423" s="340"/>
      <c r="E423" s="341"/>
      <c r="F423" s="8"/>
      <c r="G423" s="8"/>
      <c r="H423" s="208"/>
      <c r="I423" s="342"/>
      <c r="K423" s="311"/>
      <c r="L423" s="343"/>
      <c r="M423" s="344"/>
      <c r="N423" s="345"/>
      <c r="O423" s="311"/>
      <c r="P423" s="311"/>
      <c r="Q423" s="311"/>
      <c r="R423" s="346"/>
      <c r="S423" s="347"/>
      <c r="T423" s="348"/>
      <c r="U423" s="10"/>
      <c r="V423" s="349"/>
      <c r="W423" s="350"/>
      <c r="X423" s="9"/>
      <c r="Y423" s="10"/>
      <c r="Z423" s="6"/>
      <c r="AC423" s="11"/>
    </row>
    <row r="424" spans="1:29" ht="13.5" customHeight="1">
      <c r="A424" s="309"/>
      <c r="B424" s="340"/>
      <c r="C424" s="340"/>
      <c r="D424" s="340"/>
      <c r="E424" s="341"/>
      <c r="F424" s="8"/>
      <c r="G424" s="8"/>
      <c r="H424" s="208"/>
      <c r="I424" s="342"/>
      <c r="K424" s="311"/>
      <c r="L424" s="343"/>
      <c r="M424" s="344"/>
      <c r="N424" s="345"/>
      <c r="O424" s="311"/>
      <c r="P424" s="311"/>
      <c r="Q424" s="311"/>
      <c r="R424" s="346"/>
      <c r="S424" s="347"/>
      <c r="T424" s="348"/>
      <c r="U424" s="10"/>
      <c r="V424" s="349"/>
      <c r="W424" s="350"/>
      <c r="X424" s="9"/>
      <c r="Y424" s="10"/>
      <c r="Z424" s="6"/>
      <c r="AC424" s="11"/>
    </row>
    <row r="425" spans="1:29" ht="13.5" customHeight="1">
      <c r="A425" s="309"/>
      <c r="B425" s="340"/>
      <c r="C425" s="340"/>
      <c r="D425" s="340"/>
      <c r="E425" s="341"/>
      <c r="F425" s="8"/>
      <c r="G425" s="8"/>
      <c r="H425" s="208"/>
      <c r="I425" s="342"/>
      <c r="K425" s="311"/>
      <c r="L425" s="343"/>
      <c r="M425" s="344"/>
      <c r="N425" s="345"/>
      <c r="O425" s="311"/>
      <c r="P425" s="311"/>
      <c r="Q425" s="311"/>
      <c r="R425" s="346"/>
      <c r="S425" s="347"/>
      <c r="T425" s="348"/>
      <c r="U425" s="10"/>
      <c r="V425" s="349"/>
      <c r="W425" s="350"/>
      <c r="X425" s="9"/>
      <c r="Y425" s="10"/>
      <c r="Z425" s="6"/>
      <c r="AC425" s="11"/>
    </row>
    <row r="426" spans="1:29" ht="13.5" customHeight="1">
      <c r="A426" s="309"/>
      <c r="B426" s="340"/>
      <c r="C426" s="340"/>
      <c r="D426" s="340"/>
      <c r="E426" s="341"/>
      <c r="F426" s="8"/>
      <c r="G426" s="8"/>
      <c r="H426" s="208"/>
      <c r="I426" s="342"/>
      <c r="K426" s="311"/>
      <c r="L426" s="343"/>
      <c r="M426" s="344"/>
      <c r="N426" s="345"/>
      <c r="O426" s="311"/>
      <c r="P426" s="311"/>
      <c r="Q426" s="311"/>
      <c r="R426" s="346"/>
      <c r="S426" s="347"/>
      <c r="T426" s="348"/>
      <c r="U426" s="10"/>
      <c r="V426" s="349"/>
      <c r="W426" s="350"/>
      <c r="X426" s="9"/>
      <c r="Y426" s="10"/>
      <c r="Z426" s="6"/>
      <c r="AC426" s="11"/>
    </row>
    <row r="427" spans="1:29" ht="13.5" customHeight="1">
      <c r="A427" s="309"/>
      <c r="B427" s="340"/>
      <c r="C427" s="340"/>
      <c r="D427" s="340"/>
      <c r="E427" s="341"/>
      <c r="F427" s="8"/>
      <c r="G427" s="8"/>
      <c r="H427" s="208"/>
      <c r="I427" s="342"/>
      <c r="K427" s="311"/>
      <c r="L427" s="343"/>
      <c r="M427" s="344"/>
      <c r="N427" s="345"/>
      <c r="O427" s="311"/>
      <c r="P427" s="311"/>
      <c r="Q427" s="311"/>
      <c r="R427" s="346"/>
      <c r="S427" s="347"/>
      <c r="T427" s="348"/>
      <c r="U427" s="10"/>
      <c r="V427" s="349"/>
      <c r="W427" s="350"/>
      <c r="X427" s="9"/>
      <c r="Y427" s="10"/>
      <c r="Z427" s="6"/>
      <c r="AC427" s="11"/>
    </row>
    <row r="428" spans="1:29" ht="13.5" customHeight="1">
      <c r="A428" s="309"/>
      <c r="B428" s="340"/>
      <c r="C428" s="340"/>
      <c r="D428" s="340"/>
      <c r="E428" s="341"/>
      <c r="F428" s="8"/>
      <c r="G428" s="8"/>
      <c r="H428" s="208"/>
      <c r="I428" s="342"/>
      <c r="K428" s="311"/>
      <c r="L428" s="343"/>
      <c r="M428" s="344"/>
      <c r="N428" s="345"/>
      <c r="O428" s="311"/>
      <c r="P428" s="311"/>
      <c r="Q428" s="311"/>
      <c r="R428" s="346"/>
      <c r="S428" s="347"/>
      <c r="T428" s="348"/>
      <c r="U428" s="10"/>
      <c r="V428" s="349"/>
      <c r="W428" s="350"/>
      <c r="X428" s="9"/>
      <c r="Y428" s="10"/>
      <c r="Z428" s="6"/>
      <c r="AC428" s="11"/>
    </row>
    <row r="429" spans="1:29" ht="13.5" customHeight="1">
      <c r="A429" s="309"/>
      <c r="B429" s="340"/>
      <c r="C429" s="340"/>
      <c r="D429" s="340"/>
      <c r="E429" s="341"/>
      <c r="F429" s="8"/>
      <c r="G429" s="8"/>
      <c r="H429" s="208"/>
      <c r="I429" s="342"/>
      <c r="K429" s="311"/>
      <c r="L429" s="343"/>
      <c r="M429" s="344"/>
      <c r="N429" s="345"/>
      <c r="O429" s="311"/>
      <c r="P429" s="311"/>
      <c r="Q429" s="311"/>
      <c r="R429" s="346"/>
      <c r="S429" s="347"/>
      <c r="T429" s="348"/>
      <c r="U429" s="10"/>
      <c r="V429" s="349"/>
      <c r="W429" s="350"/>
      <c r="X429" s="9"/>
      <c r="Y429" s="10"/>
      <c r="Z429" s="6"/>
      <c r="AC429" s="11"/>
    </row>
    <row r="430" spans="1:29" ht="13.5" customHeight="1">
      <c r="A430" s="309"/>
      <c r="B430" s="340"/>
      <c r="C430" s="340"/>
      <c r="D430" s="340"/>
      <c r="E430" s="341"/>
      <c r="F430" s="8"/>
      <c r="G430" s="8"/>
      <c r="H430" s="208"/>
      <c r="I430" s="342"/>
      <c r="K430" s="311"/>
      <c r="L430" s="343"/>
      <c r="M430" s="344"/>
      <c r="N430" s="345"/>
      <c r="O430" s="311"/>
      <c r="P430" s="311"/>
      <c r="Q430" s="311"/>
      <c r="R430" s="346"/>
      <c r="S430" s="347"/>
      <c r="T430" s="348"/>
      <c r="U430" s="10"/>
      <c r="V430" s="349"/>
      <c r="W430" s="350"/>
      <c r="X430" s="9"/>
      <c r="Y430" s="10"/>
      <c r="Z430" s="6"/>
      <c r="AC430" s="11"/>
    </row>
    <row r="431" spans="1:29" ht="13.5" customHeight="1">
      <c r="A431" s="309"/>
      <c r="B431" s="340"/>
      <c r="C431" s="340"/>
      <c r="D431" s="340"/>
      <c r="E431" s="341"/>
      <c r="F431" s="8"/>
      <c r="G431" s="8"/>
      <c r="H431" s="208"/>
      <c r="I431" s="342"/>
      <c r="K431" s="311"/>
      <c r="L431" s="343"/>
      <c r="M431" s="344"/>
      <c r="N431" s="345"/>
      <c r="O431" s="311"/>
      <c r="P431" s="311"/>
      <c r="Q431" s="311"/>
      <c r="R431" s="346"/>
      <c r="S431" s="347"/>
      <c r="T431" s="348"/>
      <c r="U431" s="10"/>
      <c r="V431" s="349"/>
      <c r="W431" s="350"/>
      <c r="X431" s="9"/>
      <c r="Y431" s="10"/>
      <c r="Z431" s="6"/>
      <c r="AC431" s="11"/>
    </row>
    <row r="432" spans="1:29" ht="13.5" customHeight="1">
      <c r="A432" s="309"/>
      <c r="B432" s="340"/>
      <c r="C432" s="340"/>
      <c r="D432" s="340"/>
      <c r="E432" s="341"/>
      <c r="F432" s="8"/>
      <c r="G432" s="8"/>
      <c r="H432" s="208"/>
      <c r="I432" s="342"/>
      <c r="K432" s="311"/>
      <c r="L432" s="343"/>
      <c r="M432" s="344"/>
      <c r="N432" s="345"/>
      <c r="O432" s="311"/>
      <c r="P432" s="311"/>
      <c r="Q432" s="311"/>
      <c r="R432" s="346"/>
      <c r="S432" s="347"/>
      <c r="T432" s="348"/>
      <c r="U432" s="10"/>
      <c r="V432" s="349"/>
      <c r="W432" s="350"/>
      <c r="X432" s="9"/>
      <c r="Y432" s="10"/>
      <c r="Z432" s="6"/>
      <c r="AC432" s="11"/>
    </row>
    <row r="433" spans="1:29" ht="13.5" customHeight="1">
      <c r="A433" s="309"/>
      <c r="B433" s="340"/>
      <c r="C433" s="340"/>
      <c r="D433" s="340"/>
      <c r="E433" s="341"/>
      <c r="F433" s="8"/>
      <c r="G433" s="8"/>
      <c r="H433" s="208"/>
      <c r="I433" s="342"/>
      <c r="K433" s="311"/>
      <c r="L433" s="343"/>
      <c r="M433" s="344"/>
      <c r="N433" s="345"/>
      <c r="O433" s="311"/>
      <c r="P433" s="311"/>
      <c r="Q433" s="311"/>
      <c r="R433" s="346"/>
      <c r="S433" s="347"/>
      <c r="T433" s="348"/>
      <c r="U433" s="10"/>
      <c r="V433" s="349"/>
      <c r="W433" s="350"/>
      <c r="X433" s="9"/>
      <c r="Y433" s="10"/>
      <c r="Z433" s="6"/>
      <c r="AC433" s="11"/>
    </row>
    <row r="434" spans="1:29" ht="13.5" customHeight="1">
      <c r="A434" s="309"/>
      <c r="B434" s="340"/>
      <c r="C434" s="340"/>
      <c r="D434" s="340"/>
      <c r="E434" s="341"/>
      <c r="F434" s="8"/>
      <c r="G434" s="8"/>
      <c r="H434" s="208"/>
      <c r="I434" s="342"/>
      <c r="K434" s="311"/>
      <c r="L434" s="343"/>
      <c r="M434" s="344"/>
      <c r="N434" s="345"/>
      <c r="O434" s="311"/>
      <c r="P434" s="311"/>
      <c r="Q434" s="311"/>
      <c r="R434" s="346"/>
      <c r="S434" s="347"/>
      <c r="T434" s="348"/>
      <c r="U434" s="10"/>
      <c r="V434" s="349"/>
      <c r="W434" s="350"/>
      <c r="X434" s="9"/>
      <c r="Y434" s="10"/>
      <c r="Z434" s="6"/>
      <c r="AC434" s="11"/>
    </row>
    <row r="435" spans="1:29" ht="13.5" customHeight="1">
      <c r="A435" s="309"/>
      <c r="B435" s="340"/>
      <c r="C435" s="340"/>
      <c r="D435" s="340"/>
      <c r="E435" s="341"/>
      <c r="F435" s="8"/>
      <c r="G435" s="8"/>
      <c r="H435" s="208"/>
      <c r="I435" s="342"/>
      <c r="K435" s="311"/>
      <c r="L435" s="343"/>
      <c r="M435" s="344"/>
      <c r="N435" s="345"/>
      <c r="O435" s="311"/>
      <c r="P435" s="311"/>
      <c r="Q435" s="311"/>
      <c r="R435" s="346"/>
      <c r="S435" s="347"/>
      <c r="T435" s="348"/>
      <c r="U435" s="10"/>
      <c r="V435" s="349"/>
      <c r="W435" s="350"/>
      <c r="X435" s="9"/>
      <c r="Y435" s="10"/>
      <c r="Z435" s="6"/>
      <c r="AC435" s="11"/>
    </row>
    <row r="436" spans="1:29" ht="13.5" customHeight="1">
      <c r="A436" s="309"/>
      <c r="B436" s="340"/>
      <c r="C436" s="340"/>
      <c r="D436" s="340"/>
      <c r="E436" s="341"/>
      <c r="F436" s="8"/>
      <c r="G436" s="8"/>
      <c r="H436" s="208"/>
      <c r="I436" s="342"/>
      <c r="K436" s="311"/>
      <c r="L436" s="343"/>
      <c r="M436" s="344"/>
      <c r="N436" s="345"/>
      <c r="O436" s="311"/>
      <c r="P436" s="311"/>
      <c r="Q436" s="311"/>
      <c r="R436" s="346"/>
      <c r="S436" s="347"/>
      <c r="T436" s="348"/>
      <c r="U436" s="10"/>
      <c r="V436" s="349"/>
      <c r="W436" s="350"/>
      <c r="X436" s="9"/>
      <c r="Y436" s="10"/>
      <c r="Z436" s="6"/>
      <c r="AC436" s="11"/>
    </row>
    <row r="437" spans="1:29" ht="13.5" customHeight="1">
      <c r="A437" s="309"/>
      <c r="B437" s="340"/>
      <c r="C437" s="340"/>
      <c r="D437" s="340"/>
      <c r="E437" s="341"/>
      <c r="F437" s="8"/>
      <c r="G437" s="8"/>
      <c r="H437" s="208"/>
      <c r="I437" s="342"/>
      <c r="K437" s="311"/>
      <c r="L437" s="343"/>
      <c r="M437" s="344"/>
      <c r="N437" s="345"/>
      <c r="O437" s="311"/>
      <c r="P437" s="311"/>
      <c r="Q437" s="311"/>
      <c r="R437" s="346"/>
      <c r="S437" s="347"/>
      <c r="T437" s="348"/>
      <c r="U437" s="10"/>
      <c r="V437" s="349"/>
      <c r="W437" s="350"/>
      <c r="X437" s="9"/>
      <c r="Y437" s="10"/>
      <c r="Z437" s="6"/>
      <c r="AC437" s="11"/>
    </row>
    <row r="438" spans="1:29" ht="13.5" customHeight="1">
      <c r="A438" s="309"/>
      <c r="B438" s="340"/>
      <c r="C438" s="340"/>
      <c r="D438" s="340"/>
      <c r="E438" s="341"/>
      <c r="F438" s="8"/>
      <c r="G438" s="8"/>
      <c r="H438" s="208"/>
      <c r="I438" s="342"/>
      <c r="K438" s="311"/>
      <c r="L438" s="343"/>
      <c r="M438" s="344"/>
      <c r="N438" s="345"/>
      <c r="O438" s="311"/>
      <c r="P438" s="311"/>
      <c r="Q438" s="311"/>
      <c r="R438" s="346"/>
      <c r="S438" s="347"/>
      <c r="T438" s="348"/>
      <c r="U438" s="10"/>
      <c r="V438" s="349"/>
      <c r="W438" s="350"/>
      <c r="X438" s="9"/>
      <c r="Y438" s="10"/>
      <c r="Z438" s="6"/>
      <c r="AC438" s="11"/>
    </row>
    <row r="439" spans="1:29" ht="13.5" customHeight="1">
      <c r="A439" s="309"/>
      <c r="B439" s="340"/>
      <c r="C439" s="340"/>
      <c r="D439" s="340"/>
      <c r="E439" s="341"/>
      <c r="F439" s="8"/>
      <c r="G439" s="8"/>
      <c r="H439" s="208"/>
      <c r="I439" s="342"/>
      <c r="K439" s="311"/>
      <c r="L439" s="343"/>
      <c r="M439" s="344"/>
      <c r="N439" s="345"/>
      <c r="O439" s="311"/>
      <c r="P439" s="311"/>
      <c r="Q439" s="311"/>
      <c r="R439" s="346"/>
      <c r="S439" s="347"/>
      <c r="T439" s="348"/>
      <c r="U439" s="10"/>
      <c r="V439" s="349"/>
      <c r="W439" s="350"/>
      <c r="X439" s="9"/>
      <c r="Y439" s="10"/>
      <c r="Z439" s="6"/>
      <c r="AC439" s="11"/>
    </row>
    <row r="440" spans="1:29" ht="13.5" customHeight="1">
      <c r="A440" s="309"/>
      <c r="B440" s="340"/>
      <c r="C440" s="340"/>
      <c r="D440" s="340"/>
      <c r="E440" s="341"/>
      <c r="F440" s="8"/>
      <c r="G440" s="8"/>
      <c r="H440" s="208"/>
      <c r="I440" s="342"/>
      <c r="K440" s="311"/>
      <c r="L440" s="343"/>
      <c r="M440" s="344"/>
      <c r="N440" s="345"/>
      <c r="O440" s="311"/>
      <c r="P440" s="311"/>
      <c r="Q440" s="311"/>
      <c r="R440" s="346"/>
      <c r="S440" s="347"/>
      <c r="T440" s="348"/>
      <c r="U440" s="10"/>
      <c r="V440" s="349"/>
      <c r="W440" s="350"/>
      <c r="X440" s="9"/>
      <c r="Y440" s="10"/>
      <c r="Z440" s="6"/>
      <c r="AC440" s="11"/>
    </row>
    <row r="441" spans="1:29" ht="13.5" customHeight="1">
      <c r="A441" s="309"/>
      <c r="B441" s="340"/>
      <c r="C441" s="340"/>
      <c r="D441" s="340"/>
      <c r="E441" s="341"/>
      <c r="F441" s="8"/>
      <c r="G441" s="8"/>
      <c r="H441" s="208"/>
      <c r="I441" s="342"/>
      <c r="K441" s="311"/>
      <c r="L441" s="343"/>
      <c r="M441" s="344"/>
      <c r="N441" s="345"/>
      <c r="O441" s="311"/>
      <c r="P441" s="311"/>
      <c r="Q441" s="311"/>
      <c r="R441" s="346"/>
      <c r="S441" s="347"/>
      <c r="T441" s="348"/>
      <c r="U441" s="10"/>
      <c r="V441" s="349"/>
      <c r="W441" s="350"/>
      <c r="X441" s="9"/>
      <c r="Y441" s="10"/>
      <c r="Z441" s="6"/>
      <c r="AC441" s="11"/>
    </row>
    <row r="442" spans="1:29" ht="13.5" customHeight="1">
      <c r="A442" s="309"/>
      <c r="B442" s="340"/>
      <c r="C442" s="340"/>
      <c r="D442" s="340"/>
      <c r="E442" s="341"/>
      <c r="F442" s="8"/>
      <c r="G442" s="8"/>
      <c r="H442" s="208"/>
      <c r="I442" s="342"/>
      <c r="K442" s="311"/>
      <c r="L442" s="343"/>
      <c r="M442" s="344"/>
      <c r="N442" s="345"/>
      <c r="O442" s="311"/>
      <c r="P442" s="311"/>
      <c r="Q442" s="311"/>
      <c r="R442" s="346"/>
      <c r="S442" s="347"/>
      <c r="T442" s="348"/>
      <c r="U442" s="10"/>
      <c r="V442" s="349"/>
      <c r="W442" s="350"/>
      <c r="X442" s="9"/>
      <c r="Y442" s="10"/>
      <c r="Z442" s="6"/>
      <c r="AC442" s="11"/>
    </row>
    <row r="443" spans="1:29" ht="13.5" customHeight="1">
      <c r="A443" s="309"/>
      <c r="B443" s="340"/>
      <c r="C443" s="340"/>
      <c r="D443" s="340"/>
      <c r="E443" s="341"/>
      <c r="F443" s="8"/>
      <c r="G443" s="8"/>
      <c r="H443" s="208"/>
      <c r="I443" s="342"/>
      <c r="K443" s="311"/>
      <c r="L443" s="343"/>
      <c r="M443" s="344"/>
      <c r="N443" s="345"/>
      <c r="O443" s="311"/>
      <c r="P443" s="311"/>
      <c r="Q443" s="311"/>
      <c r="R443" s="346"/>
      <c r="S443" s="347"/>
      <c r="T443" s="348"/>
      <c r="U443" s="10"/>
      <c r="V443" s="349"/>
      <c r="W443" s="350"/>
      <c r="X443" s="9"/>
      <c r="Y443" s="10"/>
      <c r="Z443" s="6"/>
      <c r="AC443" s="11"/>
    </row>
    <row r="444" spans="1:29" ht="13.5" customHeight="1">
      <c r="A444" s="309"/>
      <c r="B444" s="340"/>
      <c r="C444" s="340"/>
      <c r="D444" s="340"/>
      <c r="E444" s="341"/>
      <c r="F444" s="8"/>
      <c r="G444" s="8"/>
      <c r="H444" s="208"/>
      <c r="I444" s="342"/>
      <c r="K444" s="311"/>
      <c r="L444" s="343"/>
      <c r="M444" s="344"/>
      <c r="N444" s="345"/>
      <c r="O444" s="311"/>
      <c r="P444" s="311"/>
      <c r="Q444" s="311"/>
      <c r="R444" s="346"/>
      <c r="S444" s="347"/>
      <c r="T444" s="348"/>
      <c r="U444" s="10"/>
      <c r="V444" s="349"/>
      <c r="W444" s="350"/>
      <c r="X444" s="9"/>
      <c r="Y444" s="10"/>
      <c r="Z444" s="6"/>
      <c r="AC444" s="11"/>
    </row>
    <row r="445" spans="1:29" ht="13.5" customHeight="1">
      <c r="A445" s="309"/>
      <c r="B445" s="340"/>
      <c r="C445" s="340"/>
      <c r="D445" s="340"/>
      <c r="E445" s="341"/>
      <c r="F445" s="8"/>
      <c r="G445" s="8"/>
      <c r="H445" s="208"/>
      <c r="I445" s="342"/>
      <c r="K445" s="311"/>
      <c r="L445" s="343"/>
      <c r="M445" s="344"/>
      <c r="N445" s="345"/>
      <c r="O445" s="311"/>
      <c r="P445" s="311"/>
      <c r="Q445" s="311"/>
      <c r="R445" s="346"/>
      <c r="S445" s="347"/>
      <c r="T445" s="348"/>
      <c r="U445" s="10"/>
      <c r="V445" s="349"/>
      <c r="W445" s="350"/>
      <c r="X445" s="9"/>
      <c r="Y445" s="10"/>
      <c r="Z445" s="6"/>
      <c r="AC445" s="11"/>
    </row>
    <row r="446" spans="1:29" ht="13.5" customHeight="1">
      <c r="A446" s="309"/>
      <c r="B446" s="340"/>
      <c r="C446" s="340"/>
      <c r="D446" s="340"/>
      <c r="E446" s="341"/>
      <c r="F446" s="8"/>
      <c r="G446" s="8"/>
      <c r="H446" s="208"/>
      <c r="I446" s="342"/>
      <c r="K446" s="311"/>
      <c r="L446" s="343"/>
      <c r="M446" s="344"/>
      <c r="N446" s="345"/>
      <c r="O446" s="311"/>
      <c r="P446" s="311"/>
      <c r="Q446" s="311"/>
      <c r="R446" s="346"/>
      <c r="S446" s="347"/>
      <c r="T446" s="348"/>
      <c r="U446" s="10"/>
      <c r="V446" s="349"/>
      <c r="W446" s="350"/>
      <c r="X446" s="9"/>
      <c r="Y446" s="10"/>
      <c r="Z446" s="6"/>
      <c r="AC446" s="11"/>
    </row>
    <row r="447" spans="1:29" ht="13.5" customHeight="1">
      <c r="A447" s="309"/>
      <c r="B447" s="340"/>
      <c r="C447" s="340"/>
      <c r="D447" s="340"/>
      <c r="E447" s="341"/>
      <c r="F447" s="8"/>
      <c r="G447" s="8"/>
      <c r="H447" s="208"/>
      <c r="I447" s="342"/>
      <c r="K447" s="311"/>
      <c r="L447" s="343"/>
      <c r="M447" s="344"/>
      <c r="N447" s="345"/>
      <c r="O447" s="311"/>
      <c r="P447" s="311"/>
      <c r="Q447" s="311"/>
      <c r="R447" s="346"/>
      <c r="S447" s="347"/>
      <c r="T447" s="348"/>
      <c r="U447" s="10"/>
      <c r="V447" s="349"/>
      <c r="W447" s="350"/>
      <c r="X447" s="9"/>
      <c r="Y447" s="10"/>
      <c r="Z447" s="6"/>
      <c r="AC447" s="11"/>
    </row>
    <row r="448" spans="1:29" ht="13.5" customHeight="1">
      <c r="A448" s="309"/>
      <c r="B448" s="340"/>
      <c r="C448" s="340"/>
      <c r="D448" s="340"/>
      <c r="E448" s="341"/>
      <c r="F448" s="8"/>
      <c r="G448" s="8"/>
      <c r="H448" s="208"/>
      <c r="I448" s="342"/>
      <c r="K448" s="311"/>
      <c r="L448" s="343"/>
      <c r="M448" s="344"/>
      <c r="N448" s="345"/>
      <c r="O448" s="311"/>
      <c r="P448" s="311"/>
      <c r="Q448" s="311"/>
      <c r="R448" s="346"/>
      <c r="S448" s="347"/>
      <c r="T448" s="348"/>
      <c r="U448" s="10"/>
      <c r="V448" s="349"/>
      <c r="W448" s="350"/>
      <c r="X448" s="9"/>
      <c r="Y448" s="10"/>
      <c r="Z448" s="6"/>
      <c r="AC448" s="11"/>
    </row>
    <row r="449" spans="1:29" ht="13.5" customHeight="1">
      <c r="A449" s="309"/>
      <c r="B449" s="340"/>
      <c r="C449" s="340"/>
      <c r="D449" s="340"/>
      <c r="E449" s="341"/>
      <c r="F449" s="8"/>
      <c r="G449" s="8"/>
      <c r="H449" s="208"/>
      <c r="I449" s="342"/>
      <c r="K449" s="311"/>
      <c r="L449" s="343"/>
      <c r="M449" s="344"/>
      <c r="N449" s="345"/>
      <c r="O449" s="311"/>
      <c r="P449" s="311"/>
      <c r="Q449" s="311"/>
      <c r="R449" s="346"/>
      <c r="S449" s="347"/>
      <c r="T449" s="348"/>
      <c r="U449" s="10"/>
      <c r="V449" s="349"/>
      <c r="W449" s="350"/>
      <c r="X449" s="9"/>
      <c r="Y449" s="10"/>
      <c r="Z449" s="6"/>
      <c r="AC449" s="11"/>
    </row>
    <row r="450" spans="1:29" ht="13.5" customHeight="1">
      <c r="A450" s="309"/>
      <c r="B450" s="340"/>
      <c r="C450" s="340"/>
      <c r="D450" s="340"/>
      <c r="E450" s="341"/>
      <c r="F450" s="8"/>
      <c r="G450" s="8"/>
      <c r="H450" s="208"/>
      <c r="I450" s="342"/>
      <c r="K450" s="311"/>
      <c r="L450" s="343"/>
      <c r="M450" s="344"/>
      <c r="N450" s="345"/>
      <c r="O450" s="311"/>
      <c r="P450" s="311"/>
      <c r="Q450" s="311"/>
      <c r="R450" s="346"/>
      <c r="S450" s="347"/>
      <c r="T450" s="348"/>
      <c r="U450" s="10"/>
      <c r="V450" s="349"/>
      <c r="W450" s="350"/>
      <c r="X450" s="9"/>
      <c r="Y450" s="10"/>
      <c r="Z450" s="6"/>
      <c r="AC450" s="11"/>
    </row>
    <row r="451" spans="1:29" ht="13.5" customHeight="1">
      <c r="A451" s="309"/>
      <c r="B451" s="340"/>
      <c r="C451" s="340"/>
      <c r="D451" s="340"/>
      <c r="E451" s="341"/>
      <c r="F451" s="8"/>
      <c r="G451" s="8"/>
      <c r="H451" s="208"/>
      <c r="I451" s="342"/>
      <c r="K451" s="311"/>
      <c r="L451" s="343"/>
      <c r="M451" s="344"/>
      <c r="N451" s="345"/>
      <c r="O451" s="311"/>
      <c r="P451" s="311"/>
      <c r="Q451" s="311"/>
      <c r="R451" s="346"/>
      <c r="S451" s="347"/>
      <c r="T451" s="348"/>
      <c r="U451" s="10"/>
      <c r="V451" s="349"/>
      <c r="W451" s="350"/>
      <c r="X451" s="9"/>
      <c r="Y451" s="10"/>
      <c r="Z451" s="6"/>
      <c r="AC451" s="11"/>
    </row>
    <row r="452" spans="1:29" ht="13.5" customHeight="1">
      <c r="A452" s="309"/>
      <c r="B452" s="340"/>
      <c r="C452" s="340"/>
      <c r="D452" s="340"/>
      <c r="E452" s="341"/>
      <c r="F452" s="8"/>
      <c r="G452" s="8"/>
      <c r="H452" s="208"/>
      <c r="I452" s="342"/>
      <c r="K452" s="311"/>
      <c r="L452" s="343"/>
      <c r="M452" s="344"/>
      <c r="N452" s="345"/>
      <c r="O452" s="311"/>
      <c r="P452" s="311"/>
      <c r="Q452" s="311"/>
      <c r="R452" s="346"/>
      <c r="S452" s="347"/>
      <c r="T452" s="348"/>
      <c r="U452" s="10"/>
      <c r="V452" s="349"/>
      <c r="W452" s="350"/>
      <c r="X452" s="9"/>
      <c r="Y452" s="10"/>
      <c r="Z452" s="6"/>
      <c r="AC452" s="11"/>
    </row>
    <row r="453" spans="1:29" ht="13.5" customHeight="1">
      <c r="A453" s="309"/>
      <c r="B453" s="340"/>
      <c r="C453" s="340"/>
      <c r="D453" s="340"/>
      <c r="E453" s="341"/>
      <c r="F453" s="8"/>
      <c r="G453" s="8"/>
      <c r="H453" s="208"/>
      <c r="I453" s="342"/>
      <c r="K453" s="311"/>
      <c r="L453" s="343"/>
      <c r="M453" s="344"/>
      <c r="N453" s="345"/>
      <c r="O453" s="311"/>
      <c r="P453" s="311"/>
      <c r="Q453" s="311"/>
      <c r="R453" s="346"/>
      <c r="S453" s="347"/>
      <c r="T453" s="348"/>
      <c r="U453" s="10"/>
      <c r="V453" s="349"/>
      <c r="W453" s="350"/>
      <c r="X453" s="9"/>
      <c r="Y453" s="10"/>
      <c r="Z453" s="6"/>
      <c r="AC453" s="11"/>
    </row>
    <row r="454" spans="1:29" ht="13.5" customHeight="1">
      <c r="A454" s="309"/>
      <c r="B454" s="340"/>
      <c r="C454" s="340"/>
      <c r="D454" s="340"/>
      <c r="E454" s="341"/>
      <c r="F454" s="8"/>
      <c r="G454" s="8"/>
      <c r="H454" s="208"/>
      <c r="I454" s="342"/>
      <c r="K454" s="311"/>
      <c r="L454" s="343"/>
      <c r="M454" s="344"/>
      <c r="N454" s="345"/>
      <c r="O454" s="311"/>
      <c r="P454" s="311"/>
      <c r="Q454" s="311"/>
      <c r="R454" s="346"/>
      <c r="S454" s="347"/>
      <c r="T454" s="348"/>
      <c r="U454" s="10"/>
      <c r="V454" s="349"/>
      <c r="W454" s="350"/>
      <c r="X454" s="9"/>
      <c r="Y454" s="10"/>
      <c r="Z454" s="6"/>
      <c r="AC454" s="11"/>
    </row>
    <row r="455" spans="1:29" ht="13.5" customHeight="1">
      <c r="A455" s="309"/>
      <c r="B455" s="340"/>
      <c r="C455" s="340"/>
      <c r="D455" s="340"/>
      <c r="E455" s="341"/>
      <c r="F455" s="8"/>
      <c r="G455" s="8"/>
      <c r="H455" s="208"/>
      <c r="I455" s="342"/>
      <c r="K455" s="311"/>
      <c r="L455" s="343"/>
      <c r="M455" s="344"/>
      <c r="N455" s="345"/>
      <c r="O455" s="311"/>
      <c r="P455" s="311"/>
      <c r="Q455" s="311"/>
      <c r="R455" s="346"/>
      <c r="S455" s="347"/>
      <c r="T455" s="348"/>
      <c r="U455" s="10"/>
      <c r="V455" s="349"/>
      <c r="W455" s="350"/>
      <c r="X455" s="9"/>
      <c r="Y455" s="10"/>
      <c r="Z455" s="6"/>
      <c r="AC455" s="11"/>
    </row>
    <row r="456" spans="1:29" ht="13.5" customHeight="1">
      <c r="A456" s="309"/>
      <c r="B456" s="340"/>
      <c r="C456" s="340"/>
      <c r="D456" s="340"/>
      <c r="E456" s="341"/>
      <c r="F456" s="8"/>
      <c r="G456" s="8"/>
      <c r="H456" s="208"/>
      <c r="I456" s="342"/>
      <c r="K456" s="311"/>
      <c r="L456" s="343"/>
      <c r="M456" s="344"/>
      <c r="N456" s="345"/>
      <c r="O456" s="311"/>
      <c r="P456" s="311"/>
      <c r="Q456" s="311"/>
      <c r="R456" s="346"/>
      <c r="S456" s="347"/>
      <c r="T456" s="348"/>
      <c r="U456" s="10"/>
      <c r="V456" s="349"/>
      <c r="W456" s="350"/>
      <c r="X456" s="9"/>
      <c r="Y456" s="10"/>
      <c r="Z456" s="6"/>
      <c r="AC456" s="11"/>
    </row>
    <row r="457" spans="1:29" ht="13.5" customHeight="1">
      <c r="A457" s="309"/>
      <c r="B457" s="340"/>
      <c r="C457" s="340"/>
      <c r="D457" s="340"/>
      <c r="E457" s="341"/>
      <c r="F457" s="8"/>
      <c r="G457" s="8"/>
      <c r="H457" s="208"/>
      <c r="I457" s="342"/>
      <c r="K457" s="311"/>
      <c r="L457" s="343"/>
      <c r="M457" s="344"/>
      <c r="N457" s="345"/>
      <c r="O457" s="311"/>
      <c r="P457" s="311"/>
      <c r="Q457" s="311"/>
      <c r="R457" s="346"/>
      <c r="S457" s="347"/>
      <c r="T457" s="348"/>
      <c r="U457" s="10"/>
      <c r="V457" s="349"/>
      <c r="W457" s="350"/>
      <c r="X457" s="9"/>
      <c r="Y457" s="10"/>
      <c r="Z457" s="6"/>
      <c r="AC457" s="11"/>
    </row>
    <row r="458" spans="1:29" ht="13.5" customHeight="1">
      <c r="A458" s="309"/>
      <c r="B458" s="340"/>
      <c r="C458" s="340"/>
      <c r="D458" s="340"/>
      <c r="E458" s="341"/>
      <c r="F458" s="8"/>
      <c r="G458" s="8"/>
      <c r="H458" s="208"/>
      <c r="I458" s="342"/>
      <c r="K458" s="311"/>
      <c r="L458" s="343"/>
      <c r="M458" s="344"/>
      <c r="N458" s="345"/>
      <c r="O458" s="311"/>
      <c r="P458" s="311"/>
      <c r="Q458" s="311"/>
      <c r="R458" s="346"/>
      <c r="S458" s="347"/>
      <c r="T458" s="348"/>
      <c r="U458" s="10"/>
      <c r="V458" s="349"/>
      <c r="W458" s="350"/>
      <c r="X458" s="9"/>
      <c r="Y458" s="10"/>
      <c r="Z458" s="6"/>
      <c r="AC458" s="11"/>
    </row>
    <row r="459" spans="1:29" ht="13.5" customHeight="1">
      <c r="A459" s="309"/>
      <c r="B459" s="340"/>
      <c r="C459" s="340"/>
      <c r="D459" s="340"/>
      <c r="E459" s="341"/>
      <c r="F459" s="8"/>
      <c r="G459" s="8"/>
      <c r="H459" s="208"/>
      <c r="I459" s="342"/>
      <c r="K459" s="311"/>
      <c r="L459" s="343"/>
      <c r="M459" s="344"/>
      <c r="N459" s="345"/>
      <c r="O459" s="311"/>
      <c r="P459" s="311"/>
      <c r="Q459" s="311"/>
      <c r="R459" s="346"/>
      <c r="S459" s="347"/>
      <c r="T459" s="348"/>
      <c r="U459" s="10"/>
      <c r="V459" s="349"/>
      <c r="W459" s="350"/>
      <c r="X459" s="9"/>
      <c r="Y459" s="10"/>
      <c r="Z459" s="6"/>
      <c r="AC459" s="11"/>
    </row>
    <row r="460" spans="1:29" ht="13.5" customHeight="1">
      <c r="A460" s="309"/>
      <c r="B460" s="340"/>
      <c r="C460" s="340"/>
      <c r="D460" s="340"/>
      <c r="E460" s="341"/>
      <c r="F460" s="8"/>
      <c r="G460" s="8"/>
      <c r="H460" s="208"/>
      <c r="I460" s="342"/>
      <c r="K460" s="311"/>
      <c r="L460" s="343"/>
      <c r="M460" s="344"/>
      <c r="N460" s="345"/>
      <c r="O460" s="311"/>
      <c r="P460" s="311"/>
      <c r="Q460" s="311"/>
      <c r="R460" s="346"/>
      <c r="S460" s="347"/>
      <c r="T460" s="348"/>
      <c r="U460" s="10"/>
      <c r="V460" s="349"/>
      <c r="W460" s="350"/>
      <c r="X460" s="9"/>
      <c r="Y460" s="10"/>
      <c r="Z460" s="6"/>
      <c r="AC460" s="11"/>
    </row>
    <row r="461" spans="1:29" ht="13.5" customHeight="1">
      <c r="A461" s="309"/>
      <c r="B461" s="340"/>
      <c r="C461" s="340"/>
      <c r="D461" s="340"/>
      <c r="E461" s="341"/>
      <c r="F461" s="8"/>
      <c r="G461" s="8"/>
      <c r="H461" s="208"/>
      <c r="I461" s="342"/>
      <c r="K461" s="311"/>
      <c r="L461" s="343"/>
      <c r="M461" s="344"/>
      <c r="N461" s="345"/>
      <c r="O461" s="311"/>
      <c r="P461" s="311"/>
      <c r="Q461" s="311"/>
      <c r="R461" s="346"/>
      <c r="S461" s="347"/>
      <c r="T461" s="348"/>
      <c r="U461" s="10"/>
      <c r="V461" s="349"/>
      <c r="W461" s="350"/>
      <c r="X461" s="9"/>
      <c r="Y461" s="10"/>
      <c r="Z461" s="6"/>
      <c r="AC461" s="11"/>
    </row>
    <row r="462" spans="1:29" ht="13.5" customHeight="1">
      <c r="A462" s="309"/>
      <c r="B462" s="340"/>
      <c r="C462" s="340"/>
      <c r="D462" s="340"/>
      <c r="E462" s="341"/>
      <c r="F462" s="8"/>
      <c r="G462" s="8"/>
      <c r="H462" s="208"/>
      <c r="I462" s="342"/>
      <c r="K462" s="311"/>
      <c r="L462" s="343"/>
      <c r="M462" s="344"/>
      <c r="N462" s="345"/>
      <c r="O462" s="311"/>
      <c r="P462" s="311"/>
      <c r="Q462" s="311"/>
      <c r="R462" s="346"/>
      <c r="S462" s="347"/>
      <c r="T462" s="348"/>
      <c r="U462" s="10"/>
      <c r="V462" s="349"/>
      <c r="W462" s="350"/>
      <c r="X462" s="9"/>
      <c r="Y462" s="10"/>
      <c r="Z462" s="6"/>
      <c r="AC462" s="11"/>
    </row>
    <row r="463" spans="1:29" ht="13.5" customHeight="1">
      <c r="A463" s="309"/>
      <c r="B463" s="340"/>
      <c r="C463" s="340"/>
      <c r="D463" s="340"/>
      <c r="E463" s="341"/>
      <c r="F463" s="8"/>
      <c r="G463" s="8"/>
      <c r="H463" s="208"/>
      <c r="I463" s="342"/>
      <c r="K463" s="311"/>
      <c r="L463" s="343"/>
      <c r="M463" s="344"/>
      <c r="N463" s="345"/>
      <c r="O463" s="311"/>
      <c r="P463" s="311"/>
      <c r="Q463" s="311"/>
      <c r="R463" s="346"/>
      <c r="S463" s="347"/>
      <c r="T463" s="348"/>
      <c r="U463" s="10"/>
      <c r="V463" s="349"/>
      <c r="W463" s="350"/>
      <c r="X463" s="9"/>
      <c r="Y463" s="10"/>
      <c r="Z463" s="6"/>
      <c r="AC463" s="11"/>
    </row>
    <row r="464" spans="1:29" ht="13.5" customHeight="1">
      <c r="A464" s="309"/>
      <c r="B464" s="340"/>
      <c r="C464" s="340"/>
      <c r="D464" s="340"/>
      <c r="E464" s="341"/>
      <c r="F464" s="8"/>
      <c r="G464" s="8"/>
      <c r="H464" s="208"/>
      <c r="I464" s="342"/>
      <c r="K464" s="311"/>
      <c r="L464" s="343"/>
      <c r="M464" s="344"/>
      <c r="N464" s="345"/>
      <c r="O464" s="311"/>
      <c r="P464" s="311"/>
      <c r="Q464" s="311"/>
      <c r="R464" s="346"/>
      <c r="S464" s="347"/>
      <c r="T464" s="348"/>
      <c r="U464" s="10"/>
      <c r="V464" s="349"/>
      <c r="W464" s="350"/>
      <c r="X464" s="9"/>
      <c r="Y464" s="10"/>
      <c r="Z464" s="6"/>
      <c r="AC464" s="11"/>
    </row>
    <row r="465" spans="1:29" ht="13.5" customHeight="1">
      <c r="A465" s="309"/>
      <c r="B465" s="340"/>
      <c r="C465" s="340"/>
      <c r="D465" s="340"/>
      <c r="E465" s="341"/>
      <c r="F465" s="8"/>
      <c r="G465" s="8"/>
      <c r="H465" s="208"/>
      <c r="I465" s="342"/>
      <c r="K465" s="311"/>
      <c r="L465" s="343"/>
      <c r="M465" s="344"/>
      <c r="N465" s="345"/>
      <c r="O465" s="311"/>
      <c r="P465" s="311"/>
      <c r="Q465" s="311"/>
      <c r="R465" s="346"/>
      <c r="S465" s="347"/>
      <c r="T465" s="348"/>
      <c r="U465" s="10"/>
      <c r="V465" s="349"/>
      <c r="W465" s="350"/>
      <c r="X465" s="9"/>
      <c r="Y465" s="10"/>
      <c r="Z465" s="6"/>
      <c r="AC465" s="11"/>
    </row>
    <row r="466" spans="1:29" ht="13.5" customHeight="1">
      <c r="A466" s="309"/>
      <c r="B466" s="340"/>
      <c r="C466" s="340"/>
      <c r="D466" s="340"/>
      <c r="E466" s="341"/>
      <c r="F466" s="8"/>
      <c r="G466" s="8"/>
      <c r="H466" s="208"/>
      <c r="I466" s="342"/>
      <c r="K466" s="311"/>
      <c r="L466" s="343"/>
      <c r="M466" s="344"/>
      <c r="N466" s="345"/>
      <c r="O466" s="311"/>
      <c r="P466" s="311"/>
      <c r="Q466" s="311"/>
      <c r="R466" s="346"/>
      <c r="S466" s="347"/>
      <c r="T466" s="348"/>
      <c r="U466" s="10"/>
      <c r="V466" s="349"/>
      <c r="W466" s="350"/>
      <c r="X466" s="9"/>
      <c r="Y466" s="10"/>
      <c r="Z466" s="6"/>
      <c r="AC466" s="11"/>
    </row>
    <row r="467" spans="1:29" ht="13.5" customHeight="1">
      <c r="A467" s="309"/>
      <c r="B467" s="340"/>
      <c r="C467" s="340"/>
      <c r="D467" s="340"/>
      <c r="E467" s="341"/>
      <c r="F467" s="8"/>
      <c r="G467" s="8"/>
      <c r="H467" s="208"/>
      <c r="I467" s="342"/>
      <c r="K467" s="311"/>
      <c r="L467" s="343"/>
      <c r="M467" s="344"/>
      <c r="N467" s="345"/>
      <c r="O467" s="311"/>
      <c r="P467" s="311"/>
      <c r="Q467" s="311"/>
      <c r="R467" s="346"/>
      <c r="S467" s="347"/>
      <c r="T467" s="348"/>
      <c r="U467" s="10"/>
      <c r="V467" s="349"/>
      <c r="W467" s="350"/>
      <c r="X467" s="9"/>
      <c r="Y467" s="10"/>
      <c r="Z467" s="6"/>
      <c r="AC467" s="11"/>
    </row>
    <row r="468" spans="1:29" ht="13.5" customHeight="1">
      <c r="A468" s="309"/>
      <c r="B468" s="340"/>
      <c r="C468" s="340"/>
      <c r="D468" s="340"/>
      <c r="E468" s="341"/>
      <c r="F468" s="8"/>
      <c r="G468" s="8"/>
      <c r="H468" s="208"/>
      <c r="I468" s="342"/>
      <c r="K468" s="311"/>
      <c r="L468" s="343"/>
      <c r="M468" s="344"/>
      <c r="N468" s="345"/>
      <c r="O468" s="311"/>
      <c r="P468" s="311"/>
      <c r="Q468" s="311"/>
      <c r="R468" s="346"/>
      <c r="S468" s="347"/>
      <c r="T468" s="348"/>
      <c r="U468" s="10"/>
      <c r="V468" s="349"/>
      <c r="W468" s="350"/>
      <c r="X468" s="9"/>
      <c r="Y468" s="10"/>
      <c r="Z468" s="6"/>
      <c r="AC468" s="11"/>
    </row>
    <row r="469" spans="1:29" ht="13.5" customHeight="1">
      <c r="A469" s="309"/>
      <c r="B469" s="340"/>
      <c r="C469" s="340"/>
      <c r="D469" s="340"/>
      <c r="E469" s="341"/>
      <c r="F469" s="8"/>
      <c r="G469" s="8"/>
      <c r="H469" s="208"/>
      <c r="I469" s="342"/>
      <c r="K469" s="311"/>
      <c r="L469" s="343"/>
      <c r="M469" s="344"/>
      <c r="N469" s="345"/>
      <c r="O469" s="311"/>
      <c r="P469" s="311"/>
      <c r="Q469" s="311"/>
      <c r="R469" s="346"/>
      <c r="S469" s="347"/>
      <c r="T469" s="348"/>
      <c r="U469" s="10"/>
      <c r="V469" s="349"/>
      <c r="W469" s="350"/>
      <c r="X469" s="9"/>
      <c r="Y469" s="10"/>
      <c r="Z469" s="6"/>
      <c r="AC469" s="11"/>
    </row>
    <row r="470" spans="1:29" ht="13.5" customHeight="1">
      <c r="A470" s="309"/>
      <c r="B470" s="340"/>
      <c r="C470" s="340"/>
      <c r="D470" s="340"/>
      <c r="E470" s="341"/>
      <c r="F470" s="8"/>
      <c r="G470" s="8"/>
      <c r="H470" s="208"/>
      <c r="I470" s="342"/>
      <c r="K470" s="311"/>
      <c r="L470" s="343"/>
      <c r="M470" s="344"/>
      <c r="N470" s="345"/>
      <c r="O470" s="311"/>
      <c r="P470" s="311"/>
      <c r="Q470" s="311"/>
      <c r="R470" s="346"/>
      <c r="S470" s="347"/>
      <c r="T470" s="348"/>
      <c r="U470" s="10"/>
      <c r="V470" s="349"/>
      <c r="W470" s="350"/>
      <c r="X470" s="9"/>
      <c r="Y470" s="10"/>
      <c r="Z470" s="6"/>
      <c r="AC470" s="11"/>
    </row>
    <row r="471" spans="1:29" ht="13.5" customHeight="1">
      <c r="A471" s="309"/>
      <c r="B471" s="340"/>
      <c r="C471" s="340"/>
      <c r="D471" s="340"/>
      <c r="E471" s="341"/>
      <c r="F471" s="8"/>
      <c r="G471" s="8"/>
      <c r="H471" s="208"/>
      <c r="I471" s="342"/>
      <c r="K471" s="311"/>
      <c r="L471" s="343"/>
      <c r="M471" s="344"/>
      <c r="N471" s="345"/>
      <c r="O471" s="311"/>
      <c r="P471" s="311"/>
      <c r="Q471" s="311"/>
      <c r="R471" s="346"/>
      <c r="S471" s="347"/>
      <c r="T471" s="348"/>
      <c r="U471" s="10"/>
      <c r="V471" s="349"/>
      <c r="W471" s="350"/>
      <c r="X471" s="9"/>
      <c r="Y471" s="10"/>
      <c r="Z471" s="6"/>
      <c r="AC471" s="11"/>
    </row>
    <row r="472" spans="1:29" ht="13.5" customHeight="1">
      <c r="A472" s="309"/>
      <c r="B472" s="340"/>
      <c r="C472" s="340"/>
      <c r="D472" s="340"/>
      <c r="E472" s="341"/>
      <c r="F472" s="8"/>
      <c r="G472" s="8"/>
      <c r="H472" s="208"/>
      <c r="I472" s="342"/>
      <c r="K472" s="311"/>
      <c r="L472" s="343"/>
      <c r="M472" s="344"/>
      <c r="N472" s="345"/>
      <c r="O472" s="311"/>
      <c r="P472" s="311"/>
      <c r="Q472" s="311"/>
      <c r="R472" s="346"/>
      <c r="S472" s="347"/>
      <c r="T472" s="348"/>
      <c r="U472" s="10"/>
      <c r="V472" s="349"/>
      <c r="W472" s="350"/>
      <c r="X472" s="9"/>
      <c r="Y472" s="10"/>
      <c r="Z472" s="6"/>
      <c r="AC472" s="11"/>
    </row>
    <row r="473" spans="1:29" ht="13.5" customHeight="1">
      <c r="A473" s="309"/>
      <c r="B473" s="340"/>
      <c r="C473" s="340"/>
      <c r="D473" s="340"/>
      <c r="E473" s="341"/>
      <c r="F473" s="8"/>
      <c r="G473" s="8"/>
      <c r="H473" s="208"/>
      <c r="I473" s="342"/>
      <c r="K473" s="311"/>
      <c r="L473" s="343"/>
      <c r="M473" s="344"/>
      <c r="N473" s="345"/>
      <c r="O473" s="311"/>
      <c r="P473" s="311"/>
      <c r="Q473" s="311"/>
      <c r="R473" s="346"/>
      <c r="S473" s="347"/>
      <c r="T473" s="348"/>
      <c r="U473" s="10"/>
      <c r="V473" s="349"/>
      <c r="W473" s="350"/>
      <c r="X473" s="9"/>
      <c r="Y473" s="10"/>
      <c r="Z473" s="6"/>
      <c r="AC473" s="11"/>
    </row>
    <row r="474" spans="1:29" ht="13.5" customHeight="1">
      <c r="A474" s="309"/>
      <c r="B474" s="340"/>
      <c r="C474" s="340"/>
      <c r="D474" s="340"/>
      <c r="E474" s="341"/>
      <c r="F474" s="8"/>
      <c r="G474" s="8"/>
      <c r="H474" s="208"/>
      <c r="I474" s="342"/>
      <c r="K474" s="311"/>
      <c r="L474" s="343"/>
      <c r="M474" s="344"/>
      <c r="N474" s="345"/>
      <c r="O474" s="311"/>
      <c r="P474" s="311"/>
      <c r="Q474" s="311"/>
      <c r="R474" s="346"/>
      <c r="S474" s="347"/>
      <c r="T474" s="348"/>
      <c r="U474" s="10"/>
      <c r="V474" s="349"/>
      <c r="W474" s="350"/>
      <c r="X474" s="9"/>
      <c r="Y474" s="10"/>
      <c r="Z474" s="6"/>
      <c r="AC474" s="11"/>
    </row>
    <row r="475" spans="1:29" ht="13.5" customHeight="1">
      <c r="A475" s="309"/>
      <c r="B475" s="340"/>
      <c r="C475" s="340"/>
      <c r="D475" s="340"/>
      <c r="E475" s="341"/>
      <c r="F475" s="8"/>
      <c r="G475" s="8"/>
      <c r="H475" s="208"/>
      <c r="I475" s="342"/>
      <c r="K475" s="311"/>
      <c r="L475" s="343"/>
      <c r="M475" s="344"/>
      <c r="N475" s="345"/>
      <c r="O475" s="311"/>
      <c r="P475" s="311"/>
      <c r="Q475" s="311"/>
      <c r="R475" s="346"/>
      <c r="S475" s="347"/>
      <c r="T475" s="348"/>
      <c r="U475" s="10"/>
      <c r="V475" s="349"/>
      <c r="W475" s="350"/>
      <c r="X475" s="9"/>
      <c r="Y475" s="10"/>
      <c r="Z475" s="6"/>
      <c r="AC475" s="11"/>
    </row>
    <row r="476" spans="1:29" ht="13.5" customHeight="1">
      <c r="A476" s="309"/>
      <c r="B476" s="340"/>
      <c r="C476" s="340"/>
      <c r="D476" s="340"/>
      <c r="E476" s="341"/>
      <c r="F476" s="8"/>
      <c r="G476" s="8"/>
      <c r="H476" s="208"/>
      <c r="I476" s="342"/>
      <c r="K476" s="311"/>
      <c r="L476" s="343"/>
      <c r="M476" s="344"/>
      <c r="N476" s="345"/>
      <c r="O476" s="311"/>
      <c r="P476" s="311"/>
      <c r="Q476" s="311"/>
      <c r="R476" s="346"/>
      <c r="S476" s="347"/>
      <c r="T476" s="348"/>
      <c r="U476" s="10"/>
      <c r="V476" s="349"/>
      <c r="W476" s="350"/>
      <c r="X476" s="9"/>
      <c r="Y476" s="10"/>
      <c r="Z476" s="6"/>
      <c r="AC476" s="11"/>
    </row>
    <row r="477" spans="1:29" ht="13.5" customHeight="1">
      <c r="A477" s="309"/>
      <c r="B477" s="340"/>
      <c r="C477" s="340"/>
      <c r="D477" s="340"/>
      <c r="E477" s="341"/>
      <c r="F477" s="8"/>
      <c r="G477" s="8"/>
      <c r="H477" s="208"/>
      <c r="I477" s="342"/>
      <c r="K477" s="311"/>
      <c r="L477" s="343"/>
      <c r="M477" s="344"/>
      <c r="N477" s="345"/>
      <c r="O477" s="311"/>
      <c r="P477" s="311"/>
      <c r="Q477" s="311"/>
      <c r="R477" s="346"/>
      <c r="S477" s="347"/>
      <c r="T477" s="348"/>
      <c r="U477" s="10"/>
      <c r="V477" s="349"/>
      <c r="W477" s="350"/>
      <c r="X477" s="9"/>
      <c r="Y477" s="10"/>
      <c r="Z477" s="6"/>
      <c r="AC477" s="11"/>
    </row>
    <row r="478" spans="1:29" ht="13.5" customHeight="1">
      <c r="A478" s="309"/>
      <c r="B478" s="340"/>
      <c r="C478" s="340"/>
      <c r="D478" s="340"/>
      <c r="E478" s="341"/>
      <c r="F478" s="8"/>
      <c r="G478" s="8"/>
      <c r="H478" s="208"/>
      <c r="I478" s="342"/>
      <c r="K478" s="311"/>
      <c r="L478" s="343"/>
      <c r="M478" s="344"/>
      <c r="N478" s="345"/>
      <c r="O478" s="311"/>
      <c r="P478" s="311"/>
      <c r="Q478" s="311"/>
      <c r="R478" s="346"/>
      <c r="S478" s="347"/>
      <c r="T478" s="348"/>
      <c r="U478" s="10"/>
      <c r="V478" s="349"/>
      <c r="W478" s="350"/>
      <c r="X478" s="9"/>
      <c r="Y478" s="10"/>
      <c r="Z478" s="6"/>
      <c r="AC478" s="11"/>
    </row>
    <row r="479" spans="1:29" ht="13.5" customHeight="1">
      <c r="A479" s="309"/>
      <c r="B479" s="340"/>
      <c r="C479" s="340"/>
      <c r="D479" s="340"/>
      <c r="E479" s="341"/>
      <c r="F479" s="8"/>
      <c r="G479" s="8"/>
      <c r="H479" s="208"/>
      <c r="I479" s="342"/>
      <c r="K479" s="311"/>
      <c r="L479" s="343"/>
      <c r="M479" s="344"/>
      <c r="N479" s="345"/>
      <c r="O479" s="311"/>
      <c r="P479" s="311"/>
      <c r="Q479" s="311"/>
      <c r="R479" s="346"/>
      <c r="S479" s="347"/>
      <c r="T479" s="348"/>
      <c r="U479" s="10"/>
      <c r="V479" s="349"/>
      <c r="W479" s="350"/>
      <c r="X479" s="9"/>
      <c r="Y479" s="10"/>
      <c r="Z479" s="6"/>
      <c r="AC479" s="11"/>
    </row>
    <row r="480" spans="1:29" ht="13.5" customHeight="1">
      <c r="A480" s="309"/>
      <c r="B480" s="340"/>
      <c r="C480" s="340"/>
      <c r="D480" s="340"/>
      <c r="E480" s="341"/>
      <c r="F480" s="8"/>
      <c r="G480" s="8"/>
      <c r="H480" s="208"/>
      <c r="I480" s="342"/>
      <c r="K480" s="311"/>
      <c r="L480" s="343"/>
      <c r="M480" s="344"/>
      <c r="N480" s="345"/>
      <c r="O480" s="311"/>
      <c r="P480" s="311"/>
      <c r="Q480" s="311"/>
      <c r="R480" s="346"/>
      <c r="S480" s="347"/>
      <c r="T480" s="348"/>
      <c r="U480" s="10"/>
      <c r="V480" s="349"/>
      <c r="W480" s="350"/>
      <c r="X480" s="9"/>
      <c r="Y480" s="10"/>
      <c r="Z480" s="6"/>
      <c r="AC480" s="11"/>
    </row>
    <row r="481" spans="1:29" ht="13.5" customHeight="1">
      <c r="A481" s="309"/>
      <c r="B481" s="340"/>
      <c r="C481" s="340"/>
      <c r="D481" s="340"/>
      <c r="E481" s="341"/>
      <c r="F481" s="8"/>
      <c r="G481" s="8"/>
      <c r="H481" s="208"/>
      <c r="I481" s="342"/>
      <c r="K481" s="311"/>
      <c r="L481" s="343"/>
      <c r="M481" s="344"/>
      <c r="N481" s="345"/>
      <c r="O481" s="311"/>
      <c r="P481" s="311"/>
      <c r="Q481" s="311"/>
      <c r="R481" s="346"/>
      <c r="S481" s="347"/>
      <c r="T481" s="348"/>
      <c r="U481" s="10"/>
      <c r="V481" s="349"/>
      <c r="W481" s="350"/>
      <c r="X481" s="9"/>
      <c r="Y481" s="10"/>
      <c r="Z481" s="6"/>
      <c r="AC481" s="11"/>
    </row>
    <row r="482" spans="1:29" ht="13.5" customHeight="1">
      <c r="A482" s="309"/>
      <c r="B482" s="340"/>
      <c r="C482" s="340"/>
      <c r="D482" s="340"/>
      <c r="E482" s="341"/>
      <c r="F482" s="8"/>
      <c r="G482" s="8"/>
      <c r="H482" s="208"/>
      <c r="I482" s="342"/>
      <c r="K482" s="311"/>
      <c r="L482" s="343"/>
      <c r="M482" s="344"/>
      <c r="N482" s="345"/>
      <c r="O482" s="311"/>
      <c r="P482" s="311"/>
      <c r="Q482" s="311"/>
      <c r="R482" s="346"/>
      <c r="S482" s="347"/>
      <c r="T482" s="348"/>
      <c r="U482" s="10"/>
      <c r="V482" s="349"/>
      <c r="W482" s="350"/>
      <c r="X482" s="9"/>
      <c r="Y482" s="10"/>
      <c r="Z482" s="6"/>
      <c r="AC482" s="11"/>
    </row>
    <row r="483" spans="1:29" ht="13.5" customHeight="1">
      <c r="A483" s="309"/>
      <c r="B483" s="340"/>
      <c r="C483" s="340"/>
      <c r="D483" s="340"/>
      <c r="E483" s="341"/>
      <c r="F483" s="8"/>
      <c r="G483" s="8"/>
      <c r="H483" s="208"/>
      <c r="I483" s="342"/>
      <c r="K483" s="311"/>
      <c r="L483" s="343"/>
      <c r="M483" s="344"/>
      <c r="N483" s="345"/>
      <c r="O483" s="311"/>
      <c r="P483" s="311"/>
      <c r="Q483" s="311"/>
      <c r="R483" s="346"/>
      <c r="S483" s="347"/>
      <c r="T483" s="348"/>
      <c r="U483" s="10"/>
      <c r="V483" s="349"/>
      <c r="W483" s="350"/>
      <c r="X483" s="9"/>
      <c r="Y483" s="10"/>
      <c r="Z483" s="6"/>
      <c r="AC483" s="11"/>
    </row>
    <row r="484" spans="1:29" ht="13.5" customHeight="1">
      <c r="A484" s="309"/>
      <c r="B484" s="340"/>
      <c r="C484" s="340"/>
      <c r="D484" s="340"/>
      <c r="E484" s="341"/>
      <c r="F484" s="8"/>
      <c r="G484" s="8"/>
      <c r="H484" s="208"/>
      <c r="I484" s="342"/>
      <c r="K484" s="311"/>
      <c r="L484" s="343"/>
      <c r="M484" s="344"/>
      <c r="N484" s="345"/>
      <c r="O484" s="311"/>
      <c r="P484" s="311"/>
      <c r="Q484" s="311"/>
      <c r="R484" s="346"/>
      <c r="S484" s="347"/>
      <c r="T484" s="348"/>
      <c r="U484" s="10"/>
      <c r="V484" s="349"/>
      <c r="W484" s="350"/>
      <c r="X484" s="9"/>
      <c r="Y484" s="10"/>
      <c r="Z484" s="6"/>
      <c r="AC484" s="11"/>
    </row>
    <row r="485" spans="1:29" ht="13.5" customHeight="1">
      <c r="A485" s="309"/>
      <c r="B485" s="340"/>
      <c r="C485" s="340"/>
      <c r="D485" s="340"/>
      <c r="E485" s="341"/>
      <c r="F485" s="8"/>
      <c r="G485" s="8"/>
      <c r="H485" s="208"/>
      <c r="I485" s="342"/>
      <c r="K485" s="311"/>
      <c r="L485" s="343"/>
      <c r="M485" s="344"/>
      <c r="N485" s="345"/>
      <c r="O485" s="311"/>
      <c r="P485" s="311"/>
      <c r="Q485" s="311"/>
      <c r="R485" s="346"/>
      <c r="S485" s="347"/>
      <c r="T485" s="348"/>
      <c r="U485" s="10"/>
      <c r="V485" s="349"/>
      <c r="W485" s="350"/>
      <c r="X485" s="9"/>
      <c r="Y485" s="10"/>
      <c r="Z485" s="6"/>
      <c r="AC485" s="11"/>
    </row>
    <row r="486" spans="1:29" ht="13.5" customHeight="1">
      <c r="A486" s="309"/>
      <c r="B486" s="340"/>
      <c r="C486" s="340"/>
      <c r="D486" s="340"/>
      <c r="E486" s="341"/>
      <c r="F486" s="8"/>
      <c r="G486" s="8"/>
      <c r="H486" s="208"/>
      <c r="I486" s="342"/>
      <c r="K486" s="311"/>
      <c r="L486" s="343"/>
      <c r="M486" s="344"/>
      <c r="N486" s="345"/>
      <c r="O486" s="311"/>
      <c r="P486" s="311"/>
      <c r="Q486" s="311"/>
      <c r="R486" s="346"/>
      <c r="S486" s="347"/>
      <c r="T486" s="348"/>
      <c r="U486" s="10"/>
      <c r="V486" s="349"/>
      <c r="W486" s="350"/>
      <c r="X486" s="9"/>
      <c r="Y486" s="10"/>
      <c r="Z486" s="6"/>
      <c r="AC486" s="11"/>
    </row>
    <row r="487" spans="1:29" ht="13.5" customHeight="1">
      <c r="A487" s="309"/>
      <c r="B487" s="340"/>
      <c r="C487" s="340"/>
      <c r="D487" s="340"/>
      <c r="E487" s="341"/>
      <c r="F487" s="8"/>
      <c r="G487" s="8"/>
      <c r="H487" s="208"/>
      <c r="I487" s="342"/>
      <c r="K487" s="311"/>
      <c r="L487" s="343"/>
      <c r="M487" s="344"/>
      <c r="N487" s="345"/>
      <c r="O487" s="311"/>
      <c r="P487" s="311"/>
      <c r="Q487" s="311"/>
      <c r="R487" s="346"/>
      <c r="S487" s="347"/>
      <c r="T487" s="348"/>
      <c r="U487" s="10"/>
      <c r="V487" s="349"/>
      <c r="W487" s="350"/>
      <c r="X487" s="9"/>
      <c r="Y487" s="10"/>
      <c r="Z487" s="6"/>
      <c r="AC487" s="11"/>
    </row>
    <row r="488" spans="1:29" ht="13.5" customHeight="1">
      <c r="A488" s="309"/>
      <c r="B488" s="340"/>
      <c r="C488" s="340"/>
      <c r="D488" s="340"/>
      <c r="E488" s="341"/>
      <c r="F488" s="8"/>
      <c r="G488" s="8"/>
      <c r="H488" s="208"/>
      <c r="I488" s="342"/>
      <c r="K488" s="311"/>
      <c r="L488" s="343"/>
      <c r="M488" s="344"/>
      <c r="N488" s="345"/>
      <c r="O488" s="311"/>
      <c r="P488" s="311"/>
      <c r="Q488" s="311"/>
      <c r="R488" s="346"/>
      <c r="S488" s="347"/>
      <c r="T488" s="348"/>
      <c r="U488" s="10"/>
      <c r="V488" s="349"/>
      <c r="W488" s="350"/>
      <c r="X488" s="9"/>
      <c r="Y488" s="10"/>
      <c r="Z488" s="6"/>
      <c r="AC488" s="11"/>
    </row>
    <row r="489" spans="1:29" ht="13.5" customHeight="1">
      <c r="A489" s="309"/>
      <c r="B489" s="340"/>
      <c r="C489" s="340"/>
      <c r="D489" s="340"/>
      <c r="E489" s="341"/>
      <c r="F489" s="8"/>
      <c r="G489" s="8"/>
      <c r="H489" s="208"/>
      <c r="I489" s="342"/>
      <c r="K489" s="311"/>
      <c r="L489" s="343"/>
      <c r="M489" s="344"/>
      <c r="N489" s="345"/>
      <c r="O489" s="311"/>
      <c r="P489" s="311"/>
      <c r="Q489" s="311"/>
      <c r="R489" s="346"/>
      <c r="S489" s="347"/>
      <c r="T489" s="348"/>
      <c r="U489" s="10"/>
      <c r="V489" s="349"/>
      <c r="W489" s="350"/>
      <c r="X489" s="9"/>
      <c r="Y489" s="10"/>
      <c r="Z489" s="6"/>
      <c r="AC489" s="11"/>
    </row>
    <row r="490" spans="1:29" ht="13.5" customHeight="1">
      <c r="A490" s="309"/>
      <c r="B490" s="340"/>
      <c r="C490" s="340"/>
      <c r="D490" s="340"/>
      <c r="E490" s="341"/>
      <c r="F490" s="8"/>
      <c r="G490" s="8"/>
      <c r="H490" s="208"/>
      <c r="I490" s="342"/>
      <c r="K490" s="311"/>
      <c r="L490" s="343"/>
      <c r="M490" s="344"/>
      <c r="N490" s="345"/>
      <c r="O490" s="311"/>
      <c r="P490" s="311"/>
      <c r="Q490" s="311"/>
      <c r="R490" s="346"/>
      <c r="S490" s="347"/>
      <c r="T490" s="348"/>
      <c r="U490" s="10"/>
      <c r="V490" s="349"/>
      <c r="W490" s="350"/>
      <c r="X490" s="9"/>
      <c r="Y490" s="10"/>
      <c r="Z490" s="6"/>
      <c r="AC490" s="11"/>
    </row>
    <row r="491" spans="1:29" ht="13.5" customHeight="1">
      <c r="A491" s="309"/>
      <c r="B491" s="340"/>
      <c r="C491" s="340"/>
      <c r="D491" s="340"/>
      <c r="E491" s="341"/>
      <c r="F491" s="8"/>
      <c r="G491" s="8"/>
      <c r="H491" s="208"/>
      <c r="I491" s="342"/>
      <c r="K491" s="311"/>
      <c r="L491" s="343"/>
      <c r="M491" s="344"/>
      <c r="N491" s="345"/>
      <c r="O491" s="311"/>
      <c r="P491" s="311"/>
      <c r="Q491" s="311"/>
      <c r="R491" s="346"/>
      <c r="S491" s="347"/>
      <c r="T491" s="348"/>
      <c r="U491" s="10"/>
      <c r="V491" s="349"/>
      <c r="W491" s="350"/>
      <c r="X491" s="9"/>
      <c r="Y491" s="10"/>
      <c r="Z491" s="6"/>
      <c r="AC491" s="11"/>
    </row>
    <row r="492" spans="1:29" ht="13.5" customHeight="1">
      <c r="A492" s="309"/>
      <c r="B492" s="340"/>
      <c r="C492" s="340"/>
      <c r="D492" s="340"/>
      <c r="E492" s="341"/>
      <c r="F492" s="8"/>
      <c r="G492" s="8"/>
      <c r="H492" s="208"/>
      <c r="I492" s="342"/>
      <c r="K492" s="311"/>
      <c r="L492" s="343"/>
      <c r="M492" s="344"/>
      <c r="N492" s="345"/>
      <c r="O492" s="311"/>
      <c r="P492" s="311"/>
      <c r="Q492" s="311"/>
      <c r="R492" s="346"/>
      <c r="S492" s="347"/>
      <c r="T492" s="348"/>
      <c r="U492" s="10"/>
      <c r="V492" s="349"/>
      <c r="W492" s="350"/>
      <c r="X492" s="9"/>
      <c r="Y492" s="10"/>
      <c r="Z492" s="6"/>
      <c r="AC492" s="11"/>
    </row>
    <row r="493" spans="1:29" ht="13.5" customHeight="1">
      <c r="A493" s="309"/>
      <c r="B493" s="340"/>
      <c r="C493" s="340"/>
      <c r="D493" s="340"/>
      <c r="E493" s="341"/>
      <c r="F493" s="8"/>
      <c r="G493" s="8"/>
      <c r="H493" s="208"/>
      <c r="I493" s="342"/>
      <c r="K493" s="311"/>
      <c r="L493" s="343"/>
      <c r="M493" s="344"/>
      <c r="N493" s="345"/>
      <c r="O493" s="311"/>
      <c r="P493" s="311"/>
      <c r="Q493" s="311"/>
      <c r="R493" s="346"/>
      <c r="S493" s="347"/>
      <c r="T493" s="348"/>
      <c r="U493" s="10"/>
      <c r="V493" s="349"/>
      <c r="W493" s="350"/>
      <c r="X493" s="9"/>
      <c r="Y493" s="10"/>
      <c r="Z493" s="6"/>
      <c r="AC493" s="11"/>
    </row>
    <row r="494" spans="1:29" ht="13.5" customHeight="1">
      <c r="A494" s="309"/>
      <c r="B494" s="340"/>
      <c r="C494" s="340"/>
      <c r="D494" s="340"/>
      <c r="E494" s="341"/>
      <c r="F494" s="8"/>
      <c r="G494" s="8"/>
      <c r="H494" s="208"/>
      <c r="I494" s="342"/>
      <c r="K494" s="311"/>
      <c r="L494" s="343"/>
      <c r="M494" s="344"/>
      <c r="N494" s="345"/>
      <c r="O494" s="311"/>
      <c r="P494" s="311"/>
      <c r="Q494" s="311"/>
      <c r="R494" s="346"/>
      <c r="S494" s="347"/>
      <c r="T494" s="348"/>
      <c r="U494" s="10"/>
      <c r="V494" s="349"/>
      <c r="W494" s="350"/>
      <c r="X494" s="9"/>
      <c r="Y494" s="10"/>
      <c r="Z494" s="6"/>
      <c r="AC494" s="11"/>
    </row>
    <row r="495" spans="1:29" ht="13.5" customHeight="1">
      <c r="A495" s="309"/>
      <c r="B495" s="340"/>
      <c r="C495" s="340"/>
      <c r="D495" s="340"/>
      <c r="E495" s="341"/>
      <c r="F495" s="8"/>
      <c r="G495" s="8"/>
      <c r="H495" s="208"/>
      <c r="I495" s="342"/>
      <c r="K495" s="311"/>
      <c r="L495" s="343"/>
      <c r="M495" s="344"/>
      <c r="N495" s="345"/>
      <c r="O495" s="311"/>
      <c r="P495" s="311"/>
      <c r="Q495" s="311"/>
      <c r="R495" s="346"/>
      <c r="S495" s="347"/>
      <c r="T495" s="348"/>
      <c r="U495" s="10"/>
      <c r="V495" s="349"/>
      <c r="W495" s="350"/>
      <c r="X495" s="9"/>
      <c r="Y495" s="10"/>
      <c r="Z495" s="6"/>
      <c r="AC495" s="11"/>
    </row>
    <row r="496" spans="1:29" ht="13.5" customHeight="1">
      <c r="A496" s="309"/>
      <c r="B496" s="340"/>
      <c r="C496" s="340"/>
      <c r="D496" s="340"/>
      <c r="E496" s="341"/>
      <c r="F496" s="8"/>
      <c r="G496" s="8"/>
      <c r="H496" s="208"/>
      <c r="I496" s="342"/>
      <c r="K496" s="311"/>
      <c r="L496" s="343"/>
      <c r="M496" s="344"/>
      <c r="N496" s="345"/>
      <c r="O496" s="311"/>
      <c r="P496" s="311"/>
      <c r="Q496" s="311"/>
      <c r="R496" s="346"/>
      <c r="S496" s="347"/>
      <c r="T496" s="348"/>
      <c r="U496" s="10"/>
      <c r="V496" s="349"/>
      <c r="W496" s="350"/>
      <c r="X496" s="9"/>
      <c r="Y496" s="10"/>
      <c r="Z496" s="6"/>
      <c r="AC496" s="11"/>
    </row>
    <row r="497" spans="1:29" ht="13.5" customHeight="1">
      <c r="A497" s="309"/>
      <c r="B497" s="340"/>
      <c r="C497" s="340"/>
      <c r="D497" s="340"/>
      <c r="E497" s="341"/>
      <c r="F497" s="8"/>
      <c r="G497" s="8"/>
      <c r="H497" s="208"/>
      <c r="I497" s="342"/>
      <c r="K497" s="311"/>
      <c r="L497" s="343"/>
      <c r="M497" s="344"/>
      <c r="N497" s="345"/>
      <c r="O497" s="311"/>
      <c r="P497" s="311"/>
      <c r="Q497" s="311"/>
      <c r="R497" s="346"/>
      <c r="S497" s="347"/>
      <c r="T497" s="348"/>
      <c r="U497" s="10"/>
      <c r="V497" s="349"/>
      <c r="W497" s="350"/>
      <c r="X497" s="9"/>
      <c r="Y497" s="10"/>
      <c r="Z497" s="6"/>
      <c r="AC497" s="11"/>
    </row>
    <row r="498" spans="1:29" ht="13.5" customHeight="1">
      <c r="A498" s="309"/>
      <c r="B498" s="340"/>
      <c r="C498" s="340"/>
      <c r="D498" s="340"/>
      <c r="E498" s="341"/>
      <c r="F498" s="8"/>
      <c r="G498" s="8"/>
      <c r="H498" s="208"/>
      <c r="I498" s="342"/>
      <c r="K498" s="311"/>
      <c r="L498" s="343"/>
      <c r="M498" s="344"/>
      <c r="N498" s="345"/>
      <c r="O498" s="311"/>
      <c r="P498" s="311"/>
      <c r="Q498" s="311"/>
      <c r="R498" s="346"/>
      <c r="S498" s="347"/>
      <c r="T498" s="348"/>
      <c r="U498" s="10"/>
      <c r="V498" s="349"/>
      <c r="W498" s="350"/>
      <c r="X498" s="9"/>
      <c r="Y498" s="10"/>
      <c r="Z498" s="6"/>
      <c r="AC498" s="11"/>
    </row>
    <row r="499" spans="1:29" ht="13.5" customHeight="1">
      <c r="A499" s="309"/>
      <c r="B499" s="340"/>
      <c r="C499" s="340"/>
      <c r="D499" s="340"/>
      <c r="E499" s="341"/>
      <c r="F499" s="8"/>
      <c r="G499" s="8"/>
      <c r="H499" s="208"/>
      <c r="I499" s="342"/>
      <c r="K499" s="311"/>
      <c r="L499" s="343"/>
      <c r="M499" s="344"/>
      <c r="N499" s="345"/>
      <c r="O499" s="311"/>
      <c r="P499" s="311"/>
      <c r="Q499" s="311"/>
      <c r="R499" s="346"/>
      <c r="S499" s="347"/>
      <c r="T499" s="348"/>
      <c r="U499" s="10"/>
      <c r="V499" s="349"/>
      <c r="W499" s="350"/>
      <c r="X499" s="9"/>
      <c r="Y499" s="10"/>
      <c r="Z499" s="6"/>
      <c r="AC499" s="11"/>
    </row>
    <row r="500" spans="1:29" ht="13.5" customHeight="1">
      <c r="A500" s="309"/>
      <c r="B500" s="340"/>
      <c r="C500" s="340"/>
      <c r="D500" s="340"/>
      <c r="E500" s="341"/>
      <c r="F500" s="8"/>
      <c r="G500" s="8"/>
      <c r="H500" s="208"/>
      <c r="I500" s="342"/>
      <c r="K500" s="311"/>
      <c r="L500" s="343"/>
      <c r="M500" s="344"/>
      <c r="N500" s="345"/>
      <c r="O500" s="311"/>
      <c r="P500" s="311"/>
      <c r="Q500" s="311"/>
      <c r="R500" s="346"/>
      <c r="S500" s="347"/>
      <c r="T500" s="348"/>
      <c r="U500" s="10"/>
      <c r="V500" s="349"/>
      <c r="W500" s="350"/>
      <c r="X500" s="9"/>
      <c r="Y500" s="10"/>
      <c r="Z500" s="6"/>
      <c r="AC500" s="11"/>
    </row>
    <row r="501" spans="1:29" ht="13.5" customHeight="1">
      <c r="A501" s="309"/>
      <c r="B501" s="340"/>
      <c r="C501" s="340"/>
      <c r="D501" s="340"/>
      <c r="E501" s="341"/>
      <c r="F501" s="8"/>
      <c r="G501" s="8"/>
      <c r="H501" s="208"/>
      <c r="I501" s="342"/>
      <c r="K501" s="311"/>
      <c r="L501" s="343"/>
      <c r="M501" s="344"/>
      <c r="N501" s="345"/>
      <c r="O501" s="311"/>
      <c r="P501" s="311"/>
      <c r="Q501" s="311"/>
      <c r="R501" s="346"/>
      <c r="S501" s="347"/>
      <c r="T501" s="348"/>
      <c r="U501" s="10"/>
      <c r="V501" s="349"/>
      <c r="W501" s="350"/>
      <c r="X501" s="9"/>
      <c r="Y501" s="10"/>
      <c r="Z501" s="6"/>
      <c r="AC501" s="11"/>
    </row>
    <row r="502" spans="1:29" ht="13.5" customHeight="1">
      <c r="A502" s="309"/>
      <c r="B502" s="340"/>
      <c r="C502" s="340"/>
      <c r="D502" s="340"/>
      <c r="E502" s="341"/>
      <c r="F502" s="8"/>
      <c r="G502" s="8"/>
      <c r="H502" s="208"/>
      <c r="I502" s="342"/>
      <c r="K502" s="311"/>
      <c r="L502" s="343"/>
      <c r="M502" s="344"/>
      <c r="N502" s="345"/>
      <c r="O502" s="311"/>
      <c r="P502" s="311"/>
      <c r="Q502" s="311"/>
      <c r="R502" s="346"/>
      <c r="S502" s="347"/>
      <c r="T502" s="348"/>
      <c r="U502" s="10"/>
      <c r="V502" s="349"/>
      <c r="W502" s="350"/>
      <c r="X502" s="9"/>
      <c r="Y502" s="10"/>
      <c r="Z502" s="6"/>
      <c r="AC502" s="11"/>
    </row>
    <row r="503" spans="1:29" ht="13.5" customHeight="1">
      <c r="A503" s="309"/>
      <c r="B503" s="340"/>
      <c r="C503" s="340"/>
      <c r="D503" s="340"/>
      <c r="E503" s="341"/>
      <c r="F503" s="8"/>
      <c r="G503" s="8"/>
      <c r="H503" s="208"/>
      <c r="I503" s="342"/>
      <c r="K503" s="311"/>
      <c r="L503" s="343"/>
      <c r="M503" s="344"/>
      <c r="N503" s="345"/>
      <c r="O503" s="311"/>
      <c r="P503" s="311"/>
      <c r="Q503" s="311"/>
      <c r="R503" s="346"/>
      <c r="S503" s="347"/>
      <c r="T503" s="348"/>
      <c r="U503" s="10"/>
      <c r="V503" s="349"/>
      <c r="W503" s="350"/>
      <c r="X503" s="9"/>
      <c r="Y503" s="10"/>
      <c r="Z503" s="6"/>
      <c r="AC503" s="11"/>
    </row>
    <row r="504" spans="1:29" ht="13.5" customHeight="1">
      <c r="A504" s="309"/>
      <c r="B504" s="340"/>
      <c r="C504" s="340"/>
      <c r="D504" s="340"/>
      <c r="E504" s="341"/>
      <c r="F504" s="8"/>
      <c r="G504" s="8"/>
      <c r="H504" s="208"/>
      <c r="I504" s="342"/>
      <c r="K504" s="311"/>
      <c r="L504" s="343"/>
      <c r="M504" s="344"/>
      <c r="N504" s="345"/>
      <c r="O504" s="311"/>
      <c r="P504" s="311"/>
      <c r="Q504" s="311"/>
      <c r="R504" s="346"/>
      <c r="S504" s="347"/>
      <c r="T504" s="348"/>
      <c r="U504" s="10"/>
      <c r="V504" s="349"/>
      <c r="W504" s="350"/>
      <c r="X504" s="9"/>
      <c r="Y504" s="10"/>
      <c r="Z504" s="6"/>
      <c r="AC504" s="11"/>
    </row>
    <row r="505" spans="1:29" ht="13.5" customHeight="1">
      <c r="A505" s="309"/>
      <c r="B505" s="340"/>
      <c r="C505" s="340"/>
      <c r="D505" s="340"/>
      <c r="E505" s="341"/>
      <c r="F505" s="8"/>
      <c r="G505" s="8"/>
      <c r="H505" s="208"/>
      <c r="I505" s="342"/>
      <c r="K505" s="311"/>
      <c r="L505" s="343"/>
      <c r="M505" s="344"/>
      <c r="N505" s="345"/>
      <c r="O505" s="311"/>
      <c r="P505" s="311"/>
      <c r="Q505" s="311"/>
      <c r="R505" s="346"/>
      <c r="S505" s="347"/>
      <c r="T505" s="348"/>
      <c r="U505" s="10"/>
      <c r="V505" s="349"/>
      <c r="W505" s="350"/>
      <c r="X505" s="9"/>
      <c r="Y505" s="10"/>
      <c r="Z505" s="6"/>
      <c r="AC505" s="11"/>
    </row>
    <row r="506" spans="1:29" ht="13.5" customHeight="1">
      <c r="A506" s="309"/>
      <c r="B506" s="340"/>
      <c r="C506" s="340"/>
      <c r="D506" s="340"/>
      <c r="E506" s="341"/>
      <c r="F506" s="8"/>
      <c r="G506" s="8"/>
      <c r="H506" s="208"/>
      <c r="I506" s="342"/>
      <c r="K506" s="311"/>
      <c r="L506" s="343"/>
      <c r="M506" s="344"/>
      <c r="N506" s="345"/>
      <c r="O506" s="311"/>
      <c r="P506" s="311"/>
      <c r="Q506" s="311"/>
      <c r="R506" s="346"/>
      <c r="S506" s="347"/>
      <c r="T506" s="348"/>
      <c r="U506" s="10"/>
      <c r="V506" s="349"/>
      <c r="W506" s="350"/>
      <c r="X506" s="9"/>
      <c r="Y506" s="10"/>
      <c r="Z506" s="6"/>
      <c r="AC506" s="11"/>
    </row>
    <row r="507" spans="1:29" ht="13.5" customHeight="1">
      <c r="A507" s="309"/>
      <c r="B507" s="340"/>
      <c r="C507" s="340"/>
      <c r="D507" s="340"/>
      <c r="E507" s="341"/>
      <c r="F507" s="8"/>
      <c r="G507" s="8"/>
      <c r="H507" s="208"/>
      <c r="I507" s="342"/>
      <c r="K507" s="311"/>
      <c r="L507" s="343"/>
      <c r="M507" s="344"/>
      <c r="N507" s="345"/>
      <c r="O507" s="311"/>
      <c r="P507" s="311"/>
      <c r="Q507" s="311"/>
      <c r="R507" s="346"/>
      <c r="S507" s="347"/>
      <c r="T507" s="348"/>
      <c r="U507" s="10"/>
      <c r="V507" s="349"/>
      <c r="W507" s="350"/>
      <c r="X507" s="9"/>
      <c r="Y507" s="10"/>
      <c r="Z507" s="6"/>
      <c r="AC507" s="11"/>
    </row>
    <row r="508" spans="1:29" ht="13.5" customHeight="1">
      <c r="A508" s="309"/>
      <c r="B508" s="340"/>
      <c r="C508" s="340"/>
      <c r="D508" s="340"/>
      <c r="E508" s="341"/>
      <c r="F508" s="8"/>
      <c r="G508" s="8"/>
      <c r="H508" s="208"/>
      <c r="I508" s="342"/>
      <c r="K508" s="311"/>
      <c r="L508" s="343"/>
      <c r="M508" s="344"/>
      <c r="N508" s="345"/>
      <c r="O508" s="311"/>
      <c r="P508" s="311"/>
      <c r="Q508" s="311"/>
      <c r="R508" s="346"/>
      <c r="S508" s="347"/>
      <c r="T508" s="348"/>
      <c r="U508" s="10"/>
      <c r="V508" s="349"/>
      <c r="W508" s="350"/>
      <c r="X508" s="9"/>
      <c r="Y508" s="10"/>
      <c r="Z508" s="6"/>
      <c r="AC508" s="11"/>
    </row>
    <row r="509" spans="1:29" ht="13.5" customHeight="1">
      <c r="A509" s="309"/>
      <c r="B509" s="340"/>
      <c r="C509" s="340"/>
      <c r="D509" s="340"/>
      <c r="E509" s="341"/>
      <c r="F509" s="8"/>
      <c r="G509" s="8"/>
      <c r="H509" s="208"/>
      <c r="I509" s="342"/>
      <c r="K509" s="311"/>
      <c r="L509" s="343"/>
      <c r="M509" s="344"/>
      <c r="N509" s="345"/>
      <c r="O509" s="311"/>
      <c r="P509" s="311"/>
      <c r="Q509" s="311"/>
      <c r="R509" s="346"/>
      <c r="S509" s="347"/>
      <c r="T509" s="348"/>
      <c r="U509" s="10"/>
      <c r="V509" s="349"/>
      <c r="W509" s="350"/>
      <c r="X509" s="9"/>
      <c r="Y509" s="10"/>
      <c r="Z509" s="6"/>
      <c r="AC509" s="11"/>
    </row>
    <row r="510" spans="1:29" ht="13.5" customHeight="1">
      <c r="A510" s="309"/>
      <c r="B510" s="340"/>
      <c r="C510" s="340"/>
      <c r="D510" s="340"/>
      <c r="E510" s="341"/>
      <c r="F510" s="8"/>
      <c r="G510" s="8"/>
      <c r="H510" s="208"/>
      <c r="I510" s="342"/>
      <c r="K510" s="311"/>
      <c r="L510" s="343"/>
      <c r="M510" s="344"/>
      <c r="N510" s="345"/>
      <c r="O510" s="311"/>
      <c r="P510" s="311"/>
      <c r="Q510" s="311"/>
      <c r="R510" s="346"/>
      <c r="S510" s="347"/>
      <c r="T510" s="348"/>
      <c r="U510" s="10"/>
      <c r="V510" s="349"/>
      <c r="W510" s="350"/>
      <c r="X510" s="9"/>
      <c r="Y510" s="10"/>
      <c r="Z510" s="6"/>
      <c r="AC510" s="11"/>
    </row>
    <row r="511" spans="1:29" ht="13.5" customHeight="1">
      <c r="A511" s="309"/>
      <c r="B511" s="340"/>
      <c r="C511" s="340"/>
      <c r="D511" s="340"/>
      <c r="E511" s="341"/>
      <c r="F511" s="8"/>
      <c r="G511" s="8"/>
      <c r="H511" s="208"/>
      <c r="I511" s="342"/>
      <c r="K511" s="311"/>
      <c r="L511" s="343"/>
      <c r="M511" s="344"/>
      <c r="N511" s="345"/>
      <c r="O511" s="311"/>
      <c r="P511" s="311"/>
      <c r="Q511" s="311"/>
      <c r="R511" s="346"/>
      <c r="S511" s="347"/>
      <c r="T511" s="348"/>
      <c r="U511" s="10"/>
      <c r="V511" s="349"/>
      <c r="W511" s="350"/>
      <c r="X511" s="9"/>
      <c r="Y511" s="10"/>
      <c r="Z511" s="6"/>
      <c r="AC511" s="11"/>
    </row>
    <row r="512" spans="1:29" ht="13.5" customHeight="1">
      <c r="A512" s="309"/>
      <c r="B512" s="340"/>
      <c r="C512" s="340"/>
      <c r="D512" s="340"/>
      <c r="E512" s="341"/>
      <c r="F512" s="8"/>
      <c r="G512" s="8"/>
      <c r="H512" s="208"/>
      <c r="I512" s="342"/>
      <c r="K512" s="311"/>
      <c r="L512" s="343"/>
      <c r="M512" s="344"/>
      <c r="N512" s="345"/>
      <c r="O512" s="311"/>
      <c r="P512" s="311"/>
      <c r="Q512" s="311"/>
      <c r="R512" s="346"/>
      <c r="S512" s="347"/>
      <c r="T512" s="348"/>
      <c r="U512" s="10"/>
      <c r="V512" s="349"/>
      <c r="W512" s="350"/>
      <c r="X512" s="9"/>
      <c r="Y512" s="10"/>
      <c r="Z512" s="6"/>
      <c r="AC512" s="11"/>
    </row>
    <row r="513" spans="1:29" ht="13.5" customHeight="1">
      <c r="A513" s="309"/>
      <c r="B513" s="340"/>
      <c r="C513" s="340"/>
      <c r="D513" s="340"/>
      <c r="E513" s="341"/>
      <c r="F513" s="8"/>
      <c r="G513" s="8"/>
      <c r="H513" s="208"/>
      <c r="I513" s="342"/>
      <c r="K513" s="311"/>
      <c r="L513" s="343"/>
      <c r="M513" s="344"/>
      <c r="N513" s="345"/>
      <c r="O513" s="311"/>
      <c r="P513" s="311"/>
      <c r="Q513" s="311"/>
      <c r="R513" s="346"/>
      <c r="S513" s="347"/>
      <c r="T513" s="348"/>
      <c r="U513" s="10"/>
      <c r="V513" s="349"/>
      <c r="W513" s="350"/>
      <c r="X513" s="9"/>
      <c r="Y513" s="10"/>
      <c r="Z513" s="6"/>
      <c r="AC513" s="11"/>
    </row>
    <row r="514" spans="1:29" ht="13.5" customHeight="1">
      <c r="A514" s="309"/>
      <c r="B514" s="340"/>
      <c r="C514" s="340"/>
      <c r="D514" s="340"/>
      <c r="E514" s="341"/>
      <c r="F514" s="8"/>
      <c r="G514" s="8"/>
      <c r="H514" s="208"/>
      <c r="I514" s="342"/>
      <c r="K514" s="311"/>
      <c r="L514" s="343"/>
      <c r="M514" s="344"/>
      <c r="N514" s="345"/>
      <c r="O514" s="311"/>
      <c r="P514" s="311"/>
      <c r="Q514" s="311"/>
      <c r="R514" s="346"/>
      <c r="S514" s="347"/>
      <c r="T514" s="348"/>
      <c r="U514" s="10"/>
      <c r="V514" s="349"/>
      <c r="W514" s="350"/>
      <c r="X514" s="9"/>
      <c r="Y514" s="10"/>
      <c r="Z514" s="6"/>
      <c r="AC514" s="11"/>
    </row>
    <row r="515" spans="1:29" ht="13.5" customHeight="1">
      <c r="A515" s="309"/>
      <c r="B515" s="340"/>
      <c r="C515" s="340"/>
      <c r="D515" s="340"/>
      <c r="E515" s="341"/>
      <c r="F515" s="8"/>
      <c r="G515" s="8"/>
      <c r="H515" s="208"/>
      <c r="I515" s="342"/>
      <c r="K515" s="311"/>
      <c r="L515" s="343"/>
      <c r="M515" s="344"/>
      <c r="N515" s="345"/>
      <c r="O515" s="311"/>
      <c r="P515" s="311"/>
      <c r="Q515" s="311"/>
      <c r="R515" s="346"/>
      <c r="S515" s="347"/>
      <c r="T515" s="348"/>
      <c r="U515" s="10"/>
      <c r="V515" s="349"/>
      <c r="W515" s="350"/>
      <c r="X515" s="9"/>
      <c r="Y515" s="10"/>
      <c r="Z515" s="6"/>
      <c r="AC515" s="11"/>
    </row>
    <row r="516" spans="1:29" ht="13.5" customHeight="1">
      <c r="A516" s="309"/>
      <c r="B516" s="340"/>
      <c r="C516" s="340"/>
      <c r="D516" s="340"/>
      <c r="E516" s="341"/>
      <c r="F516" s="8"/>
      <c r="G516" s="8"/>
      <c r="H516" s="208"/>
      <c r="I516" s="342"/>
      <c r="K516" s="311"/>
      <c r="L516" s="343"/>
      <c r="M516" s="344"/>
      <c r="N516" s="345"/>
      <c r="O516" s="311"/>
      <c r="P516" s="311"/>
      <c r="Q516" s="311"/>
      <c r="R516" s="346"/>
      <c r="S516" s="347"/>
      <c r="T516" s="348"/>
      <c r="U516" s="10"/>
      <c r="V516" s="349"/>
      <c r="W516" s="350"/>
      <c r="X516" s="9"/>
      <c r="Y516" s="10"/>
      <c r="Z516" s="6"/>
      <c r="AC516" s="11"/>
    </row>
    <row r="517" spans="1:29" ht="13.5" customHeight="1">
      <c r="A517" s="309"/>
      <c r="B517" s="340"/>
      <c r="C517" s="340"/>
      <c r="D517" s="340"/>
      <c r="E517" s="341"/>
      <c r="F517" s="8"/>
      <c r="G517" s="8"/>
      <c r="H517" s="208"/>
      <c r="I517" s="342"/>
      <c r="K517" s="311"/>
      <c r="L517" s="343"/>
      <c r="M517" s="344"/>
      <c r="N517" s="345"/>
      <c r="O517" s="311"/>
      <c r="P517" s="311"/>
      <c r="Q517" s="311"/>
      <c r="R517" s="346"/>
      <c r="S517" s="347"/>
      <c r="T517" s="348"/>
      <c r="U517" s="10"/>
      <c r="V517" s="349"/>
      <c r="W517" s="350"/>
      <c r="X517" s="9"/>
      <c r="Y517" s="10"/>
      <c r="Z517" s="6"/>
      <c r="AC517" s="11"/>
    </row>
    <row r="518" spans="1:29" ht="13.5" customHeight="1">
      <c r="A518" s="309"/>
      <c r="B518" s="340"/>
      <c r="C518" s="340"/>
      <c r="D518" s="340"/>
      <c r="E518" s="341"/>
      <c r="F518" s="8"/>
      <c r="G518" s="8"/>
      <c r="H518" s="208"/>
      <c r="I518" s="342"/>
      <c r="K518" s="311"/>
      <c r="L518" s="343"/>
      <c r="M518" s="344"/>
      <c r="N518" s="345"/>
      <c r="O518" s="311"/>
      <c r="P518" s="311"/>
      <c r="Q518" s="311"/>
      <c r="R518" s="346"/>
      <c r="S518" s="347"/>
      <c r="T518" s="348"/>
      <c r="U518" s="10"/>
      <c r="V518" s="349"/>
      <c r="W518" s="350"/>
      <c r="X518" s="9"/>
      <c r="Y518" s="10"/>
      <c r="Z518" s="6"/>
      <c r="AC518" s="11"/>
    </row>
    <row r="519" spans="1:29" ht="13.5" customHeight="1">
      <c r="A519" s="309"/>
      <c r="B519" s="340"/>
      <c r="C519" s="340"/>
      <c r="D519" s="340"/>
      <c r="E519" s="341"/>
      <c r="F519" s="8"/>
      <c r="G519" s="8"/>
      <c r="H519" s="208"/>
      <c r="I519" s="342"/>
      <c r="K519" s="311"/>
      <c r="L519" s="343"/>
      <c r="M519" s="344"/>
      <c r="N519" s="345"/>
      <c r="O519" s="311"/>
      <c r="P519" s="311"/>
      <c r="Q519" s="311"/>
      <c r="R519" s="346"/>
      <c r="S519" s="347"/>
      <c r="T519" s="348"/>
      <c r="U519" s="10"/>
      <c r="V519" s="349"/>
      <c r="W519" s="350"/>
      <c r="X519" s="9"/>
      <c r="Y519" s="10"/>
      <c r="Z519" s="6"/>
      <c r="AC519" s="11"/>
    </row>
    <row r="520" spans="1:29" ht="13.5" customHeight="1">
      <c r="A520" s="309"/>
      <c r="B520" s="340"/>
      <c r="C520" s="340"/>
      <c r="D520" s="340"/>
      <c r="E520" s="341"/>
      <c r="F520" s="8"/>
      <c r="G520" s="8"/>
      <c r="H520" s="208"/>
      <c r="I520" s="342"/>
      <c r="K520" s="311"/>
      <c r="L520" s="343"/>
      <c r="M520" s="344"/>
      <c r="N520" s="345"/>
      <c r="O520" s="311"/>
      <c r="P520" s="311"/>
      <c r="Q520" s="311"/>
      <c r="R520" s="346"/>
      <c r="S520" s="347"/>
      <c r="T520" s="348"/>
      <c r="U520" s="10"/>
      <c r="V520" s="349"/>
      <c r="W520" s="350"/>
      <c r="X520" s="9"/>
      <c r="Y520" s="10"/>
      <c r="Z520" s="6"/>
      <c r="AC520" s="11"/>
    </row>
    <row r="521" spans="1:29" ht="13.5" customHeight="1">
      <c r="A521" s="309"/>
      <c r="B521" s="340"/>
      <c r="C521" s="340"/>
      <c r="D521" s="340"/>
      <c r="E521" s="341"/>
      <c r="F521" s="8"/>
      <c r="G521" s="8"/>
      <c r="H521" s="208"/>
      <c r="I521" s="342"/>
      <c r="K521" s="311"/>
      <c r="L521" s="343"/>
      <c r="M521" s="344"/>
      <c r="N521" s="345"/>
      <c r="O521" s="311"/>
      <c r="P521" s="311"/>
      <c r="Q521" s="311"/>
      <c r="R521" s="346"/>
      <c r="S521" s="347"/>
      <c r="T521" s="348"/>
      <c r="U521" s="10"/>
      <c r="V521" s="349"/>
      <c r="W521" s="350"/>
      <c r="X521" s="9"/>
      <c r="Y521" s="10"/>
      <c r="Z521" s="6"/>
      <c r="AC521" s="11"/>
    </row>
    <row r="522" spans="1:29" ht="13.5" customHeight="1">
      <c r="A522" s="309"/>
      <c r="B522" s="340"/>
      <c r="C522" s="340"/>
      <c r="D522" s="340"/>
      <c r="E522" s="341"/>
      <c r="F522" s="8"/>
      <c r="G522" s="8"/>
      <c r="H522" s="208"/>
      <c r="I522" s="342"/>
      <c r="K522" s="311"/>
      <c r="L522" s="343"/>
      <c r="M522" s="344"/>
      <c r="N522" s="345"/>
      <c r="O522" s="311"/>
      <c r="P522" s="311"/>
      <c r="Q522" s="311"/>
      <c r="R522" s="346"/>
      <c r="S522" s="347"/>
      <c r="T522" s="348"/>
      <c r="U522" s="10"/>
      <c r="V522" s="349"/>
      <c r="W522" s="350"/>
      <c r="X522" s="9"/>
      <c r="Y522" s="10"/>
      <c r="Z522" s="6"/>
      <c r="AC522" s="11"/>
    </row>
    <row r="523" spans="1:29" ht="13.5" customHeight="1">
      <c r="A523" s="309"/>
      <c r="B523" s="340"/>
      <c r="C523" s="340"/>
      <c r="D523" s="340"/>
      <c r="E523" s="341"/>
      <c r="F523" s="8"/>
      <c r="G523" s="8"/>
      <c r="H523" s="208"/>
      <c r="I523" s="342"/>
      <c r="K523" s="311"/>
      <c r="L523" s="343"/>
      <c r="M523" s="344"/>
      <c r="N523" s="345"/>
      <c r="O523" s="311"/>
      <c r="P523" s="311"/>
      <c r="Q523" s="311"/>
      <c r="R523" s="346"/>
      <c r="S523" s="347"/>
      <c r="T523" s="348"/>
      <c r="U523" s="10"/>
      <c r="V523" s="349"/>
      <c r="W523" s="350"/>
      <c r="X523" s="9"/>
      <c r="Y523" s="10"/>
      <c r="Z523" s="6"/>
      <c r="AC523" s="11"/>
    </row>
    <row r="524" spans="1:29" ht="13.5" customHeight="1">
      <c r="A524" s="309"/>
      <c r="B524" s="340"/>
      <c r="C524" s="340"/>
      <c r="D524" s="340"/>
      <c r="E524" s="341"/>
      <c r="F524" s="8"/>
      <c r="G524" s="8"/>
      <c r="H524" s="208"/>
      <c r="I524" s="342"/>
      <c r="K524" s="311"/>
      <c r="L524" s="343"/>
      <c r="M524" s="344"/>
      <c r="N524" s="345"/>
      <c r="O524" s="311"/>
      <c r="P524" s="311"/>
      <c r="Q524" s="311"/>
      <c r="R524" s="346"/>
      <c r="S524" s="347"/>
      <c r="T524" s="348"/>
      <c r="U524" s="10"/>
      <c r="V524" s="349"/>
      <c r="W524" s="350"/>
      <c r="X524" s="9"/>
      <c r="Y524" s="10"/>
      <c r="Z524" s="6"/>
      <c r="AC524" s="11"/>
    </row>
    <row r="525" spans="1:29" ht="13.5" customHeight="1">
      <c r="A525" s="309"/>
      <c r="B525" s="340"/>
      <c r="C525" s="340"/>
      <c r="D525" s="340"/>
      <c r="E525" s="341"/>
      <c r="F525" s="8"/>
      <c r="G525" s="8"/>
      <c r="H525" s="208"/>
      <c r="I525" s="342"/>
      <c r="K525" s="311"/>
      <c r="L525" s="343"/>
      <c r="M525" s="344"/>
      <c r="N525" s="345"/>
      <c r="O525" s="311"/>
      <c r="P525" s="311"/>
      <c r="Q525" s="311"/>
      <c r="R525" s="346"/>
      <c r="S525" s="347"/>
      <c r="T525" s="348"/>
      <c r="U525" s="10"/>
      <c r="V525" s="349"/>
      <c r="W525" s="350"/>
      <c r="X525" s="9"/>
      <c r="Y525" s="10"/>
      <c r="Z525" s="6"/>
      <c r="AC525" s="11"/>
    </row>
    <row r="526" spans="1:29" ht="13.5" customHeight="1">
      <c r="A526" s="309"/>
      <c r="B526" s="340"/>
      <c r="C526" s="340"/>
      <c r="D526" s="340"/>
      <c r="E526" s="341"/>
      <c r="F526" s="8"/>
      <c r="G526" s="8"/>
      <c r="H526" s="208"/>
      <c r="I526" s="342"/>
      <c r="K526" s="311"/>
      <c r="L526" s="343"/>
      <c r="M526" s="344"/>
      <c r="N526" s="345"/>
      <c r="O526" s="311"/>
      <c r="P526" s="311"/>
      <c r="Q526" s="311"/>
      <c r="R526" s="346"/>
      <c r="S526" s="347"/>
      <c r="T526" s="348"/>
      <c r="U526" s="10"/>
      <c r="V526" s="349"/>
      <c r="W526" s="350"/>
      <c r="X526" s="9"/>
      <c r="Y526" s="10"/>
      <c r="Z526" s="6"/>
      <c r="AC526" s="11"/>
    </row>
    <row r="527" spans="1:29" ht="13.5" customHeight="1">
      <c r="A527" s="309"/>
      <c r="B527" s="340"/>
      <c r="C527" s="340"/>
      <c r="D527" s="340"/>
      <c r="E527" s="341"/>
      <c r="F527" s="8"/>
      <c r="G527" s="8"/>
      <c r="H527" s="208"/>
      <c r="I527" s="342"/>
      <c r="K527" s="311"/>
      <c r="L527" s="343"/>
      <c r="M527" s="344"/>
      <c r="N527" s="345"/>
      <c r="O527" s="311"/>
      <c r="P527" s="311"/>
      <c r="Q527" s="311"/>
      <c r="R527" s="346"/>
      <c r="S527" s="347"/>
      <c r="T527" s="348"/>
      <c r="U527" s="10"/>
      <c r="V527" s="349"/>
      <c r="W527" s="350"/>
      <c r="X527" s="9"/>
      <c r="Y527" s="10"/>
      <c r="Z527" s="6"/>
      <c r="AC527" s="11"/>
    </row>
    <row r="528" spans="1:29" ht="13.5" customHeight="1">
      <c r="A528" s="309"/>
      <c r="B528" s="340"/>
      <c r="C528" s="340"/>
      <c r="D528" s="340"/>
      <c r="E528" s="341"/>
      <c r="F528" s="8"/>
      <c r="G528" s="8"/>
      <c r="H528" s="208"/>
      <c r="I528" s="342"/>
      <c r="K528" s="311"/>
      <c r="L528" s="343"/>
      <c r="M528" s="344"/>
      <c r="N528" s="345"/>
      <c r="O528" s="311"/>
      <c r="P528" s="311"/>
      <c r="Q528" s="311"/>
      <c r="R528" s="346"/>
      <c r="S528" s="347"/>
      <c r="T528" s="348"/>
      <c r="U528" s="10"/>
      <c r="V528" s="349"/>
      <c r="W528" s="350"/>
      <c r="X528" s="9"/>
      <c r="Y528" s="10"/>
      <c r="Z528" s="6"/>
      <c r="AC528" s="11"/>
    </row>
    <row r="529" spans="1:29" ht="13.5" customHeight="1">
      <c r="A529" s="309"/>
      <c r="B529" s="340"/>
      <c r="C529" s="340"/>
      <c r="D529" s="340"/>
      <c r="E529" s="341"/>
      <c r="F529" s="8"/>
      <c r="G529" s="8"/>
      <c r="H529" s="208"/>
      <c r="I529" s="342"/>
      <c r="K529" s="311"/>
      <c r="L529" s="343"/>
      <c r="M529" s="344"/>
      <c r="N529" s="345"/>
      <c r="O529" s="311"/>
      <c r="P529" s="311"/>
      <c r="Q529" s="311"/>
      <c r="R529" s="346"/>
      <c r="S529" s="347"/>
      <c r="T529" s="348"/>
      <c r="U529" s="10"/>
      <c r="V529" s="349"/>
      <c r="W529" s="350"/>
      <c r="X529" s="9"/>
      <c r="Y529" s="10"/>
      <c r="Z529" s="6"/>
      <c r="AC529" s="11"/>
    </row>
    <row r="530" spans="1:29" ht="13.5" customHeight="1">
      <c r="A530" s="309"/>
      <c r="B530" s="340"/>
      <c r="C530" s="340"/>
      <c r="D530" s="340"/>
      <c r="E530" s="341"/>
      <c r="F530" s="8"/>
      <c r="G530" s="8"/>
      <c r="H530" s="208"/>
      <c r="I530" s="342"/>
      <c r="K530" s="311"/>
      <c r="L530" s="343"/>
      <c r="M530" s="344"/>
      <c r="N530" s="345"/>
      <c r="O530" s="311"/>
      <c r="P530" s="311"/>
      <c r="Q530" s="311"/>
      <c r="R530" s="346"/>
      <c r="S530" s="347"/>
      <c r="T530" s="348"/>
      <c r="U530" s="10"/>
      <c r="V530" s="349"/>
      <c r="W530" s="350"/>
      <c r="X530" s="9"/>
      <c r="Y530" s="10"/>
      <c r="Z530" s="6"/>
      <c r="AC530" s="11"/>
    </row>
    <row r="531" spans="1:29" ht="13.5" customHeight="1">
      <c r="A531" s="309"/>
      <c r="B531" s="340"/>
      <c r="C531" s="340"/>
      <c r="D531" s="340"/>
      <c r="E531" s="341"/>
      <c r="F531" s="8"/>
      <c r="G531" s="8"/>
      <c r="H531" s="208"/>
      <c r="I531" s="342"/>
      <c r="K531" s="311"/>
      <c r="L531" s="343"/>
      <c r="M531" s="344"/>
      <c r="N531" s="345"/>
      <c r="O531" s="311"/>
      <c r="P531" s="311"/>
      <c r="Q531" s="311"/>
      <c r="R531" s="346"/>
      <c r="S531" s="347"/>
      <c r="T531" s="348"/>
      <c r="U531" s="10"/>
      <c r="V531" s="349"/>
      <c r="W531" s="350"/>
      <c r="X531" s="9"/>
      <c r="Y531" s="10"/>
      <c r="Z531" s="6"/>
      <c r="AC531" s="11"/>
    </row>
    <row r="532" spans="1:29" ht="13.5" customHeight="1">
      <c r="A532" s="309"/>
      <c r="B532" s="340"/>
      <c r="C532" s="340"/>
      <c r="D532" s="340"/>
      <c r="E532" s="341"/>
      <c r="F532" s="8"/>
      <c r="G532" s="8"/>
      <c r="H532" s="208"/>
      <c r="I532" s="342"/>
      <c r="K532" s="311"/>
      <c r="L532" s="343"/>
      <c r="M532" s="344"/>
      <c r="N532" s="345"/>
      <c r="O532" s="311"/>
      <c r="P532" s="311"/>
      <c r="Q532" s="311"/>
      <c r="R532" s="346"/>
      <c r="S532" s="347"/>
      <c r="T532" s="348"/>
      <c r="U532" s="10"/>
      <c r="V532" s="349"/>
      <c r="W532" s="350"/>
      <c r="X532" s="9"/>
      <c r="Y532" s="10"/>
      <c r="Z532" s="6"/>
      <c r="AC532" s="11"/>
    </row>
    <row r="533" spans="1:29" ht="13.5" customHeight="1">
      <c r="A533" s="309"/>
      <c r="B533" s="340"/>
      <c r="C533" s="340"/>
      <c r="D533" s="340"/>
      <c r="E533" s="341"/>
      <c r="F533" s="8"/>
      <c r="G533" s="8"/>
      <c r="H533" s="208"/>
      <c r="I533" s="342"/>
      <c r="K533" s="311"/>
      <c r="L533" s="343"/>
      <c r="M533" s="344"/>
      <c r="N533" s="345"/>
      <c r="O533" s="311"/>
      <c r="P533" s="311"/>
      <c r="Q533" s="311"/>
      <c r="R533" s="346"/>
      <c r="S533" s="347"/>
      <c r="T533" s="348"/>
      <c r="U533" s="10"/>
      <c r="V533" s="349"/>
      <c r="W533" s="350"/>
      <c r="X533" s="9"/>
      <c r="Y533" s="10"/>
      <c r="Z533" s="6"/>
      <c r="AC533" s="11"/>
    </row>
    <row r="534" spans="1:29" ht="13.5" customHeight="1">
      <c r="A534" s="309"/>
      <c r="B534" s="340"/>
      <c r="C534" s="340"/>
      <c r="D534" s="340"/>
      <c r="E534" s="341"/>
      <c r="F534" s="8"/>
      <c r="G534" s="8"/>
      <c r="H534" s="208"/>
      <c r="I534" s="342"/>
      <c r="K534" s="311"/>
      <c r="L534" s="343"/>
      <c r="M534" s="344"/>
      <c r="N534" s="345"/>
      <c r="O534" s="311"/>
      <c r="P534" s="311"/>
      <c r="Q534" s="311"/>
      <c r="R534" s="346"/>
      <c r="S534" s="347"/>
      <c r="T534" s="348"/>
      <c r="U534" s="10"/>
      <c r="V534" s="349"/>
      <c r="W534" s="350"/>
      <c r="X534" s="9"/>
      <c r="Y534" s="10"/>
      <c r="Z534" s="6"/>
      <c r="AC534" s="11"/>
    </row>
    <row r="535" spans="1:29" ht="13.5" customHeight="1">
      <c r="A535" s="309"/>
      <c r="B535" s="340"/>
      <c r="C535" s="340"/>
      <c r="D535" s="340"/>
      <c r="E535" s="341"/>
      <c r="F535" s="8"/>
      <c r="G535" s="8"/>
      <c r="H535" s="208"/>
      <c r="I535" s="342"/>
      <c r="K535" s="311"/>
      <c r="L535" s="343"/>
      <c r="M535" s="344"/>
      <c r="N535" s="345"/>
      <c r="O535" s="311"/>
      <c r="P535" s="311"/>
      <c r="Q535" s="311"/>
      <c r="R535" s="346"/>
      <c r="S535" s="347"/>
      <c r="T535" s="348"/>
      <c r="U535" s="10"/>
      <c r="V535" s="349"/>
      <c r="W535" s="350"/>
      <c r="X535" s="9"/>
      <c r="Y535" s="10"/>
      <c r="Z535" s="6"/>
      <c r="AC535" s="11"/>
    </row>
    <row r="536" spans="1:29" ht="13.5" customHeight="1">
      <c r="A536" s="309"/>
      <c r="B536" s="340"/>
      <c r="C536" s="340"/>
      <c r="D536" s="340"/>
      <c r="E536" s="341"/>
      <c r="F536" s="8"/>
      <c r="G536" s="8"/>
      <c r="H536" s="208"/>
      <c r="I536" s="342"/>
      <c r="K536" s="311"/>
      <c r="L536" s="343"/>
      <c r="M536" s="344"/>
      <c r="N536" s="345"/>
      <c r="O536" s="311"/>
      <c r="P536" s="311"/>
      <c r="Q536" s="311"/>
      <c r="R536" s="346"/>
      <c r="S536" s="347"/>
      <c r="T536" s="348"/>
      <c r="U536" s="10"/>
      <c r="V536" s="349"/>
      <c r="W536" s="350"/>
      <c r="X536" s="9"/>
      <c r="Y536" s="10"/>
      <c r="Z536" s="6"/>
      <c r="AC536" s="11"/>
    </row>
    <row r="537" spans="1:29" ht="13.5" customHeight="1">
      <c r="A537" s="309"/>
      <c r="B537" s="340"/>
      <c r="C537" s="340"/>
      <c r="D537" s="340"/>
      <c r="E537" s="341"/>
      <c r="F537" s="8"/>
      <c r="G537" s="8"/>
      <c r="H537" s="208"/>
      <c r="I537" s="342"/>
      <c r="K537" s="311"/>
      <c r="L537" s="343"/>
      <c r="M537" s="344"/>
      <c r="N537" s="345"/>
      <c r="O537" s="311"/>
      <c r="P537" s="311"/>
      <c r="Q537" s="311"/>
      <c r="R537" s="346"/>
      <c r="S537" s="347"/>
      <c r="T537" s="348"/>
      <c r="U537" s="10"/>
      <c r="V537" s="349"/>
      <c r="W537" s="350"/>
      <c r="X537" s="9"/>
      <c r="Y537" s="10"/>
      <c r="Z537" s="6"/>
      <c r="AC537" s="11"/>
    </row>
    <row r="538" spans="1:29" ht="13.5" customHeight="1">
      <c r="A538" s="309"/>
      <c r="B538" s="340"/>
      <c r="C538" s="340"/>
      <c r="D538" s="340"/>
      <c r="E538" s="341"/>
      <c r="F538" s="8"/>
      <c r="G538" s="8"/>
      <c r="H538" s="208"/>
      <c r="I538" s="342"/>
      <c r="K538" s="311"/>
      <c r="L538" s="343"/>
      <c r="M538" s="344"/>
      <c r="N538" s="345"/>
      <c r="O538" s="311"/>
      <c r="P538" s="311"/>
      <c r="Q538" s="311"/>
      <c r="R538" s="346"/>
      <c r="S538" s="347"/>
      <c r="T538" s="348"/>
      <c r="U538" s="10"/>
      <c r="V538" s="349"/>
      <c r="W538" s="350"/>
      <c r="X538" s="9"/>
      <c r="Y538" s="10"/>
      <c r="Z538" s="6"/>
      <c r="AC538" s="11"/>
    </row>
    <row r="539" spans="1:29" ht="13.5" customHeight="1">
      <c r="A539" s="309"/>
      <c r="B539" s="340"/>
      <c r="C539" s="340"/>
      <c r="D539" s="340"/>
      <c r="E539" s="341"/>
      <c r="F539" s="8"/>
      <c r="G539" s="8"/>
      <c r="H539" s="208"/>
      <c r="I539" s="342"/>
      <c r="K539" s="311"/>
      <c r="L539" s="343"/>
      <c r="M539" s="344"/>
      <c r="N539" s="345"/>
      <c r="O539" s="311"/>
      <c r="P539" s="311"/>
      <c r="Q539" s="311"/>
      <c r="R539" s="346"/>
      <c r="S539" s="347"/>
      <c r="T539" s="348"/>
      <c r="U539" s="10"/>
      <c r="V539" s="349"/>
      <c r="W539" s="350"/>
      <c r="X539" s="9"/>
      <c r="Y539" s="10"/>
      <c r="Z539" s="6"/>
      <c r="AC539" s="11"/>
    </row>
    <row r="540" spans="1:29" ht="13.5" customHeight="1">
      <c r="A540" s="309"/>
      <c r="B540" s="340"/>
      <c r="C540" s="340"/>
      <c r="D540" s="340"/>
      <c r="E540" s="341"/>
      <c r="F540" s="8"/>
      <c r="G540" s="8"/>
      <c r="H540" s="208"/>
      <c r="I540" s="342"/>
      <c r="K540" s="311"/>
      <c r="L540" s="343"/>
      <c r="M540" s="344"/>
      <c r="N540" s="345"/>
      <c r="O540" s="311"/>
      <c r="P540" s="311"/>
      <c r="Q540" s="311"/>
      <c r="R540" s="346"/>
      <c r="S540" s="347"/>
      <c r="T540" s="348"/>
      <c r="U540" s="10"/>
      <c r="V540" s="349"/>
      <c r="W540" s="350"/>
      <c r="X540" s="9"/>
      <c r="Y540" s="10"/>
      <c r="Z540" s="6"/>
      <c r="AC540" s="11"/>
    </row>
    <row r="541" spans="1:29" ht="13.5" customHeight="1">
      <c r="A541" s="309"/>
      <c r="B541" s="340"/>
      <c r="C541" s="340"/>
      <c r="D541" s="340"/>
      <c r="E541" s="341"/>
      <c r="F541" s="8"/>
      <c r="G541" s="8"/>
      <c r="H541" s="208"/>
      <c r="I541" s="342"/>
      <c r="K541" s="311"/>
      <c r="L541" s="343"/>
      <c r="M541" s="344"/>
      <c r="N541" s="345"/>
      <c r="O541" s="311"/>
      <c r="P541" s="311"/>
      <c r="Q541" s="311"/>
      <c r="R541" s="346"/>
      <c r="S541" s="347"/>
      <c r="T541" s="348"/>
      <c r="U541" s="10"/>
      <c r="V541" s="349"/>
      <c r="W541" s="350"/>
      <c r="X541" s="9"/>
      <c r="Y541" s="10"/>
      <c r="Z541" s="6"/>
      <c r="AC541" s="11"/>
    </row>
    <row r="542" spans="1:29" ht="13.5" customHeight="1">
      <c r="A542" s="309"/>
      <c r="B542" s="340"/>
      <c r="C542" s="340"/>
      <c r="D542" s="340"/>
      <c r="E542" s="341"/>
      <c r="F542" s="8"/>
      <c r="G542" s="8"/>
      <c r="H542" s="208"/>
      <c r="I542" s="342"/>
      <c r="K542" s="311"/>
      <c r="L542" s="343"/>
      <c r="M542" s="344"/>
      <c r="N542" s="345"/>
      <c r="O542" s="311"/>
      <c r="P542" s="311"/>
      <c r="Q542" s="311"/>
      <c r="R542" s="346"/>
      <c r="S542" s="347"/>
      <c r="T542" s="348"/>
      <c r="U542" s="10"/>
      <c r="V542" s="349"/>
      <c r="W542" s="350"/>
      <c r="X542" s="9"/>
      <c r="Y542" s="10"/>
      <c r="Z542" s="6"/>
      <c r="AC542" s="11"/>
    </row>
    <row r="543" spans="1:29" ht="13.5" customHeight="1">
      <c r="A543" s="309"/>
      <c r="B543" s="340"/>
      <c r="C543" s="340"/>
      <c r="D543" s="340"/>
      <c r="E543" s="341"/>
      <c r="F543" s="8"/>
      <c r="G543" s="8"/>
      <c r="H543" s="208"/>
      <c r="I543" s="342"/>
      <c r="K543" s="311"/>
      <c r="L543" s="343"/>
      <c r="M543" s="344"/>
      <c r="N543" s="345"/>
      <c r="O543" s="311"/>
      <c r="P543" s="311"/>
      <c r="Q543" s="311"/>
      <c r="R543" s="346"/>
      <c r="S543" s="347"/>
      <c r="T543" s="348"/>
      <c r="U543" s="10"/>
      <c r="V543" s="349"/>
      <c r="W543" s="350"/>
      <c r="X543" s="9"/>
      <c r="Y543" s="10"/>
      <c r="Z543" s="6"/>
      <c r="AC543" s="11"/>
    </row>
    <row r="544" spans="1:29" ht="13.5" customHeight="1">
      <c r="A544" s="309"/>
      <c r="B544" s="340"/>
      <c r="C544" s="340"/>
      <c r="D544" s="340"/>
      <c r="E544" s="341"/>
      <c r="F544" s="8"/>
      <c r="G544" s="8"/>
      <c r="H544" s="208"/>
      <c r="I544" s="342"/>
      <c r="K544" s="311"/>
      <c r="L544" s="343"/>
      <c r="M544" s="344"/>
      <c r="N544" s="345"/>
      <c r="O544" s="311"/>
      <c r="P544" s="311"/>
      <c r="Q544" s="311"/>
      <c r="R544" s="346"/>
      <c r="S544" s="347"/>
      <c r="T544" s="348"/>
      <c r="U544" s="10"/>
      <c r="V544" s="349"/>
      <c r="W544" s="350"/>
      <c r="X544" s="9"/>
      <c r="Y544" s="10"/>
      <c r="Z544" s="6"/>
      <c r="AC544" s="11"/>
    </row>
    <row r="545" spans="1:29" ht="13.5" customHeight="1">
      <c r="A545" s="309"/>
      <c r="B545" s="340"/>
      <c r="C545" s="340"/>
      <c r="D545" s="340"/>
      <c r="E545" s="341"/>
      <c r="F545" s="8"/>
      <c r="G545" s="8"/>
      <c r="H545" s="208"/>
      <c r="I545" s="342"/>
      <c r="K545" s="311"/>
      <c r="L545" s="343"/>
      <c r="M545" s="344"/>
      <c r="N545" s="345"/>
      <c r="O545" s="311"/>
      <c r="P545" s="311"/>
      <c r="Q545" s="311"/>
      <c r="R545" s="346"/>
      <c r="S545" s="347"/>
      <c r="T545" s="348"/>
      <c r="U545" s="10"/>
      <c r="V545" s="349"/>
      <c r="W545" s="350"/>
      <c r="X545" s="9"/>
      <c r="Y545" s="10"/>
      <c r="Z545" s="6"/>
      <c r="AC545" s="11"/>
    </row>
    <row r="546" spans="1:29" ht="13.5" customHeight="1">
      <c r="A546" s="309"/>
      <c r="B546" s="340"/>
      <c r="C546" s="340"/>
      <c r="D546" s="340"/>
      <c r="E546" s="341"/>
      <c r="F546" s="8"/>
      <c r="G546" s="8"/>
      <c r="H546" s="208"/>
      <c r="I546" s="342"/>
      <c r="K546" s="311"/>
      <c r="L546" s="343"/>
      <c r="M546" s="344"/>
      <c r="N546" s="345"/>
      <c r="O546" s="311"/>
      <c r="P546" s="311"/>
      <c r="Q546" s="311"/>
      <c r="R546" s="346"/>
      <c r="S546" s="347"/>
      <c r="T546" s="348"/>
      <c r="U546" s="10"/>
      <c r="V546" s="349"/>
      <c r="W546" s="350"/>
      <c r="X546" s="9"/>
      <c r="Y546" s="10"/>
      <c r="Z546" s="6"/>
      <c r="AC546" s="11"/>
    </row>
    <row r="547" spans="1:29" ht="13.5" customHeight="1">
      <c r="A547" s="309"/>
      <c r="B547" s="340"/>
      <c r="C547" s="340"/>
      <c r="D547" s="340"/>
      <c r="E547" s="341"/>
      <c r="F547" s="8"/>
      <c r="G547" s="8"/>
      <c r="H547" s="208"/>
      <c r="I547" s="342"/>
      <c r="K547" s="311"/>
      <c r="L547" s="343"/>
      <c r="M547" s="344"/>
      <c r="N547" s="345"/>
      <c r="O547" s="311"/>
      <c r="P547" s="311"/>
      <c r="Q547" s="311"/>
      <c r="R547" s="346"/>
      <c r="S547" s="347"/>
      <c r="T547" s="348"/>
      <c r="U547" s="10"/>
      <c r="V547" s="349"/>
      <c r="W547" s="350"/>
      <c r="X547" s="9"/>
      <c r="Y547" s="10"/>
      <c r="Z547" s="6"/>
      <c r="AC547" s="11"/>
    </row>
    <row r="548" spans="1:29" ht="13.5" customHeight="1">
      <c r="A548" s="309"/>
      <c r="B548" s="340"/>
      <c r="C548" s="340"/>
      <c r="D548" s="340"/>
      <c r="E548" s="341"/>
      <c r="F548" s="8"/>
      <c r="G548" s="8"/>
      <c r="H548" s="208"/>
      <c r="I548" s="342"/>
      <c r="K548" s="311"/>
      <c r="L548" s="343"/>
      <c r="M548" s="344"/>
      <c r="N548" s="345"/>
      <c r="O548" s="311"/>
      <c r="P548" s="311"/>
      <c r="Q548" s="311"/>
      <c r="R548" s="346"/>
      <c r="S548" s="347"/>
      <c r="T548" s="348"/>
      <c r="U548" s="10"/>
      <c r="V548" s="349"/>
      <c r="W548" s="350"/>
      <c r="X548" s="9"/>
      <c r="Y548" s="10"/>
      <c r="Z548" s="6"/>
      <c r="AC548" s="11"/>
    </row>
    <row r="549" spans="1:29" ht="13.5" customHeight="1">
      <c r="A549" s="309"/>
      <c r="B549" s="340"/>
      <c r="C549" s="340"/>
      <c r="D549" s="340"/>
      <c r="E549" s="341"/>
      <c r="F549" s="8"/>
      <c r="G549" s="8"/>
      <c r="H549" s="208"/>
      <c r="I549" s="342"/>
      <c r="K549" s="311"/>
      <c r="L549" s="343"/>
      <c r="M549" s="344"/>
      <c r="N549" s="345"/>
      <c r="O549" s="311"/>
      <c r="P549" s="311"/>
      <c r="Q549" s="311"/>
      <c r="R549" s="346"/>
      <c r="S549" s="347"/>
      <c r="T549" s="348"/>
      <c r="U549" s="10"/>
      <c r="V549" s="349"/>
      <c r="W549" s="350"/>
      <c r="X549" s="9"/>
      <c r="Y549" s="10"/>
      <c r="Z549" s="6"/>
      <c r="AC549" s="11"/>
    </row>
    <row r="550" spans="1:29" ht="13.5" customHeight="1">
      <c r="A550" s="309"/>
      <c r="B550" s="340"/>
      <c r="C550" s="340"/>
      <c r="D550" s="340"/>
      <c r="E550" s="341"/>
      <c r="F550" s="8"/>
      <c r="G550" s="8"/>
      <c r="H550" s="208"/>
      <c r="I550" s="342"/>
      <c r="K550" s="311"/>
      <c r="L550" s="343"/>
      <c r="M550" s="344"/>
      <c r="N550" s="345"/>
      <c r="O550" s="311"/>
      <c r="P550" s="311"/>
      <c r="Q550" s="311"/>
      <c r="R550" s="346"/>
      <c r="S550" s="347"/>
      <c r="T550" s="348"/>
      <c r="U550" s="10"/>
      <c r="V550" s="349"/>
      <c r="W550" s="350"/>
      <c r="X550" s="9"/>
      <c r="Y550" s="10"/>
      <c r="Z550" s="6"/>
      <c r="AC550" s="11"/>
    </row>
    <row r="551" spans="1:29" ht="13.5" customHeight="1">
      <c r="A551" s="309"/>
      <c r="B551" s="340"/>
      <c r="C551" s="340"/>
      <c r="D551" s="340"/>
      <c r="E551" s="341"/>
      <c r="F551" s="8"/>
      <c r="G551" s="8"/>
      <c r="H551" s="208"/>
      <c r="I551" s="342"/>
      <c r="K551" s="311"/>
      <c r="L551" s="343"/>
      <c r="M551" s="344"/>
      <c r="N551" s="345"/>
      <c r="O551" s="311"/>
      <c r="P551" s="311"/>
      <c r="Q551" s="311"/>
      <c r="R551" s="346"/>
      <c r="S551" s="347"/>
      <c r="T551" s="348"/>
      <c r="U551" s="10"/>
      <c r="V551" s="349"/>
      <c r="W551" s="350"/>
      <c r="X551" s="9"/>
      <c r="Y551" s="10"/>
      <c r="Z551" s="6"/>
      <c r="AC551" s="11"/>
    </row>
    <row r="552" spans="1:29" ht="13.5" customHeight="1">
      <c r="A552" s="309"/>
      <c r="B552" s="340"/>
      <c r="C552" s="340"/>
      <c r="D552" s="340"/>
      <c r="E552" s="341"/>
      <c r="F552" s="8"/>
      <c r="G552" s="8"/>
      <c r="H552" s="208"/>
      <c r="I552" s="342"/>
      <c r="K552" s="311"/>
      <c r="L552" s="343"/>
      <c r="M552" s="344"/>
      <c r="N552" s="345"/>
      <c r="O552" s="311"/>
      <c r="P552" s="311"/>
      <c r="Q552" s="311"/>
      <c r="R552" s="346"/>
      <c r="S552" s="347"/>
      <c r="T552" s="348"/>
      <c r="U552" s="10"/>
      <c r="V552" s="349"/>
      <c r="W552" s="350"/>
      <c r="X552" s="9"/>
      <c r="Y552" s="10"/>
      <c r="Z552" s="6"/>
      <c r="AC552" s="11"/>
    </row>
    <row r="553" spans="1:29" ht="13.5" customHeight="1">
      <c r="A553" s="309"/>
      <c r="B553" s="340"/>
      <c r="C553" s="340"/>
      <c r="D553" s="340"/>
      <c r="E553" s="341"/>
      <c r="F553" s="8"/>
      <c r="G553" s="8"/>
      <c r="H553" s="208"/>
      <c r="I553" s="342"/>
      <c r="K553" s="311"/>
      <c r="L553" s="343"/>
      <c r="M553" s="344"/>
      <c r="N553" s="345"/>
      <c r="O553" s="311"/>
      <c r="P553" s="311"/>
      <c r="Q553" s="311"/>
      <c r="R553" s="346"/>
      <c r="S553" s="347"/>
      <c r="T553" s="348"/>
      <c r="U553" s="10"/>
      <c r="V553" s="349"/>
      <c r="W553" s="350"/>
      <c r="X553" s="9"/>
      <c r="Y553" s="10"/>
      <c r="Z553" s="6"/>
      <c r="AC553" s="11"/>
    </row>
    <row r="554" spans="1:29" ht="13.5" customHeight="1">
      <c r="A554" s="309"/>
      <c r="B554" s="340"/>
      <c r="C554" s="340"/>
      <c r="D554" s="340"/>
      <c r="E554" s="341"/>
      <c r="F554" s="8"/>
      <c r="G554" s="8"/>
      <c r="H554" s="208"/>
      <c r="I554" s="342"/>
      <c r="K554" s="311"/>
      <c r="L554" s="343"/>
      <c r="M554" s="344"/>
      <c r="N554" s="345"/>
      <c r="O554" s="311"/>
      <c r="P554" s="311"/>
      <c r="Q554" s="311"/>
      <c r="R554" s="346"/>
      <c r="S554" s="347"/>
      <c r="T554" s="348"/>
      <c r="U554" s="10"/>
      <c r="V554" s="349"/>
      <c r="W554" s="350"/>
      <c r="X554" s="9"/>
      <c r="Y554" s="10"/>
      <c r="Z554" s="6"/>
      <c r="AC554" s="11"/>
    </row>
    <row r="555" spans="1:29" ht="13.5" customHeight="1">
      <c r="A555" s="309"/>
      <c r="B555" s="340"/>
      <c r="C555" s="340"/>
      <c r="D555" s="340"/>
      <c r="E555" s="341"/>
      <c r="F555" s="8"/>
      <c r="G555" s="8"/>
      <c r="H555" s="208"/>
      <c r="I555" s="342"/>
      <c r="K555" s="311"/>
      <c r="L555" s="343"/>
      <c r="M555" s="344"/>
      <c r="N555" s="345"/>
      <c r="O555" s="311"/>
      <c r="P555" s="311"/>
      <c r="Q555" s="311"/>
      <c r="R555" s="346"/>
      <c r="S555" s="347"/>
      <c r="T555" s="348"/>
      <c r="U555" s="10"/>
      <c r="V555" s="349"/>
      <c r="W555" s="350"/>
      <c r="X555" s="9"/>
      <c r="Y555" s="10"/>
      <c r="Z555" s="6"/>
      <c r="AC555" s="11"/>
    </row>
    <row r="556" spans="1:29" ht="13.5" customHeight="1">
      <c r="A556" s="309"/>
      <c r="B556" s="340"/>
      <c r="C556" s="340"/>
      <c r="D556" s="340"/>
      <c r="E556" s="341"/>
      <c r="F556" s="8"/>
      <c r="G556" s="8"/>
      <c r="H556" s="208"/>
      <c r="I556" s="342"/>
      <c r="K556" s="311"/>
      <c r="L556" s="343"/>
      <c r="M556" s="344"/>
      <c r="N556" s="345"/>
      <c r="O556" s="311"/>
      <c r="P556" s="311"/>
      <c r="Q556" s="311"/>
      <c r="R556" s="346"/>
      <c r="S556" s="347"/>
      <c r="T556" s="348"/>
      <c r="U556" s="10"/>
      <c r="V556" s="349"/>
      <c r="W556" s="350"/>
      <c r="X556" s="9"/>
      <c r="Y556" s="10"/>
      <c r="Z556" s="6"/>
      <c r="AC556" s="11"/>
    </row>
    <row r="557" spans="1:29" ht="13.5" customHeight="1">
      <c r="A557" s="309"/>
      <c r="B557" s="340"/>
      <c r="C557" s="340"/>
      <c r="D557" s="340"/>
      <c r="E557" s="341"/>
      <c r="F557" s="8"/>
      <c r="G557" s="8"/>
      <c r="H557" s="208"/>
      <c r="I557" s="342"/>
      <c r="K557" s="311"/>
      <c r="L557" s="343"/>
      <c r="M557" s="344"/>
      <c r="N557" s="345"/>
      <c r="O557" s="311"/>
      <c r="P557" s="311"/>
      <c r="Q557" s="311"/>
      <c r="R557" s="346"/>
      <c r="S557" s="347"/>
      <c r="T557" s="348"/>
      <c r="U557" s="10"/>
      <c r="V557" s="349"/>
      <c r="W557" s="350"/>
      <c r="X557" s="9"/>
      <c r="Y557" s="10"/>
      <c r="Z557" s="6"/>
      <c r="AC557" s="11"/>
    </row>
    <row r="558" spans="1:29" ht="13.5" customHeight="1">
      <c r="A558" s="309"/>
      <c r="B558" s="340"/>
      <c r="C558" s="340"/>
      <c r="D558" s="340"/>
      <c r="E558" s="341"/>
      <c r="F558" s="8"/>
      <c r="G558" s="8"/>
      <c r="H558" s="208"/>
      <c r="I558" s="342"/>
      <c r="K558" s="311"/>
      <c r="L558" s="343"/>
      <c r="M558" s="344"/>
      <c r="N558" s="345"/>
      <c r="O558" s="311"/>
      <c r="P558" s="311"/>
      <c r="Q558" s="311"/>
      <c r="R558" s="346"/>
      <c r="S558" s="347"/>
      <c r="T558" s="348"/>
      <c r="U558" s="10"/>
      <c r="V558" s="349"/>
      <c r="W558" s="350"/>
      <c r="X558" s="9"/>
      <c r="Y558" s="10"/>
      <c r="Z558" s="6"/>
      <c r="AC558" s="11"/>
    </row>
    <row r="559" spans="1:29" ht="13.5" customHeight="1">
      <c r="A559" s="309"/>
      <c r="B559" s="340"/>
      <c r="C559" s="340"/>
      <c r="D559" s="340"/>
      <c r="E559" s="341"/>
      <c r="F559" s="8"/>
      <c r="G559" s="8"/>
      <c r="H559" s="208"/>
      <c r="I559" s="342"/>
      <c r="K559" s="311"/>
      <c r="L559" s="343"/>
      <c r="M559" s="344"/>
      <c r="N559" s="345"/>
      <c r="O559" s="311"/>
      <c r="P559" s="311"/>
      <c r="Q559" s="311"/>
      <c r="R559" s="346"/>
      <c r="S559" s="347"/>
      <c r="T559" s="348"/>
      <c r="U559" s="10"/>
      <c r="V559" s="349"/>
      <c r="W559" s="350"/>
      <c r="X559" s="9"/>
      <c r="Y559" s="10"/>
      <c r="Z559" s="6"/>
      <c r="AC559" s="11"/>
    </row>
    <row r="560" spans="1:29" ht="13.5" customHeight="1">
      <c r="A560" s="309"/>
      <c r="B560" s="340"/>
      <c r="C560" s="340"/>
      <c r="D560" s="340"/>
      <c r="E560" s="341"/>
      <c r="F560" s="8"/>
      <c r="G560" s="8"/>
      <c r="H560" s="208"/>
      <c r="I560" s="342"/>
      <c r="K560" s="311"/>
      <c r="L560" s="343"/>
      <c r="M560" s="344"/>
      <c r="N560" s="345"/>
      <c r="O560" s="311"/>
      <c r="P560" s="311"/>
      <c r="Q560" s="311"/>
      <c r="R560" s="346"/>
      <c r="S560" s="347"/>
      <c r="T560" s="348"/>
      <c r="U560" s="10"/>
      <c r="V560" s="349"/>
      <c r="W560" s="350"/>
      <c r="X560" s="9"/>
      <c r="Y560" s="10"/>
      <c r="Z560" s="6"/>
      <c r="AC560" s="11"/>
    </row>
    <row r="561" spans="1:29" ht="13.5" customHeight="1">
      <c r="A561" s="309"/>
      <c r="B561" s="340"/>
      <c r="C561" s="340"/>
      <c r="D561" s="340"/>
      <c r="E561" s="341"/>
      <c r="F561" s="8"/>
      <c r="G561" s="8"/>
      <c r="H561" s="208"/>
      <c r="I561" s="342"/>
      <c r="K561" s="311"/>
      <c r="L561" s="343"/>
      <c r="M561" s="344"/>
      <c r="N561" s="345"/>
      <c r="O561" s="311"/>
      <c r="P561" s="311"/>
      <c r="Q561" s="311"/>
      <c r="R561" s="346"/>
      <c r="S561" s="347"/>
      <c r="T561" s="348"/>
      <c r="U561" s="10"/>
      <c r="V561" s="349"/>
      <c r="W561" s="350"/>
      <c r="X561" s="9"/>
      <c r="Y561" s="10"/>
      <c r="Z561" s="6"/>
      <c r="AC561" s="11"/>
    </row>
    <row r="562" spans="1:29" ht="13.5" customHeight="1">
      <c r="A562" s="309"/>
      <c r="B562" s="340"/>
      <c r="C562" s="340"/>
      <c r="D562" s="340"/>
      <c r="E562" s="341"/>
      <c r="F562" s="8"/>
      <c r="G562" s="8"/>
      <c r="H562" s="208"/>
      <c r="I562" s="342"/>
      <c r="K562" s="311"/>
      <c r="L562" s="343"/>
      <c r="M562" s="344"/>
      <c r="N562" s="345"/>
      <c r="O562" s="311"/>
      <c r="P562" s="311"/>
      <c r="Q562" s="311"/>
      <c r="R562" s="346"/>
      <c r="S562" s="347"/>
      <c r="T562" s="348"/>
      <c r="U562" s="10"/>
      <c r="V562" s="349"/>
      <c r="W562" s="350"/>
      <c r="X562" s="9"/>
      <c r="Y562" s="10"/>
      <c r="Z562" s="6"/>
      <c r="AC562" s="11"/>
    </row>
    <row r="563" spans="1:29" ht="13.5" customHeight="1">
      <c r="A563" s="309"/>
      <c r="B563" s="340"/>
      <c r="C563" s="340"/>
      <c r="D563" s="340"/>
      <c r="E563" s="341"/>
      <c r="F563" s="8"/>
      <c r="G563" s="8"/>
      <c r="H563" s="208"/>
      <c r="I563" s="342"/>
      <c r="K563" s="311"/>
      <c r="L563" s="343"/>
      <c r="M563" s="344"/>
      <c r="N563" s="345"/>
      <c r="O563" s="311"/>
      <c r="P563" s="311"/>
      <c r="Q563" s="311"/>
      <c r="R563" s="346"/>
      <c r="S563" s="347"/>
      <c r="T563" s="348"/>
      <c r="U563" s="10"/>
      <c r="V563" s="349"/>
      <c r="W563" s="350"/>
      <c r="X563" s="9"/>
      <c r="Y563" s="10"/>
      <c r="Z563" s="6"/>
      <c r="AC563" s="11"/>
    </row>
    <row r="564" spans="1:29" ht="13.5" customHeight="1">
      <c r="A564" s="309"/>
      <c r="B564" s="340"/>
      <c r="C564" s="340"/>
      <c r="D564" s="340"/>
      <c r="E564" s="341"/>
      <c r="F564" s="8"/>
      <c r="G564" s="8"/>
      <c r="H564" s="208"/>
      <c r="I564" s="342"/>
      <c r="K564" s="311"/>
      <c r="L564" s="343"/>
      <c r="M564" s="344"/>
      <c r="N564" s="345"/>
      <c r="O564" s="311"/>
      <c r="P564" s="311"/>
      <c r="Q564" s="311"/>
      <c r="R564" s="346"/>
      <c r="S564" s="347"/>
      <c r="T564" s="348"/>
      <c r="U564" s="10"/>
      <c r="V564" s="349"/>
      <c r="W564" s="350"/>
      <c r="X564" s="9"/>
      <c r="Y564" s="10"/>
      <c r="Z564" s="6"/>
      <c r="AC564" s="11"/>
    </row>
    <row r="565" spans="1:29" ht="13.5" customHeight="1">
      <c r="A565" s="309"/>
      <c r="B565" s="340"/>
      <c r="C565" s="340"/>
      <c r="D565" s="340"/>
      <c r="E565" s="341"/>
      <c r="F565" s="8"/>
      <c r="G565" s="8"/>
      <c r="H565" s="208"/>
      <c r="I565" s="342"/>
      <c r="K565" s="311"/>
      <c r="L565" s="343"/>
      <c r="M565" s="344"/>
      <c r="N565" s="345"/>
      <c r="O565" s="311"/>
      <c r="P565" s="311"/>
      <c r="Q565" s="311"/>
      <c r="R565" s="346"/>
      <c r="S565" s="347"/>
      <c r="T565" s="348"/>
      <c r="U565" s="10"/>
      <c r="V565" s="349"/>
      <c r="W565" s="350"/>
      <c r="X565" s="9"/>
      <c r="Y565" s="10"/>
      <c r="Z565" s="6"/>
      <c r="AC565" s="11"/>
    </row>
    <row r="566" spans="1:29" ht="13.5" customHeight="1">
      <c r="A566" s="309"/>
      <c r="B566" s="340"/>
      <c r="C566" s="340"/>
      <c r="D566" s="340"/>
      <c r="E566" s="341"/>
      <c r="F566" s="8"/>
      <c r="G566" s="8"/>
      <c r="H566" s="208"/>
      <c r="I566" s="342"/>
      <c r="K566" s="311"/>
      <c r="L566" s="343"/>
      <c r="M566" s="344"/>
      <c r="N566" s="345"/>
      <c r="O566" s="311"/>
      <c r="P566" s="311"/>
      <c r="Q566" s="311"/>
      <c r="R566" s="346"/>
      <c r="S566" s="347"/>
      <c r="T566" s="348"/>
      <c r="U566" s="10"/>
      <c r="V566" s="349"/>
      <c r="W566" s="350"/>
      <c r="X566" s="9"/>
      <c r="Y566" s="10"/>
      <c r="Z566" s="6"/>
      <c r="AC566" s="11"/>
    </row>
    <row r="567" spans="1:29" ht="13.5" customHeight="1">
      <c r="A567" s="309"/>
      <c r="B567" s="340"/>
      <c r="C567" s="340"/>
      <c r="D567" s="340"/>
      <c r="E567" s="341"/>
      <c r="F567" s="8"/>
      <c r="G567" s="8"/>
      <c r="H567" s="208"/>
      <c r="I567" s="342"/>
      <c r="K567" s="311"/>
      <c r="L567" s="343"/>
      <c r="M567" s="344"/>
      <c r="N567" s="345"/>
      <c r="O567" s="311"/>
      <c r="P567" s="311"/>
      <c r="Q567" s="311"/>
      <c r="R567" s="346"/>
      <c r="S567" s="347"/>
      <c r="T567" s="348"/>
      <c r="U567" s="10"/>
      <c r="V567" s="349"/>
      <c r="W567" s="350"/>
      <c r="X567" s="9"/>
      <c r="Y567" s="10"/>
      <c r="Z567" s="6"/>
      <c r="AC567" s="11"/>
    </row>
    <row r="568" spans="1:29" ht="13.5" customHeight="1">
      <c r="A568" s="309"/>
      <c r="B568" s="340"/>
      <c r="C568" s="340"/>
      <c r="D568" s="340"/>
      <c r="E568" s="341"/>
      <c r="F568" s="8"/>
      <c r="G568" s="8"/>
      <c r="H568" s="208"/>
      <c r="I568" s="342"/>
      <c r="K568" s="311"/>
      <c r="L568" s="343"/>
      <c r="M568" s="344"/>
      <c r="N568" s="345"/>
      <c r="O568" s="311"/>
      <c r="P568" s="311"/>
      <c r="Q568" s="311"/>
      <c r="R568" s="346"/>
      <c r="S568" s="347"/>
      <c r="T568" s="348"/>
      <c r="U568" s="10"/>
      <c r="V568" s="349"/>
      <c r="W568" s="350"/>
      <c r="X568" s="9"/>
      <c r="Y568" s="10"/>
      <c r="Z568" s="6"/>
      <c r="AC568" s="11"/>
    </row>
    <row r="569" spans="1:29" ht="13.5" customHeight="1">
      <c r="A569" s="309"/>
      <c r="B569" s="340"/>
      <c r="C569" s="340"/>
      <c r="D569" s="340"/>
      <c r="E569" s="341"/>
      <c r="F569" s="8"/>
      <c r="G569" s="8"/>
      <c r="H569" s="208"/>
      <c r="I569" s="342"/>
      <c r="K569" s="311"/>
      <c r="L569" s="343"/>
      <c r="M569" s="344"/>
      <c r="N569" s="345"/>
      <c r="O569" s="311"/>
      <c r="P569" s="311"/>
      <c r="Q569" s="311"/>
      <c r="R569" s="346"/>
      <c r="S569" s="347"/>
      <c r="T569" s="348"/>
      <c r="U569" s="10"/>
      <c r="V569" s="349"/>
      <c r="W569" s="350"/>
      <c r="X569" s="9"/>
      <c r="Y569" s="10"/>
      <c r="Z569" s="6"/>
      <c r="AC569" s="11"/>
    </row>
    <row r="570" spans="1:29" ht="13.5" customHeight="1">
      <c r="A570" s="309"/>
      <c r="B570" s="340"/>
      <c r="C570" s="340"/>
      <c r="D570" s="340"/>
      <c r="E570" s="341"/>
      <c r="F570" s="8"/>
      <c r="G570" s="8"/>
      <c r="H570" s="208"/>
      <c r="I570" s="342"/>
      <c r="K570" s="311"/>
      <c r="L570" s="343"/>
      <c r="M570" s="344"/>
      <c r="N570" s="345"/>
      <c r="O570" s="311"/>
      <c r="P570" s="311"/>
      <c r="Q570" s="311"/>
      <c r="R570" s="346"/>
      <c r="S570" s="347"/>
      <c r="T570" s="348"/>
      <c r="U570" s="10"/>
      <c r="V570" s="349"/>
      <c r="W570" s="350"/>
      <c r="X570" s="9"/>
      <c r="Y570" s="10"/>
      <c r="Z570" s="6"/>
      <c r="AC570" s="11"/>
    </row>
    <row r="571" spans="1:29" ht="13.5" customHeight="1">
      <c r="A571" s="309"/>
      <c r="B571" s="340"/>
      <c r="C571" s="340"/>
      <c r="D571" s="340"/>
      <c r="E571" s="341"/>
      <c r="F571" s="8"/>
      <c r="G571" s="8"/>
      <c r="H571" s="208"/>
      <c r="I571" s="342"/>
      <c r="K571" s="311"/>
      <c r="L571" s="343"/>
      <c r="M571" s="344"/>
      <c r="N571" s="345"/>
      <c r="O571" s="311"/>
      <c r="P571" s="311"/>
      <c r="Q571" s="311"/>
      <c r="R571" s="346"/>
      <c r="S571" s="347"/>
      <c r="T571" s="348"/>
      <c r="U571" s="10"/>
      <c r="V571" s="349"/>
      <c r="W571" s="350"/>
      <c r="X571" s="9"/>
      <c r="Y571" s="10"/>
      <c r="Z571" s="6"/>
      <c r="AC571" s="11"/>
    </row>
    <row r="572" spans="1:29" ht="13.5" customHeight="1">
      <c r="A572" s="309"/>
      <c r="B572" s="340"/>
      <c r="C572" s="340"/>
      <c r="D572" s="340"/>
      <c r="E572" s="341"/>
      <c r="F572" s="8"/>
      <c r="G572" s="8"/>
      <c r="H572" s="208"/>
      <c r="I572" s="342"/>
      <c r="K572" s="311"/>
      <c r="L572" s="343"/>
      <c r="M572" s="344"/>
      <c r="N572" s="345"/>
      <c r="O572" s="311"/>
      <c r="P572" s="311"/>
      <c r="Q572" s="311"/>
      <c r="R572" s="346"/>
      <c r="S572" s="347"/>
      <c r="T572" s="348"/>
      <c r="U572" s="10"/>
      <c r="V572" s="349"/>
      <c r="W572" s="350"/>
      <c r="X572" s="9"/>
      <c r="Y572" s="10"/>
      <c r="Z572" s="6"/>
      <c r="AC572" s="11"/>
    </row>
    <row r="573" spans="1:29" ht="13.5" customHeight="1">
      <c r="A573" s="309"/>
      <c r="B573" s="340"/>
      <c r="C573" s="340"/>
      <c r="D573" s="340"/>
      <c r="E573" s="341"/>
      <c r="F573" s="8"/>
      <c r="G573" s="8"/>
      <c r="H573" s="208"/>
      <c r="I573" s="342"/>
      <c r="K573" s="311"/>
      <c r="L573" s="343"/>
      <c r="M573" s="344"/>
      <c r="N573" s="345"/>
      <c r="O573" s="311"/>
      <c r="P573" s="311"/>
      <c r="Q573" s="311"/>
      <c r="R573" s="346"/>
      <c r="S573" s="347"/>
      <c r="T573" s="348"/>
      <c r="U573" s="10"/>
      <c r="V573" s="349"/>
      <c r="W573" s="350"/>
      <c r="X573" s="9"/>
      <c r="Y573" s="10"/>
      <c r="Z573" s="6"/>
      <c r="AC573" s="11"/>
    </row>
    <row r="574" spans="1:29" ht="13.5" customHeight="1">
      <c r="A574" s="309"/>
      <c r="B574" s="340"/>
      <c r="C574" s="340"/>
      <c r="D574" s="340"/>
      <c r="E574" s="341"/>
      <c r="F574" s="8"/>
      <c r="G574" s="8"/>
      <c r="H574" s="208"/>
      <c r="I574" s="342"/>
      <c r="K574" s="311"/>
      <c r="L574" s="343"/>
      <c r="M574" s="344"/>
      <c r="N574" s="345"/>
      <c r="O574" s="311"/>
      <c r="P574" s="311"/>
      <c r="Q574" s="311"/>
      <c r="R574" s="346"/>
      <c r="S574" s="347"/>
      <c r="T574" s="348"/>
      <c r="U574" s="10"/>
      <c r="V574" s="349"/>
      <c r="W574" s="350"/>
      <c r="X574" s="9"/>
      <c r="Y574" s="10"/>
      <c r="Z574" s="6"/>
      <c r="AC574" s="11"/>
    </row>
    <row r="575" spans="1:29" ht="13.5" customHeight="1">
      <c r="A575" s="309"/>
      <c r="B575" s="340"/>
      <c r="C575" s="340"/>
      <c r="D575" s="340"/>
      <c r="E575" s="341"/>
      <c r="F575" s="8"/>
      <c r="G575" s="8"/>
      <c r="H575" s="208"/>
      <c r="I575" s="342"/>
      <c r="K575" s="311"/>
      <c r="L575" s="343"/>
      <c r="M575" s="344"/>
      <c r="N575" s="345"/>
      <c r="O575" s="311"/>
      <c r="P575" s="311"/>
      <c r="Q575" s="311"/>
      <c r="R575" s="346"/>
      <c r="S575" s="347"/>
      <c r="T575" s="348"/>
      <c r="U575" s="10"/>
      <c r="V575" s="349"/>
      <c r="W575" s="350"/>
      <c r="X575" s="9"/>
      <c r="Y575" s="10"/>
      <c r="Z575" s="6"/>
      <c r="AC575" s="11"/>
    </row>
    <row r="576" spans="1:29" ht="13.5" customHeight="1">
      <c r="A576" s="309"/>
      <c r="B576" s="340"/>
      <c r="C576" s="340"/>
      <c r="D576" s="340"/>
      <c r="E576" s="341"/>
      <c r="F576" s="8"/>
      <c r="G576" s="8"/>
      <c r="H576" s="208"/>
      <c r="I576" s="342"/>
      <c r="K576" s="311"/>
      <c r="L576" s="343"/>
      <c r="M576" s="344"/>
      <c r="N576" s="345"/>
      <c r="O576" s="311"/>
      <c r="P576" s="311"/>
      <c r="Q576" s="311"/>
      <c r="R576" s="346"/>
      <c r="S576" s="347"/>
      <c r="T576" s="348"/>
      <c r="U576" s="10"/>
      <c r="V576" s="349"/>
      <c r="W576" s="350"/>
      <c r="X576" s="9"/>
      <c r="Y576" s="10"/>
      <c r="Z576" s="6"/>
      <c r="AC576" s="11"/>
    </row>
    <row r="577" spans="1:29" ht="13.5" customHeight="1">
      <c r="A577" s="309"/>
      <c r="B577" s="340"/>
      <c r="C577" s="340"/>
      <c r="D577" s="340"/>
      <c r="E577" s="341"/>
      <c r="F577" s="8"/>
      <c r="G577" s="8"/>
      <c r="H577" s="208"/>
      <c r="I577" s="342"/>
      <c r="K577" s="311"/>
      <c r="L577" s="343"/>
      <c r="M577" s="344"/>
      <c r="N577" s="345"/>
      <c r="O577" s="311"/>
      <c r="P577" s="311"/>
      <c r="Q577" s="311"/>
      <c r="R577" s="346"/>
      <c r="S577" s="347"/>
      <c r="T577" s="348"/>
      <c r="U577" s="10"/>
      <c r="V577" s="349"/>
      <c r="W577" s="350"/>
      <c r="X577" s="9"/>
      <c r="Y577" s="10"/>
      <c r="Z577" s="6"/>
      <c r="AC577" s="11"/>
    </row>
    <row r="578" spans="1:29" ht="13.5" customHeight="1">
      <c r="A578" s="309"/>
      <c r="B578" s="340"/>
      <c r="C578" s="340"/>
      <c r="D578" s="340"/>
      <c r="E578" s="341"/>
      <c r="F578" s="8"/>
      <c r="G578" s="8"/>
      <c r="H578" s="208"/>
      <c r="I578" s="342"/>
      <c r="K578" s="311"/>
      <c r="L578" s="343"/>
      <c r="M578" s="344"/>
      <c r="N578" s="345"/>
      <c r="O578" s="311"/>
      <c r="P578" s="311"/>
      <c r="Q578" s="311"/>
      <c r="R578" s="346"/>
      <c r="S578" s="347"/>
      <c r="T578" s="348"/>
      <c r="U578" s="10"/>
      <c r="V578" s="349"/>
      <c r="W578" s="350"/>
      <c r="X578" s="9"/>
      <c r="Y578" s="10"/>
      <c r="Z578" s="6"/>
      <c r="AC578" s="11"/>
    </row>
    <row r="579" spans="1:29" ht="13.5" customHeight="1">
      <c r="A579" s="309"/>
      <c r="B579" s="340"/>
      <c r="C579" s="340"/>
      <c r="D579" s="340"/>
      <c r="E579" s="341"/>
      <c r="F579" s="8"/>
      <c r="G579" s="8"/>
      <c r="H579" s="208"/>
      <c r="I579" s="342"/>
      <c r="K579" s="311"/>
      <c r="L579" s="343"/>
      <c r="M579" s="344"/>
      <c r="N579" s="345"/>
      <c r="O579" s="311"/>
      <c r="P579" s="311"/>
      <c r="Q579" s="311"/>
      <c r="R579" s="346"/>
      <c r="S579" s="347"/>
      <c r="T579" s="348"/>
      <c r="U579" s="10"/>
      <c r="V579" s="349"/>
      <c r="W579" s="350"/>
      <c r="X579" s="9"/>
      <c r="Y579" s="10"/>
      <c r="Z579" s="6"/>
      <c r="AC579" s="11"/>
    </row>
    <row r="580" spans="1:29" ht="13.5" customHeight="1">
      <c r="A580" s="309"/>
      <c r="B580" s="340"/>
      <c r="C580" s="340"/>
      <c r="D580" s="340"/>
      <c r="E580" s="341"/>
      <c r="F580" s="8"/>
      <c r="G580" s="8"/>
      <c r="H580" s="208"/>
      <c r="I580" s="342"/>
      <c r="K580" s="311"/>
      <c r="L580" s="343"/>
      <c r="M580" s="344"/>
      <c r="N580" s="345"/>
      <c r="O580" s="311"/>
      <c r="P580" s="311"/>
      <c r="Q580" s="311"/>
      <c r="R580" s="346"/>
      <c r="S580" s="347"/>
      <c r="T580" s="348"/>
      <c r="U580" s="10"/>
      <c r="V580" s="349"/>
      <c r="W580" s="350"/>
      <c r="X580" s="9"/>
      <c r="Y580" s="10"/>
      <c r="Z580" s="6"/>
      <c r="AC580" s="11"/>
    </row>
    <row r="581" spans="1:29" ht="13.5" customHeight="1">
      <c r="A581" s="309"/>
      <c r="B581" s="340"/>
      <c r="C581" s="340"/>
      <c r="D581" s="340"/>
      <c r="E581" s="341"/>
      <c r="F581" s="8"/>
      <c r="G581" s="8"/>
      <c r="H581" s="208"/>
      <c r="I581" s="342"/>
      <c r="K581" s="311"/>
      <c r="L581" s="343"/>
      <c r="M581" s="344"/>
      <c r="N581" s="345"/>
      <c r="O581" s="311"/>
      <c r="P581" s="311"/>
      <c r="Q581" s="311"/>
      <c r="R581" s="346"/>
      <c r="S581" s="347"/>
      <c r="T581" s="348"/>
      <c r="U581" s="10"/>
      <c r="V581" s="349"/>
      <c r="W581" s="350"/>
      <c r="X581" s="9"/>
      <c r="Y581" s="10"/>
      <c r="Z581" s="6"/>
      <c r="AC581" s="11"/>
    </row>
    <row r="582" spans="1:29" ht="13.5" customHeight="1">
      <c r="A582" s="309"/>
      <c r="B582" s="340"/>
      <c r="C582" s="340"/>
      <c r="D582" s="340"/>
      <c r="E582" s="341"/>
      <c r="F582" s="8"/>
      <c r="G582" s="8"/>
      <c r="H582" s="208"/>
      <c r="I582" s="342"/>
      <c r="K582" s="311"/>
      <c r="L582" s="343"/>
      <c r="M582" s="344"/>
      <c r="N582" s="345"/>
      <c r="O582" s="311"/>
      <c r="P582" s="311"/>
      <c r="Q582" s="311"/>
      <c r="R582" s="346"/>
      <c r="S582" s="347"/>
      <c r="T582" s="348"/>
      <c r="U582" s="10"/>
      <c r="V582" s="349"/>
      <c r="W582" s="350"/>
      <c r="X582" s="9"/>
      <c r="Y582" s="10"/>
      <c r="Z582" s="6"/>
      <c r="AC582" s="11"/>
    </row>
    <row r="583" spans="1:29" ht="13.5" customHeight="1">
      <c r="A583" s="309"/>
      <c r="B583" s="340"/>
      <c r="C583" s="340"/>
      <c r="D583" s="340"/>
      <c r="E583" s="341"/>
      <c r="F583" s="8"/>
      <c r="G583" s="8"/>
      <c r="H583" s="208"/>
      <c r="I583" s="342"/>
      <c r="K583" s="311"/>
      <c r="L583" s="343"/>
      <c r="M583" s="344"/>
      <c r="N583" s="345"/>
      <c r="O583" s="311"/>
      <c r="P583" s="311"/>
      <c r="Q583" s="311"/>
      <c r="R583" s="346"/>
      <c r="S583" s="347"/>
      <c r="T583" s="348"/>
      <c r="U583" s="10"/>
      <c r="V583" s="349"/>
      <c r="W583" s="350"/>
      <c r="X583" s="9"/>
      <c r="Y583" s="10"/>
      <c r="Z583" s="6"/>
      <c r="AC583" s="11"/>
    </row>
    <row r="584" spans="1:29" ht="13.5" customHeight="1">
      <c r="A584" s="309"/>
      <c r="B584" s="340"/>
      <c r="C584" s="340"/>
      <c r="D584" s="340"/>
      <c r="E584" s="341"/>
      <c r="F584" s="8"/>
      <c r="G584" s="8"/>
      <c r="H584" s="208"/>
      <c r="I584" s="342"/>
      <c r="K584" s="311"/>
      <c r="L584" s="343"/>
      <c r="M584" s="344"/>
      <c r="N584" s="345"/>
      <c r="O584" s="311"/>
      <c r="P584" s="311"/>
      <c r="Q584" s="311"/>
      <c r="R584" s="346"/>
      <c r="S584" s="347"/>
      <c r="T584" s="348"/>
      <c r="U584" s="10"/>
      <c r="V584" s="349"/>
      <c r="W584" s="350"/>
      <c r="X584" s="9"/>
      <c r="Y584" s="10"/>
      <c r="Z584" s="6"/>
      <c r="AC584" s="11"/>
    </row>
    <row r="585" spans="1:29" ht="13.5" customHeight="1">
      <c r="A585" s="309"/>
      <c r="B585" s="340"/>
      <c r="C585" s="340"/>
      <c r="D585" s="340"/>
      <c r="E585" s="341"/>
      <c r="F585" s="8"/>
      <c r="G585" s="8"/>
      <c r="H585" s="208"/>
      <c r="I585" s="342"/>
      <c r="K585" s="311"/>
      <c r="L585" s="343"/>
      <c r="M585" s="344"/>
      <c r="N585" s="345"/>
      <c r="O585" s="311"/>
      <c r="P585" s="311"/>
      <c r="Q585" s="311"/>
      <c r="R585" s="346"/>
      <c r="S585" s="347"/>
      <c r="T585" s="348"/>
      <c r="U585" s="10"/>
      <c r="V585" s="349"/>
      <c r="W585" s="350"/>
      <c r="X585" s="9"/>
      <c r="Y585" s="10"/>
      <c r="Z585" s="6"/>
      <c r="AC585" s="11"/>
    </row>
    <row r="586" spans="1:29" ht="13.5" customHeight="1">
      <c r="A586" s="309"/>
      <c r="B586" s="340"/>
      <c r="C586" s="340"/>
      <c r="D586" s="340"/>
      <c r="E586" s="341"/>
      <c r="F586" s="8"/>
      <c r="G586" s="8"/>
      <c r="H586" s="208"/>
      <c r="I586" s="342"/>
      <c r="K586" s="311"/>
      <c r="L586" s="343"/>
      <c r="M586" s="344"/>
      <c r="N586" s="345"/>
      <c r="O586" s="311"/>
      <c r="P586" s="311"/>
      <c r="Q586" s="311"/>
      <c r="R586" s="346"/>
      <c r="S586" s="347"/>
      <c r="T586" s="348"/>
      <c r="U586" s="10"/>
      <c r="V586" s="349"/>
      <c r="W586" s="350"/>
      <c r="X586" s="9"/>
      <c r="Y586" s="10"/>
      <c r="Z586" s="6"/>
      <c r="AC586" s="11"/>
    </row>
    <row r="587" spans="1:29" ht="13.5" customHeight="1">
      <c r="A587" s="309"/>
      <c r="B587" s="340"/>
      <c r="C587" s="340"/>
      <c r="D587" s="340"/>
      <c r="E587" s="341"/>
      <c r="F587" s="8"/>
      <c r="G587" s="8"/>
      <c r="H587" s="208"/>
      <c r="I587" s="342"/>
      <c r="K587" s="311"/>
      <c r="L587" s="343"/>
      <c r="M587" s="344"/>
      <c r="N587" s="345"/>
      <c r="O587" s="311"/>
      <c r="P587" s="311"/>
      <c r="Q587" s="311"/>
      <c r="R587" s="346"/>
      <c r="S587" s="347"/>
      <c r="T587" s="348"/>
      <c r="U587" s="10"/>
      <c r="V587" s="349"/>
      <c r="W587" s="350"/>
      <c r="X587" s="9"/>
      <c r="Y587" s="10"/>
      <c r="Z587" s="6"/>
      <c r="AC587" s="11"/>
    </row>
    <row r="588" spans="1:29" ht="13.5" customHeight="1">
      <c r="A588" s="309"/>
      <c r="B588" s="340"/>
      <c r="C588" s="340"/>
      <c r="D588" s="340"/>
      <c r="E588" s="341"/>
      <c r="F588" s="8"/>
      <c r="G588" s="8"/>
      <c r="H588" s="208"/>
      <c r="I588" s="342"/>
      <c r="K588" s="311"/>
      <c r="L588" s="343"/>
      <c r="M588" s="344"/>
      <c r="N588" s="345"/>
      <c r="O588" s="311"/>
      <c r="P588" s="311"/>
      <c r="Q588" s="311"/>
      <c r="R588" s="346"/>
      <c r="S588" s="347"/>
      <c r="T588" s="348"/>
      <c r="U588" s="10"/>
      <c r="V588" s="349"/>
      <c r="W588" s="350"/>
      <c r="X588" s="9"/>
      <c r="Y588" s="10"/>
      <c r="Z588" s="6"/>
      <c r="AC588" s="11"/>
    </row>
    <row r="589" spans="1:29" ht="13.5" customHeight="1">
      <c r="A589" s="309"/>
      <c r="B589" s="340"/>
      <c r="C589" s="340"/>
      <c r="D589" s="340"/>
      <c r="E589" s="341"/>
      <c r="F589" s="8"/>
      <c r="G589" s="8"/>
      <c r="H589" s="208"/>
      <c r="I589" s="342"/>
      <c r="K589" s="311"/>
      <c r="L589" s="343"/>
      <c r="M589" s="344"/>
      <c r="N589" s="345"/>
      <c r="O589" s="311"/>
      <c r="P589" s="311"/>
      <c r="Q589" s="311"/>
      <c r="R589" s="346"/>
      <c r="S589" s="347"/>
      <c r="T589" s="348"/>
      <c r="U589" s="10"/>
      <c r="V589" s="349"/>
      <c r="W589" s="350"/>
      <c r="X589" s="9"/>
      <c r="Y589" s="10"/>
      <c r="Z589" s="6"/>
      <c r="AC589" s="11"/>
    </row>
    <row r="590" spans="1:29" ht="13.5" customHeight="1">
      <c r="A590" s="309"/>
      <c r="B590" s="340"/>
      <c r="C590" s="340"/>
      <c r="D590" s="340"/>
      <c r="E590" s="341"/>
      <c r="F590" s="8"/>
      <c r="G590" s="8"/>
      <c r="H590" s="208"/>
      <c r="I590" s="342"/>
      <c r="K590" s="311"/>
      <c r="L590" s="343"/>
      <c r="M590" s="344"/>
      <c r="N590" s="345"/>
      <c r="O590" s="311"/>
      <c r="P590" s="311"/>
      <c r="Q590" s="311"/>
      <c r="R590" s="346"/>
      <c r="S590" s="347"/>
      <c r="T590" s="348"/>
      <c r="U590" s="10"/>
      <c r="V590" s="349"/>
      <c r="W590" s="350"/>
      <c r="X590" s="9"/>
      <c r="Y590" s="10"/>
      <c r="Z590" s="6"/>
      <c r="AC590" s="11"/>
    </row>
    <row r="591" spans="1:29" ht="13.5" customHeight="1">
      <c r="A591" s="309"/>
      <c r="B591" s="340"/>
      <c r="C591" s="340"/>
      <c r="D591" s="340"/>
      <c r="E591" s="341"/>
      <c r="F591" s="8"/>
      <c r="G591" s="8"/>
      <c r="H591" s="208"/>
      <c r="I591" s="342"/>
      <c r="K591" s="311"/>
      <c r="L591" s="343"/>
      <c r="M591" s="344"/>
      <c r="N591" s="345"/>
      <c r="O591" s="311"/>
      <c r="P591" s="311"/>
      <c r="Q591" s="311"/>
      <c r="R591" s="346"/>
      <c r="S591" s="347"/>
      <c r="T591" s="348"/>
      <c r="U591" s="10"/>
      <c r="V591" s="349"/>
      <c r="W591" s="350"/>
      <c r="X591" s="9"/>
      <c r="Y591" s="10"/>
      <c r="Z591" s="6"/>
      <c r="AC591" s="11"/>
    </row>
    <row r="592" spans="1:29" ht="13.5" customHeight="1">
      <c r="A592" s="309"/>
      <c r="B592" s="340"/>
      <c r="C592" s="340"/>
      <c r="D592" s="340"/>
      <c r="E592" s="341"/>
      <c r="F592" s="8"/>
      <c r="G592" s="8"/>
      <c r="H592" s="208"/>
      <c r="I592" s="342"/>
      <c r="K592" s="311"/>
      <c r="L592" s="343"/>
      <c r="M592" s="344"/>
      <c r="N592" s="345"/>
      <c r="O592" s="311"/>
      <c r="P592" s="311"/>
      <c r="Q592" s="311"/>
      <c r="R592" s="346"/>
      <c r="S592" s="347"/>
      <c r="T592" s="348"/>
      <c r="U592" s="10"/>
      <c r="V592" s="349"/>
      <c r="W592" s="350"/>
      <c r="X592" s="9"/>
      <c r="Y592" s="10"/>
      <c r="Z592" s="6"/>
      <c r="AC592" s="11"/>
    </row>
    <row r="593" spans="1:29" ht="13.5" customHeight="1">
      <c r="A593" s="309"/>
      <c r="B593" s="340"/>
      <c r="C593" s="340"/>
      <c r="D593" s="340"/>
      <c r="E593" s="341"/>
      <c r="F593" s="8"/>
      <c r="G593" s="8"/>
      <c r="H593" s="208"/>
      <c r="I593" s="342"/>
      <c r="K593" s="311"/>
      <c r="L593" s="343"/>
      <c r="M593" s="344"/>
      <c r="N593" s="345"/>
      <c r="O593" s="311"/>
      <c r="P593" s="311"/>
      <c r="Q593" s="311"/>
      <c r="R593" s="346"/>
      <c r="S593" s="347"/>
      <c r="T593" s="348"/>
      <c r="U593" s="10"/>
      <c r="V593" s="349"/>
      <c r="W593" s="350"/>
      <c r="X593" s="9"/>
      <c r="Y593" s="10"/>
      <c r="Z593" s="6"/>
      <c r="AC593" s="11"/>
    </row>
    <row r="594" spans="1:29" ht="13.5" customHeight="1">
      <c r="A594" s="309"/>
      <c r="B594" s="340"/>
      <c r="C594" s="340"/>
      <c r="D594" s="340"/>
      <c r="E594" s="341"/>
      <c r="F594" s="8"/>
      <c r="G594" s="8"/>
      <c r="H594" s="208"/>
      <c r="I594" s="342"/>
      <c r="K594" s="311"/>
      <c r="L594" s="343"/>
      <c r="M594" s="344"/>
      <c r="N594" s="345"/>
      <c r="O594" s="311"/>
      <c r="P594" s="311"/>
      <c r="Q594" s="311"/>
      <c r="R594" s="346"/>
      <c r="S594" s="347"/>
      <c r="T594" s="348"/>
      <c r="U594" s="10"/>
      <c r="V594" s="349"/>
      <c r="W594" s="350"/>
      <c r="X594" s="9"/>
      <c r="Y594" s="10"/>
      <c r="Z594" s="6"/>
      <c r="AC594" s="11"/>
    </row>
    <row r="595" spans="1:29" ht="13.5" customHeight="1">
      <c r="A595" s="309"/>
      <c r="B595" s="340"/>
      <c r="C595" s="340"/>
      <c r="D595" s="340"/>
      <c r="E595" s="341"/>
      <c r="F595" s="8"/>
      <c r="G595" s="8"/>
      <c r="H595" s="208"/>
      <c r="I595" s="342"/>
      <c r="K595" s="311"/>
      <c r="L595" s="343"/>
      <c r="M595" s="344"/>
      <c r="N595" s="345"/>
      <c r="O595" s="311"/>
      <c r="P595" s="311"/>
      <c r="Q595" s="311"/>
      <c r="R595" s="346"/>
      <c r="S595" s="347"/>
      <c r="T595" s="348"/>
      <c r="U595" s="10"/>
      <c r="V595" s="349"/>
      <c r="W595" s="350"/>
      <c r="X595" s="9"/>
      <c r="Y595" s="10"/>
      <c r="Z595" s="6"/>
      <c r="AC595" s="11"/>
    </row>
    <row r="596" spans="1:29" ht="13.5" customHeight="1">
      <c r="A596" s="309"/>
      <c r="B596" s="340"/>
      <c r="C596" s="340"/>
      <c r="D596" s="340"/>
      <c r="E596" s="341"/>
      <c r="F596" s="8"/>
      <c r="G596" s="8"/>
      <c r="H596" s="208"/>
      <c r="I596" s="342"/>
      <c r="K596" s="311"/>
      <c r="L596" s="343"/>
      <c r="M596" s="344"/>
      <c r="N596" s="345"/>
      <c r="O596" s="311"/>
      <c r="P596" s="311"/>
      <c r="Q596" s="311"/>
      <c r="R596" s="346"/>
      <c r="S596" s="347"/>
      <c r="T596" s="348"/>
      <c r="U596" s="10"/>
      <c r="V596" s="349"/>
      <c r="W596" s="350"/>
      <c r="X596" s="9"/>
      <c r="Y596" s="10"/>
      <c r="Z596" s="6"/>
      <c r="AC596" s="11"/>
    </row>
    <row r="597" spans="1:29" ht="13.5" customHeight="1">
      <c r="A597" s="309"/>
      <c r="B597" s="340"/>
      <c r="C597" s="340"/>
      <c r="D597" s="340"/>
      <c r="E597" s="341"/>
      <c r="F597" s="8"/>
      <c r="G597" s="8"/>
      <c r="H597" s="208"/>
      <c r="I597" s="342"/>
      <c r="K597" s="311"/>
      <c r="L597" s="343"/>
      <c r="M597" s="344"/>
      <c r="N597" s="345"/>
      <c r="O597" s="311"/>
      <c r="P597" s="311"/>
      <c r="Q597" s="311"/>
      <c r="R597" s="346"/>
      <c r="S597" s="347"/>
      <c r="T597" s="348"/>
      <c r="U597" s="10"/>
      <c r="V597" s="349"/>
      <c r="W597" s="350"/>
      <c r="X597" s="9"/>
      <c r="Y597" s="10"/>
      <c r="Z597" s="6"/>
      <c r="AC597" s="11"/>
    </row>
    <row r="598" spans="1:29" ht="13.5" customHeight="1">
      <c r="A598" s="309"/>
      <c r="B598" s="340"/>
      <c r="C598" s="340"/>
      <c r="D598" s="340"/>
      <c r="E598" s="341"/>
      <c r="F598" s="8"/>
      <c r="G598" s="8"/>
      <c r="H598" s="208"/>
      <c r="I598" s="342"/>
      <c r="K598" s="311"/>
      <c r="L598" s="343"/>
      <c r="M598" s="344"/>
      <c r="N598" s="345"/>
      <c r="O598" s="311"/>
      <c r="P598" s="311"/>
      <c r="Q598" s="311"/>
      <c r="R598" s="346"/>
      <c r="S598" s="347"/>
      <c r="T598" s="348"/>
      <c r="U598" s="10"/>
      <c r="V598" s="349"/>
      <c r="W598" s="350"/>
      <c r="X598" s="9"/>
      <c r="Y598" s="10"/>
      <c r="Z598" s="6"/>
      <c r="AC598" s="11"/>
    </row>
    <row r="599" spans="1:29" ht="13.5" customHeight="1">
      <c r="A599" s="309"/>
      <c r="B599" s="340"/>
      <c r="C599" s="340"/>
      <c r="D599" s="340"/>
      <c r="E599" s="341"/>
      <c r="F599" s="8"/>
      <c r="G599" s="8"/>
      <c r="H599" s="208"/>
      <c r="I599" s="342"/>
      <c r="K599" s="311"/>
      <c r="L599" s="343"/>
      <c r="M599" s="344"/>
      <c r="N599" s="345"/>
      <c r="O599" s="311"/>
      <c r="P599" s="311"/>
      <c r="Q599" s="311"/>
      <c r="R599" s="346"/>
      <c r="S599" s="347"/>
      <c r="T599" s="348"/>
      <c r="U599" s="10"/>
      <c r="V599" s="349"/>
      <c r="W599" s="350"/>
      <c r="X599" s="9"/>
      <c r="Y599" s="10"/>
      <c r="Z599" s="6"/>
      <c r="AC599" s="11"/>
    </row>
    <row r="600" spans="1:29" ht="13.5" customHeight="1">
      <c r="A600" s="309"/>
      <c r="B600" s="340"/>
      <c r="C600" s="340"/>
      <c r="D600" s="340"/>
      <c r="E600" s="341"/>
      <c r="F600" s="8"/>
      <c r="G600" s="8"/>
      <c r="H600" s="208"/>
      <c r="I600" s="342"/>
      <c r="K600" s="311"/>
      <c r="L600" s="343"/>
      <c r="M600" s="344"/>
      <c r="N600" s="345"/>
      <c r="O600" s="311"/>
      <c r="P600" s="311"/>
      <c r="Q600" s="311"/>
      <c r="R600" s="346"/>
      <c r="S600" s="347"/>
      <c r="T600" s="348"/>
      <c r="U600" s="10"/>
      <c r="V600" s="349"/>
      <c r="W600" s="350"/>
      <c r="X600" s="9"/>
      <c r="Y600" s="10"/>
      <c r="Z600" s="6"/>
      <c r="AC600" s="11"/>
    </row>
    <row r="601" spans="1:29" ht="13.5" customHeight="1">
      <c r="A601" s="309"/>
      <c r="B601" s="340"/>
      <c r="C601" s="340"/>
      <c r="D601" s="340"/>
      <c r="E601" s="341"/>
      <c r="F601" s="8"/>
      <c r="G601" s="8"/>
      <c r="H601" s="208"/>
      <c r="I601" s="342"/>
      <c r="K601" s="311"/>
      <c r="L601" s="343"/>
      <c r="M601" s="344"/>
      <c r="N601" s="345"/>
      <c r="O601" s="311"/>
      <c r="P601" s="311"/>
      <c r="Q601" s="311"/>
      <c r="R601" s="346"/>
      <c r="S601" s="347"/>
      <c r="T601" s="348"/>
      <c r="U601" s="10"/>
      <c r="V601" s="349"/>
      <c r="W601" s="350"/>
      <c r="X601" s="9"/>
      <c r="Y601" s="10"/>
      <c r="Z601" s="6"/>
      <c r="AC601" s="11"/>
    </row>
    <row r="602" spans="1:29" ht="13.5" customHeight="1">
      <c r="A602" s="309"/>
      <c r="B602" s="340"/>
      <c r="C602" s="340"/>
      <c r="D602" s="340"/>
      <c r="E602" s="341"/>
      <c r="F602" s="8"/>
      <c r="G602" s="8"/>
      <c r="H602" s="208"/>
      <c r="I602" s="342"/>
      <c r="K602" s="311"/>
      <c r="L602" s="343"/>
      <c r="M602" s="344"/>
      <c r="N602" s="345"/>
      <c r="O602" s="311"/>
      <c r="P602" s="311"/>
      <c r="Q602" s="311"/>
      <c r="R602" s="346"/>
      <c r="S602" s="347"/>
      <c r="T602" s="348"/>
      <c r="U602" s="10"/>
      <c r="V602" s="349"/>
      <c r="W602" s="350"/>
      <c r="X602" s="9"/>
      <c r="Y602" s="10"/>
      <c r="Z602" s="6"/>
      <c r="AC602" s="11"/>
    </row>
    <row r="603" spans="1:29" ht="13.5" customHeight="1">
      <c r="A603" s="309"/>
      <c r="B603" s="340"/>
      <c r="C603" s="340"/>
      <c r="D603" s="340"/>
      <c r="E603" s="341"/>
      <c r="F603" s="8"/>
      <c r="G603" s="8"/>
      <c r="H603" s="208"/>
      <c r="I603" s="342"/>
      <c r="K603" s="311"/>
      <c r="L603" s="343"/>
      <c r="M603" s="344"/>
      <c r="N603" s="345"/>
      <c r="O603" s="311"/>
      <c r="P603" s="311"/>
      <c r="Q603" s="311"/>
      <c r="R603" s="346"/>
      <c r="S603" s="347"/>
      <c r="T603" s="348"/>
      <c r="U603" s="10"/>
      <c r="V603" s="349"/>
      <c r="W603" s="350"/>
      <c r="X603" s="9"/>
      <c r="Y603" s="10"/>
      <c r="Z603" s="6"/>
      <c r="AC603" s="11"/>
    </row>
    <row r="604" spans="1:29" ht="13.5" customHeight="1">
      <c r="A604" s="309"/>
      <c r="B604" s="340"/>
      <c r="C604" s="340"/>
      <c r="D604" s="340"/>
      <c r="E604" s="341"/>
      <c r="F604" s="8"/>
      <c r="G604" s="8"/>
      <c r="H604" s="208"/>
      <c r="I604" s="342"/>
      <c r="K604" s="311"/>
      <c r="L604" s="343"/>
      <c r="M604" s="344"/>
      <c r="N604" s="345"/>
      <c r="O604" s="311"/>
      <c r="P604" s="311"/>
      <c r="Q604" s="311"/>
      <c r="R604" s="346"/>
      <c r="S604" s="347"/>
      <c r="T604" s="348"/>
      <c r="U604" s="10"/>
      <c r="V604" s="349"/>
      <c r="W604" s="350"/>
      <c r="X604" s="9"/>
      <c r="Y604" s="10"/>
      <c r="Z604" s="6"/>
      <c r="AC604" s="11"/>
    </row>
    <row r="605" spans="1:29" ht="13.5" customHeight="1">
      <c r="A605" s="309"/>
      <c r="B605" s="340"/>
      <c r="C605" s="340"/>
      <c r="D605" s="340"/>
      <c r="E605" s="341"/>
      <c r="F605" s="8"/>
      <c r="G605" s="8"/>
      <c r="H605" s="208"/>
      <c r="I605" s="342"/>
      <c r="K605" s="311"/>
      <c r="L605" s="343"/>
      <c r="M605" s="344"/>
      <c r="N605" s="345"/>
      <c r="O605" s="311"/>
      <c r="P605" s="311"/>
      <c r="Q605" s="311"/>
      <c r="R605" s="346"/>
      <c r="S605" s="347"/>
      <c r="T605" s="348"/>
      <c r="U605" s="10"/>
      <c r="V605" s="349"/>
      <c r="W605" s="350"/>
      <c r="X605" s="9"/>
      <c r="Y605" s="10"/>
      <c r="Z605" s="6"/>
      <c r="AC605" s="11"/>
    </row>
    <row r="606" spans="1:29" ht="13.5" customHeight="1">
      <c r="A606" s="309"/>
      <c r="B606" s="340"/>
      <c r="C606" s="340"/>
      <c r="D606" s="340"/>
      <c r="E606" s="341"/>
      <c r="F606" s="8"/>
      <c r="G606" s="8"/>
      <c r="H606" s="208"/>
      <c r="I606" s="342"/>
      <c r="K606" s="311"/>
      <c r="L606" s="343"/>
      <c r="M606" s="344"/>
      <c r="N606" s="345"/>
      <c r="O606" s="311"/>
      <c r="P606" s="311"/>
      <c r="Q606" s="311"/>
      <c r="R606" s="346"/>
      <c r="S606" s="347"/>
      <c r="T606" s="348"/>
      <c r="U606" s="10"/>
      <c r="V606" s="349"/>
      <c r="W606" s="350"/>
      <c r="X606" s="9"/>
      <c r="Y606" s="10"/>
      <c r="Z606" s="6"/>
      <c r="AC606" s="11"/>
    </row>
    <row r="607" spans="1:29" ht="13.5" customHeight="1">
      <c r="A607" s="309"/>
      <c r="B607" s="340"/>
      <c r="C607" s="340"/>
      <c r="D607" s="340"/>
      <c r="E607" s="341"/>
      <c r="F607" s="8"/>
      <c r="G607" s="8"/>
      <c r="H607" s="208"/>
      <c r="I607" s="342"/>
      <c r="K607" s="311"/>
      <c r="L607" s="343"/>
      <c r="M607" s="344"/>
      <c r="N607" s="345"/>
      <c r="O607" s="311"/>
      <c r="P607" s="311"/>
      <c r="Q607" s="311"/>
      <c r="R607" s="346"/>
      <c r="S607" s="347"/>
      <c r="T607" s="348"/>
      <c r="U607" s="10"/>
      <c r="V607" s="349"/>
      <c r="W607" s="350"/>
      <c r="X607" s="9"/>
      <c r="Y607" s="10"/>
      <c r="Z607" s="6"/>
      <c r="AC607" s="11"/>
    </row>
    <row r="608" spans="1:29" ht="13.5" customHeight="1">
      <c r="A608" s="309"/>
      <c r="B608" s="340"/>
      <c r="C608" s="340"/>
      <c r="D608" s="340"/>
      <c r="E608" s="341"/>
      <c r="F608" s="8"/>
      <c r="G608" s="8"/>
      <c r="H608" s="208"/>
      <c r="I608" s="342"/>
      <c r="K608" s="311"/>
      <c r="L608" s="343"/>
      <c r="M608" s="344"/>
      <c r="N608" s="345"/>
      <c r="O608" s="311"/>
      <c r="P608" s="311"/>
      <c r="Q608" s="311"/>
      <c r="R608" s="346"/>
      <c r="S608" s="347"/>
      <c r="T608" s="348"/>
      <c r="U608" s="10"/>
      <c r="V608" s="349"/>
      <c r="W608" s="350"/>
      <c r="X608" s="9"/>
      <c r="Y608" s="10"/>
      <c r="Z608" s="6"/>
      <c r="AC608" s="11"/>
    </row>
    <row r="609" spans="1:29" ht="13.5" customHeight="1">
      <c r="A609" s="309"/>
      <c r="B609" s="340"/>
      <c r="C609" s="340"/>
      <c r="D609" s="340"/>
      <c r="E609" s="341"/>
      <c r="F609" s="8"/>
      <c r="G609" s="8"/>
      <c r="H609" s="208"/>
      <c r="I609" s="342"/>
      <c r="K609" s="311"/>
      <c r="L609" s="343"/>
      <c r="M609" s="344"/>
      <c r="N609" s="345"/>
      <c r="O609" s="311"/>
      <c r="P609" s="311"/>
      <c r="Q609" s="311"/>
      <c r="R609" s="346"/>
      <c r="S609" s="347"/>
      <c r="T609" s="348"/>
      <c r="U609" s="10"/>
      <c r="V609" s="349"/>
      <c r="W609" s="350"/>
      <c r="X609" s="9"/>
      <c r="Y609" s="10"/>
      <c r="Z609" s="6"/>
      <c r="AC609" s="11"/>
    </row>
    <row r="610" spans="1:29" ht="13.5" customHeight="1">
      <c r="A610" s="309"/>
      <c r="B610" s="340"/>
      <c r="C610" s="340"/>
      <c r="D610" s="340"/>
      <c r="E610" s="341"/>
      <c r="F610" s="8"/>
      <c r="G610" s="8"/>
      <c r="H610" s="208"/>
      <c r="I610" s="342"/>
      <c r="K610" s="311"/>
      <c r="L610" s="343"/>
      <c r="M610" s="344"/>
      <c r="N610" s="345"/>
      <c r="O610" s="311"/>
      <c r="P610" s="311"/>
      <c r="Q610" s="311"/>
      <c r="R610" s="346"/>
      <c r="S610" s="347"/>
      <c r="T610" s="348"/>
      <c r="U610" s="10"/>
      <c r="V610" s="349"/>
      <c r="W610" s="350"/>
      <c r="X610" s="9"/>
      <c r="Y610" s="10"/>
      <c r="Z610" s="6"/>
      <c r="AC610" s="11"/>
    </row>
    <row r="611" spans="1:29" ht="13.5" customHeight="1">
      <c r="A611" s="309"/>
      <c r="B611" s="340"/>
      <c r="C611" s="340"/>
      <c r="D611" s="340"/>
      <c r="E611" s="341"/>
      <c r="F611" s="8"/>
      <c r="G611" s="8"/>
      <c r="H611" s="208"/>
      <c r="I611" s="342"/>
      <c r="K611" s="311"/>
      <c r="L611" s="343"/>
      <c r="M611" s="344"/>
      <c r="N611" s="345"/>
      <c r="O611" s="311"/>
      <c r="P611" s="311"/>
      <c r="Q611" s="311"/>
      <c r="R611" s="346"/>
      <c r="S611" s="347"/>
      <c r="T611" s="348"/>
      <c r="U611" s="10"/>
      <c r="V611" s="349"/>
      <c r="W611" s="350"/>
      <c r="X611" s="9"/>
      <c r="Y611" s="10"/>
      <c r="Z611" s="6"/>
      <c r="AC611" s="11"/>
    </row>
    <row r="612" spans="1:29" ht="13.5" customHeight="1">
      <c r="A612" s="309"/>
      <c r="B612" s="340"/>
      <c r="C612" s="340"/>
      <c r="D612" s="340"/>
      <c r="E612" s="341"/>
      <c r="F612" s="8"/>
      <c r="G612" s="8"/>
      <c r="H612" s="208"/>
      <c r="I612" s="342"/>
      <c r="K612" s="311"/>
      <c r="L612" s="343"/>
      <c r="M612" s="344"/>
      <c r="N612" s="345"/>
      <c r="O612" s="311"/>
      <c r="P612" s="311"/>
      <c r="Q612" s="311"/>
      <c r="R612" s="346"/>
      <c r="S612" s="347"/>
      <c r="T612" s="348"/>
      <c r="U612" s="10"/>
      <c r="V612" s="349"/>
      <c r="W612" s="350"/>
      <c r="X612" s="9"/>
      <c r="Y612" s="10"/>
      <c r="Z612" s="6"/>
      <c r="AC612" s="11"/>
    </row>
    <row r="613" spans="1:29" ht="13.5" customHeight="1">
      <c r="A613" s="309"/>
      <c r="B613" s="340"/>
      <c r="C613" s="340"/>
      <c r="D613" s="340"/>
      <c r="E613" s="341"/>
      <c r="F613" s="8"/>
      <c r="G613" s="8"/>
      <c r="H613" s="208"/>
      <c r="I613" s="342"/>
      <c r="K613" s="311"/>
      <c r="L613" s="343"/>
      <c r="M613" s="344"/>
      <c r="N613" s="345"/>
      <c r="O613" s="311"/>
      <c r="P613" s="311"/>
      <c r="Q613" s="311"/>
      <c r="R613" s="346"/>
      <c r="S613" s="347"/>
      <c r="T613" s="348"/>
      <c r="U613" s="10"/>
      <c r="V613" s="349"/>
      <c r="W613" s="350"/>
      <c r="X613" s="9"/>
      <c r="Y613" s="10"/>
      <c r="Z613" s="6"/>
      <c r="AC613" s="11"/>
    </row>
    <row r="614" spans="1:29" ht="13.5" customHeight="1">
      <c r="A614" s="309"/>
      <c r="B614" s="340"/>
      <c r="C614" s="340"/>
      <c r="D614" s="340"/>
      <c r="E614" s="341"/>
      <c r="F614" s="8"/>
      <c r="G614" s="8"/>
      <c r="H614" s="208"/>
      <c r="I614" s="342"/>
      <c r="K614" s="311"/>
      <c r="L614" s="343"/>
      <c r="M614" s="344"/>
      <c r="N614" s="345"/>
      <c r="O614" s="311"/>
      <c r="P614" s="311"/>
      <c r="Q614" s="311"/>
      <c r="R614" s="346"/>
      <c r="S614" s="347"/>
      <c r="T614" s="348"/>
      <c r="U614" s="10"/>
      <c r="V614" s="349"/>
      <c r="W614" s="350"/>
      <c r="X614" s="9"/>
      <c r="Y614" s="10"/>
      <c r="Z614" s="6"/>
      <c r="AC614" s="11"/>
    </row>
    <row r="615" spans="1:29" ht="13.5" customHeight="1">
      <c r="A615" s="309"/>
      <c r="B615" s="340"/>
      <c r="C615" s="340"/>
      <c r="D615" s="340"/>
      <c r="E615" s="341"/>
      <c r="F615" s="8"/>
      <c r="G615" s="8"/>
      <c r="H615" s="208"/>
      <c r="I615" s="342"/>
      <c r="K615" s="311"/>
      <c r="L615" s="343"/>
      <c r="M615" s="344"/>
      <c r="N615" s="345"/>
      <c r="O615" s="311"/>
      <c r="P615" s="311"/>
      <c r="Q615" s="311"/>
      <c r="R615" s="346"/>
      <c r="S615" s="347"/>
      <c r="T615" s="348"/>
      <c r="U615" s="10"/>
      <c r="V615" s="349"/>
      <c r="W615" s="350"/>
      <c r="X615" s="9"/>
      <c r="Y615" s="10"/>
      <c r="Z615" s="6"/>
      <c r="AC615" s="11"/>
    </row>
    <row r="616" spans="1:29" ht="13.5" customHeight="1">
      <c r="A616" s="309"/>
      <c r="B616" s="340"/>
      <c r="C616" s="340"/>
      <c r="D616" s="340"/>
      <c r="E616" s="341"/>
      <c r="F616" s="8"/>
      <c r="G616" s="8"/>
      <c r="H616" s="208"/>
      <c r="I616" s="342"/>
      <c r="K616" s="311"/>
      <c r="L616" s="343"/>
      <c r="M616" s="344"/>
      <c r="N616" s="345"/>
      <c r="O616" s="311"/>
      <c r="P616" s="311"/>
      <c r="Q616" s="311"/>
      <c r="R616" s="346"/>
      <c r="S616" s="347"/>
      <c r="T616" s="348"/>
      <c r="U616" s="10"/>
      <c r="V616" s="349"/>
      <c r="W616" s="350"/>
      <c r="X616" s="9"/>
      <c r="Y616" s="10"/>
      <c r="Z616" s="6"/>
      <c r="AC616" s="11"/>
    </row>
    <row r="617" spans="1:29" ht="13.5" customHeight="1">
      <c r="A617" s="309"/>
      <c r="B617" s="340"/>
      <c r="C617" s="340"/>
      <c r="D617" s="340"/>
      <c r="E617" s="341"/>
      <c r="F617" s="8"/>
      <c r="G617" s="8"/>
      <c r="H617" s="208"/>
      <c r="I617" s="342"/>
      <c r="K617" s="311"/>
      <c r="L617" s="343"/>
      <c r="M617" s="344"/>
      <c r="N617" s="345"/>
      <c r="O617" s="311"/>
      <c r="P617" s="311"/>
      <c r="Q617" s="311"/>
      <c r="R617" s="346"/>
      <c r="S617" s="347"/>
      <c r="T617" s="348"/>
      <c r="U617" s="10"/>
      <c r="V617" s="349"/>
      <c r="W617" s="350"/>
      <c r="X617" s="9"/>
      <c r="Y617" s="10"/>
      <c r="Z617" s="6"/>
      <c r="AC617" s="11"/>
    </row>
    <row r="618" spans="1:29" ht="13.5" customHeight="1">
      <c r="A618" s="309"/>
      <c r="B618" s="340"/>
      <c r="C618" s="340"/>
      <c r="D618" s="340"/>
      <c r="E618" s="341"/>
      <c r="F618" s="8"/>
      <c r="G618" s="8"/>
      <c r="H618" s="208"/>
      <c r="I618" s="342"/>
      <c r="K618" s="311"/>
      <c r="L618" s="343"/>
      <c r="M618" s="344"/>
      <c r="N618" s="345"/>
      <c r="O618" s="311"/>
      <c r="P618" s="311"/>
      <c r="Q618" s="311"/>
      <c r="R618" s="346"/>
      <c r="S618" s="347"/>
      <c r="T618" s="348"/>
      <c r="U618" s="10"/>
      <c r="V618" s="349"/>
      <c r="W618" s="350"/>
      <c r="X618" s="9"/>
      <c r="Y618" s="10"/>
      <c r="Z618" s="6"/>
      <c r="AC618" s="11"/>
    </row>
    <row r="619" spans="1:29" ht="13.5" customHeight="1">
      <c r="A619" s="309"/>
      <c r="B619" s="340"/>
      <c r="C619" s="340"/>
      <c r="D619" s="340"/>
      <c r="E619" s="341"/>
      <c r="F619" s="8"/>
      <c r="G619" s="8"/>
      <c r="H619" s="208"/>
      <c r="I619" s="342"/>
      <c r="K619" s="311"/>
      <c r="L619" s="343"/>
      <c r="M619" s="344"/>
      <c r="N619" s="345"/>
      <c r="O619" s="311"/>
      <c r="P619" s="311"/>
      <c r="Q619" s="311"/>
      <c r="R619" s="346"/>
      <c r="S619" s="347"/>
      <c r="T619" s="348"/>
      <c r="U619" s="10"/>
      <c r="V619" s="349"/>
      <c r="W619" s="350"/>
      <c r="X619" s="9"/>
      <c r="Y619" s="10"/>
      <c r="Z619" s="6"/>
      <c r="AC619" s="11"/>
    </row>
    <row r="620" spans="1:29" ht="13.5" customHeight="1">
      <c r="A620" s="309"/>
      <c r="B620" s="340"/>
      <c r="C620" s="340"/>
      <c r="D620" s="340"/>
      <c r="E620" s="341"/>
      <c r="F620" s="8"/>
      <c r="G620" s="8"/>
      <c r="H620" s="208"/>
      <c r="I620" s="342"/>
      <c r="K620" s="311"/>
      <c r="L620" s="343"/>
      <c r="M620" s="344"/>
      <c r="N620" s="345"/>
      <c r="O620" s="311"/>
      <c r="P620" s="311"/>
      <c r="Q620" s="311"/>
      <c r="R620" s="346"/>
      <c r="S620" s="347"/>
      <c r="T620" s="348"/>
      <c r="U620" s="10"/>
      <c r="V620" s="349"/>
      <c r="W620" s="350"/>
      <c r="X620" s="9"/>
      <c r="Y620" s="10"/>
      <c r="Z620" s="6"/>
      <c r="AC620" s="11"/>
    </row>
    <row r="621" spans="1:29" ht="13.5" customHeight="1">
      <c r="A621" s="309"/>
      <c r="B621" s="340"/>
      <c r="C621" s="340"/>
      <c r="D621" s="340"/>
      <c r="E621" s="341"/>
      <c r="F621" s="8"/>
      <c r="G621" s="8"/>
      <c r="H621" s="208"/>
      <c r="I621" s="342"/>
      <c r="K621" s="311"/>
      <c r="L621" s="343"/>
      <c r="M621" s="344"/>
      <c r="N621" s="345"/>
      <c r="O621" s="311"/>
      <c r="P621" s="311"/>
      <c r="Q621" s="311"/>
      <c r="R621" s="346"/>
      <c r="S621" s="347"/>
      <c r="T621" s="348"/>
      <c r="U621" s="10"/>
      <c r="V621" s="349"/>
      <c r="W621" s="350"/>
      <c r="X621" s="9"/>
      <c r="Y621" s="10"/>
      <c r="Z621" s="6"/>
      <c r="AC621" s="11"/>
    </row>
    <row r="622" spans="1:29" ht="13.5" customHeight="1">
      <c r="A622" s="309"/>
      <c r="B622" s="340"/>
      <c r="C622" s="340"/>
      <c r="D622" s="340"/>
      <c r="E622" s="341"/>
      <c r="F622" s="8"/>
      <c r="G622" s="8"/>
      <c r="H622" s="208"/>
      <c r="I622" s="342"/>
      <c r="K622" s="311"/>
      <c r="L622" s="343"/>
      <c r="M622" s="344"/>
      <c r="N622" s="345"/>
      <c r="O622" s="311"/>
      <c r="P622" s="311"/>
      <c r="Q622" s="311"/>
      <c r="R622" s="346"/>
      <c r="S622" s="347"/>
      <c r="T622" s="348"/>
      <c r="U622" s="10"/>
      <c r="V622" s="349"/>
      <c r="W622" s="350"/>
      <c r="X622" s="9"/>
      <c r="Y622" s="10"/>
      <c r="Z622" s="6"/>
      <c r="AC622" s="11"/>
    </row>
    <row r="623" spans="1:29" ht="13.5" customHeight="1">
      <c r="A623" s="309"/>
      <c r="B623" s="340"/>
      <c r="C623" s="340"/>
      <c r="D623" s="340"/>
      <c r="E623" s="341"/>
      <c r="F623" s="8"/>
      <c r="G623" s="8"/>
      <c r="H623" s="208"/>
      <c r="I623" s="342"/>
      <c r="K623" s="311"/>
      <c r="L623" s="343"/>
      <c r="M623" s="344"/>
      <c r="N623" s="345"/>
      <c r="O623" s="311"/>
      <c r="P623" s="311"/>
      <c r="Q623" s="311"/>
      <c r="R623" s="346"/>
      <c r="S623" s="347"/>
      <c r="T623" s="348"/>
      <c r="U623" s="10"/>
      <c r="V623" s="349"/>
      <c r="W623" s="350"/>
      <c r="X623" s="9"/>
      <c r="Y623" s="10"/>
      <c r="Z623" s="6"/>
      <c r="AC623" s="11"/>
    </row>
    <row r="624" spans="1:29" ht="13.5" customHeight="1">
      <c r="A624" s="309"/>
      <c r="B624" s="340"/>
      <c r="C624" s="340"/>
      <c r="D624" s="340"/>
      <c r="E624" s="341"/>
      <c r="F624" s="8"/>
      <c r="G624" s="8"/>
      <c r="H624" s="208"/>
      <c r="I624" s="342"/>
      <c r="K624" s="311"/>
      <c r="L624" s="343"/>
      <c r="M624" s="344"/>
      <c r="N624" s="345"/>
      <c r="O624" s="311"/>
      <c r="P624" s="311"/>
      <c r="Q624" s="311"/>
      <c r="R624" s="346"/>
      <c r="S624" s="347"/>
      <c r="T624" s="348"/>
      <c r="U624" s="10"/>
      <c r="V624" s="349"/>
      <c r="W624" s="350"/>
      <c r="X624" s="9"/>
      <c r="Y624" s="10"/>
      <c r="Z624" s="6"/>
      <c r="AC624" s="11"/>
    </row>
    <row r="625" spans="1:29" ht="13.5" customHeight="1">
      <c r="A625" s="309"/>
      <c r="B625" s="340"/>
      <c r="C625" s="340"/>
      <c r="D625" s="340"/>
      <c r="E625" s="341"/>
      <c r="F625" s="8"/>
      <c r="G625" s="8"/>
      <c r="H625" s="208"/>
      <c r="I625" s="342"/>
      <c r="K625" s="311"/>
      <c r="L625" s="343"/>
      <c r="M625" s="344"/>
      <c r="N625" s="345"/>
      <c r="O625" s="311"/>
      <c r="P625" s="311"/>
      <c r="Q625" s="311"/>
      <c r="R625" s="346"/>
      <c r="S625" s="347"/>
      <c r="T625" s="348"/>
      <c r="U625" s="10"/>
      <c r="V625" s="349"/>
      <c r="W625" s="350"/>
      <c r="X625" s="9"/>
      <c r="Y625" s="10"/>
      <c r="Z625" s="6"/>
      <c r="AC625" s="11"/>
    </row>
    <row r="626" spans="1:29" ht="13.5" customHeight="1">
      <c r="A626" s="309"/>
      <c r="B626" s="340"/>
      <c r="C626" s="340"/>
      <c r="D626" s="340"/>
      <c r="E626" s="341"/>
      <c r="F626" s="8"/>
      <c r="G626" s="8"/>
      <c r="H626" s="208"/>
      <c r="I626" s="342"/>
      <c r="K626" s="311"/>
      <c r="L626" s="343"/>
      <c r="M626" s="344"/>
      <c r="N626" s="345"/>
      <c r="O626" s="311"/>
      <c r="P626" s="311"/>
      <c r="Q626" s="311"/>
      <c r="R626" s="346"/>
      <c r="S626" s="347"/>
      <c r="T626" s="348"/>
      <c r="U626" s="10"/>
      <c r="V626" s="349"/>
      <c r="W626" s="350"/>
      <c r="X626" s="9"/>
      <c r="Y626" s="10"/>
      <c r="Z626" s="6"/>
      <c r="AC626" s="11"/>
    </row>
    <row r="627" spans="1:29" ht="13.5" customHeight="1">
      <c r="A627" s="309"/>
      <c r="B627" s="340"/>
      <c r="C627" s="340"/>
      <c r="D627" s="340"/>
      <c r="E627" s="341"/>
      <c r="F627" s="8"/>
      <c r="G627" s="8"/>
      <c r="H627" s="208"/>
      <c r="I627" s="342"/>
      <c r="K627" s="311"/>
      <c r="L627" s="343"/>
      <c r="M627" s="344"/>
      <c r="N627" s="345"/>
      <c r="O627" s="311"/>
      <c r="P627" s="311"/>
      <c r="Q627" s="311"/>
      <c r="R627" s="346"/>
      <c r="S627" s="347"/>
      <c r="T627" s="348"/>
      <c r="U627" s="10"/>
      <c r="V627" s="349"/>
      <c r="W627" s="350"/>
      <c r="X627" s="9"/>
      <c r="Y627" s="10"/>
      <c r="Z627" s="6"/>
      <c r="AC627" s="11"/>
    </row>
    <row r="628" spans="1:29" ht="13.5" customHeight="1">
      <c r="A628" s="309"/>
      <c r="B628" s="340"/>
      <c r="C628" s="340"/>
      <c r="D628" s="340"/>
      <c r="E628" s="341"/>
      <c r="F628" s="8"/>
      <c r="G628" s="8"/>
      <c r="H628" s="208"/>
      <c r="I628" s="342"/>
      <c r="K628" s="311"/>
      <c r="L628" s="343"/>
      <c r="M628" s="344"/>
      <c r="N628" s="345"/>
      <c r="O628" s="311"/>
      <c r="P628" s="311"/>
      <c r="Q628" s="311"/>
      <c r="R628" s="346"/>
      <c r="S628" s="347"/>
      <c r="T628" s="348"/>
      <c r="U628" s="10"/>
      <c r="V628" s="349"/>
      <c r="W628" s="350"/>
      <c r="X628" s="9"/>
      <c r="Y628" s="10"/>
      <c r="Z628" s="6"/>
      <c r="AC628" s="11"/>
    </row>
    <row r="629" spans="1:29" ht="13.5" customHeight="1">
      <c r="A629" s="309"/>
      <c r="B629" s="340"/>
      <c r="C629" s="340"/>
      <c r="D629" s="340"/>
      <c r="E629" s="341"/>
      <c r="F629" s="8"/>
      <c r="G629" s="8"/>
      <c r="H629" s="208"/>
      <c r="I629" s="342"/>
      <c r="K629" s="311"/>
      <c r="L629" s="343"/>
      <c r="M629" s="344"/>
      <c r="N629" s="345"/>
      <c r="O629" s="311"/>
      <c r="P629" s="311"/>
      <c r="Q629" s="311"/>
      <c r="R629" s="346"/>
      <c r="S629" s="347"/>
      <c r="T629" s="348"/>
      <c r="U629" s="10"/>
      <c r="V629" s="349"/>
      <c r="W629" s="350"/>
      <c r="X629" s="9"/>
      <c r="Y629" s="10"/>
      <c r="Z629" s="6"/>
      <c r="AC629" s="11"/>
    </row>
    <row r="630" spans="1:29" ht="13.5" customHeight="1">
      <c r="A630" s="309"/>
      <c r="B630" s="340"/>
      <c r="C630" s="340"/>
      <c r="D630" s="340"/>
      <c r="E630" s="341"/>
      <c r="F630" s="8"/>
      <c r="G630" s="8"/>
      <c r="H630" s="208"/>
      <c r="I630" s="342"/>
      <c r="K630" s="311"/>
      <c r="L630" s="343"/>
      <c r="M630" s="344"/>
      <c r="N630" s="345"/>
      <c r="O630" s="311"/>
      <c r="P630" s="311"/>
      <c r="Q630" s="311"/>
      <c r="R630" s="346"/>
      <c r="S630" s="347"/>
      <c r="T630" s="348"/>
      <c r="U630" s="10"/>
      <c r="V630" s="349"/>
      <c r="W630" s="350"/>
      <c r="X630" s="9"/>
      <c r="Y630" s="10"/>
      <c r="Z630" s="6"/>
      <c r="AC630" s="11"/>
    </row>
    <row r="631" spans="1:29" ht="13.5" customHeight="1">
      <c r="A631" s="309"/>
      <c r="B631" s="340"/>
      <c r="C631" s="340"/>
      <c r="D631" s="340"/>
      <c r="E631" s="341"/>
      <c r="F631" s="8"/>
      <c r="G631" s="8"/>
      <c r="H631" s="208"/>
      <c r="I631" s="342"/>
      <c r="K631" s="311"/>
      <c r="L631" s="343"/>
      <c r="M631" s="344"/>
      <c r="N631" s="345"/>
      <c r="O631" s="311"/>
      <c r="P631" s="311"/>
      <c r="Q631" s="311"/>
      <c r="R631" s="346"/>
      <c r="S631" s="347"/>
      <c r="T631" s="348"/>
      <c r="U631" s="10"/>
      <c r="V631" s="349"/>
      <c r="W631" s="350"/>
      <c r="X631" s="9"/>
      <c r="Y631" s="10"/>
      <c r="Z631" s="6"/>
      <c r="AC631" s="11"/>
    </row>
    <row r="632" spans="1:29" ht="13.5" customHeight="1">
      <c r="A632" s="309"/>
      <c r="B632" s="340"/>
      <c r="C632" s="340"/>
      <c r="D632" s="340"/>
      <c r="E632" s="341"/>
      <c r="F632" s="8"/>
      <c r="G632" s="8"/>
      <c r="H632" s="208"/>
      <c r="I632" s="342"/>
      <c r="K632" s="311"/>
      <c r="L632" s="343"/>
      <c r="M632" s="344"/>
      <c r="N632" s="345"/>
      <c r="O632" s="311"/>
      <c r="P632" s="311"/>
      <c r="Q632" s="311"/>
      <c r="R632" s="346"/>
      <c r="S632" s="347"/>
      <c r="T632" s="348"/>
      <c r="U632" s="10"/>
      <c r="V632" s="349"/>
      <c r="W632" s="350"/>
      <c r="X632" s="9"/>
      <c r="Y632" s="10"/>
      <c r="Z632" s="6"/>
      <c r="AC632" s="11"/>
    </row>
    <row r="633" spans="1:29" ht="13.5" customHeight="1">
      <c r="A633" s="309"/>
      <c r="B633" s="340"/>
      <c r="C633" s="340"/>
      <c r="D633" s="340"/>
      <c r="E633" s="341"/>
      <c r="F633" s="8"/>
      <c r="G633" s="8"/>
      <c r="H633" s="208"/>
      <c r="I633" s="342"/>
      <c r="K633" s="311"/>
      <c r="L633" s="343"/>
      <c r="M633" s="344"/>
      <c r="N633" s="345"/>
      <c r="O633" s="311"/>
      <c r="P633" s="311"/>
      <c r="Q633" s="311"/>
      <c r="R633" s="346"/>
      <c r="S633" s="347"/>
      <c r="T633" s="348"/>
      <c r="U633" s="10"/>
      <c r="V633" s="349"/>
      <c r="W633" s="350"/>
      <c r="X633" s="9"/>
      <c r="Y633" s="10"/>
      <c r="Z633" s="6"/>
      <c r="AC633" s="11"/>
    </row>
    <row r="634" spans="1:29" ht="13.5" customHeight="1">
      <c r="A634" s="309"/>
      <c r="B634" s="340"/>
      <c r="C634" s="340"/>
      <c r="D634" s="340"/>
      <c r="E634" s="341"/>
      <c r="F634" s="8"/>
      <c r="G634" s="8"/>
      <c r="H634" s="208"/>
      <c r="I634" s="342"/>
      <c r="K634" s="311"/>
      <c r="L634" s="343"/>
      <c r="M634" s="344"/>
      <c r="N634" s="345"/>
      <c r="O634" s="311"/>
      <c r="P634" s="311"/>
      <c r="Q634" s="311"/>
      <c r="R634" s="346"/>
      <c r="S634" s="347"/>
      <c r="T634" s="348"/>
      <c r="U634" s="10"/>
      <c r="V634" s="349"/>
      <c r="W634" s="350"/>
      <c r="X634" s="9"/>
      <c r="Y634" s="10"/>
      <c r="Z634" s="6"/>
      <c r="AC634" s="11"/>
    </row>
    <row r="635" spans="1:29" ht="13.5" customHeight="1">
      <c r="A635" s="309"/>
      <c r="B635" s="340"/>
      <c r="C635" s="340"/>
      <c r="D635" s="340"/>
      <c r="E635" s="341"/>
      <c r="F635" s="8"/>
      <c r="G635" s="8"/>
      <c r="H635" s="208"/>
      <c r="I635" s="342"/>
      <c r="K635" s="311"/>
      <c r="L635" s="343"/>
      <c r="M635" s="344"/>
      <c r="N635" s="345"/>
      <c r="O635" s="311"/>
      <c r="P635" s="311"/>
      <c r="Q635" s="311"/>
      <c r="R635" s="346"/>
      <c r="S635" s="347"/>
      <c r="T635" s="348"/>
      <c r="U635" s="10"/>
      <c r="V635" s="349"/>
      <c r="W635" s="350"/>
      <c r="X635" s="9"/>
      <c r="Y635" s="10"/>
      <c r="Z635" s="6"/>
      <c r="AC635" s="11"/>
    </row>
    <row r="636" spans="1:29" ht="13.5" customHeight="1">
      <c r="A636" s="309"/>
      <c r="B636" s="340"/>
      <c r="C636" s="340"/>
      <c r="D636" s="340"/>
      <c r="E636" s="341"/>
      <c r="F636" s="8"/>
      <c r="G636" s="8"/>
      <c r="H636" s="208"/>
      <c r="I636" s="342"/>
      <c r="K636" s="311"/>
      <c r="L636" s="343"/>
      <c r="M636" s="344"/>
      <c r="N636" s="345"/>
      <c r="O636" s="311"/>
      <c r="P636" s="311"/>
      <c r="Q636" s="311"/>
      <c r="R636" s="346"/>
      <c r="S636" s="347"/>
      <c r="T636" s="348"/>
      <c r="U636" s="10"/>
      <c r="V636" s="349"/>
      <c r="W636" s="350"/>
      <c r="X636" s="9"/>
      <c r="Y636" s="10"/>
      <c r="Z636" s="6"/>
      <c r="AC636" s="11"/>
    </row>
    <row r="637" spans="1:29" ht="13.5" customHeight="1">
      <c r="A637" s="309"/>
      <c r="B637" s="340"/>
      <c r="C637" s="340"/>
      <c r="D637" s="340"/>
      <c r="E637" s="341"/>
      <c r="F637" s="8"/>
      <c r="G637" s="8"/>
      <c r="H637" s="208"/>
      <c r="I637" s="342"/>
      <c r="K637" s="311"/>
      <c r="L637" s="343"/>
      <c r="M637" s="344"/>
      <c r="N637" s="345"/>
      <c r="O637" s="311"/>
      <c r="P637" s="311"/>
      <c r="Q637" s="311"/>
      <c r="R637" s="346"/>
      <c r="S637" s="347"/>
      <c r="T637" s="348"/>
      <c r="U637" s="10"/>
      <c r="V637" s="349"/>
      <c r="W637" s="350"/>
      <c r="X637" s="9"/>
      <c r="Y637" s="10"/>
      <c r="Z637" s="6"/>
      <c r="AC637" s="11"/>
    </row>
    <row r="638" spans="1:29" ht="13.5" customHeight="1">
      <c r="A638" s="309"/>
      <c r="B638" s="340"/>
      <c r="C638" s="340"/>
      <c r="D638" s="340"/>
      <c r="E638" s="341"/>
      <c r="F638" s="8"/>
      <c r="G638" s="8"/>
      <c r="H638" s="208"/>
      <c r="I638" s="342"/>
      <c r="K638" s="311"/>
      <c r="L638" s="343"/>
      <c r="M638" s="344"/>
      <c r="N638" s="345"/>
      <c r="O638" s="311"/>
      <c r="P638" s="311"/>
      <c r="Q638" s="311"/>
      <c r="R638" s="346"/>
      <c r="S638" s="347"/>
      <c r="T638" s="348"/>
      <c r="U638" s="10"/>
      <c r="V638" s="349"/>
      <c r="W638" s="350"/>
      <c r="X638" s="9"/>
      <c r="Y638" s="10"/>
      <c r="Z638" s="6"/>
      <c r="AC638" s="11"/>
    </row>
    <row r="639" spans="1:29" ht="13.5" customHeight="1">
      <c r="A639" s="309"/>
      <c r="B639" s="340"/>
      <c r="C639" s="340"/>
      <c r="D639" s="340"/>
      <c r="E639" s="341"/>
      <c r="F639" s="8"/>
      <c r="G639" s="8"/>
      <c r="H639" s="208"/>
      <c r="I639" s="342"/>
      <c r="K639" s="311"/>
      <c r="L639" s="343"/>
      <c r="M639" s="344"/>
      <c r="N639" s="345"/>
      <c r="O639" s="311"/>
      <c r="P639" s="311"/>
      <c r="Q639" s="311"/>
      <c r="R639" s="346"/>
      <c r="S639" s="347"/>
      <c r="T639" s="348"/>
      <c r="U639" s="10"/>
      <c r="V639" s="349"/>
      <c r="W639" s="350"/>
      <c r="X639" s="9"/>
      <c r="Y639" s="10"/>
      <c r="Z639" s="6"/>
      <c r="AC639" s="11"/>
    </row>
    <row r="640" spans="1:29" ht="13.5" customHeight="1">
      <c r="A640" s="309"/>
      <c r="B640" s="340"/>
      <c r="C640" s="340"/>
      <c r="D640" s="340"/>
      <c r="E640" s="341"/>
      <c r="F640" s="8"/>
      <c r="G640" s="8"/>
      <c r="H640" s="208"/>
      <c r="I640" s="342"/>
      <c r="K640" s="311"/>
      <c r="L640" s="343"/>
      <c r="M640" s="344"/>
      <c r="N640" s="345"/>
      <c r="O640" s="311"/>
      <c r="P640" s="311"/>
      <c r="Q640" s="311"/>
      <c r="R640" s="346"/>
      <c r="S640" s="347"/>
      <c r="T640" s="348"/>
      <c r="U640" s="10"/>
      <c r="V640" s="349"/>
      <c r="W640" s="350"/>
      <c r="X640" s="9"/>
      <c r="Y640" s="10"/>
      <c r="Z640" s="6"/>
      <c r="AC640" s="11"/>
    </row>
    <row r="641" spans="1:29" ht="13.5" customHeight="1">
      <c r="A641" s="309"/>
      <c r="B641" s="340"/>
      <c r="C641" s="340"/>
      <c r="D641" s="340"/>
      <c r="E641" s="341"/>
      <c r="F641" s="8"/>
      <c r="G641" s="8"/>
      <c r="H641" s="208"/>
      <c r="I641" s="342"/>
      <c r="K641" s="311"/>
      <c r="L641" s="343"/>
      <c r="M641" s="344"/>
      <c r="N641" s="345"/>
      <c r="O641" s="311"/>
      <c r="P641" s="311"/>
      <c r="Q641" s="311"/>
      <c r="R641" s="346"/>
      <c r="S641" s="347"/>
      <c r="T641" s="348"/>
      <c r="U641" s="10"/>
      <c r="V641" s="349"/>
      <c r="W641" s="350"/>
      <c r="X641" s="9"/>
      <c r="Y641" s="10"/>
      <c r="Z641" s="6"/>
      <c r="AC641" s="11"/>
    </row>
    <row r="642" spans="1:29" ht="13.5" customHeight="1">
      <c r="A642" s="309"/>
      <c r="B642" s="340"/>
      <c r="C642" s="340"/>
      <c r="D642" s="340"/>
      <c r="E642" s="341"/>
      <c r="F642" s="8"/>
      <c r="G642" s="8"/>
      <c r="H642" s="208"/>
      <c r="I642" s="342"/>
      <c r="K642" s="311"/>
      <c r="L642" s="343"/>
      <c r="M642" s="344"/>
      <c r="N642" s="345"/>
      <c r="O642" s="311"/>
      <c r="P642" s="311"/>
      <c r="Q642" s="311"/>
      <c r="R642" s="346"/>
      <c r="S642" s="347"/>
      <c r="T642" s="348"/>
      <c r="U642" s="10"/>
      <c r="V642" s="349"/>
      <c r="W642" s="350"/>
      <c r="X642" s="9"/>
      <c r="Y642" s="10"/>
      <c r="Z642" s="6"/>
      <c r="AC642" s="11"/>
    </row>
    <row r="643" spans="1:29" ht="13.5" customHeight="1">
      <c r="A643" s="309"/>
      <c r="B643" s="340"/>
      <c r="C643" s="340"/>
      <c r="D643" s="340"/>
      <c r="E643" s="341"/>
      <c r="F643" s="8"/>
      <c r="G643" s="8"/>
      <c r="H643" s="208"/>
      <c r="I643" s="342"/>
      <c r="K643" s="311"/>
      <c r="L643" s="343"/>
      <c r="M643" s="344"/>
      <c r="N643" s="345"/>
      <c r="O643" s="311"/>
      <c r="P643" s="311"/>
      <c r="Q643" s="311"/>
      <c r="R643" s="346"/>
      <c r="S643" s="347"/>
      <c r="T643" s="348"/>
      <c r="U643" s="10"/>
      <c r="V643" s="349"/>
      <c r="W643" s="350"/>
      <c r="X643" s="9"/>
      <c r="Y643" s="10"/>
      <c r="Z643" s="6"/>
      <c r="AC643" s="11"/>
    </row>
    <row r="644" spans="1:29" ht="13.5" customHeight="1">
      <c r="A644" s="309"/>
      <c r="B644" s="340"/>
      <c r="C644" s="340"/>
      <c r="D644" s="340"/>
      <c r="E644" s="341"/>
      <c r="F644" s="8"/>
      <c r="G644" s="8"/>
      <c r="H644" s="208"/>
      <c r="I644" s="342"/>
      <c r="K644" s="311"/>
      <c r="L644" s="343"/>
      <c r="M644" s="344"/>
      <c r="N644" s="345"/>
      <c r="O644" s="311"/>
      <c r="P644" s="311"/>
      <c r="Q644" s="311"/>
      <c r="R644" s="346"/>
      <c r="S644" s="347"/>
      <c r="T644" s="348"/>
      <c r="U644" s="10"/>
      <c r="V644" s="349"/>
      <c r="W644" s="350"/>
      <c r="X644" s="9"/>
      <c r="Y644" s="10"/>
      <c r="Z644" s="6"/>
      <c r="AC644" s="11"/>
    </row>
    <row r="645" spans="1:29" ht="13.5" customHeight="1">
      <c r="A645" s="309"/>
      <c r="B645" s="340"/>
      <c r="C645" s="340"/>
      <c r="D645" s="340"/>
      <c r="E645" s="341"/>
      <c r="F645" s="8"/>
      <c r="G645" s="8"/>
      <c r="H645" s="208"/>
      <c r="I645" s="342"/>
      <c r="K645" s="311"/>
      <c r="L645" s="343"/>
      <c r="M645" s="344"/>
      <c r="N645" s="345"/>
      <c r="O645" s="311"/>
      <c r="P645" s="311"/>
      <c r="Q645" s="311"/>
      <c r="R645" s="346"/>
      <c r="S645" s="347"/>
      <c r="T645" s="348"/>
      <c r="U645" s="10"/>
      <c r="V645" s="349"/>
      <c r="W645" s="350"/>
      <c r="X645" s="9"/>
      <c r="Y645" s="10"/>
      <c r="Z645" s="6"/>
      <c r="AC645" s="11"/>
    </row>
    <row r="646" spans="1:29" ht="13.5" customHeight="1">
      <c r="A646" s="309"/>
      <c r="B646" s="340"/>
      <c r="C646" s="340"/>
      <c r="D646" s="340"/>
      <c r="E646" s="341"/>
      <c r="F646" s="8"/>
      <c r="G646" s="8"/>
      <c r="H646" s="208"/>
      <c r="I646" s="342"/>
      <c r="K646" s="311"/>
      <c r="L646" s="343"/>
      <c r="M646" s="344"/>
      <c r="N646" s="345"/>
      <c r="O646" s="311"/>
      <c r="P646" s="311"/>
      <c r="Q646" s="311"/>
      <c r="R646" s="346"/>
      <c r="S646" s="347"/>
      <c r="T646" s="348"/>
      <c r="U646" s="10"/>
      <c r="V646" s="349"/>
      <c r="W646" s="350"/>
      <c r="X646" s="9"/>
      <c r="Y646" s="10"/>
      <c r="Z646" s="6"/>
      <c r="AC646" s="11"/>
    </row>
    <row r="647" spans="1:29" ht="13.5" customHeight="1">
      <c r="A647" s="309"/>
      <c r="B647" s="340"/>
      <c r="C647" s="340"/>
      <c r="D647" s="340"/>
      <c r="E647" s="341"/>
      <c r="F647" s="8"/>
      <c r="G647" s="8"/>
      <c r="H647" s="208"/>
      <c r="I647" s="342"/>
      <c r="K647" s="311"/>
      <c r="L647" s="343"/>
      <c r="M647" s="344"/>
      <c r="N647" s="345"/>
      <c r="O647" s="311"/>
      <c r="P647" s="311"/>
      <c r="Q647" s="311"/>
      <c r="R647" s="346"/>
      <c r="S647" s="347"/>
      <c r="T647" s="348"/>
      <c r="U647" s="10"/>
      <c r="V647" s="349"/>
      <c r="W647" s="350"/>
      <c r="X647" s="9"/>
      <c r="Y647" s="10"/>
      <c r="Z647" s="6"/>
      <c r="AC647" s="11"/>
    </row>
    <row r="648" spans="1:29" ht="13.5" customHeight="1">
      <c r="A648" s="309"/>
      <c r="B648" s="340"/>
      <c r="C648" s="340"/>
      <c r="D648" s="340"/>
      <c r="E648" s="341"/>
      <c r="F648" s="8"/>
      <c r="G648" s="8"/>
      <c r="H648" s="208"/>
      <c r="I648" s="342"/>
      <c r="K648" s="311"/>
      <c r="L648" s="343"/>
      <c r="M648" s="344"/>
      <c r="N648" s="345"/>
      <c r="O648" s="311"/>
      <c r="P648" s="311"/>
      <c r="Q648" s="311"/>
      <c r="R648" s="346"/>
      <c r="S648" s="347"/>
      <c r="T648" s="348"/>
      <c r="U648" s="10"/>
      <c r="V648" s="349"/>
      <c r="W648" s="350"/>
      <c r="X648" s="9"/>
      <c r="Y648" s="10"/>
      <c r="Z648" s="6"/>
      <c r="AC648" s="11"/>
    </row>
    <row r="649" spans="1:29" ht="13.5" customHeight="1">
      <c r="A649" s="309"/>
      <c r="B649" s="340"/>
      <c r="C649" s="340"/>
      <c r="D649" s="340"/>
      <c r="E649" s="341"/>
      <c r="F649" s="8"/>
      <c r="G649" s="8"/>
      <c r="H649" s="208"/>
      <c r="I649" s="342"/>
      <c r="K649" s="311"/>
      <c r="L649" s="343"/>
      <c r="M649" s="344"/>
      <c r="N649" s="345"/>
      <c r="O649" s="311"/>
      <c r="P649" s="311"/>
      <c r="Q649" s="311"/>
      <c r="R649" s="346"/>
      <c r="S649" s="347"/>
      <c r="T649" s="348"/>
      <c r="U649" s="10"/>
      <c r="V649" s="349"/>
      <c r="W649" s="350"/>
      <c r="X649" s="9"/>
      <c r="Y649" s="10"/>
      <c r="Z649" s="6"/>
      <c r="AC649" s="11"/>
    </row>
    <row r="650" spans="1:29" ht="13.5" customHeight="1">
      <c r="A650" s="309"/>
      <c r="B650" s="340"/>
      <c r="C650" s="340"/>
      <c r="D650" s="340"/>
      <c r="E650" s="341"/>
      <c r="F650" s="8"/>
      <c r="G650" s="8"/>
      <c r="H650" s="208"/>
      <c r="I650" s="342"/>
      <c r="K650" s="311"/>
      <c r="L650" s="343"/>
      <c r="M650" s="344"/>
      <c r="N650" s="345"/>
      <c r="O650" s="311"/>
      <c r="P650" s="311"/>
      <c r="Q650" s="311"/>
      <c r="R650" s="346"/>
      <c r="S650" s="347"/>
      <c r="T650" s="348"/>
      <c r="U650" s="10"/>
      <c r="V650" s="349"/>
      <c r="W650" s="350"/>
      <c r="X650" s="9"/>
      <c r="Y650" s="10"/>
      <c r="Z650" s="6"/>
      <c r="AC650" s="11"/>
    </row>
    <row r="651" spans="1:29" ht="13.5" customHeight="1">
      <c r="A651" s="309"/>
      <c r="B651" s="340"/>
      <c r="C651" s="340"/>
      <c r="D651" s="340"/>
      <c r="E651" s="341"/>
      <c r="F651" s="8"/>
      <c r="G651" s="8"/>
      <c r="H651" s="208"/>
      <c r="I651" s="342"/>
      <c r="K651" s="311"/>
      <c r="L651" s="343"/>
      <c r="M651" s="344"/>
      <c r="N651" s="345"/>
      <c r="O651" s="311"/>
      <c r="P651" s="311"/>
      <c r="Q651" s="311"/>
      <c r="R651" s="346"/>
      <c r="S651" s="347"/>
      <c r="T651" s="348"/>
      <c r="U651" s="10"/>
      <c r="V651" s="349"/>
      <c r="W651" s="350"/>
      <c r="X651" s="9"/>
      <c r="Y651" s="10"/>
      <c r="Z651" s="6"/>
      <c r="AC651" s="11"/>
    </row>
    <row r="652" spans="1:29" ht="13.5" customHeight="1">
      <c r="A652" s="309"/>
      <c r="B652" s="340"/>
      <c r="C652" s="340"/>
      <c r="D652" s="340"/>
      <c r="E652" s="341"/>
      <c r="F652" s="8"/>
      <c r="G652" s="8"/>
      <c r="H652" s="208"/>
      <c r="I652" s="342"/>
      <c r="K652" s="311"/>
      <c r="L652" s="343"/>
      <c r="M652" s="344"/>
      <c r="N652" s="345"/>
      <c r="O652" s="311"/>
      <c r="P652" s="311"/>
      <c r="Q652" s="311"/>
      <c r="R652" s="346"/>
      <c r="S652" s="347"/>
      <c r="T652" s="348"/>
      <c r="U652" s="10"/>
      <c r="V652" s="349"/>
      <c r="W652" s="350"/>
      <c r="X652" s="9"/>
      <c r="Y652" s="10"/>
      <c r="Z652" s="6"/>
      <c r="AC652" s="11"/>
    </row>
    <row r="653" spans="1:29" ht="13.5" customHeight="1">
      <c r="A653" s="309"/>
      <c r="B653" s="340"/>
      <c r="C653" s="340"/>
      <c r="D653" s="340"/>
      <c r="E653" s="341"/>
      <c r="F653" s="8"/>
      <c r="G653" s="8"/>
      <c r="H653" s="208"/>
      <c r="I653" s="342"/>
      <c r="K653" s="311"/>
      <c r="L653" s="343"/>
      <c r="M653" s="344"/>
      <c r="N653" s="345"/>
      <c r="O653" s="311"/>
      <c r="P653" s="311"/>
      <c r="Q653" s="311"/>
      <c r="R653" s="346"/>
      <c r="S653" s="347"/>
      <c r="T653" s="348"/>
      <c r="U653" s="10"/>
      <c r="V653" s="349"/>
      <c r="W653" s="350"/>
      <c r="X653" s="9"/>
      <c r="Y653" s="10"/>
      <c r="Z653" s="6"/>
      <c r="AC653" s="11"/>
    </row>
    <row r="654" spans="1:29" ht="13.5" customHeight="1">
      <c r="A654" s="309"/>
      <c r="B654" s="340"/>
      <c r="C654" s="340"/>
      <c r="D654" s="340"/>
      <c r="E654" s="341"/>
      <c r="F654" s="8"/>
      <c r="G654" s="8"/>
      <c r="H654" s="208"/>
      <c r="I654" s="342"/>
      <c r="K654" s="311"/>
      <c r="L654" s="343"/>
      <c r="M654" s="344"/>
      <c r="N654" s="345"/>
      <c r="O654" s="311"/>
      <c r="P654" s="311"/>
      <c r="Q654" s="311"/>
      <c r="R654" s="346"/>
      <c r="S654" s="347"/>
      <c r="T654" s="348"/>
      <c r="U654" s="10"/>
      <c r="V654" s="349"/>
      <c r="W654" s="350"/>
      <c r="X654" s="9"/>
      <c r="Y654" s="10"/>
      <c r="Z654" s="6"/>
      <c r="AC654" s="11"/>
    </row>
    <row r="655" spans="1:29" ht="13.5" customHeight="1">
      <c r="A655" s="309"/>
      <c r="B655" s="340"/>
      <c r="C655" s="340"/>
      <c r="D655" s="340"/>
      <c r="E655" s="341"/>
      <c r="F655" s="8"/>
      <c r="G655" s="8"/>
      <c r="H655" s="208"/>
      <c r="I655" s="342"/>
      <c r="K655" s="311"/>
      <c r="L655" s="343"/>
      <c r="M655" s="344"/>
      <c r="N655" s="345"/>
      <c r="O655" s="311"/>
      <c r="P655" s="311"/>
      <c r="Q655" s="311"/>
      <c r="R655" s="346"/>
      <c r="S655" s="347"/>
      <c r="T655" s="348"/>
      <c r="U655" s="10"/>
      <c r="V655" s="349"/>
      <c r="W655" s="350"/>
      <c r="X655" s="9"/>
      <c r="Y655" s="10"/>
      <c r="Z655" s="6"/>
      <c r="AC655" s="11"/>
    </row>
    <row r="656" spans="1:29" ht="13.5" customHeight="1">
      <c r="A656" s="309"/>
      <c r="B656" s="340"/>
      <c r="C656" s="340"/>
      <c r="D656" s="340"/>
      <c r="E656" s="341"/>
      <c r="F656" s="8"/>
      <c r="G656" s="8"/>
      <c r="H656" s="208"/>
      <c r="I656" s="342"/>
      <c r="K656" s="311"/>
      <c r="L656" s="343"/>
      <c r="M656" s="344"/>
      <c r="N656" s="345"/>
      <c r="O656" s="311"/>
      <c r="P656" s="311"/>
      <c r="Q656" s="311"/>
      <c r="R656" s="346"/>
      <c r="S656" s="347"/>
      <c r="T656" s="348"/>
      <c r="U656" s="10"/>
      <c r="V656" s="349"/>
      <c r="W656" s="350"/>
      <c r="X656" s="9"/>
      <c r="Y656" s="10"/>
      <c r="Z656" s="6"/>
      <c r="AC656" s="11"/>
    </row>
    <row r="657" spans="1:29" ht="13.5" customHeight="1">
      <c r="A657" s="309"/>
      <c r="B657" s="340"/>
      <c r="C657" s="340"/>
      <c r="D657" s="340"/>
      <c r="E657" s="341"/>
      <c r="F657" s="8"/>
      <c r="G657" s="8"/>
      <c r="H657" s="208"/>
      <c r="I657" s="342"/>
      <c r="K657" s="311"/>
      <c r="L657" s="343"/>
      <c r="M657" s="344"/>
      <c r="N657" s="345"/>
      <c r="O657" s="311"/>
      <c r="P657" s="311"/>
      <c r="Q657" s="311"/>
      <c r="R657" s="346"/>
      <c r="S657" s="347"/>
      <c r="T657" s="348"/>
      <c r="U657" s="10"/>
      <c r="V657" s="349"/>
      <c r="W657" s="350"/>
      <c r="X657" s="9"/>
      <c r="Y657" s="10"/>
      <c r="Z657" s="6"/>
      <c r="AC657" s="11"/>
    </row>
    <row r="658" spans="1:29" ht="13.5" customHeight="1">
      <c r="A658" s="309"/>
      <c r="B658" s="340"/>
      <c r="C658" s="340"/>
      <c r="D658" s="340"/>
      <c r="E658" s="341"/>
      <c r="F658" s="8"/>
      <c r="G658" s="8"/>
      <c r="H658" s="208"/>
      <c r="I658" s="342"/>
      <c r="K658" s="311"/>
      <c r="L658" s="343"/>
      <c r="M658" s="344"/>
      <c r="N658" s="345"/>
      <c r="O658" s="311"/>
      <c r="P658" s="311"/>
      <c r="Q658" s="311"/>
      <c r="R658" s="346"/>
      <c r="S658" s="347"/>
      <c r="T658" s="348"/>
      <c r="U658" s="10"/>
      <c r="V658" s="349"/>
      <c r="W658" s="350"/>
      <c r="X658" s="9"/>
      <c r="Y658" s="10"/>
      <c r="Z658" s="6"/>
      <c r="AC658" s="11"/>
    </row>
    <row r="659" spans="1:29" ht="13.5" customHeight="1">
      <c r="A659" s="309"/>
      <c r="B659" s="340"/>
      <c r="C659" s="340"/>
      <c r="D659" s="340"/>
      <c r="E659" s="341"/>
      <c r="F659" s="8"/>
      <c r="G659" s="8"/>
      <c r="H659" s="208"/>
      <c r="I659" s="342"/>
      <c r="K659" s="311"/>
      <c r="L659" s="343"/>
      <c r="M659" s="344"/>
      <c r="N659" s="345"/>
      <c r="O659" s="311"/>
      <c r="P659" s="311"/>
      <c r="Q659" s="311"/>
      <c r="R659" s="346"/>
      <c r="S659" s="347"/>
      <c r="T659" s="348"/>
      <c r="U659" s="10"/>
      <c r="V659" s="349"/>
      <c r="W659" s="350"/>
      <c r="X659" s="9"/>
      <c r="Y659" s="10"/>
      <c r="Z659" s="6"/>
      <c r="AC659" s="11"/>
    </row>
    <row r="660" spans="1:29" ht="13.5" customHeight="1">
      <c r="A660" s="309"/>
      <c r="B660" s="340"/>
      <c r="C660" s="340"/>
      <c r="D660" s="340"/>
      <c r="E660" s="341"/>
      <c r="F660" s="8"/>
      <c r="G660" s="8"/>
      <c r="H660" s="208"/>
      <c r="I660" s="342"/>
      <c r="K660" s="311"/>
      <c r="L660" s="343"/>
      <c r="M660" s="344"/>
      <c r="N660" s="345"/>
      <c r="O660" s="311"/>
      <c r="P660" s="311"/>
      <c r="Q660" s="311"/>
      <c r="R660" s="346"/>
      <c r="S660" s="347"/>
      <c r="T660" s="348"/>
      <c r="U660" s="10"/>
      <c r="V660" s="349"/>
      <c r="W660" s="350"/>
      <c r="X660" s="9"/>
      <c r="Y660" s="10"/>
      <c r="Z660" s="6"/>
      <c r="AC660" s="11"/>
    </row>
    <row r="661" spans="1:29" ht="13.5" customHeight="1">
      <c r="A661" s="309"/>
      <c r="B661" s="340"/>
      <c r="C661" s="340"/>
      <c r="D661" s="340"/>
      <c r="E661" s="341"/>
      <c r="F661" s="8"/>
      <c r="G661" s="8"/>
      <c r="H661" s="208"/>
      <c r="I661" s="342"/>
      <c r="K661" s="311"/>
      <c r="L661" s="343"/>
      <c r="M661" s="344"/>
      <c r="N661" s="345"/>
      <c r="O661" s="311"/>
      <c r="P661" s="311"/>
      <c r="Q661" s="311"/>
      <c r="R661" s="346"/>
      <c r="S661" s="347"/>
      <c r="T661" s="348"/>
      <c r="U661" s="10"/>
      <c r="V661" s="349"/>
      <c r="W661" s="350"/>
      <c r="X661" s="9"/>
      <c r="Y661" s="10"/>
      <c r="Z661" s="6"/>
      <c r="AC661" s="11"/>
    </row>
    <row r="662" spans="1:29" ht="13.5" customHeight="1">
      <c r="A662" s="309"/>
      <c r="B662" s="340"/>
      <c r="C662" s="340"/>
      <c r="D662" s="340"/>
      <c r="E662" s="341"/>
      <c r="F662" s="8"/>
      <c r="G662" s="8"/>
      <c r="H662" s="208"/>
      <c r="I662" s="342"/>
      <c r="K662" s="311"/>
      <c r="L662" s="343"/>
      <c r="M662" s="344"/>
      <c r="N662" s="345"/>
      <c r="O662" s="311"/>
      <c r="P662" s="311"/>
      <c r="Q662" s="311"/>
      <c r="R662" s="346"/>
      <c r="S662" s="347"/>
      <c r="T662" s="348"/>
      <c r="U662" s="10"/>
      <c r="V662" s="349"/>
      <c r="W662" s="350"/>
      <c r="X662" s="9"/>
      <c r="Y662" s="10"/>
      <c r="Z662" s="6"/>
      <c r="AC662" s="11"/>
    </row>
    <row r="663" spans="1:29" ht="13.5" customHeight="1">
      <c r="A663" s="309"/>
      <c r="B663" s="340"/>
      <c r="C663" s="340"/>
      <c r="D663" s="340"/>
      <c r="E663" s="341"/>
      <c r="F663" s="8"/>
      <c r="G663" s="8"/>
      <c r="H663" s="208"/>
      <c r="I663" s="342"/>
      <c r="K663" s="311"/>
      <c r="L663" s="343"/>
      <c r="M663" s="344"/>
      <c r="N663" s="345"/>
      <c r="O663" s="311"/>
      <c r="P663" s="311"/>
      <c r="Q663" s="311"/>
      <c r="R663" s="346"/>
      <c r="S663" s="347"/>
      <c r="T663" s="348"/>
      <c r="U663" s="10"/>
      <c r="V663" s="349"/>
      <c r="W663" s="350"/>
      <c r="X663" s="9"/>
      <c r="Y663" s="10"/>
      <c r="Z663" s="6"/>
      <c r="AC663" s="11"/>
    </row>
    <row r="664" spans="1:29" ht="13.5" customHeight="1">
      <c r="A664" s="309"/>
      <c r="B664" s="340"/>
      <c r="C664" s="340"/>
      <c r="D664" s="340"/>
      <c r="E664" s="341"/>
      <c r="F664" s="8"/>
      <c r="G664" s="8"/>
      <c r="H664" s="208"/>
      <c r="I664" s="342"/>
      <c r="K664" s="311"/>
      <c r="L664" s="343"/>
      <c r="M664" s="344"/>
      <c r="N664" s="345"/>
      <c r="O664" s="311"/>
      <c r="P664" s="311"/>
      <c r="Q664" s="311"/>
      <c r="R664" s="346"/>
      <c r="S664" s="347"/>
      <c r="T664" s="348"/>
      <c r="U664" s="10"/>
      <c r="V664" s="349"/>
      <c r="W664" s="350"/>
      <c r="X664" s="9"/>
      <c r="Y664" s="10"/>
      <c r="Z664" s="6"/>
      <c r="AC664" s="11"/>
    </row>
    <row r="665" spans="1:29" ht="13.5" customHeight="1">
      <c r="A665" s="309"/>
      <c r="B665" s="340"/>
      <c r="C665" s="340"/>
      <c r="D665" s="340"/>
      <c r="E665" s="341"/>
      <c r="F665" s="8"/>
      <c r="G665" s="8"/>
      <c r="H665" s="208"/>
      <c r="I665" s="342"/>
      <c r="K665" s="311"/>
      <c r="L665" s="343"/>
      <c r="M665" s="344"/>
      <c r="N665" s="345"/>
      <c r="O665" s="311"/>
      <c r="P665" s="311"/>
      <c r="Q665" s="311"/>
      <c r="R665" s="346"/>
      <c r="S665" s="347"/>
      <c r="T665" s="348"/>
      <c r="U665" s="10"/>
      <c r="V665" s="349"/>
      <c r="W665" s="350"/>
      <c r="X665" s="9"/>
      <c r="Y665" s="10"/>
      <c r="Z665" s="6"/>
      <c r="AC665" s="11"/>
    </row>
    <row r="666" spans="1:29" ht="13.5" customHeight="1">
      <c r="A666" s="309"/>
      <c r="B666" s="340"/>
      <c r="C666" s="340"/>
      <c r="D666" s="340"/>
      <c r="E666" s="341"/>
      <c r="F666" s="8"/>
      <c r="G666" s="8"/>
      <c r="H666" s="208"/>
      <c r="I666" s="342"/>
      <c r="K666" s="311"/>
      <c r="L666" s="343"/>
      <c r="M666" s="344"/>
      <c r="N666" s="345"/>
      <c r="O666" s="311"/>
      <c r="P666" s="311"/>
      <c r="Q666" s="311"/>
      <c r="R666" s="346"/>
      <c r="S666" s="347"/>
      <c r="T666" s="348"/>
      <c r="U666" s="10"/>
      <c r="V666" s="349"/>
      <c r="W666" s="350"/>
      <c r="X666" s="9"/>
      <c r="Y666" s="10"/>
      <c r="Z666" s="6"/>
      <c r="AC666" s="11"/>
    </row>
    <row r="667" spans="1:29" ht="13.5" customHeight="1">
      <c r="A667" s="309"/>
      <c r="B667" s="340"/>
      <c r="C667" s="340"/>
      <c r="D667" s="340"/>
      <c r="E667" s="341"/>
      <c r="F667" s="8"/>
      <c r="G667" s="8"/>
      <c r="H667" s="208"/>
      <c r="I667" s="342"/>
      <c r="K667" s="311"/>
      <c r="L667" s="343"/>
      <c r="M667" s="344"/>
      <c r="N667" s="345"/>
      <c r="O667" s="311"/>
      <c r="P667" s="311"/>
      <c r="Q667" s="311"/>
      <c r="R667" s="346"/>
      <c r="S667" s="347"/>
      <c r="T667" s="348"/>
      <c r="U667" s="10"/>
      <c r="V667" s="349"/>
      <c r="W667" s="350"/>
      <c r="X667" s="9"/>
      <c r="Y667" s="10"/>
      <c r="Z667" s="6"/>
      <c r="AC667" s="11"/>
    </row>
    <row r="668" spans="1:29" ht="13.5" customHeight="1">
      <c r="A668" s="309"/>
      <c r="B668" s="340"/>
      <c r="C668" s="340"/>
      <c r="D668" s="340"/>
      <c r="E668" s="341"/>
      <c r="F668" s="8"/>
      <c r="G668" s="8"/>
      <c r="H668" s="208"/>
      <c r="I668" s="342"/>
      <c r="K668" s="311"/>
      <c r="L668" s="343"/>
      <c r="M668" s="344"/>
      <c r="N668" s="345"/>
      <c r="O668" s="311"/>
      <c r="P668" s="311"/>
      <c r="Q668" s="311"/>
      <c r="R668" s="346"/>
      <c r="S668" s="347"/>
      <c r="T668" s="348"/>
      <c r="U668" s="10"/>
      <c r="V668" s="349"/>
      <c r="W668" s="350"/>
      <c r="X668" s="9"/>
      <c r="Y668" s="10"/>
      <c r="Z668" s="6"/>
      <c r="AC668" s="11"/>
    </row>
    <row r="669" spans="1:29" ht="13.5" customHeight="1">
      <c r="A669" s="309"/>
      <c r="B669" s="340"/>
      <c r="C669" s="340"/>
      <c r="D669" s="340"/>
      <c r="E669" s="341"/>
      <c r="F669" s="8"/>
      <c r="G669" s="8"/>
      <c r="H669" s="208"/>
      <c r="I669" s="342"/>
      <c r="K669" s="311"/>
      <c r="L669" s="343"/>
      <c r="M669" s="344"/>
      <c r="N669" s="345"/>
      <c r="O669" s="311"/>
      <c r="P669" s="311"/>
      <c r="Q669" s="311"/>
      <c r="R669" s="346"/>
      <c r="S669" s="347"/>
      <c r="T669" s="348"/>
      <c r="U669" s="10"/>
      <c r="V669" s="349"/>
      <c r="W669" s="350"/>
      <c r="X669" s="9"/>
      <c r="Y669" s="10"/>
      <c r="Z669" s="6"/>
      <c r="AC669" s="11"/>
    </row>
    <row r="670" spans="1:29" ht="13.5" customHeight="1">
      <c r="A670" s="309"/>
      <c r="B670" s="340"/>
      <c r="C670" s="340"/>
      <c r="D670" s="340"/>
      <c r="E670" s="341"/>
      <c r="F670" s="8"/>
      <c r="G670" s="8"/>
      <c r="H670" s="208"/>
      <c r="I670" s="342"/>
      <c r="K670" s="311"/>
      <c r="L670" s="343"/>
      <c r="M670" s="344"/>
      <c r="N670" s="345"/>
      <c r="O670" s="311"/>
      <c r="P670" s="311"/>
      <c r="Q670" s="311"/>
      <c r="R670" s="346"/>
      <c r="S670" s="347"/>
      <c r="T670" s="348"/>
      <c r="U670" s="10"/>
      <c r="V670" s="349"/>
      <c r="W670" s="350"/>
      <c r="X670" s="9"/>
      <c r="Y670" s="10"/>
      <c r="Z670" s="6"/>
      <c r="AC670" s="11"/>
    </row>
    <row r="671" spans="1:29" ht="13.5" customHeight="1">
      <c r="A671" s="309"/>
      <c r="B671" s="340"/>
      <c r="C671" s="340"/>
      <c r="D671" s="340"/>
      <c r="E671" s="341"/>
      <c r="F671" s="8"/>
      <c r="G671" s="8"/>
      <c r="H671" s="208"/>
      <c r="I671" s="342"/>
      <c r="K671" s="311"/>
      <c r="L671" s="343"/>
      <c r="M671" s="344"/>
      <c r="N671" s="345"/>
      <c r="O671" s="311"/>
      <c r="P671" s="311"/>
      <c r="Q671" s="311"/>
      <c r="R671" s="346"/>
      <c r="S671" s="347"/>
      <c r="T671" s="348"/>
      <c r="U671" s="10"/>
      <c r="V671" s="349"/>
      <c r="W671" s="350"/>
      <c r="X671" s="9"/>
      <c r="Y671" s="10"/>
      <c r="Z671" s="6"/>
      <c r="AC671" s="11"/>
    </row>
    <row r="672" spans="1:29" ht="13.5" customHeight="1">
      <c r="A672" s="309"/>
      <c r="B672" s="340"/>
      <c r="C672" s="340"/>
      <c r="D672" s="340"/>
      <c r="E672" s="341"/>
      <c r="F672" s="8"/>
      <c r="G672" s="8"/>
      <c r="H672" s="208"/>
      <c r="I672" s="342"/>
      <c r="K672" s="311"/>
      <c r="L672" s="343"/>
      <c r="M672" s="344"/>
      <c r="N672" s="345"/>
      <c r="O672" s="311"/>
      <c r="P672" s="311"/>
      <c r="Q672" s="311"/>
      <c r="R672" s="346"/>
      <c r="S672" s="347"/>
      <c r="T672" s="348"/>
      <c r="U672" s="10"/>
      <c r="V672" s="349"/>
      <c r="W672" s="350"/>
      <c r="X672" s="9"/>
      <c r="Y672" s="10"/>
      <c r="Z672" s="6"/>
      <c r="AC672" s="11"/>
    </row>
    <row r="673" spans="1:29" ht="13.5" customHeight="1">
      <c r="A673" s="309"/>
      <c r="B673" s="340"/>
      <c r="C673" s="340"/>
      <c r="D673" s="340"/>
      <c r="E673" s="341"/>
      <c r="F673" s="8"/>
      <c r="G673" s="8"/>
      <c r="H673" s="208"/>
      <c r="I673" s="342"/>
      <c r="K673" s="311"/>
      <c r="L673" s="343"/>
      <c r="M673" s="344"/>
      <c r="N673" s="345"/>
      <c r="O673" s="311"/>
      <c r="P673" s="311"/>
      <c r="Q673" s="311"/>
      <c r="R673" s="346"/>
      <c r="S673" s="347"/>
      <c r="T673" s="348"/>
      <c r="U673" s="10"/>
      <c r="V673" s="349"/>
      <c r="W673" s="350"/>
      <c r="X673" s="9"/>
      <c r="Y673" s="10"/>
      <c r="Z673" s="6"/>
      <c r="AC673" s="11"/>
    </row>
    <row r="674" spans="1:29" ht="13.5" customHeight="1">
      <c r="A674" s="309"/>
      <c r="B674" s="340"/>
      <c r="C674" s="340"/>
      <c r="D674" s="340"/>
      <c r="E674" s="341"/>
      <c r="F674" s="8"/>
      <c r="G674" s="8"/>
      <c r="H674" s="208"/>
      <c r="I674" s="342"/>
      <c r="K674" s="311"/>
      <c r="L674" s="343"/>
      <c r="M674" s="344"/>
      <c r="N674" s="345"/>
      <c r="O674" s="311"/>
      <c r="P674" s="311"/>
      <c r="Q674" s="311"/>
      <c r="R674" s="346"/>
      <c r="S674" s="347"/>
      <c r="T674" s="348"/>
      <c r="U674" s="10"/>
      <c r="V674" s="349"/>
      <c r="W674" s="350"/>
      <c r="X674" s="9"/>
      <c r="Y674" s="10"/>
      <c r="Z674" s="6"/>
      <c r="AC674" s="11"/>
    </row>
    <row r="675" spans="1:29" ht="13.5" customHeight="1">
      <c r="A675" s="309"/>
      <c r="B675" s="340"/>
      <c r="C675" s="340"/>
      <c r="D675" s="340"/>
      <c r="E675" s="341"/>
      <c r="F675" s="8"/>
      <c r="G675" s="8"/>
      <c r="H675" s="208"/>
      <c r="I675" s="342"/>
      <c r="K675" s="311"/>
      <c r="L675" s="343"/>
      <c r="M675" s="344"/>
      <c r="N675" s="345"/>
      <c r="O675" s="311"/>
      <c r="P675" s="311"/>
      <c r="Q675" s="311"/>
      <c r="R675" s="346"/>
      <c r="S675" s="347"/>
      <c r="T675" s="348"/>
      <c r="U675" s="10"/>
      <c r="V675" s="349"/>
      <c r="W675" s="350"/>
      <c r="X675" s="9"/>
      <c r="Y675" s="10"/>
      <c r="Z675" s="6"/>
      <c r="AC675" s="11"/>
    </row>
    <row r="676" spans="1:29" ht="13.5" customHeight="1">
      <c r="A676" s="309"/>
      <c r="B676" s="340"/>
      <c r="C676" s="340"/>
      <c r="D676" s="340"/>
      <c r="E676" s="341"/>
      <c r="F676" s="8"/>
      <c r="G676" s="8"/>
      <c r="H676" s="208"/>
      <c r="I676" s="342"/>
      <c r="K676" s="311"/>
      <c r="L676" s="343"/>
      <c r="M676" s="344"/>
      <c r="N676" s="345"/>
      <c r="O676" s="311"/>
      <c r="P676" s="311"/>
      <c r="Q676" s="311"/>
      <c r="R676" s="346"/>
      <c r="S676" s="347"/>
      <c r="T676" s="348"/>
      <c r="U676" s="10"/>
      <c r="V676" s="349"/>
      <c r="W676" s="350"/>
      <c r="X676" s="9"/>
      <c r="Y676" s="10"/>
      <c r="Z676" s="6"/>
      <c r="AC676" s="11"/>
    </row>
    <row r="677" spans="1:29" ht="13.5" customHeight="1">
      <c r="A677" s="309"/>
      <c r="B677" s="340"/>
      <c r="C677" s="340"/>
      <c r="D677" s="340"/>
      <c r="E677" s="341"/>
      <c r="F677" s="8"/>
      <c r="G677" s="8"/>
      <c r="H677" s="208"/>
      <c r="I677" s="342"/>
      <c r="K677" s="311"/>
      <c r="L677" s="343"/>
      <c r="M677" s="344"/>
      <c r="N677" s="345"/>
      <c r="O677" s="311"/>
      <c r="P677" s="311"/>
      <c r="Q677" s="311"/>
      <c r="R677" s="346"/>
      <c r="S677" s="347"/>
      <c r="T677" s="348"/>
      <c r="U677" s="10"/>
      <c r="V677" s="349"/>
      <c r="W677" s="350"/>
      <c r="X677" s="9"/>
      <c r="Y677" s="10"/>
      <c r="Z677" s="6"/>
      <c r="AC677" s="11"/>
    </row>
    <row r="678" spans="1:29" ht="13.5" customHeight="1">
      <c r="A678" s="309"/>
      <c r="B678" s="340"/>
      <c r="C678" s="340"/>
      <c r="D678" s="340"/>
      <c r="E678" s="341"/>
      <c r="F678" s="8"/>
      <c r="G678" s="8"/>
      <c r="H678" s="208"/>
      <c r="I678" s="342"/>
      <c r="K678" s="311"/>
      <c r="L678" s="343"/>
      <c r="M678" s="344"/>
      <c r="N678" s="345"/>
      <c r="O678" s="311"/>
      <c r="P678" s="311"/>
      <c r="Q678" s="311"/>
      <c r="R678" s="346"/>
      <c r="S678" s="347"/>
      <c r="T678" s="348"/>
      <c r="U678" s="10"/>
      <c r="V678" s="349"/>
      <c r="W678" s="350"/>
      <c r="X678" s="9"/>
      <c r="Y678" s="10"/>
      <c r="Z678" s="6"/>
      <c r="AC678" s="11"/>
    </row>
    <row r="679" spans="1:29" ht="13.5" customHeight="1">
      <c r="A679" s="309"/>
      <c r="B679" s="340"/>
      <c r="C679" s="340"/>
      <c r="D679" s="340"/>
      <c r="E679" s="341"/>
      <c r="F679" s="8"/>
      <c r="G679" s="8"/>
      <c r="H679" s="208"/>
      <c r="I679" s="342"/>
      <c r="K679" s="311"/>
      <c r="L679" s="343"/>
      <c r="M679" s="344"/>
      <c r="N679" s="345"/>
      <c r="O679" s="311"/>
      <c r="P679" s="311"/>
      <c r="Q679" s="311"/>
      <c r="R679" s="346"/>
      <c r="S679" s="347"/>
      <c r="T679" s="348"/>
      <c r="U679" s="10"/>
      <c r="V679" s="349"/>
      <c r="W679" s="350"/>
      <c r="X679" s="9"/>
      <c r="Y679" s="10"/>
      <c r="Z679" s="6"/>
      <c r="AC679" s="11"/>
    </row>
    <row r="680" spans="1:29" ht="13.5" customHeight="1">
      <c r="A680" s="309"/>
      <c r="B680" s="340"/>
      <c r="C680" s="340"/>
      <c r="D680" s="340"/>
      <c r="E680" s="341"/>
      <c r="F680" s="8"/>
      <c r="G680" s="8"/>
      <c r="H680" s="208"/>
      <c r="I680" s="342"/>
      <c r="K680" s="311"/>
      <c r="L680" s="343"/>
      <c r="M680" s="344"/>
      <c r="N680" s="345"/>
      <c r="O680" s="311"/>
      <c r="P680" s="311"/>
      <c r="Q680" s="311"/>
      <c r="R680" s="346"/>
      <c r="S680" s="347"/>
      <c r="T680" s="348"/>
      <c r="U680" s="10"/>
      <c r="V680" s="349"/>
      <c r="W680" s="350"/>
      <c r="X680" s="9"/>
      <c r="Y680" s="10"/>
      <c r="Z680" s="6"/>
      <c r="AC680" s="11"/>
    </row>
    <row r="681" spans="1:29" ht="13.5" customHeight="1">
      <c r="A681" s="309"/>
      <c r="B681" s="340"/>
      <c r="C681" s="340"/>
      <c r="D681" s="340"/>
      <c r="E681" s="341"/>
      <c r="F681" s="8"/>
      <c r="G681" s="8"/>
      <c r="H681" s="208"/>
      <c r="I681" s="342"/>
      <c r="K681" s="311"/>
      <c r="L681" s="343"/>
      <c r="M681" s="344"/>
      <c r="N681" s="345"/>
      <c r="O681" s="311"/>
      <c r="P681" s="311"/>
      <c r="Q681" s="311"/>
      <c r="R681" s="346"/>
      <c r="S681" s="347"/>
      <c r="T681" s="348"/>
      <c r="U681" s="10"/>
      <c r="V681" s="349"/>
      <c r="W681" s="350"/>
      <c r="X681" s="9"/>
      <c r="Y681" s="10"/>
      <c r="Z681" s="6"/>
      <c r="AC681" s="11"/>
    </row>
    <row r="682" spans="1:29" ht="13.5" customHeight="1">
      <c r="A682" s="309"/>
      <c r="B682" s="340"/>
      <c r="C682" s="340"/>
      <c r="D682" s="340"/>
      <c r="E682" s="341"/>
      <c r="F682" s="8"/>
      <c r="G682" s="8"/>
      <c r="H682" s="208"/>
      <c r="I682" s="342"/>
      <c r="K682" s="311"/>
      <c r="L682" s="343"/>
      <c r="M682" s="344"/>
      <c r="N682" s="345"/>
      <c r="O682" s="311"/>
      <c r="P682" s="311"/>
      <c r="Q682" s="311"/>
      <c r="R682" s="346"/>
      <c r="S682" s="347"/>
      <c r="T682" s="348"/>
      <c r="U682" s="10"/>
      <c r="V682" s="349"/>
      <c r="W682" s="350"/>
      <c r="X682" s="9"/>
      <c r="Y682" s="10"/>
      <c r="Z682" s="6"/>
      <c r="AC682" s="11"/>
    </row>
    <row r="683" spans="1:29" ht="13.5" customHeight="1">
      <c r="A683" s="309"/>
      <c r="B683" s="340"/>
      <c r="C683" s="340"/>
      <c r="D683" s="340"/>
      <c r="E683" s="341"/>
      <c r="F683" s="8"/>
      <c r="G683" s="8"/>
      <c r="H683" s="208"/>
      <c r="I683" s="342"/>
      <c r="K683" s="311"/>
      <c r="L683" s="343"/>
      <c r="M683" s="344"/>
      <c r="N683" s="345"/>
      <c r="O683" s="311"/>
      <c r="P683" s="311"/>
      <c r="Q683" s="311"/>
      <c r="R683" s="346"/>
      <c r="S683" s="347"/>
      <c r="T683" s="348"/>
      <c r="U683" s="10"/>
      <c r="V683" s="349"/>
      <c r="W683" s="350"/>
      <c r="X683" s="9"/>
      <c r="Y683" s="10"/>
      <c r="Z683" s="6"/>
      <c r="AC683" s="11"/>
    </row>
    <row r="684" spans="1:29" ht="13.5" customHeight="1">
      <c r="A684" s="309"/>
      <c r="B684" s="340"/>
      <c r="C684" s="340"/>
      <c r="D684" s="340"/>
      <c r="E684" s="341"/>
      <c r="F684" s="8"/>
      <c r="G684" s="8"/>
      <c r="H684" s="208"/>
      <c r="I684" s="342"/>
      <c r="K684" s="311"/>
      <c r="L684" s="343"/>
      <c r="M684" s="344"/>
      <c r="N684" s="345"/>
      <c r="O684" s="311"/>
      <c r="P684" s="311"/>
      <c r="Q684" s="311"/>
      <c r="R684" s="346"/>
      <c r="S684" s="347"/>
      <c r="T684" s="348"/>
      <c r="U684" s="10"/>
      <c r="V684" s="349"/>
      <c r="W684" s="350"/>
      <c r="X684" s="9"/>
      <c r="Y684" s="10"/>
      <c r="Z684" s="6"/>
      <c r="AC684" s="11"/>
    </row>
    <row r="685" spans="1:29" ht="13.5" customHeight="1">
      <c r="A685" s="309"/>
      <c r="B685" s="340"/>
      <c r="C685" s="340"/>
      <c r="D685" s="340"/>
      <c r="E685" s="341"/>
      <c r="F685" s="8"/>
      <c r="G685" s="8"/>
      <c r="H685" s="208"/>
      <c r="I685" s="342"/>
      <c r="K685" s="311"/>
      <c r="L685" s="343"/>
      <c r="M685" s="344"/>
      <c r="N685" s="345"/>
      <c r="O685" s="311"/>
      <c r="P685" s="311"/>
      <c r="Q685" s="311"/>
      <c r="R685" s="346"/>
      <c r="S685" s="347"/>
      <c r="T685" s="348"/>
      <c r="U685" s="10"/>
      <c r="V685" s="349"/>
      <c r="W685" s="350"/>
      <c r="X685" s="9"/>
      <c r="Y685" s="10"/>
      <c r="Z685" s="6"/>
      <c r="AC685" s="11"/>
    </row>
    <row r="686" spans="1:29" ht="13.5" customHeight="1">
      <c r="A686" s="309"/>
      <c r="B686" s="340"/>
      <c r="C686" s="340"/>
      <c r="D686" s="340"/>
      <c r="E686" s="341"/>
      <c r="F686" s="8"/>
      <c r="G686" s="8"/>
      <c r="H686" s="208"/>
      <c r="I686" s="342"/>
      <c r="K686" s="311"/>
      <c r="L686" s="343"/>
      <c r="M686" s="344"/>
      <c r="N686" s="345"/>
      <c r="O686" s="311"/>
      <c r="P686" s="311"/>
      <c r="Q686" s="311"/>
      <c r="R686" s="346"/>
      <c r="S686" s="347"/>
      <c r="T686" s="348"/>
      <c r="U686" s="10"/>
      <c r="V686" s="349"/>
      <c r="W686" s="350"/>
      <c r="X686" s="9"/>
      <c r="Y686" s="10"/>
      <c r="Z686" s="6"/>
      <c r="AC686" s="11"/>
    </row>
    <row r="687" spans="1:29" ht="13.5" customHeight="1">
      <c r="A687" s="309"/>
      <c r="B687" s="340"/>
      <c r="C687" s="340"/>
      <c r="D687" s="340"/>
      <c r="E687" s="341"/>
      <c r="F687" s="8"/>
      <c r="G687" s="8"/>
      <c r="H687" s="208"/>
      <c r="I687" s="342"/>
      <c r="K687" s="311"/>
      <c r="L687" s="343"/>
      <c r="M687" s="344"/>
      <c r="N687" s="345"/>
      <c r="O687" s="311"/>
      <c r="P687" s="311"/>
      <c r="Q687" s="311"/>
      <c r="R687" s="346"/>
      <c r="S687" s="347"/>
      <c r="T687" s="348"/>
      <c r="U687" s="10"/>
      <c r="V687" s="349"/>
      <c r="W687" s="350"/>
      <c r="X687" s="9"/>
      <c r="Y687" s="10"/>
      <c r="Z687" s="6"/>
      <c r="AC687" s="11"/>
    </row>
    <row r="688" spans="1:29" ht="13.5" customHeight="1">
      <c r="A688" s="309"/>
      <c r="B688" s="340"/>
      <c r="C688" s="340"/>
      <c r="D688" s="340"/>
      <c r="E688" s="341"/>
      <c r="F688" s="8"/>
      <c r="G688" s="8"/>
      <c r="H688" s="208"/>
      <c r="I688" s="342"/>
      <c r="K688" s="311"/>
      <c r="L688" s="343"/>
      <c r="M688" s="344"/>
      <c r="N688" s="345"/>
      <c r="O688" s="311"/>
      <c r="P688" s="311"/>
      <c r="Q688" s="311"/>
      <c r="R688" s="346"/>
      <c r="S688" s="347"/>
      <c r="T688" s="348"/>
      <c r="U688" s="10"/>
      <c r="V688" s="349"/>
      <c r="W688" s="350"/>
      <c r="X688" s="9"/>
      <c r="Y688" s="10"/>
      <c r="Z688" s="6"/>
      <c r="AC688" s="11"/>
    </row>
    <row r="689" spans="1:29" ht="13.5" customHeight="1">
      <c r="A689" s="309"/>
      <c r="B689" s="340"/>
      <c r="C689" s="340"/>
      <c r="D689" s="340"/>
      <c r="E689" s="341"/>
      <c r="F689" s="8"/>
      <c r="G689" s="8"/>
      <c r="H689" s="208"/>
      <c r="I689" s="342"/>
      <c r="K689" s="311"/>
      <c r="L689" s="343"/>
      <c r="M689" s="344"/>
      <c r="N689" s="345"/>
      <c r="O689" s="311"/>
      <c r="P689" s="311"/>
      <c r="Q689" s="311"/>
      <c r="R689" s="346"/>
      <c r="S689" s="347"/>
      <c r="T689" s="348"/>
      <c r="U689" s="10"/>
      <c r="V689" s="349"/>
      <c r="W689" s="350"/>
      <c r="X689" s="9"/>
      <c r="Y689" s="10"/>
      <c r="Z689" s="6"/>
      <c r="AC689" s="11"/>
    </row>
    <row r="690" spans="1:29" ht="13.5" customHeight="1">
      <c r="A690" s="309"/>
      <c r="B690" s="340"/>
      <c r="C690" s="340"/>
      <c r="D690" s="340"/>
      <c r="E690" s="341"/>
      <c r="F690" s="8"/>
      <c r="G690" s="8"/>
      <c r="H690" s="208"/>
      <c r="I690" s="342"/>
      <c r="K690" s="311"/>
      <c r="L690" s="343"/>
      <c r="M690" s="344"/>
      <c r="N690" s="345"/>
      <c r="O690" s="311"/>
      <c r="P690" s="311"/>
      <c r="Q690" s="311"/>
      <c r="R690" s="346"/>
      <c r="S690" s="347"/>
      <c r="T690" s="348"/>
      <c r="U690" s="10"/>
      <c r="V690" s="349"/>
      <c r="W690" s="350"/>
      <c r="X690" s="9"/>
      <c r="Y690" s="10"/>
      <c r="Z690" s="6"/>
      <c r="AC690" s="11"/>
    </row>
    <row r="691" spans="1:29" ht="13.5" customHeight="1">
      <c r="A691" s="309"/>
      <c r="B691" s="340"/>
      <c r="C691" s="340"/>
      <c r="D691" s="340"/>
      <c r="E691" s="341"/>
      <c r="F691" s="8"/>
      <c r="G691" s="8"/>
      <c r="H691" s="208"/>
      <c r="I691" s="342"/>
      <c r="K691" s="311"/>
      <c r="L691" s="343"/>
      <c r="M691" s="344"/>
      <c r="N691" s="345"/>
      <c r="O691" s="311"/>
      <c r="P691" s="311"/>
      <c r="Q691" s="311"/>
      <c r="R691" s="346"/>
      <c r="S691" s="347"/>
      <c r="T691" s="348"/>
      <c r="U691" s="10"/>
      <c r="V691" s="349"/>
      <c r="W691" s="350"/>
      <c r="X691" s="9"/>
      <c r="Y691" s="10"/>
      <c r="Z691" s="6"/>
      <c r="AC691" s="11"/>
    </row>
    <row r="692" spans="1:29" ht="13.5" customHeight="1">
      <c r="A692" s="309"/>
      <c r="B692" s="340"/>
      <c r="C692" s="340"/>
      <c r="D692" s="340"/>
      <c r="E692" s="341"/>
      <c r="F692" s="8"/>
      <c r="G692" s="8"/>
      <c r="H692" s="208"/>
      <c r="I692" s="342"/>
      <c r="K692" s="311"/>
      <c r="L692" s="343"/>
      <c r="M692" s="344"/>
      <c r="N692" s="345"/>
      <c r="O692" s="311"/>
      <c r="P692" s="311"/>
      <c r="Q692" s="311"/>
      <c r="R692" s="346"/>
      <c r="S692" s="347"/>
      <c r="T692" s="348"/>
      <c r="U692" s="10"/>
      <c r="V692" s="349"/>
      <c r="W692" s="350"/>
      <c r="X692" s="9"/>
      <c r="Y692" s="10"/>
      <c r="Z692" s="6"/>
      <c r="AC692" s="11"/>
    </row>
    <row r="693" spans="1:29" ht="13.5" customHeight="1">
      <c r="A693" s="309"/>
      <c r="B693" s="340"/>
      <c r="C693" s="340"/>
      <c r="D693" s="340"/>
      <c r="E693" s="341"/>
      <c r="F693" s="8"/>
      <c r="G693" s="8"/>
      <c r="H693" s="208"/>
      <c r="I693" s="342"/>
      <c r="K693" s="311"/>
      <c r="L693" s="343"/>
      <c r="M693" s="344"/>
      <c r="N693" s="345"/>
      <c r="O693" s="311"/>
      <c r="P693" s="311"/>
      <c r="Q693" s="311"/>
      <c r="R693" s="346"/>
      <c r="S693" s="347"/>
      <c r="T693" s="348"/>
      <c r="U693" s="10"/>
      <c r="V693" s="349"/>
      <c r="W693" s="350"/>
      <c r="X693" s="9"/>
      <c r="Y693" s="10"/>
      <c r="Z693" s="6"/>
      <c r="AC693" s="11"/>
    </row>
    <row r="694" spans="1:29" ht="13.5" customHeight="1">
      <c r="A694" s="309"/>
      <c r="B694" s="340"/>
      <c r="C694" s="340"/>
      <c r="D694" s="340"/>
      <c r="E694" s="341"/>
      <c r="F694" s="8"/>
      <c r="G694" s="8"/>
      <c r="H694" s="208"/>
      <c r="I694" s="342"/>
      <c r="K694" s="311"/>
      <c r="L694" s="343"/>
      <c r="M694" s="344"/>
      <c r="N694" s="345"/>
      <c r="O694" s="311"/>
      <c r="P694" s="311"/>
      <c r="Q694" s="311"/>
      <c r="R694" s="346"/>
      <c r="S694" s="347"/>
      <c r="T694" s="348"/>
      <c r="U694" s="10"/>
      <c r="V694" s="349"/>
      <c r="W694" s="350"/>
      <c r="X694" s="9"/>
      <c r="Y694" s="10"/>
      <c r="Z694" s="6"/>
      <c r="AC694" s="11"/>
    </row>
    <row r="695" spans="1:29" ht="13.5" customHeight="1">
      <c r="A695" s="309"/>
      <c r="B695" s="340"/>
      <c r="C695" s="340"/>
      <c r="D695" s="340"/>
      <c r="E695" s="341"/>
      <c r="F695" s="8"/>
      <c r="G695" s="8"/>
      <c r="H695" s="208"/>
      <c r="I695" s="342"/>
      <c r="K695" s="311"/>
      <c r="L695" s="343"/>
      <c r="M695" s="344"/>
      <c r="N695" s="345"/>
      <c r="O695" s="311"/>
      <c r="P695" s="311"/>
      <c r="Q695" s="311"/>
      <c r="R695" s="346"/>
      <c r="S695" s="347"/>
      <c r="T695" s="348"/>
      <c r="U695" s="10"/>
      <c r="V695" s="349"/>
      <c r="W695" s="350"/>
      <c r="X695" s="9"/>
      <c r="Y695" s="10"/>
      <c r="Z695" s="6"/>
      <c r="AC695" s="11"/>
    </row>
    <row r="696" spans="1:29" ht="13.5" customHeight="1">
      <c r="A696" s="309"/>
      <c r="B696" s="340"/>
      <c r="C696" s="340"/>
      <c r="D696" s="340"/>
      <c r="E696" s="341"/>
      <c r="F696" s="8"/>
      <c r="G696" s="8"/>
      <c r="H696" s="208"/>
      <c r="I696" s="342"/>
      <c r="K696" s="311"/>
      <c r="L696" s="343"/>
      <c r="M696" s="344"/>
      <c r="N696" s="345"/>
      <c r="O696" s="311"/>
      <c r="P696" s="311"/>
      <c r="Q696" s="311"/>
      <c r="R696" s="346"/>
      <c r="S696" s="347"/>
      <c r="T696" s="348"/>
      <c r="U696" s="10"/>
      <c r="V696" s="349"/>
      <c r="W696" s="350"/>
      <c r="X696" s="9"/>
      <c r="Y696" s="10"/>
      <c r="Z696" s="6"/>
      <c r="AC696" s="11"/>
    </row>
    <row r="697" spans="1:29" ht="13.5" customHeight="1">
      <c r="A697" s="309"/>
      <c r="B697" s="340"/>
      <c r="C697" s="340"/>
      <c r="D697" s="340"/>
      <c r="E697" s="341"/>
      <c r="F697" s="8"/>
      <c r="G697" s="8"/>
      <c r="H697" s="208"/>
      <c r="I697" s="342"/>
      <c r="K697" s="311"/>
      <c r="L697" s="343"/>
      <c r="M697" s="344"/>
      <c r="N697" s="345"/>
      <c r="O697" s="311"/>
      <c r="P697" s="311"/>
      <c r="Q697" s="311"/>
      <c r="R697" s="346"/>
      <c r="S697" s="347"/>
      <c r="T697" s="348"/>
      <c r="U697" s="10"/>
      <c r="V697" s="349"/>
      <c r="W697" s="350"/>
      <c r="X697" s="9"/>
      <c r="Y697" s="10"/>
      <c r="Z697" s="6"/>
      <c r="AC697" s="11"/>
    </row>
    <row r="698" spans="1:29" ht="13.5" customHeight="1">
      <c r="A698" s="309"/>
      <c r="B698" s="340"/>
      <c r="C698" s="340"/>
      <c r="D698" s="340"/>
      <c r="E698" s="341"/>
      <c r="F698" s="8"/>
      <c r="G698" s="8"/>
      <c r="H698" s="208"/>
      <c r="I698" s="342"/>
      <c r="K698" s="311"/>
      <c r="L698" s="343"/>
      <c r="M698" s="344"/>
      <c r="N698" s="345"/>
      <c r="O698" s="311"/>
      <c r="P698" s="311"/>
      <c r="Q698" s="311"/>
      <c r="R698" s="346"/>
      <c r="S698" s="347"/>
      <c r="T698" s="348"/>
      <c r="U698" s="10"/>
      <c r="V698" s="349"/>
      <c r="W698" s="350"/>
      <c r="X698" s="9"/>
      <c r="Y698" s="10"/>
      <c r="Z698" s="6"/>
      <c r="AC698" s="11"/>
    </row>
    <row r="699" spans="1:29" ht="13.5" customHeight="1">
      <c r="A699" s="309"/>
      <c r="B699" s="340"/>
      <c r="C699" s="340"/>
      <c r="D699" s="340"/>
      <c r="E699" s="341"/>
      <c r="F699" s="8"/>
      <c r="G699" s="8"/>
      <c r="H699" s="208"/>
      <c r="I699" s="342"/>
      <c r="K699" s="311"/>
      <c r="L699" s="343"/>
      <c r="M699" s="344"/>
      <c r="N699" s="345"/>
      <c r="O699" s="311"/>
      <c r="P699" s="311"/>
      <c r="Q699" s="311"/>
      <c r="R699" s="346"/>
      <c r="S699" s="347"/>
      <c r="T699" s="348"/>
      <c r="U699" s="10"/>
      <c r="V699" s="349"/>
      <c r="W699" s="350"/>
      <c r="X699" s="9"/>
      <c r="Y699" s="10"/>
      <c r="Z699" s="6"/>
      <c r="AC699" s="11"/>
    </row>
    <row r="700" spans="1:29" ht="13.5" customHeight="1">
      <c r="A700" s="309"/>
      <c r="B700" s="340"/>
      <c r="C700" s="340"/>
      <c r="D700" s="340"/>
      <c r="E700" s="341"/>
      <c r="F700" s="8"/>
      <c r="G700" s="8"/>
      <c r="H700" s="208"/>
      <c r="I700" s="342"/>
      <c r="K700" s="311"/>
      <c r="L700" s="343"/>
      <c r="M700" s="344"/>
      <c r="N700" s="345"/>
      <c r="O700" s="311"/>
      <c r="P700" s="311"/>
      <c r="Q700" s="311"/>
      <c r="R700" s="346"/>
      <c r="S700" s="347"/>
      <c r="T700" s="348"/>
      <c r="U700" s="10"/>
      <c r="V700" s="349"/>
      <c r="W700" s="350"/>
      <c r="X700" s="9"/>
      <c r="Y700" s="10"/>
      <c r="Z700" s="6"/>
      <c r="AC700" s="11"/>
    </row>
    <row r="701" spans="1:29" ht="13.5" customHeight="1">
      <c r="A701" s="309"/>
      <c r="B701" s="340"/>
      <c r="C701" s="340"/>
      <c r="D701" s="340"/>
      <c r="E701" s="341"/>
      <c r="F701" s="8"/>
      <c r="G701" s="8"/>
      <c r="H701" s="208"/>
      <c r="I701" s="342"/>
      <c r="K701" s="311"/>
      <c r="L701" s="343"/>
      <c r="M701" s="344"/>
      <c r="N701" s="345"/>
      <c r="O701" s="311"/>
      <c r="P701" s="311"/>
      <c r="Q701" s="311"/>
      <c r="R701" s="346"/>
      <c r="S701" s="347"/>
      <c r="T701" s="348"/>
      <c r="U701" s="10"/>
      <c r="V701" s="349"/>
      <c r="W701" s="350"/>
      <c r="X701" s="9"/>
      <c r="Y701" s="10"/>
      <c r="Z701" s="6"/>
      <c r="AC701" s="11"/>
    </row>
    <row r="702" spans="1:29" ht="13.5" customHeight="1">
      <c r="A702" s="309"/>
      <c r="B702" s="340"/>
      <c r="C702" s="340"/>
      <c r="D702" s="340"/>
      <c r="E702" s="341"/>
      <c r="F702" s="8"/>
      <c r="G702" s="8"/>
      <c r="H702" s="208"/>
      <c r="I702" s="342"/>
      <c r="K702" s="311"/>
      <c r="L702" s="343"/>
      <c r="M702" s="344"/>
      <c r="N702" s="345"/>
      <c r="O702" s="311"/>
      <c r="P702" s="311"/>
      <c r="Q702" s="311"/>
      <c r="R702" s="346"/>
      <c r="S702" s="347"/>
      <c r="T702" s="348"/>
      <c r="U702" s="10"/>
      <c r="V702" s="349"/>
      <c r="W702" s="350"/>
      <c r="X702" s="9"/>
      <c r="Y702" s="10"/>
      <c r="Z702" s="6"/>
      <c r="AC702" s="11"/>
    </row>
    <row r="703" spans="1:29" ht="13.5" customHeight="1">
      <c r="A703" s="309"/>
      <c r="B703" s="340"/>
      <c r="C703" s="340"/>
      <c r="D703" s="340"/>
      <c r="E703" s="341"/>
      <c r="F703" s="8"/>
      <c r="G703" s="8"/>
      <c r="H703" s="208"/>
      <c r="I703" s="342"/>
      <c r="K703" s="311"/>
      <c r="L703" s="343"/>
      <c r="M703" s="344"/>
      <c r="N703" s="345"/>
      <c r="O703" s="311"/>
      <c r="P703" s="311"/>
      <c r="Q703" s="311"/>
      <c r="R703" s="346"/>
      <c r="S703" s="347"/>
      <c r="T703" s="348"/>
      <c r="U703" s="10"/>
      <c r="V703" s="349"/>
      <c r="W703" s="350"/>
      <c r="X703" s="9"/>
      <c r="Y703" s="10"/>
      <c r="Z703" s="6"/>
      <c r="AC703" s="11"/>
    </row>
    <row r="704" spans="1:29" ht="13.5" customHeight="1">
      <c r="A704" s="309"/>
      <c r="B704" s="340"/>
      <c r="C704" s="340"/>
      <c r="D704" s="340"/>
      <c r="E704" s="341"/>
      <c r="F704" s="8"/>
      <c r="G704" s="8"/>
      <c r="H704" s="208"/>
      <c r="I704" s="342"/>
      <c r="K704" s="311"/>
      <c r="L704" s="343"/>
      <c r="M704" s="344"/>
      <c r="N704" s="345"/>
      <c r="O704" s="311"/>
      <c r="P704" s="311"/>
      <c r="Q704" s="311"/>
      <c r="R704" s="346"/>
      <c r="S704" s="347"/>
      <c r="T704" s="348"/>
      <c r="U704" s="10"/>
      <c r="V704" s="349"/>
      <c r="W704" s="350"/>
      <c r="X704" s="9"/>
      <c r="Y704" s="10"/>
      <c r="Z704" s="6"/>
      <c r="AC704" s="11"/>
    </row>
    <row r="705" spans="1:29" ht="13.5" customHeight="1">
      <c r="A705" s="309"/>
      <c r="B705" s="340"/>
      <c r="C705" s="340"/>
      <c r="D705" s="340"/>
      <c r="E705" s="341"/>
      <c r="F705" s="8"/>
      <c r="G705" s="8"/>
      <c r="H705" s="208"/>
      <c r="I705" s="342"/>
      <c r="K705" s="311"/>
      <c r="L705" s="343"/>
      <c r="M705" s="344"/>
      <c r="N705" s="345"/>
      <c r="O705" s="311"/>
      <c r="P705" s="311"/>
      <c r="Q705" s="311"/>
      <c r="R705" s="346"/>
      <c r="S705" s="347"/>
      <c r="T705" s="348"/>
      <c r="U705" s="10"/>
      <c r="V705" s="349"/>
      <c r="W705" s="350"/>
      <c r="X705" s="9"/>
      <c r="Y705" s="10"/>
      <c r="Z705" s="6"/>
      <c r="AC705" s="11"/>
    </row>
    <row r="706" spans="1:29" ht="13.5" customHeight="1">
      <c r="A706" s="309"/>
      <c r="B706" s="340"/>
      <c r="C706" s="340"/>
      <c r="D706" s="340"/>
      <c r="E706" s="341"/>
      <c r="F706" s="8"/>
      <c r="G706" s="8"/>
      <c r="H706" s="208"/>
      <c r="I706" s="342"/>
      <c r="K706" s="311"/>
      <c r="L706" s="343"/>
      <c r="M706" s="344"/>
      <c r="N706" s="345"/>
      <c r="O706" s="311"/>
      <c r="P706" s="311"/>
      <c r="Q706" s="311"/>
      <c r="R706" s="346"/>
      <c r="S706" s="347"/>
      <c r="T706" s="348"/>
      <c r="U706" s="10"/>
      <c r="V706" s="349"/>
      <c r="W706" s="350"/>
      <c r="X706" s="9"/>
      <c r="Y706" s="10"/>
      <c r="Z706" s="6"/>
      <c r="AC706" s="11"/>
    </row>
    <row r="707" spans="1:29" ht="13.5" customHeight="1">
      <c r="A707" s="309"/>
      <c r="B707" s="340"/>
      <c r="C707" s="340"/>
      <c r="D707" s="340"/>
      <c r="E707" s="341"/>
      <c r="F707" s="8"/>
      <c r="G707" s="8"/>
      <c r="H707" s="208"/>
      <c r="I707" s="342"/>
      <c r="K707" s="311"/>
      <c r="L707" s="343"/>
      <c r="M707" s="344"/>
      <c r="N707" s="345"/>
      <c r="O707" s="311"/>
      <c r="P707" s="311"/>
      <c r="Q707" s="311"/>
      <c r="R707" s="346"/>
      <c r="S707" s="347"/>
      <c r="T707" s="348"/>
      <c r="U707" s="10"/>
      <c r="V707" s="349"/>
      <c r="W707" s="350"/>
      <c r="X707" s="9"/>
      <c r="Y707" s="10"/>
      <c r="Z707" s="6"/>
      <c r="AC707" s="11"/>
    </row>
    <row r="708" spans="1:29" ht="13.5" customHeight="1">
      <c r="A708" s="309"/>
      <c r="B708" s="340"/>
      <c r="C708" s="340"/>
      <c r="D708" s="340"/>
      <c r="E708" s="341"/>
      <c r="F708" s="8"/>
      <c r="G708" s="8"/>
      <c r="H708" s="208"/>
      <c r="I708" s="342"/>
      <c r="K708" s="311"/>
      <c r="L708" s="343"/>
      <c r="M708" s="344"/>
      <c r="N708" s="345"/>
      <c r="O708" s="311"/>
      <c r="P708" s="311"/>
      <c r="Q708" s="311"/>
      <c r="R708" s="346"/>
      <c r="S708" s="347"/>
      <c r="T708" s="348"/>
      <c r="U708" s="10"/>
      <c r="V708" s="349"/>
      <c r="W708" s="350"/>
      <c r="X708" s="9"/>
      <c r="Y708" s="10"/>
      <c r="Z708" s="6"/>
      <c r="AC708" s="11"/>
    </row>
    <row r="709" spans="1:29" ht="13.5" customHeight="1">
      <c r="A709" s="309"/>
      <c r="B709" s="340"/>
      <c r="C709" s="340"/>
      <c r="D709" s="340"/>
      <c r="E709" s="341"/>
      <c r="F709" s="8"/>
      <c r="G709" s="8"/>
      <c r="H709" s="208"/>
      <c r="I709" s="342"/>
      <c r="K709" s="311"/>
      <c r="L709" s="343"/>
      <c r="M709" s="344"/>
      <c r="N709" s="345"/>
      <c r="O709" s="311"/>
      <c r="P709" s="311"/>
      <c r="Q709" s="311"/>
      <c r="R709" s="346"/>
      <c r="S709" s="347"/>
      <c r="T709" s="348"/>
      <c r="U709" s="10"/>
      <c r="V709" s="349"/>
      <c r="W709" s="350"/>
      <c r="X709" s="9"/>
      <c r="Y709" s="10"/>
      <c r="Z709" s="6"/>
      <c r="AC709" s="11"/>
    </row>
    <row r="710" spans="1:29" ht="13.5" customHeight="1">
      <c r="A710" s="309"/>
      <c r="B710" s="340"/>
      <c r="C710" s="340"/>
      <c r="D710" s="340"/>
      <c r="E710" s="341"/>
      <c r="F710" s="8"/>
      <c r="G710" s="8"/>
      <c r="H710" s="208"/>
      <c r="I710" s="342"/>
      <c r="K710" s="311"/>
      <c r="L710" s="343"/>
      <c r="M710" s="344"/>
      <c r="N710" s="345"/>
      <c r="O710" s="311"/>
      <c r="P710" s="311"/>
      <c r="Q710" s="311"/>
      <c r="R710" s="346"/>
      <c r="S710" s="347"/>
      <c r="T710" s="348"/>
      <c r="U710" s="10"/>
      <c r="V710" s="349"/>
      <c r="W710" s="350"/>
      <c r="X710" s="9"/>
      <c r="Y710" s="10"/>
      <c r="Z710" s="6"/>
      <c r="AC710" s="11"/>
    </row>
    <row r="711" spans="1:29" ht="13.5" customHeight="1">
      <c r="A711" s="309"/>
      <c r="B711" s="340"/>
      <c r="C711" s="340"/>
      <c r="D711" s="340"/>
      <c r="E711" s="341"/>
      <c r="F711" s="8"/>
      <c r="G711" s="8"/>
      <c r="H711" s="208"/>
      <c r="I711" s="342"/>
      <c r="K711" s="311"/>
      <c r="L711" s="343"/>
      <c r="M711" s="344"/>
      <c r="N711" s="345"/>
      <c r="O711" s="311"/>
      <c r="P711" s="311"/>
      <c r="Q711" s="311"/>
      <c r="R711" s="346"/>
      <c r="S711" s="347"/>
      <c r="T711" s="348"/>
      <c r="U711" s="10"/>
      <c r="V711" s="349"/>
      <c r="W711" s="350"/>
      <c r="X711" s="9"/>
      <c r="Y711" s="10"/>
      <c r="Z711" s="6"/>
      <c r="AC711" s="11"/>
    </row>
    <row r="712" spans="1:29" ht="13.5" customHeight="1">
      <c r="A712" s="309"/>
      <c r="B712" s="340"/>
      <c r="C712" s="340"/>
      <c r="D712" s="340"/>
      <c r="E712" s="341"/>
      <c r="F712" s="8"/>
      <c r="G712" s="8"/>
      <c r="H712" s="208"/>
      <c r="I712" s="342"/>
      <c r="K712" s="311"/>
      <c r="L712" s="343"/>
      <c r="M712" s="344"/>
      <c r="N712" s="345"/>
      <c r="O712" s="311"/>
      <c r="P712" s="311"/>
      <c r="Q712" s="311"/>
      <c r="R712" s="346"/>
      <c r="S712" s="347"/>
      <c r="T712" s="348"/>
      <c r="U712" s="10"/>
      <c r="V712" s="349"/>
      <c r="W712" s="350"/>
      <c r="X712" s="9"/>
      <c r="Y712" s="10"/>
      <c r="Z712" s="6"/>
      <c r="AC712" s="11"/>
    </row>
    <row r="713" spans="1:29" ht="13.5" customHeight="1">
      <c r="A713" s="309"/>
      <c r="B713" s="340"/>
      <c r="C713" s="340"/>
      <c r="D713" s="340"/>
      <c r="E713" s="341"/>
      <c r="F713" s="8"/>
      <c r="G713" s="8"/>
      <c r="H713" s="208"/>
      <c r="I713" s="342"/>
      <c r="K713" s="311"/>
      <c r="L713" s="343"/>
      <c r="M713" s="344"/>
      <c r="N713" s="345"/>
      <c r="O713" s="311"/>
      <c r="P713" s="311"/>
      <c r="Q713" s="311"/>
      <c r="R713" s="346"/>
      <c r="S713" s="347"/>
      <c r="T713" s="348"/>
      <c r="U713" s="10"/>
      <c r="V713" s="349"/>
      <c r="W713" s="350"/>
      <c r="X713" s="9"/>
      <c r="Y713" s="10"/>
      <c r="Z713" s="6"/>
      <c r="AC713" s="11"/>
    </row>
    <row r="714" spans="1:29" ht="13.5" customHeight="1">
      <c r="A714" s="309"/>
      <c r="B714" s="340"/>
      <c r="C714" s="340"/>
      <c r="D714" s="340"/>
      <c r="E714" s="341"/>
      <c r="F714" s="8"/>
      <c r="G714" s="8"/>
      <c r="H714" s="208"/>
      <c r="I714" s="342"/>
      <c r="K714" s="311"/>
      <c r="L714" s="343"/>
      <c r="M714" s="344"/>
      <c r="N714" s="345"/>
      <c r="O714" s="311"/>
      <c r="P714" s="311"/>
      <c r="Q714" s="311"/>
      <c r="R714" s="346"/>
      <c r="S714" s="347"/>
      <c r="T714" s="348"/>
      <c r="U714" s="10"/>
      <c r="V714" s="349"/>
      <c r="W714" s="350"/>
      <c r="X714" s="9"/>
      <c r="Y714" s="10"/>
      <c r="Z714" s="6"/>
      <c r="AC714" s="11"/>
    </row>
    <row r="715" spans="1:29" ht="13.5" customHeight="1">
      <c r="A715" s="309"/>
      <c r="B715" s="340"/>
      <c r="C715" s="340"/>
      <c r="D715" s="340"/>
      <c r="E715" s="341"/>
      <c r="F715" s="8"/>
      <c r="G715" s="8"/>
      <c r="H715" s="208"/>
      <c r="I715" s="342"/>
      <c r="K715" s="311"/>
      <c r="L715" s="343"/>
      <c r="M715" s="344"/>
      <c r="N715" s="345"/>
      <c r="O715" s="311"/>
      <c r="P715" s="311"/>
      <c r="Q715" s="311"/>
      <c r="R715" s="346"/>
      <c r="S715" s="347"/>
      <c r="T715" s="348"/>
      <c r="U715" s="10"/>
      <c r="V715" s="349"/>
      <c r="W715" s="350"/>
      <c r="X715" s="9"/>
      <c r="Y715" s="10"/>
      <c r="Z715" s="6"/>
      <c r="AC715" s="11"/>
    </row>
    <row r="716" spans="1:29" ht="13.5" customHeight="1">
      <c r="A716" s="309"/>
      <c r="B716" s="340"/>
      <c r="C716" s="340"/>
      <c r="D716" s="340"/>
      <c r="E716" s="341"/>
      <c r="F716" s="8"/>
      <c r="G716" s="8"/>
      <c r="H716" s="208"/>
      <c r="I716" s="342"/>
      <c r="K716" s="311"/>
      <c r="L716" s="343"/>
      <c r="M716" s="344"/>
      <c r="N716" s="345"/>
      <c r="O716" s="311"/>
      <c r="P716" s="311"/>
      <c r="Q716" s="311"/>
      <c r="R716" s="346"/>
      <c r="S716" s="347"/>
      <c r="T716" s="348"/>
      <c r="U716" s="10"/>
      <c r="V716" s="349"/>
      <c r="W716" s="350"/>
      <c r="X716" s="9"/>
      <c r="Y716" s="10"/>
      <c r="Z716" s="6"/>
      <c r="AC716" s="11"/>
    </row>
    <row r="717" spans="1:29" ht="13.5" customHeight="1">
      <c r="A717" s="309"/>
      <c r="B717" s="340"/>
      <c r="C717" s="340"/>
      <c r="D717" s="340"/>
      <c r="E717" s="341"/>
      <c r="F717" s="8"/>
      <c r="G717" s="8"/>
      <c r="H717" s="208"/>
      <c r="I717" s="342"/>
      <c r="K717" s="311"/>
      <c r="L717" s="343"/>
      <c r="M717" s="344"/>
      <c r="N717" s="345"/>
      <c r="O717" s="311"/>
      <c r="P717" s="311"/>
      <c r="Q717" s="311"/>
      <c r="R717" s="346"/>
      <c r="S717" s="347"/>
      <c r="T717" s="348"/>
      <c r="U717" s="10"/>
      <c r="V717" s="349"/>
      <c r="W717" s="350"/>
      <c r="X717" s="9"/>
      <c r="Y717" s="10"/>
      <c r="Z717" s="6"/>
      <c r="AC717" s="11"/>
    </row>
    <row r="718" spans="1:29" ht="13.5" customHeight="1">
      <c r="A718" s="309"/>
      <c r="B718" s="340"/>
      <c r="C718" s="340"/>
      <c r="D718" s="340"/>
      <c r="E718" s="341"/>
      <c r="F718" s="8"/>
      <c r="G718" s="8"/>
      <c r="H718" s="208"/>
      <c r="I718" s="342"/>
      <c r="K718" s="311"/>
      <c r="L718" s="343"/>
      <c r="M718" s="344"/>
      <c r="N718" s="345"/>
      <c r="O718" s="311"/>
      <c r="P718" s="311"/>
      <c r="Q718" s="311"/>
      <c r="R718" s="346"/>
      <c r="S718" s="347"/>
      <c r="T718" s="348"/>
      <c r="U718" s="10"/>
      <c r="V718" s="349"/>
      <c r="W718" s="350"/>
      <c r="X718" s="9"/>
      <c r="Y718" s="10"/>
      <c r="Z718" s="6"/>
      <c r="AC718" s="11"/>
    </row>
    <row r="719" spans="1:29" ht="13.5" customHeight="1">
      <c r="A719" s="309"/>
      <c r="B719" s="340"/>
      <c r="C719" s="340"/>
      <c r="D719" s="340"/>
      <c r="E719" s="341"/>
      <c r="F719" s="8"/>
      <c r="G719" s="8"/>
      <c r="H719" s="208"/>
      <c r="I719" s="342"/>
      <c r="K719" s="311"/>
      <c r="L719" s="343"/>
      <c r="M719" s="344"/>
      <c r="N719" s="345"/>
      <c r="O719" s="311"/>
      <c r="P719" s="311"/>
      <c r="Q719" s="311"/>
      <c r="R719" s="346"/>
      <c r="S719" s="347"/>
      <c r="T719" s="348"/>
      <c r="U719" s="10"/>
      <c r="V719" s="349"/>
      <c r="W719" s="350"/>
      <c r="X719" s="9"/>
      <c r="Y719" s="10"/>
      <c r="Z719" s="6"/>
      <c r="AC719" s="11"/>
    </row>
    <row r="720" spans="1:29" ht="13.5" customHeight="1">
      <c r="A720" s="309"/>
      <c r="B720" s="340"/>
      <c r="C720" s="340"/>
      <c r="D720" s="340"/>
      <c r="E720" s="341"/>
      <c r="F720" s="8"/>
      <c r="G720" s="8"/>
      <c r="H720" s="208"/>
      <c r="I720" s="342"/>
      <c r="K720" s="311"/>
      <c r="L720" s="343"/>
      <c r="M720" s="344"/>
      <c r="N720" s="345"/>
      <c r="O720" s="311"/>
      <c r="P720" s="311"/>
      <c r="Q720" s="311"/>
      <c r="R720" s="346"/>
      <c r="S720" s="347"/>
      <c r="T720" s="348"/>
      <c r="U720" s="10"/>
      <c r="V720" s="349"/>
      <c r="W720" s="350"/>
      <c r="X720" s="9"/>
      <c r="Y720" s="10"/>
      <c r="Z720" s="6"/>
      <c r="AC720" s="11"/>
    </row>
    <row r="721" spans="1:29" ht="13.5" customHeight="1">
      <c r="A721" s="309"/>
      <c r="B721" s="340"/>
      <c r="C721" s="340"/>
      <c r="D721" s="340"/>
      <c r="E721" s="341"/>
      <c r="F721" s="8"/>
      <c r="G721" s="8"/>
      <c r="H721" s="208"/>
      <c r="I721" s="342"/>
      <c r="K721" s="311"/>
      <c r="L721" s="343"/>
      <c r="M721" s="344"/>
      <c r="N721" s="345"/>
      <c r="O721" s="311"/>
      <c r="P721" s="311"/>
      <c r="Q721" s="311"/>
      <c r="R721" s="346"/>
      <c r="S721" s="347"/>
      <c r="T721" s="348"/>
      <c r="U721" s="10"/>
      <c r="V721" s="349"/>
      <c r="W721" s="350"/>
      <c r="X721" s="9"/>
      <c r="Y721" s="10"/>
      <c r="Z721" s="6"/>
      <c r="AC721" s="11"/>
    </row>
    <row r="722" spans="1:29" ht="13.5" customHeight="1">
      <c r="A722" s="309"/>
      <c r="B722" s="340"/>
      <c r="C722" s="340"/>
      <c r="D722" s="340"/>
      <c r="E722" s="341"/>
      <c r="F722" s="8"/>
      <c r="G722" s="8"/>
      <c r="H722" s="208"/>
      <c r="I722" s="342"/>
      <c r="K722" s="311"/>
      <c r="L722" s="343"/>
      <c r="M722" s="344"/>
      <c r="N722" s="345"/>
      <c r="O722" s="311"/>
      <c r="P722" s="311"/>
      <c r="Q722" s="311"/>
      <c r="R722" s="346"/>
      <c r="S722" s="347"/>
      <c r="T722" s="348"/>
      <c r="U722" s="10"/>
      <c r="V722" s="349"/>
      <c r="W722" s="350"/>
      <c r="X722" s="9"/>
      <c r="Y722" s="10"/>
      <c r="Z722" s="6"/>
      <c r="AC722" s="11"/>
    </row>
    <row r="723" spans="1:29" ht="13.5" customHeight="1">
      <c r="A723" s="309"/>
      <c r="B723" s="340"/>
      <c r="C723" s="340"/>
      <c r="D723" s="340"/>
      <c r="E723" s="341"/>
      <c r="F723" s="8"/>
      <c r="G723" s="8"/>
      <c r="H723" s="208"/>
      <c r="I723" s="342"/>
      <c r="K723" s="311"/>
      <c r="L723" s="343"/>
      <c r="M723" s="344"/>
      <c r="N723" s="345"/>
      <c r="O723" s="311"/>
      <c r="P723" s="311"/>
      <c r="Q723" s="311"/>
      <c r="R723" s="346"/>
      <c r="S723" s="347"/>
      <c r="T723" s="348"/>
      <c r="U723" s="10"/>
      <c r="V723" s="349"/>
      <c r="W723" s="350"/>
      <c r="X723" s="9"/>
      <c r="Y723" s="10"/>
      <c r="Z723" s="6"/>
      <c r="AC723" s="11"/>
    </row>
    <row r="724" spans="1:29" ht="13.5" customHeight="1">
      <c r="A724" s="309"/>
      <c r="B724" s="340"/>
      <c r="C724" s="340"/>
      <c r="D724" s="340"/>
      <c r="E724" s="341"/>
      <c r="F724" s="8"/>
      <c r="G724" s="8"/>
      <c r="H724" s="208"/>
      <c r="I724" s="342"/>
      <c r="K724" s="311"/>
      <c r="L724" s="343"/>
      <c r="M724" s="344"/>
      <c r="N724" s="345"/>
      <c r="O724" s="311"/>
      <c r="P724" s="311"/>
      <c r="Q724" s="311"/>
      <c r="R724" s="346"/>
      <c r="S724" s="347"/>
      <c r="T724" s="348"/>
      <c r="U724" s="10"/>
      <c r="V724" s="349"/>
      <c r="W724" s="350"/>
      <c r="X724" s="9"/>
      <c r="Y724" s="10"/>
      <c r="Z724" s="6"/>
      <c r="AC724" s="11"/>
    </row>
    <row r="725" spans="1:29" ht="13.5" customHeight="1">
      <c r="A725" s="309"/>
      <c r="B725" s="340"/>
      <c r="C725" s="340"/>
      <c r="D725" s="340"/>
      <c r="E725" s="341"/>
      <c r="F725" s="8"/>
      <c r="G725" s="8"/>
      <c r="H725" s="208"/>
      <c r="I725" s="342"/>
      <c r="K725" s="311"/>
      <c r="L725" s="343"/>
      <c r="M725" s="344"/>
      <c r="N725" s="345"/>
      <c r="O725" s="311"/>
      <c r="P725" s="311"/>
      <c r="Q725" s="311"/>
      <c r="R725" s="346"/>
      <c r="S725" s="347"/>
      <c r="T725" s="348"/>
      <c r="U725" s="10"/>
      <c r="V725" s="349"/>
      <c r="W725" s="350"/>
      <c r="X725" s="9"/>
      <c r="Y725" s="10"/>
      <c r="Z725" s="6"/>
      <c r="AC725" s="11"/>
    </row>
    <row r="726" spans="1:29" ht="13.5" customHeight="1">
      <c r="A726" s="309"/>
      <c r="B726" s="340"/>
      <c r="C726" s="340"/>
      <c r="D726" s="340"/>
      <c r="E726" s="341"/>
      <c r="F726" s="8"/>
      <c r="G726" s="8"/>
      <c r="H726" s="208"/>
      <c r="I726" s="342"/>
      <c r="K726" s="311"/>
      <c r="L726" s="343"/>
      <c r="M726" s="344"/>
      <c r="N726" s="345"/>
      <c r="O726" s="311"/>
      <c r="P726" s="311"/>
      <c r="Q726" s="311"/>
      <c r="R726" s="346"/>
      <c r="S726" s="347"/>
      <c r="T726" s="348"/>
      <c r="U726" s="10"/>
      <c r="V726" s="349"/>
      <c r="W726" s="350"/>
      <c r="X726" s="9"/>
      <c r="Y726" s="10"/>
      <c r="Z726" s="6"/>
      <c r="AC726" s="11"/>
    </row>
    <row r="727" spans="1:29" ht="13.5" customHeight="1">
      <c r="A727" s="309"/>
      <c r="B727" s="340"/>
      <c r="C727" s="340"/>
      <c r="D727" s="340"/>
      <c r="E727" s="341"/>
      <c r="F727" s="8"/>
      <c r="G727" s="8"/>
      <c r="H727" s="208"/>
      <c r="I727" s="342"/>
      <c r="K727" s="311"/>
      <c r="L727" s="343"/>
      <c r="M727" s="344"/>
      <c r="N727" s="345"/>
      <c r="O727" s="311"/>
      <c r="P727" s="311"/>
      <c r="Q727" s="311"/>
      <c r="R727" s="346"/>
      <c r="S727" s="347"/>
      <c r="T727" s="348"/>
      <c r="U727" s="10"/>
      <c r="V727" s="349"/>
      <c r="W727" s="350"/>
      <c r="X727" s="9"/>
      <c r="Y727" s="10"/>
      <c r="Z727" s="6"/>
      <c r="AC727" s="11"/>
    </row>
    <row r="728" spans="1:29" ht="13.5" customHeight="1">
      <c r="A728" s="309"/>
      <c r="B728" s="340"/>
      <c r="C728" s="340"/>
      <c r="D728" s="340"/>
      <c r="E728" s="341"/>
      <c r="F728" s="8"/>
      <c r="G728" s="8"/>
      <c r="H728" s="208"/>
      <c r="I728" s="342"/>
      <c r="K728" s="311"/>
      <c r="L728" s="343"/>
      <c r="M728" s="344"/>
      <c r="N728" s="345"/>
      <c r="O728" s="311"/>
      <c r="P728" s="311"/>
      <c r="Q728" s="311"/>
      <c r="R728" s="346"/>
      <c r="S728" s="347"/>
      <c r="T728" s="348"/>
      <c r="U728" s="10"/>
      <c r="V728" s="349"/>
      <c r="W728" s="350"/>
      <c r="X728" s="9"/>
      <c r="Y728" s="10"/>
      <c r="Z728" s="6"/>
      <c r="AC728" s="11"/>
    </row>
    <row r="729" spans="1:29" ht="13.5" customHeight="1">
      <c r="A729" s="309"/>
      <c r="B729" s="340"/>
      <c r="C729" s="340"/>
      <c r="D729" s="340"/>
      <c r="E729" s="341"/>
      <c r="F729" s="8"/>
      <c r="G729" s="8"/>
      <c r="H729" s="208"/>
      <c r="I729" s="342"/>
      <c r="K729" s="311"/>
      <c r="L729" s="343"/>
      <c r="M729" s="344"/>
      <c r="N729" s="345"/>
      <c r="O729" s="311"/>
      <c r="P729" s="311"/>
      <c r="Q729" s="311"/>
      <c r="R729" s="346"/>
      <c r="S729" s="347"/>
      <c r="T729" s="348"/>
      <c r="U729" s="10"/>
      <c r="V729" s="349"/>
      <c r="W729" s="350"/>
      <c r="X729" s="9"/>
      <c r="Y729" s="10"/>
      <c r="Z729" s="6"/>
      <c r="AC729" s="11"/>
    </row>
    <row r="730" spans="1:29" ht="13.5" customHeight="1">
      <c r="A730" s="309"/>
      <c r="B730" s="340"/>
      <c r="C730" s="340"/>
      <c r="D730" s="340"/>
      <c r="E730" s="341"/>
      <c r="F730" s="8"/>
      <c r="G730" s="8"/>
      <c r="H730" s="208"/>
      <c r="I730" s="342"/>
      <c r="K730" s="311"/>
      <c r="L730" s="343"/>
      <c r="M730" s="344"/>
      <c r="N730" s="345"/>
      <c r="O730" s="311"/>
      <c r="P730" s="311"/>
      <c r="Q730" s="311"/>
      <c r="R730" s="346"/>
      <c r="S730" s="347"/>
      <c r="T730" s="348"/>
      <c r="U730" s="10"/>
      <c r="V730" s="349"/>
      <c r="W730" s="350"/>
      <c r="X730" s="9"/>
      <c r="Y730" s="10"/>
      <c r="Z730" s="6"/>
      <c r="AC730" s="11"/>
    </row>
    <row r="731" spans="1:29" ht="13.5" customHeight="1">
      <c r="A731" s="309"/>
      <c r="B731" s="340"/>
      <c r="C731" s="340"/>
      <c r="D731" s="340"/>
      <c r="E731" s="341"/>
      <c r="F731" s="8"/>
      <c r="G731" s="8"/>
      <c r="H731" s="208"/>
      <c r="I731" s="342"/>
      <c r="K731" s="311"/>
      <c r="L731" s="343"/>
      <c r="M731" s="344"/>
      <c r="N731" s="345"/>
      <c r="O731" s="311"/>
      <c r="P731" s="311"/>
      <c r="Q731" s="311"/>
      <c r="R731" s="346"/>
      <c r="S731" s="347"/>
      <c r="T731" s="348"/>
      <c r="U731" s="10"/>
      <c r="V731" s="349"/>
      <c r="W731" s="350"/>
      <c r="X731" s="9"/>
      <c r="Y731" s="10"/>
      <c r="Z731" s="6"/>
      <c r="AC731" s="11"/>
    </row>
    <row r="732" spans="1:29" ht="13.5" customHeight="1">
      <c r="A732" s="309"/>
      <c r="B732" s="340"/>
      <c r="C732" s="340"/>
      <c r="D732" s="340"/>
      <c r="E732" s="341"/>
      <c r="F732" s="8"/>
      <c r="G732" s="8"/>
      <c r="H732" s="208"/>
      <c r="I732" s="342"/>
      <c r="K732" s="311"/>
      <c r="L732" s="343"/>
      <c r="M732" s="344"/>
      <c r="N732" s="345"/>
      <c r="O732" s="311"/>
      <c r="P732" s="311"/>
      <c r="Q732" s="311"/>
      <c r="R732" s="346"/>
      <c r="S732" s="347"/>
      <c r="T732" s="348"/>
      <c r="U732" s="10"/>
      <c r="V732" s="349"/>
      <c r="W732" s="350"/>
      <c r="X732" s="9"/>
      <c r="Y732" s="10"/>
      <c r="Z732" s="6"/>
      <c r="AC732" s="11"/>
    </row>
    <row r="733" spans="1:29" ht="13.5" customHeight="1">
      <c r="A733" s="309"/>
      <c r="B733" s="340"/>
      <c r="C733" s="340"/>
      <c r="D733" s="340"/>
      <c r="E733" s="341"/>
      <c r="F733" s="8"/>
      <c r="G733" s="8"/>
      <c r="H733" s="208"/>
      <c r="I733" s="342"/>
      <c r="K733" s="311"/>
      <c r="L733" s="343"/>
      <c r="M733" s="344"/>
      <c r="N733" s="345"/>
      <c r="O733" s="311"/>
      <c r="P733" s="311"/>
      <c r="Q733" s="311"/>
      <c r="R733" s="346"/>
      <c r="S733" s="347"/>
      <c r="T733" s="348"/>
      <c r="U733" s="10"/>
      <c r="V733" s="349"/>
      <c r="W733" s="350"/>
      <c r="X733" s="9"/>
      <c r="Y733" s="10"/>
      <c r="Z733" s="6"/>
      <c r="AC733" s="11"/>
    </row>
    <row r="734" spans="1:29" ht="13.5" customHeight="1">
      <c r="A734" s="309"/>
      <c r="B734" s="340"/>
      <c r="C734" s="340"/>
      <c r="D734" s="340"/>
      <c r="E734" s="341"/>
      <c r="F734" s="8"/>
      <c r="G734" s="8"/>
      <c r="H734" s="208"/>
      <c r="I734" s="342"/>
      <c r="K734" s="311"/>
      <c r="L734" s="343"/>
      <c r="M734" s="344"/>
      <c r="N734" s="345"/>
      <c r="O734" s="311"/>
      <c r="P734" s="311"/>
      <c r="Q734" s="311"/>
      <c r="R734" s="346"/>
      <c r="S734" s="347"/>
      <c r="T734" s="348"/>
      <c r="U734" s="10"/>
      <c r="V734" s="349"/>
      <c r="W734" s="350"/>
      <c r="X734" s="9"/>
      <c r="Y734" s="10"/>
      <c r="Z734" s="6"/>
      <c r="AC734" s="11"/>
    </row>
    <row r="735" spans="1:29" ht="13.5" customHeight="1">
      <c r="A735" s="309"/>
      <c r="B735" s="340"/>
      <c r="C735" s="340"/>
      <c r="D735" s="340"/>
      <c r="E735" s="341"/>
      <c r="F735" s="8"/>
      <c r="G735" s="8"/>
      <c r="H735" s="208"/>
      <c r="I735" s="342"/>
      <c r="K735" s="311"/>
      <c r="L735" s="343"/>
      <c r="M735" s="344"/>
      <c r="N735" s="345"/>
      <c r="O735" s="311"/>
      <c r="P735" s="311"/>
      <c r="Q735" s="311"/>
      <c r="R735" s="346"/>
      <c r="S735" s="347"/>
      <c r="T735" s="348"/>
      <c r="U735" s="10"/>
      <c r="V735" s="349"/>
      <c r="W735" s="350"/>
      <c r="X735" s="9"/>
      <c r="Y735" s="10"/>
      <c r="Z735" s="6"/>
      <c r="AC735" s="11"/>
    </row>
    <row r="736" spans="1:29" ht="13.5" customHeight="1">
      <c r="A736" s="309"/>
      <c r="B736" s="340"/>
      <c r="C736" s="340"/>
      <c r="D736" s="340"/>
      <c r="E736" s="341"/>
      <c r="F736" s="8"/>
      <c r="G736" s="8"/>
      <c r="H736" s="208"/>
      <c r="I736" s="342"/>
      <c r="K736" s="311"/>
      <c r="L736" s="343"/>
      <c r="M736" s="344"/>
      <c r="N736" s="345"/>
      <c r="O736" s="311"/>
      <c r="P736" s="311"/>
      <c r="Q736" s="311"/>
      <c r="R736" s="346"/>
      <c r="S736" s="347"/>
      <c r="T736" s="348"/>
      <c r="U736" s="10"/>
      <c r="V736" s="349"/>
      <c r="W736" s="350"/>
      <c r="X736" s="9"/>
      <c r="Y736" s="10"/>
      <c r="Z736" s="6"/>
      <c r="AC736" s="11"/>
    </row>
    <row r="737" spans="1:29" ht="13.5" customHeight="1">
      <c r="A737" s="309"/>
      <c r="B737" s="340"/>
      <c r="C737" s="340"/>
      <c r="D737" s="340"/>
      <c r="E737" s="341"/>
      <c r="F737" s="8"/>
      <c r="G737" s="8"/>
      <c r="H737" s="208"/>
      <c r="I737" s="342"/>
      <c r="K737" s="311"/>
      <c r="L737" s="343"/>
      <c r="M737" s="344"/>
      <c r="N737" s="345"/>
      <c r="O737" s="311"/>
      <c r="P737" s="311"/>
      <c r="Q737" s="311"/>
      <c r="R737" s="346"/>
      <c r="S737" s="347"/>
      <c r="T737" s="348"/>
      <c r="U737" s="10"/>
      <c r="V737" s="349"/>
      <c r="W737" s="350"/>
      <c r="X737" s="9"/>
      <c r="Y737" s="10"/>
      <c r="Z737" s="6"/>
      <c r="AC737" s="11"/>
    </row>
    <row r="738" spans="1:29" ht="13.5" customHeight="1">
      <c r="A738" s="309"/>
      <c r="B738" s="340"/>
      <c r="C738" s="340"/>
      <c r="D738" s="340"/>
      <c r="E738" s="341"/>
      <c r="F738" s="8"/>
      <c r="G738" s="8"/>
      <c r="H738" s="208"/>
      <c r="I738" s="342"/>
      <c r="K738" s="311"/>
      <c r="L738" s="343"/>
      <c r="M738" s="344"/>
      <c r="N738" s="345"/>
      <c r="O738" s="311"/>
      <c r="P738" s="311"/>
      <c r="Q738" s="311"/>
      <c r="R738" s="346"/>
      <c r="S738" s="347"/>
      <c r="T738" s="348"/>
      <c r="U738" s="10"/>
      <c r="V738" s="349"/>
      <c r="W738" s="350"/>
      <c r="X738" s="9"/>
      <c r="Y738" s="10"/>
      <c r="Z738" s="6"/>
      <c r="AC738" s="11"/>
    </row>
    <row r="739" spans="1:29" ht="13.5" customHeight="1">
      <c r="A739" s="309"/>
      <c r="B739" s="340"/>
      <c r="C739" s="340"/>
      <c r="D739" s="340"/>
      <c r="E739" s="341"/>
      <c r="F739" s="8"/>
      <c r="G739" s="8"/>
      <c r="H739" s="208"/>
      <c r="I739" s="342"/>
      <c r="K739" s="311"/>
      <c r="L739" s="343"/>
      <c r="M739" s="344"/>
      <c r="N739" s="345"/>
      <c r="O739" s="311"/>
      <c r="P739" s="311"/>
      <c r="Q739" s="311"/>
      <c r="R739" s="346"/>
      <c r="S739" s="347"/>
      <c r="T739" s="348"/>
      <c r="U739" s="10"/>
      <c r="V739" s="349"/>
      <c r="W739" s="350"/>
      <c r="X739" s="9"/>
      <c r="Y739" s="10"/>
      <c r="Z739" s="6"/>
      <c r="AC739" s="11"/>
    </row>
    <row r="740" spans="1:29" ht="13.5" customHeight="1">
      <c r="A740" s="309"/>
      <c r="B740" s="340"/>
      <c r="C740" s="340"/>
      <c r="D740" s="340"/>
      <c r="E740" s="341"/>
      <c r="F740" s="8"/>
      <c r="G740" s="8"/>
      <c r="H740" s="208"/>
      <c r="I740" s="342"/>
      <c r="K740" s="311"/>
      <c r="L740" s="343"/>
      <c r="M740" s="344"/>
      <c r="N740" s="345"/>
      <c r="O740" s="311"/>
      <c r="P740" s="311"/>
      <c r="Q740" s="311"/>
      <c r="R740" s="346"/>
      <c r="S740" s="347"/>
      <c r="T740" s="348"/>
      <c r="U740" s="10"/>
      <c r="V740" s="349"/>
      <c r="W740" s="350"/>
      <c r="X740" s="9"/>
      <c r="Y740" s="10"/>
      <c r="Z740" s="6"/>
      <c r="AC740" s="11"/>
    </row>
    <row r="741" spans="1:29" ht="13.5" customHeight="1">
      <c r="A741" s="309"/>
      <c r="B741" s="340"/>
      <c r="C741" s="340"/>
      <c r="D741" s="340"/>
      <c r="E741" s="341"/>
      <c r="F741" s="8"/>
      <c r="G741" s="8"/>
      <c r="H741" s="208"/>
      <c r="I741" s="342"/>
      <c r="K741" s="311"/>
      <c r="L741" s="343"/>
      <c r="M741" s="344"/>
      <c r="N741" s="345"/>
      <c r="O741" s="311"/>
      <c r="P741" s="311"/>
      <c r="Q741" s="311"/>
      <c r="R741" s="346"/>
      <c r="S741" s="347"/>
      <c r="T741" s="348"/>
      <c r="U741" s="10"/>
      <c r="V741" s="349"/>
      <c r="W741" s="350"/>
      <c r="X741" s="9"/>
      <c r="Y741" s="10"/>
      <c r="Z741" s="6"/>
      <c r="AC741" s="11"/>
    </row>
    <row r="742" spans="1:29" ht="13.5" customHeight="1">
      <c r="A742" s="309"/>
      <c r="B742" s="340"/>
      <c r="C742" s="340"/>
      <c r="D742" s="340"/>
      <c r="E742" s="341"/>
      <c r="F742" s="8"/>
      <c r="G742" s="8"/>
      <c r="H742" s="208"/>
      <c r="I742" s="342"/>
      <c r="K742" s="311"/>
      <c r="L742" s="343"/>
      <c r="M742" s="344"/>
      <c r="N742" s="345"/>
      <c r="O742" s="311"/>
      <c r="P742" s="311"/>
      <c r="Q742" s="311"/>
      <c r="R742" s="346"/>
      <c r="S742" s="347"/>
      <c r="T742" s="348"/>
      <c r="U742" s="10"/>
      <c r="V742" s="349"/>
      <c r="W742" s="350"/>
      <c r="X742" s="9"/>
      <c r="Y742" s="10"/>
      <c r="Z742" s="6"/>
      <c r="AC742" s="11"/>
    </row>
    <row r="743" spans="1:29" ht="13.5" customHeight="1">
      <c r="A743" s="309"/>
      <c r="B743" s="340"/>
      <c r="C743" s="340"/>
      <c r="D743" s="340"/>
      <c r="E743" s="341"/>
      <c r="F743" s="8"/>
      <c r="G743" s="8"/>
      <c r="H743" s="208"/>
      <c r="I743" s="342"/>
      <c r="K743" s="311"/>
      <c r="L743" s="343"/>
      <c r="M743" s="344"/>
      <c r="N743" s="345"/>
      <c r="O743" s="311"/>
      <c r="P743" s="311"/>
      <c r="Q743" s="311"/>
      <c r="R743" s="346"/>
      <c r="S743" s="347"/>
      <c r="T743" s="348"/>
      <c r="U743" s="10"/>
      <c r="V743" s="349"/>
      <c r="W743" s="350"/>
      <c r="X743" s="9"/>
      <c r="Y743" s="10"/>
      <c r="Z743" s="6"/>
      <c r="AC743" s="11"/>
    </row>
    <row r="744" spans="1:29" ht="13.5" customHeight="1">
      <c r="A744" s="309"/>
      <c r="B744" s="340"/>
      <c r="C744" s="340"/>
      <c r="D744" s="340"/>
      <c r="E744" s="341"/>
      <c r="F744" s="8"/>
      <c r="G744" s="8"/>
      <c r="H744" s="208"/>
      <c r="I744" s="342"/>
      <c r="K744" s="311"/>
      <c r="L744" s="343"/>
      <c r="M744" s="344"/>
      <c r="N744" s="345"/>
      <c r="O744" s="311"/>
      <c r="P744" s="311"/>
      <c r="Q744" s="311"/>
      <c r="R744" s="346"/>
      <c r="S744" s="347"/>
      <c r="T744" s="348"/>
      <c r="U744" s="10"/>
      <c r="V744" s="349"/>
      <c r="W744" s="350"/>
      <c r="X744" s="9"/>
      <c r="Y744" s="10"/>
      <c r="Z744" s="6"/>
      <c r="AC744" s="11"/>
    </row>
    <row r="745" spans="1:29" ht="13.5" customHeight="1">
      <c r="A745" s="309"/>
      <c r="B745" s="340"/>
      <c r="C745" s="340"/>
      <c r="D745" s="340"/>
      <c r="E745" s="341"/>
      <c r="F745" s="8"/>
      <c r="G745" s="8"/>
      <c r="H745" s="208"/>
      <c r="I745" s="342"/>
      <c r="K745" s="311"/>
      <c r="L745" s="343"/>
      <c r="M745" s="344"/>
      <c r="N745" s="345"/>
      <c r="O745" s="311"/>
      <c r="P745" s="311"/>
      <c r="Q745" s="311"/>
      <c r="R745" s="346"/>
      <c r="S745" s="347"/>
      <c r="T745" s="348"/>
      <c r="U745" s="10"/>
      <c r="V745" s="349"/>
      <c r="W745" s="350"/>
      <c r="X745" s="9"/>
      <c r="Y745" s="10"/>
      <c r="Z745" s="6"/>
      <c r="AC745" s="11"/>
    </row>
    <row r="746" spans="1:29" ht="13.5" customHeight="1">
      <c r="A746" s="309"/>
      <c r="B746" s="340"/>
      <c r="C746" s="340"/>
      <c r="D746" s="340"/>
      <c r="E746" s="341"/>
      <c r="F746" s="8"/>
      <c r="G746" s="8"/>
      <c r="H746" s="208"/>
      <c r="I746" s="342"/>
      <c r="K746" s="311"/>
      <c r="L746" s="343"/>
      <c r="M746" s="344"/>
      <c r="N746" s="345"/>
      <c r="O746" s="311"/>
      <c r="P746" s="311"/>
      <c r="Q746" s="311"/>
      <c r="R746" s="346"/>
      <c r="S746" s="347"/>
      <c r="T746" s="348"/>
      <c r="U746" s="10"/>
      <c r="V746" s="349"/>
      <c r="W746" s="350"/>
      <c r="X746" s="9"/>
      <c r="Y746" s="10"/>
      <c r="Z746" s="6"/>
      <c r="AC746" s="11"/>
    </row>
    <row r="747" spans="1:29" ht="13.5" customHeight="1">
      <c r="A747" s="309"/>
      <c r="B747" s="340"/>
      <c r="C747" s="340"/>
      <c r="D747" s="340"/>
      <c r="E747" s="341"/>
      <c r="F747" s="8"/>
      <c r="G747" s="8"/>
      <c r="H747" s="208"/>
      <c r="I747" s="342"/>
      <c r="K747" s="311"/>
      <c r="L747" s="343"/>
      <c r="M747" s="344"/>
      <c r="N747" s="345"/>
      <c r="O747" s="311"/>
      <c r="P747" s="311"/>
      <c r="Q747" s="311"/>
      <c r="R747" s="346"/>
      <c r="S747" s="347"/>
      <c r="T747" s="348"/>
      <c r="U747" s="10"/>
      <c r="V747" s="349"/>
      <c r="W747" s="350"/>
      <c r="X747" s="9"/>
      <c r="Y747" s="10"/>
      <c r="Z747" s="6"/>
      <c r="AC747" s="11"/>
    </row>
    <row r="748" spans="1:29" ht="13.5" customHeight="1">
      <c r="A748" s="309"/>
      <c r="B748" s="340"/>
      <c r="C748" s="340"/>
      <c r="D748" s="340"/>
      <c r="E748" s="341"/>
      <c r="F748" s="8"/>
      <c r="G748" s="8"/>
      <c r="H748" s="208"/>
      <c r="I748" s="342"/>
      <c r="K748" s="311"/>
      <c r="L748" s="343"/>
      <c r="M748" s="344"/>
      <c r="N748" s="345"/>
      <c r="O748" s="311"/>
      <c r="P748" s="311"/>
      <c r="Q748" s="311"/>
      <c r="R748" s="346"/>
      <c r="S748" s="347"/>
      <c r="T748" s="348"/>
      <c r="U748" s="10"/>
      <c r="V748" s="349"/>
      <c r="W748" s="350"/>
      <c r="X748" s="9"/>
      <c r="Y748" s="10"/>
      <c r="Z748" s="6"/>
      <c r="AC748" s="11"/>
    </row>
    <row r="749" spans="1:29" ht="13.5" customHeight="1">
      <c r="A749" s="309"/>
      <c r="B749" s="340"/>
      <c r="C749" s="340"/>
      <c r="D749" s="340"/>
      <c r="E749" s="341"/>
      <c r="F749" s="8"/>
      <c r="G749" s="8"/>
      <c r="H749" s="208"/>
      <c r="I749" s="342"/>
      <c r="K749" s="311"/>
      <c r="L749" s="343"/>
      <c r="M749" s="344"/>
      <c r="N749" s="345"/>
      <c r="O749" s="311"/>
      <c r="P749" s="311"/>
      <c r="Q749" s="311"/>
      <c r="R749" s="346"/>
      <c r="S749" s="347"/>
      <c r="T749" s="348"/>
      <c r="U749" s="10"/>
      <c r="V749" s="349"/>
      <c r="W749" s="350"/>
      <c r="X749" s="9"/>
      <c r="Y749" s="10"/>
      <c r="Z749" s="6"/>
      <c r="AC749" s="11"/>
    </row>
    <row r="750" spans="1:29" ht="13.5" customHeight="1">
      <c r="A750" s="309"/>
      <c r="B750" s="340"/>
      <c r="C750" s="340"/>
      <c r="D750" s="340"/>
      <c r="E750" s="341"/>
      <c r="F750" s="8"/>
      <c r="G750" s="8"/>
      <c r="H750" s="208"/>
      <c r="I750" s="342"/>
      <c r="K750" s="311"/>
      <c r="L750" s="343"/>
      <c r="M750" s="344"/>
      <c r="N750" s="345"/>
      <c r="O750" s="311"/>
      <c r="P750" s="311"/>
      <c r="Q750" s="311"/>
      <c r="R750" s="346"/>
      <c r="S750" s="347"/>
      <c r="T750" s="348"/>
      <c r="U750" s="10"/>
      <c r="V750" s="349"/>
      <c r="W750" s="350"/>
      <c r="X750" s="9"/>
      <c r="Y750" s="10"/>
      <c r="Z750" s="6"/>
      <c r="AC750" s="11"/>
    </row>
    <row r="751" spans="1:29" ht="13.5" customHeight="1">
      <c r="A751" s="309"/>
      <c r="B751" s="340"/>
      <c r="C751" s="340"/>
      <c r="D751" s="340"/>
      <c r="E751" s="341"/>
      <c r="F751" s="8"/>
      <c r="G751" s="8"/>
      <c r="H751" s="208"/>
      <c r="I751" s="342"/>
      <c r="K751" s="311"/>
      <c r="L751" s="343"/>
      <c r="M751" s="344"/>
      <c r="N751" s="345"/>
      <c r="O751" s="311"/>
      <c r="P751" s="311"/>
      <c r="Q751" s="311"/>
      <c r="R751" s="346"/>
      <c r="S751" s="347"/>
      <c r="T751" s="348"/>
      <c r="U751" s="10"/>
      <c r="V751" s="349"/>
      <c r="W751" s="350"/>
      <c r="X751" s="9"/>
      <c r="Y751" s="10"/>
      <c r="Z751" s="6"/>
      <c r="AC751" s="11"/>
    </row>
    <row r="752" spans="1:29" ht="13.5" customHeight="1">
      <c r="A752" s="309"/>
      <c r="B752" s="340"/>
      <c r="C752" s="340"/>
      <c r="D752" s="340"/>
      <c r="E752" s="341"/>
      <c r="F752" s="8"/>
      <c r="G752" s="8"/>
      <c r="H752" s="208"/>
      <c r="I752" s="342"/>
      <c r="K752" s="311"/>
      <c r="L752" s="343"/>
      <c r="M752" s="344"/>
      <c r="N752" s="345"/>
      <c r="O752" s="311"/>
      <c r="P752" s="311"/>
      <c r="Q752" s="311"/>
      <c r="R752" s="346"/>
      <c r="S752" s="347"/>
      <c r="T752" s="348"/>
      <c r="U752" s="10"/>
      <c r="V752" s="349"/>
      <c r="W752" s="350"/>
      <c r="X752" s="9"/>
      <c r="Y752" s="10"/>
      <c r="Z752" s="6"/>
      <c r="AC752" s="11"/>
    </row>
    <row r="753" spans="1:29" ht="13.5" customHeight="1">
      <c r="A753" s="309"/>
      <c r="B753" s="340"/>
      <c r="C753" s="340"/>
      <c r="D753" s="340"/>
      <c r="E753" s="341"/>
      <c r="F753" s="8"/>
      <c r="G753" s="8"/>
      <c r="H753" s="208"/>
      <c r="I753" s="342"/>
      <c r="K753" s="311"/>
      <c r="L753" s="343"/>
      <c r="M753" s="344"/>
      <c r="N753" s="345"/>
      <c r="O753" s="311"/>
      <c r="P753" s="311"/>
      <c r="Q753" s="311"/>
      <c r="R753" s="346"/>
      <c r="S753" s="347"/>
      <c r="T753" s="348"/>
      <c r="U753" s="10"/>
      <c r="V753" s="349"/>
      <c r="W753" s="350"/>
      <c r="X753" s="9"/>
      <c r="Y753" s="10"/>
      <c r="Z753" s="6"/>
      <c r="AC753" s="11"/>
    </row>
    <row r="754" spans="1:29" ht="13.5" customHeight="1">
      <c r="A754" s="309"/>
      <c r="B754" s="340"/>
      <c r="C754" s="340"/>
      <c r="D754" s="340"/>
      <c r="E754" s="341"/>
      <c r="F754" s="8"/>
      <c r="G754" s="8"/>
      <c r="H754" s="208"/>
      <c r="I754" s="342"/>
      <c r="K754" s="311"/>
      <c r="L754" s="343"/>
      <c r="M754" s="344"/>
      <c r="N754" s="345"/>
      <c r="O754" s="311"/>
      <c r="P754" s="311"/>
      <c r="Q754" s="311"/>
      <c r="R754" s="346"/>
      <c r="S754" s="347"/>
      <c r="T754" s="348"/>
      <c r="U754" s="10"/>
      <c r="V754" s="349"/>
      <c r="W754" s="350"/>
      <c r="X754" s="9"/>
      <c r="Y754" s="10"/>
      <c r="Z754" s="6"/>
      <c r="AC754" s="11"/>
    </row>
    <row r="755" spans="1:29" ht="13.5" customHeight="1">
      <c r="A755" s="309"/>
      <c r="B755" s="340"/>
      <c r="C755" s="340"/>
      <c r="D755" s="340"/>
      <c r="E755" s="341"/>
      <c r="F755" s="8"/>
      <c r="G755" s="8"/>
      <c r="H755" s="208"/>
      <c r="I755" s="342"/>
      <c r="K755" s="311"/>
      <c r="L755" s="343"/>
      <c r="M755" s="344"/>
      <c r="N755" s="345"/>
      <c r="O755" s="311"/>
      <c r="P755" s="311"/>
      <c r="Q755" s="311"/>
      <c r="R755" s="346"/>
      <c r="S755" s="347"/>
      <c r="T755" s="348"/>
      <c r="U755" s="10"/>
      <c r="V755" s="349"/>
      <c r="W755" s="350"/>
      <c r="X755" s="9"/>
      <c r="Y755" s="10"/>
      <c r="Z755" s="6"/>
      <c r="AC755" s="11"/>
    </row>
    <row r="756" spans="1:29" ht="13.5" customHeight="1">
      <c r="A756" s="309"/>
      <c r="B756" s="340"/>
      <c r="C756" s="340"/>
      <c r="D756" s="340"/>
      <c r="E756" s="341"/>
      <c r="F756" s="8"/>
      <c r="G756" s="8"/>
      <c r="H756" s="208"/>
      <c r="I756" s="342"/>
      <c r="K756" s="311"/>
      <c r="L756" s="343"/>
      <c r="M756" s="344"/>
      <c r="N756" s="345"/>
      <c r="O756" s="311"/>
      <c r="P756" s="311"/>
      <c r="Q756" s="311"/>
      <c r="R756" s="346"/>
      <c r="S756" s="347"/>
      <c r="T756" s="348"/>
      <c r="U756" s="10"/>
      <c r="V756" s="349"/>
      <c r="W756" s="350"/>
      <c r="X756" s="9"/>
      <c r="Y756" s="10"/>
      <c r="Z756" s="6"/>
      <c r="AC756" s="11"/>
    </row>
    <row r="757" spans="1:29" ht="13.5" customHeight="1">
      <c r="A757" s="309"/>
      <c r="B757" s="340"/>
      <c r="C757" s="340"/>
      <c r="D757" s="340"/>
      <c r="E757" s="341"/>
      <c r="F757" s="8"/>
      <c r="G757" s="8"/>
      <c r="H757" s="208"/>
      <c r="I757" s="342"/>
      <c r="K757" s="311"/>
      <c r="L757" s="343"/>
      <c r="M757" s="344"/>
      <c r="N757" s="345"/>
      <c r="O757" s="311"/>
      <c r="P757" s="311"/>
      <c r="Q757" s="311"/>
      <c r="R757" s="346"/>
      <c r="S757" s="347"/>
      <c r="T757" s="348"/>
      <c r="U757" s="10"/>
      <c r="V757" s="349"/>
      <c r="W757" s="350"/>
      <c r="X757" s="9"/>
      <c r="Y757" s="10"/>
      <c r="Z757" s="6"/>
      <c r="AC757" s="11"/>
    </row>
    <row r="758" spans="1:29" ht="13.5" customHeight="1">
      <c r="A758" s="309"/>
      <c r="B758" s="340"/>
      <c r="C758" s="340"/>
      <c r="D758" s="340"/>
      <c r="E758" s="341"/>
      <c r="F758" s="8"/>
      <c r="G758" s="8"/>
      <c r="H758" s="208"/>
      <c r="I758" s="342"/>
      <c r="K758" s="311"/>
      <c r="L758" s="343"/>
      <c r="M758" s="344"/>
      <c r="N758" s="345"/>
      <c r="O758" s="311"/>
      <c r="P758" s="311"/>
      <c r="Q758" s="311"/>
      <c r="R758" s="346"/>
      <c r="S758" s="347"/>
      <c r="T758" s="348"/>
      <c r="U758" s="10"/>
      <c r="V758" s="349"/>
      <c r="W758" s="350"/>
      <c r="X758" s="9"/>
      <c r="Y758" s="10"/>
      <c r="Z758" s="6"/>
      <c r="AC758" s="11"/>
    </row>
    <row r="759" spans="1:29" ht="13.5" customHeight="1">
      <c r="A759" s="309"/>
      <c r="B759" s="340"/>
      <c r="C759" s="340"/>
      <c r="D759" s="340"/>
      <c r="E759" s="341"/>
      <c r="F759" s="8"/>
      <c r="G759" s="8"/>
      <c r="H759" s="208"/>
      <c r="I759" s="342"/>
      <c r="K759" s="311"/>
      <c r="L759" s="343"/>
      <c r="M759" s="344"/>
      <c r="N759" s="345"/>
      <c r="O759" s="311"/>
      <c r="P759" s="311"/>
      <c r="Q759" s="311"/>
      <c r="R759" s="346"/>
      <c r="S759" s="347"/>
      <c r="T759" s="348"/>
      <c r="U759" s="10"/>
      <c r="V759" s="349"/>
      <c r="W759" s="350"/>
      <c r="X759" s="9"/>
      <c r="Y759" s="10"/>
      <c r="Z759" s="6"/>
      <c r="AC759" s="11"/>
    </row>
    <row r="760" spans="1:29" ht="13.5" customHeight="1">
      <c r="A760" s="309"/>
      <c r="B760" s="340"/>
      <c r="C760" s="340"/>
      <c r="D760" s="340"/>
      <c r="E760" s="341"/>
      <c r="F760" s="8"/>
      <c r="G760" s="8"/>
      <c r="H760" s="208"/>
      <c r="I760" s="342"/>
      <c r="K760" s="311"/>
      <c r="L760" s="343"/>
      <c r="M760" s="344"/>
      <c r="N760" s="345"/>
      <c r="O760" s="311"/>
      <c r="P760" s="311"/>
      <c r="Q760" s="311"/>
      <c r="R760" s="346"/>
      <c r="S760" s="347"/>
      <c r="T760" s="348"/>
      <c r="U760" s="10"/>
      <c r="V760" s="349"/>
      <c r="W760" s="350"/>
      <c r="X760" s="9"/>
      <c r="Y760" s="10"/>
      <c r="Z760" s="6"/>
      <c r="AC760" s="11"/>
    </row>
    <row r="761" spans="1:29" ht="13.5" customHeight="1">
      <c r="A761" s="309"/>
      <c r="B761" s="340"/>
      <c r="C761" s="340"/>
      <c r="D761" s="340"/>
      <c r="E761" s="341"/>
      <c r="F761" s="8"/>
      <c r="G761" s="8"/>
      <c r="H761" s="208"/>
      <c r="I761" s="342"/>
      <c r="K761" s="311"/>
      <c r="L761" s="343"/>
      <c r="M761" s="344"/>
      <c r="N761" s="345"/>
      <c r="O761" s="311"/>
      <c r="P761" s="311"/>
      <c r="Q761" s="311"/>
      <c r="R761" s="346"/>
      <c r="S761" s="347"/>
      <c r="T761" s="348"/>
      <c r="U761" s="10"/>
      <c r="V761" s="349"/>
      <c r="W761" s="350"/>
      <c r="X761" s="9"/>
      <c r="Y761" s="10"/>
      <c r="Z761" s="6"/>
      <c r="AC761" s="11"/>
    </row>
    <row r="762" spans="1:29" ht="13.5" customHeight="1">
      <c r="A762" s="309"/>
      <c r="B762" s="340"/>
      <c r="C762" s="340"/>
      <c r="D762" s="340"/>
      <c r="E762" s="341"/>
      <c r="F762" s="8"/>
      <c r="G762" s="8"/>
      <c r="H762" s="208"/>
      <c r="I762" s="342"/>
      <c r="K762" s="311"/>
      <c r="L762" s="343"/>
      <c r="M762" s="344"/>
      <c r="N762" s="345"/>
      <c r="O762" s="311"/>
      <c r="P762" s="311"/>
      <c r="Q762" s="311"/>
      <c r="R762" s="346"/>
      <c r="S762" s="347"/>
      <c r="T762" s="348"/>
      <c r="U762" s="10"/>
      <c r="V762" s="349"/>
      <c r="W762" s="350"/>
      <c r="X762" s="9"/>
      <c r="Y762" s="10"/>
      <c r="Z762" s="6"/>
      <c r="AC762" s="11"/>
    </row>
    <row r="763" spans="1:29" ht="13.5" customHeight="1">
      <c r="A763" s="309"/>
      <c r="B763" s="340"/>
      <c r="C763" s="340"/>
      <c r="D763" s="340"/>
      <c r="E763" s="341"/>
      <c r="F763" s="8"/>
      <c r="G763" s="8"/>
      <c r="H763" s="208"/>
      <c r="I763" s="342"/>
      <c r="K763" s="311"/>
      <c r="L763" s="343"/>
      <c r="M763" s="344"/>
      <c r="N763" s="345"/>
      <c r="O763" s="311"/>
      <c r="P763" s="311"/>
      <c r="Q763" s="311"/>
      <c r="R763" s="346"/>
      <c r="S763" s="347"/>
      <c r="T763" s="348"/>
      <c r="U763" s="10"/>
      <c r="V763" s="349"/>
      <c r="W763" s="350"/>
      <c r="X763" s="9"/>
      <c r="Y763" s="10"/>
      <c r="Z763" s="6"/>
      <c r="AC763" s="11"/>
    </row>
    <row r="764" spans="1:29" ht="13.5" customHeight="1">
      <c r="A764" s="309"/>
      <c r="B764" s="340"/>
      <c r="C764" s="340"/>
      <c r="D764" s="340"/>
      <c r="E764" s="341"/>
      <c r="F764" s="8"/>
      <c r="G764" s="8"/>
      <c r="H764" s="208"/>
      <c r="I764" s="342"/>
      <c r="K764" s="311"/>
      <c r="L764" s="343"/>
      <c r="M764" s="344"/>
      <c r="N764" s="345"/>
      <c r="O764" s="311"/>
      <c r="P764" s="311"/>
      <c r="Q764" s="311"/>
      <c r="R764" s="346"/>
      <c r="S764" s="347"/>
      <c r="T764" s="348"/>
      <c r="U764" s="10"/>
      <c r="V764" s="349"/>
      <c r="W764" s="350"/>
      <c r="X764" s="9"/>
      <c r="Y764" s="10"/>
      <c r="Z764" s="6"/>
      <c r="AC764" s="11"/>
    </row>
    <row r="765" spans="1:29" ht="13.5" customHeight="1">
      <c r="A765" s="309"/>
      <c r="B765" s="340"/>
      <c r="C765" s="340"/>
      <c r="D765" s="340"/>
      <c r="E765" s="341"/>
      <c r="F765" s="8"/>
      <c r="G765" s="8"/>
      <c r="H765" s="208"/>
      <c r="I765" s="342"/>
      <c r="K765" s="311"/>
      <c r="L765" s="343"/>
      <c r="M765" s="344"/>
      <c r="N765" s="345"/>
      <c r="O765" s="311"/>
      <c r="P765" s="311"/>
      <c r="Q765" s="311"/>
      <c r="R765" s="346"/>
      <c r="S765" s="347"/>
      <c r="T765" s="348"/>
      <c r="U765" s="10"/>
      <c r="V765" s="349"/>
      <c r="W765" s="350"/>
      <c r="X765" s="9"/>
      <c r="Y765" s="10"/>
      <c r="Z765" s="6"/>
      <c r="AC765" s="11"/>
    </row>
    <row r="766" spans="1:29" ht="13.5" customHeight="1">
      <c r="A766" s="309"/>
      <c r="B766" s="340"/>
      <c r="C766" s="340"/>
      <c r="D766" s="340"/>
      <c r="E766" s="341"/>
      <c r="F766" s="8"/>
      <c r="G766" s="8"/>
      <c r="H766" s="208"/>
      <c r="I766" s="342"/>
      <c r="K766" s="311"/>
      <c r="L766" s="343"/>
      <c r="M766" s="344"/>
      <c r="N766" s="345"/>
      <c r="O766" s="311"/>
      <c r="P766" s="311"/>
      <c r="Q766" s="311"/>
      <c r="R766" s="346"/>
      <c r="S766" s="347"/>
      <c r="T766" s="348"/>
      <c r="U766" s="10"/>
      <c r="V766" s="349"/>
      <c r="W766" s="350"/>
      <c r="X766" s="9"/>
      <c r="Y766" s="10"/>
      <c r="Z766" s="6"/>
      <c r="AC766" s="11"/>
    </row>
    <row r="767" spans="1:29" ht="13.5" customHeight="1">
      <c r="A767" s="309"/>
      <c r="B767" s="340"/>
      <c r="C767" s="340"/>
      <c r="D767" s="340"/>
      <c r="E767" s="341"/>
      <c r="F767" s="8"/>
      <c r="G767" s="8"/>
      <c r="H767" s="208"/>
      <c r="I767" s="342"/>
      <c r="K767" s="311"/>
      <c r="L767" s="343"/>
      <c r="M767" s="344"/>
      <c r="N767" s="345"/>
      <c r="O767" s="311"/>
      <c r="P767" s="311"/>
      <c r="Q767" s="311"/>
      <c r="R767" s="346"/>
      <c r="S767" s="347"/>
      <c r="T767" s="348"/>
      <c r="U767" s="10"/>
      <c r="V767" s="349"/>
      <c r="W767" s="350"/>
      <c r="X767" s="9"/>
      <c r="Y767" s="10"/>
      <c r="Z767" s="6"/>
      <c r="AC767" s="11"/>
    </row>
    <row r="768" spans="1:29" ht="13.5" customHeight="1">
      <c r="A768" s="309"/>
      <c r="B768" s="340"/>
      <c r="C768" s="340"/>
      <c r="D768" s="340"/>
      <c r="E768" s="341"/>
      <c r="F768" s="8"/>
      <c r="G768" s="8"/>
      <c r="H768" s="208"/>
      <c r="I768" s="342"/>
      <c r="K768" s="311"/>
      <c r="L768" s="343"/>
      <c r="M768" s="344"/>
      <c r="N768" s="345"/>
      <c r="O768" s="311"/>
      <c r="P768" s="311"/>
      <c r="Q768" s="311"/>
      <c r="R768" s="346"/>
      <c r="S768" s="347"/>
      <c r="T768" s="348"/>
      <c r="U768" s="10"/>
      <c r="V768" s="349"/>
      <c r="W768" s="350"/>
      <c r="X768" s="9"/>
      <c r="Y768" s="10"/>
      <c r="Z768" s="6"/>
      <c r="AC768" s="11"/>
    </row>
    <row r="769" spans="1:29" ht="13.5" customHeight="1">
      <c r="A769" s="309"/>
      <c r="B769" s="340"/>
      <c r="C769" s="340"/>
      <c r="D769" s="340"/>
      <c r="E769" s="341"/>
      <c r="F769" s="8"/>
      <c r="G769" s="8"/>
      <c r="H769" s="208"/>
      <c r="I769" s="342"/>
      <c r="K769" s="311"/>
      <c r="L769" s="343"/>
      <c r="M769" s="344"/>
      <c r="N769" s="345"/>
      <c r="O769" s="311"/>
      <c r="P769" s="311"/>
      <c r="Q769" s="311"/>
      <c r="R769" s="346"/>
      <c r="S769" s="347"/>
      <c r="T769" s="348"/>
      <c r="U769" s="10"/>
      <c r="V769" s="349"/>
      <c r="W769" s="350"/>
      <c r="X769" s="9"/>
      <c r="Y769" s="10"/>
      <c r="Z769" s="6"/>
      <c r="AC769" s="11"/>
    </row>
    <row r="770" spans="1:29" ht="13.5" customHeight="1">
      <c r="A770" s="309"/>
      <c r="B770" s="340"/>
      <c r="C770" s="340"/>
      <c r="D770" s="340"/>
      <c r="E770" s="341"/>
      <c r="F770" s="8"/>
      <c r="G770" s="8"/>
      <c r="H770" s="208"/>
      <c r="I770" s="342"/>
      <c r="K770" s="311"/>
      <c r="L770" s="343"/>
      <c r="M770" s="344"/>
      <c r="N770" s="345"/>
      <c r="O770" s="311"/>
      <c r="P770" s="311"/>
      <c r="Q770" s="311"/>
      <c r="R770" s="346"/>
      <c r="S770" s="347"/>
      <c r="T770" s="348"/>
      <c r="U770" s="10"/>
      <c r="V770" s="349"/>
      <c r="W770" s="350"/>
      <c r="X770" s="9"/>
      <c r="Y770" s="10"/>
      <c r="Z770" s="6"/>
      <c r="AC770" s="11"/>
    </row>
    <row r="771" spans="1:29" ht="13.5" customHeight="1">
      <c r="A771" s="309"/>
      <c r="B771" s="340"/>
      <c r="C771" s="340"/>
      <c r="D771" s="340"/>
      <c r="E771" s="341"/>
      <c r="F771" s="8"/>
      <c r="G771" s="8"/>
      <c r="H771" s="208"/>
      <c r="I771" s="342"/>
      <c r="K771" s="311"/>
      <c r="L771" s="343"/>
      <c r="M771" s="344"/>
      <c r="N771" s="345"/>
      <c r="O771" s="311"/>
      <c r="P771" s="311"/>
      <c r="Q771" s="311"/>
      <c r="R771" s="346"/>
      <c r="S771" s="347"/>
      <c r="T771" s="348"/>
      <c r="U771" s="10"/>
      <c r="V771" s="349"/>
      <c r="W771" s="350"/>
      <c r="X771" s="9"/>
      <c r="Y771" s="10"/>
      <c r="Z771" s="6"/>
      <c r="AC771" s="11"/>
    </row>
    <row r="772" spans="1:29" ht="13.5" customHeight="1">
      <c r="A772" s="309"/>
      <c r="B772" s="340"/>
      <c r="C772" s="340"/>
      <c r="D772" s="340"/>
      <c r="E772" s="341"/>
      <c r="F772" s="8"/>
      <c r="G772" s="8"/>
      <c r="H772" s="208"/>
      <c r="I772" s="342"/>
      <c r="K772" s="311"/>
      <c r="L772" s="343"/>
      <c r="M772" s="344"/>
      <c r="N772" s="345"/>
      <c r="O772" s="311"/>
      <c r="P772" s="311"/>
      <c r="Q772" s="311"/>
      <c r="R772" s="346"/>
      <c r="S772" s="347"/>
      <c r="T772" s="348"/>
      <c r="U772" s="10"/>
      <c r="V772" s="349"/>
      <c r="W772" s="350"/>
      <c r="X772" s="9"/>
      <c r="Y772" s="10"/>
      <c r="Z772" s="6"/>
      <c r="AC772" s="11"/>
    </row>
    <row r="773" spans="1:29" ht="13.5" customHeight="1">
      <c r="A773" s="309"/>
      <c r="B773" s="340"/>
      <c r="C773" s="340"/>
      <c r="D773" s="340"/>
      <c r="E773" s="341"/>
      <c r="F773" s="8"/>
      <c r="G773" s="8"/>
      <c r="H773" s="208"/>
      <c r="I773" s="342"/>
      <c r="K773" s="311"/>
      <c r="L773" s="343"/>
      <c r="M773" s="344"/>
      <c r="N773" s="345"/>
      <c r="O773" s="311"/>
      <c r="P773" s="311"/>
      <c r="Q773" s="311"/>
      <c r="R773" s="346"/>
      <c r="S773" s="347"/>
      <c r="T773" s="348"/>
      <c r="U773" s="10"/>
      <c r="V773" s="349"/>
      <c r="W773" s="350"/>
      <c r="X773" s="9"/>
      <c r="Y773" s="10"/>
      <c r="Z773" s="6"/>
      <c r="AC773" s="11"/>
    </row>
    <row r="774" spans="1:29" ht="13.5" customHeight="1">
      <c r="A774" s="309"/>
      <c r="B774" s="340"/>
      <c r="C774" s="340"/>
      <c r="D774" s="340"/>
      <c r="E774" s="341"/>
      <c r="F774" s="8"/>
      <c r="G774" s="8"/>
      <c r="H774" s="208"/>
      <c r="I774" s="342"/>
      <c r="K774" s="311"/>
      <c r="L774" s="343"/>
      <c r="M774" s="344"/>
      <c r="N774" s="345"/>
      <c r="O774" s="311"/>
      <c r="P774" s="311"/>
      <c r="Q774" s="311"/>
      <c r="R774" s="346"/>
      <c r="S774" s="347"/>
      <c r="T774" s="348"/>
      <c r="U774" s="10"/>
      <c r="V774" s="349"/>
      <c r="W774" s="350"/>
      <c r="X774" s="9"/>
      <c r="Y774" s="10"/>
      <c r="Z774" s="6"/>
      <c r="AC774" s="11"/>
    </row>
    <row r="775" spans="1:29" ht="13.5" customHeight="1">
      <c r="A775" s="309"/>
      <c r="B775" s="340"/>
      <c r="C775" s="340"/>
      <c r="D775" s="340"/>
      <c r="E775" s="341"/>
      <c r="F775" s="8"/>
      <c r="G775" s="8"/>
      <c r="H775" s="208"/>
      <c r="I775" s="342"/>
      <c r="K775" s="311"/>
      <c r="L775" s="343"/>
      <c r="M775" s="344"/>
      <c r="N775" s="345"/>
      <c r="O775" s="311"/>
      <c r="P775" s="311"/>
      <c r="Q775" s="311"/>
      <c r="R775" s="346"/>
      <c r="S775" s="347"/>
      <c r="T775" s="348"/>
      <c r="U775" s="10"/>
      <c r="V775" s="349"/>
      <c r="W775" s="350"/>
      <c r="X775" s="9"/>
      <c r="Y775" s="10"/>
      <c r="Z775" s="6"/>
      <c r="AC775" s="11"/>
    </row>
    <row r="776" spans="1:29" ht="13.5" customHeight="1">
      <c r="A776" s="309"/>
      <c r="B776" s="340"/>
      <c r="C776" s="340"/>
      <c r="D776" s="340"/>
      <c r="E776" s="341"/>
      <c r="F776" s="8"/>
      <c r="G776" s="8"/>
      <c r="H776" s="208"/>
      <c r="I776" s="342"/>
      <c r="K776" s="311"/>
      <c r="L776" s="343"/>
      <c r="M776" s="344"/>
      <c r="N776" s="345"/>
      <c r="O776" s="311"/>
      <c r="P776" s="311"/>
      <c r="Q776" s="311"/>
      <c r="R776" s="346"/>
      <c r="S776" s="347"/>
      <c r="T776" s="348"/>
      <c r="U776" s="10"/>
      <c r="V776" s="349"/>
      <c r="W776" s="350"/>
      <c r="X776" s="9"/>
      <c r="Y776" s="10"/>
      <c r="Z776" s="6"/>
      <c r="AC776" s="11"/>
    </row>
    <row r="777" spans="1:29" ht="13.5" customHeight="1">
      <c r="A777" s="309"/>
      <c r="B777" s="340"/>
      <c r="C777" s="340"/>
      <c r="D777" s="340"/>
      <c r="E777" s="341"/>
      <c r="F777" s="8"/>
      <c r="G777" s="8"/>
      <c r="H777" s="208"/>
      <c r="I777" s="342"/>
      <c r="K777" s="311"/>
      <c r="L777" s="343"/>
      <c r="M777" s="344"/>
      <c r="N777" s="345"/>
      <c r="O777" s="311"/>
      <c r="P777" s="311"/>
      <c r="Q777" s="311"/>
      <c r="R777" s="346"/>
      <c r="S777" s="347"/>
      <c r="T777" s="348"/>
      <c r="U777" s="10"/>
      <c r="V777" s="349"/>
      <c r="W777" s="350"/>
      <c r="X777" s="9"/>
      <c r="Y777" s="10"/>
      <c r="Z777" s="6"/>
      <c r="AC777" s="11"/>
    </row>
    <row r="778" spans="1:29" ht="13.5" customHeight="1">
      <c r="A778" s="309"/>
      <c r="B778" s="340"/>
      <c r="C778" s="340"/>
      <c r="D778" s="340"/>
      <c r="E778" s="341"/>
      <c r="F778" s="8"/>
      <c r="G778" s="8"/>
      <c r="H778" s="208"/>
      <c r="I778" s="342"/>
      <c r="K778" s="311"/>
      <c r="L778" s="343"/>
      <c r="M778" s="344"/>
      <c r="N778" s="345"/>
      <c r="O778" s="311"/>
      <c r="P778" s="311"/>
      <c r="Q778" s="311"/>
      <c r="R778" s="346"/>
      <c r="S778" s="347"/>
      <c r="T778" s="348"/>
      <c r="U778" s="10"/>
      <c r="V778" s="349"/>
      <c r="W778" s="350"/>
      <c r="X778" s="9"/>
      <c r="Y778" s="10"/>
      <c r="Z778" s="6"/>
      <c r="AC778" s="11"/>
    </row>
    <row r="779" spans="1:29" ht="13.5" customHeight="1">
      <c r="A779" s="309"/>
      <c r="B779" s="340"/>
      <c r="C779" s="340"/>
      <c r="D779" s="340"/>
      <c r="E779" s="341"/>
      <c r="F779" s="8"/>
      <c r="G779" s="8"/>
      <c r="H779" s="208"/>
      <c r="I779" s="342"/>
      <c r="K779" s="311"/>
      <c r="L779" s="343"/>
      <c r="M779" s="344"/>
      <c r="N779" s="345"/>
      <c r="O779" s="311"/>
      <c r="P779" s="311"/>
      <c r="Q779" s="311"/>
      <c r="R779" s="346"/>
      <c r="S779" s="347"/>
      <c r="T779" s="348"/>
      <c r="U779" s="10"/>
      <c r="V779" s="349"/>
      <c r="W779" s="350"/>
      <c r="X779" s="9"/>
      <c r="Y779" s="10"/>
      <c r="Z779" s="6"/>
      <c r="AC779" s="11"/>
    </row>
    <row r="780" spans="1:29" ht="13.5" customHeight="1">
      <c r="A780" s="309"/>
      <c r="B780" s="340"/>
      <c r="C780" s="340"/>
      <c r="D780" s="340"/>
      <c r="E780" s="341"/>
      <c r="F780" s="8"/>
      <c r="G780" s="8"/>
      <c r="H780" s="208"/>
      <c r="I780" s="342"/>
      <c r="K780" s="311"/>
      <c r="L780" s="343"/>
      <c r="M780" s="344"/>
      <c r="N780" s="345"/>
      <c r="O780" s="311"/>
      <c r="P780" s="311"/>
      <c r="Q780" s="311"/>
      <c r="R780" s="346"/>
      <c r="S780" s="347"/>
      <c r="T780" s="348"/>
      <c r="U780" s="10"/>
      <c r="V780" s="349"/>
      <c r="W780" s="350"/>
      <c r="X780" s="9"/>
      <c r="Y780" s="10"/>
      <c r="Z780" s="6"/>
      <c r="AC780" s="11"/>
    </row>
    <row r="781" spans="1:29" ht="13.5" customHeight="1">
      <c r="A781" s="309"/>
      <c r="B781" s="340"/>
      <c r="C781" s="340"/>
      <c r="D781" s="340"/>
      <c r="E781" s="341"/>
      <c r="F781" s="8"/>
      <c r="G781" s="8"/>
      <c r="H781" s="208"/>
      <c r="I781" s="342"/>
      <c r="K781" s="311"/>
      <c r="L781" s="343"/>
      <c r="M781" s="344"/>
      <c r="N781" s="345"/>
      <c r="O781" s="311"/>
      <c r="P781" s="311"/>
      <c r="Q781" s="311"/>
      <c r="R781" s="346"/>
      <c r="S781" s="347"/>
      <c r="T781" s="348"/>
      <c r="U781" s="10"/>
      <c r="V781" s="349"/>
      <c r="W781" s="350"/>
      <c r="X781" s="9"/>
      <c r="Y781" s="10"/>
      <c r="Z781" s="6"/>
      <c r="AC781" s="11"/>
    </row>
    <row r="782" spans="1:29" ht="13.5" customHeight="1">
      <c r="A782" s="309"/>
      <c r="B782" s="340"/>
      <c r="C782" s="340"/>
      <c r="D782" s="340"/>
      <c r="E782" s="341"/>
      <c r="F782" s="8"/>
      <c r="G782" s="8"/>
      <c r="H782" s="208"/>
      <c r="I782" s="342"/>
      <c r="K782" s="311"/>
      <c r="L782" s="343"/>
      <c r="M782" s="344"/>
      <c r="N782" s="345"/>
      <c r="O782" s="311"/>
      <c r="P782" s="311"/>
      <c r="Q782" s="311"/>
      <c r="R782" s="346"/>
      <c r="S782" s="347"/>
      <c r="T782" s="348"/>
      <c r="U782" s="10"/>
      <c r="V782" s="349"/>
      <c r="W782" s="350"/>
      <c r="X782" s="9"/>
      <c r="Y782" s="10"/>
      <c r="Z782" s="6"/>
      <c r="AC782" s="11"/>
    </row>
    <row r="783" spans="1:29" ht="13.5" customHeight="1">
      <c r="A783" s="309"/>
      <c r="B783" s="340"/>
      <c r="C783" s="340"/>
      <c r="D783" s="340"/>
      <c r="E783" s="341"/>
      <c r="F783" s="8"/>
      <c r="G783" s="8"/>
      <c r="H783" s="208"/>
      <c r="I783" s="342"/>
      <c r="K783" s="311"/>
      <c r="L783" s="343"/>
      <c r="M783" s="344"/>
      <c r="N783" s="345"/>
      <c r="O783" s="311"/>
      <c r="P783" s="311"/>
      <c r="Q783" s="311"/>
      <c r="R783" s="346"/>
      <c r="S783" s="347"/>
      <c r="T783" s="348"/>
      <c r="U783" s="10"/>
      <c r="V783" s="349"/>
      <c r="W783" s="350"/>
      <c r="X783" s="9"/>
      <c r="Y783" s="10"/>
      <c r="Z783" s="6"/>
      <c r="AC783" s="11"/>
    </row>
    <row r="784" spans="1:29" ht="13.5" customHeight="1">
      <c r="A784" s="309"/>
      <c r="B784" s="340"/>
      <c r="C784" s="340"/>
      <c r="D784" s="340"/>
      <c r="E784" s="341"/>
      <c r="F784" s="8"/>
      <c r="G784" s="8"/>
      <c r="H784" s="208"/>
      <c r="I784" s="342"/>
      <c r="K784" s="311"/>
      <c r="L784" s="343"/>
      <c r="M784" s="344"/>
      <c r="N784" s="345"/>
      <c r="O784" s="311"/>
      <c r="P784" s="311"/>
      <c r="Q784" s="311"/>
      <c r="R784" s="346"/>
      <c r="S784" s="347"/>
      <c r="T784" s="348"/>
      <c r="U784" s="10"/>
      <c r="V784" s="349"/>
      <c r="W784" s="350"/>
      <c r="X784" s="9"/>
      <c r="Y784" s="10"/>
      <c r="Z784" s="6"/>
      <c r="AC784" s="11"/>
    </row>
    <row r="785" spans="1:29" ht="13.5" customHeight="1">
      <c r="A785" s="309"/>
      <c r="B785" s="340"/>
      <c r="C785" s="340"/>
      <c r="D785" s="340"/>
      <c r="E785" s="341"/>
      <c r="F785" s="8"/>
      <c r="G785" s="8"/>
      <c r="H785" s="208"/>
      <c r="I785" s="342"/>
      <c r="K785" s="311"/>
      <c r="L785" s="343"/>
      <c r="M785" s="344"/>
      <c r="N785" s="345"/>
      <c r="O785" s="311"/>
      <c r="P785" s="311"/>
      <c r="Q785" s="311"/>
      <c r="R785" s="346"/>
      <c r="S785" s="347"/>
      <c r="T785" s="348"/>
      <c r="U785" s="10"/>
      <c r="V785" s="349"/>
      <c r="W785" s="350"/>
      <c r="X785" s="9"/>
      <c r="Y785" s="10"/>
      <c r="Z785" s="6"/>
      <c r="AC785" s="11"/>
    </row>
    <row r="786" spans="1:29" ht="13.5" customHeight="1">
      <c r="A786" s="309"/>
      <c r="B786" s="340"/>
      <c r="C786" s="340"/>
      <c r="D786" s="340"/>
      <c r="E786" s="341"/>
      <c r="F786" s="8"/>
      <c r="G786" s="8"/>
      <c r="H786" s="208"/>
      <c r="I786" s="342"/>
      <c r="K786" s="311"/>
      <c r="L786" s="343"/>
      <c r="M786" s="344"/>
      <c r="N786" s="345"/>
      <c r="O786" s="311"/>
      <c r="P786" s="311"/>
      <c r="Q786" s="311"/>
      <c r="R786" s="346"/>
      <c r="S786" s="347"/>
      <c r="T786" s="348"/>
      <c r="U786" s="10"/>
      <c r="V786" s="349"/>
      <c r="W786" s="350"/>
      <c r="X786" s="9"/>
      <c r="Y786" s="10"/>
      <c r="Z786" s="6"/>
      <c r="AC786" s="11"/>
    </row>
    <row r="787" spans="1:29" ht="13.5" customHeight="1">
      <c r="A787" s="309"/>
      <c r="B787" s="340"/>
      <c r="C787" s="340"/>
      <c r="D787" s="340"/>
      <c r="E787" s="341"/>
      <c r="F787" s="8"/>
      <c r="G787" s="8"/>
      <c r="H787" s="208"/>
      <c r="I787" s="342"/>
      <c r="K787" s="311"/>
      <c r="L787" s="343"/>
      <c r="M787" s="344"/>
      <c r="N787" s="345"/>
      <c r="O787" s="311"/>
      <c r="P787" s="311"/>
      <c r="Q787" s="311"/>
      <c r="R787" s="346"/>
      <c r="S787" s="347"/>
      <c r="T787" s="348"/>
      <c r="U787" s="10"/>
      <c r="V787" s="349"/>
      <c r="W787" s="350"/>
      <c r="X787" s="9"/>
      <c r="Y787" s="10"/>
      <c r="Z787" s="6"/>
      <c r="AC787" s="11"/>
    </row>
    <row r="788" spans="1:29" ht="13.5" customHeight="1">
      <c r="A788" s="309"/>
      <c r="B788" s="340"/>
      <c r="C788" s="340"/>
      <c r="D788" s="340"/>
      <c r="E788" s="341"/>
      <c r="F788" s="8"/>
      <c r="G788" s="8"/>
      <c r="H788" s="208"/>
      <c r="I788" s="342"/>
      <c r="K788" s="311"/>
      <c r="L788" s="343"/>
      <c r="M788" s="344"/>
      <c r="N788" s="345"/>
      <c r="O788" s="311"/>
      <c r="P788" s="311"/>
      <c r="Q788" s="311"/>
      <c r="R788" s="346"/>
      <c r="S788" s="347"/>
      <c r="T788" s="348"/>
      <c r="U788" s="10"/>
      <c r="V788" s="349"/>
      <c r="W788" s="350"/>
      <c r="X788" s="9"/>
      <c r="Y788" s="10"/>
      <c r="Z788" s="6"/>
      <c r="AC788" s="11"/>
    </row>
    <row r="789" spans="1:29" ht="13.5" customHeight="1">
      <c r="A789" s="309"/>
      <c r="B789" s="340"/>
      <c r="C789" s="340"/>
      <c r="D789" s="340"/>
      <c r="E789" s="341"/>
      <c r="F789" s="8"/>
      <c r="G789" s="8"/>
      <c r="H789" s="208"/>
      <c r="I789" s="342"/>
      <c r="K789" s="311"/>
      <c r="L789" s="343"/>
      <c r="M789" s="344"/>
      <c r="N789" s="345"/>
      <c r="O789" s="311"/>
      <c r="P789" s="311"/>
      <c r="Q789" s="311"/>
      <c r="R789" s="346"/>
      <c r="S789" s="347"/>
      <c r="T789" s="348"/>
      <c r="U789" s="10"/>
      <c r="V789" s="349"/>
      <c r="W789" s="350"/>
      <c r="X789" s="9"/>
      <c r="Y789" s="10"/>
      <c r="Z789" s="6"/>
      <c r="AC789" s="11"/>
    </row>
    <row r="790" spans="1:29" ht="13.5" customHeight="1">
      <c r="A790" s="309"/>
      <c r="B790" s="340"/>
      <c r="C790" s="340"/>
      <c r="D790" s="340"/>
      <c r="E790" s="341"/>
      <c r="F790" s="8"/>
      <c r="G790" s="8"/>
      <c r="H790" s="208"/>
      <c r="I790" s="342"/>
      <c r="K790" s="311"/>
      <c r="L790" s="343"/>
      <c r="M790" s="344"/>
      <c r="N790" s="345"/>
      <c r="O790" s="311"/>
      <c r="P790" s="311"/>
      <c r="Q790" s="311"/>
      <c r="R790" s="346"/>
      <c r="S790" s="347"/>
      <c r="T790" s="348"/>
      <c r="U790" s="10"/>
      <c r="V790" s="349"/>
      <c r="W790" s="350"/>
      <c r="X790" s="9"/>
      <c r="Y790" s="10"/>
      <c r="Z790" s="6"/>
      <c r="AC790" s="11"/>
    </row>
    <row r="791" spans="1:29" ht="13.5" customHeight="1">
      <c r="A791" s="309"/>
      <c r="B791" s="340"/>
      <c r="C791" s="340"/>
      <c r="D791" s="340"/>
      <c r="E791" s="341"/>
      <c r="F791" s="8"/>
      <c r="G791" s="8"/>
      <c r="H791" s="208"/>
      <c r="I791" s="342"/>
      <c r="K791" s="311"/>
      <c r="L791" s="343"/>
      <c r="M791" s="344"/>
      <c r="N791" s="345"/>
      <c r="O791" s="311"/>
      <c r="P791" s="311"/>
      <c r="Q791" s="311"/>
      <c r="R791" s="346"/>
      <c r="S791" s="347"/>
      <c r="T791" s="348"/>
      <c r="U791" s="10"/>
      <c r="V791" s="349"/>
      <c r="W791" s="350"/>
      <c r="X791" s="9"/>
      <c r="Y791" s="10"/>
      <c r="Z791" s="6"/>
      <c r="AC791" s="11"/>
    </row>
    <row r="792" spans="1:29" ht="13.5" customHeight="1">
      <c r="A792" s="309"/>
      <c r="B792" s="340"/>
      <c r="C792" s="340"/>
      <c r="D792" s="340"/>
      <c r="E792" s="341"/>
      <c r="F792" s="8"/>
      <c r="G792" s="8"/>
      <c r="H792" s="208"/>
      <c r="I792" s="342"/>
      <c r="K792" s="311"/>
      <c r="L792" s="343"/>
      <c r="M792" s="344"/>
      <c r="N792" s="345"/>
      <c r="O792" s="311"/>
      <c r="P792" s="311"/>
      <c r="Q792" s="311"/>
      <c r="R792" s="346"/>
      <c r="S792" s="347"/>
      <c r="T792" s="348"/>
      <c r="U792" s="10"/>
      <c r="V792" s="349"/>
      <c r="W792" s="350"/>
      <c r="X792" s="9"/>
      <c r="Y792" s="10"/>
      <c r="Z792" s="6"/>
      <c r="AC792" s="11"/>
    </row>
    <row r="793" spans="1:29" ht="13.5" customHeight="1">
      <c r="A793" s="309"/>
      <c r="B793" s="340"/>
      <c r="C793" s="340"/>
      <c r="D793" s="340"/>
      <c r="E793" s="341"/>
      <c r="F793" s="8"/>
      <c r="G793" s="8"/>
      <c r="H793" s="208"/>
      <c r="I793" s="342"/>
      <c r="K793" s="311"/>
      <c r="L793" s="343"/>
      <c r="M793" s="344"/>
      <c r="N793" s="345"/>
      <c r="O793" s="311"/>
      <c r="P793" s="311"/>
      <c r="Q793" s="311"/>
      <c r="R793" s="346"/>
      <c r="S793" s="347"/>
      <c r="T793" s="348"/>
      <c r="U793" s="10"/>
      <c r="V793" s="349"/>
      <c r="W793" s="350"/>
      <c r="X793" s="9"/>
      <c r="Y793" s="10"/>
      <c r="Z793" s="6"/>
      <c r="AC793" s="11"/>
    </row>
    <row r="794" spans="1:29" ht="13.5" customHeight="1">
      <c r="A794" s="309"/>
      <c r="B794" s="340"/>
      <c r="C794" s="340"/>
      <c r="D794" s="340"/>
      <c r="E794" s="341"/>
      <c r="F794" s="8"/>
      <c r="G794" s="8"/>
      <c r="H794" s="208"/>
      <c r="I794" s="342"/>
      <c r="K794" s="311"/>
      <c r="L794" s="343"/>
      <c r="M794" s="344"/>
      <c r="N794" s="345"/>
      <c r="O794" s="311"/>
      <c r="P794" s="311"/>
      <c r="Q794" s="311"/>
      <c r="R794" s="346"/>
      <c r="S794" s="347"/>
      <c r="T794" s="348"/>
      <c r="U794" s="10"/>
      <c r="V794" s="349"/>
      <c r="W794" s="350"/>
      <c r="X794" s="9"/>
      <c r="Y794" s="10"/>
      <c r="Z794" s="6"/>
      <c r="AC794" s="11"/>
    </row>
    <row r="795" spans="1:29" ht="13.5" customHeight="1">
      <c r="A795" s="309"/>
      <c r="B795" s="340"/>
      <c r="C795" s="340"/>
      <c r="D795" s="340"/>
      <c r="E795" s="341"/>
      <c r="F795" s="8"/>
      <c r="G795" s="8"/>
      <c r="H795" s="208"/>
      <c r="I795" s="342"/>
      <c r="K795" s="311"/>
      <c r="L795" s="343"/>
      <c r="M795" s="344"/>
      <c r="N795" s="345"/>
      <c r="O795" s="311"/>
      <c r="P795" s="311"/>
      <c r="Q795" s="311"/>
      <c r="R795" s="346"/>
      <c r="S795" s="347"/>
      <c r="T795" s="348"/>
      <c r="U795" s="10"/>
      <c r="V795" s="349"/>
      <c r="W795" s="350"/>
      <c r="X795" s="9"/>
      <c r="Y795" s="10"/>
      <c r="Z795" s="6"/>
      <c r="AC795" s="11"/>
    </row>
    <row r="796" spans="1:29" ht="13.5" customHeight="1">
      <c r="A796" s="309"/>
      <c r="B796" s="340"/>
      <c r="C796" s="340"/>
      <c r="D796" s="340"/>
      <c r="E796" s="341"/>
      <c r="F796" s="8"/>
      <c r="G796" s="8"/>
      <c r="H796" s="208"/>
      <c r="I796" s="342"/>
      <c r="K796" s="311"/>
      <c r="L796" s="343"/>
      <c r="M796" s="344"/>
      <c r="N796" s="345"/>
      <c r="O796" s="311"/>
      <c r="P796" s="311"/>
      <c r="Q796" s="311"/>
      <c r="R796" s="346"/>
      <c r="S796" s="347"/>
      <c r="T796" s="348"/>
      <c r="U796" s="10"/>
      <c r="V796" s="349"/>
      <c r="W796" s="350"/>
      <c r="X796" s="9"/>
      <c r="Y796" s="10"/>
      <c r="Z796" s="6"/>
      <c r="AC796" s="11"/>
    </row>
    <row r="797" spans="1:29" ht="13.5" customHeight="1">
      <c r="A797" s="309"/>
      <c r="B797" s="340"/>
      <c r="C797" s="340"/>
      <c r="D797" s="340"/>
      <c r="E797" s="341"/>
      <c r="F797" s="8"/>
      <c r="G797" s="8"/>
      <c r="H797" s="208"/>
      <c r="I797" s="342"/>
      <c r="K797" s="311"/>
      <c r="L797" s="343"/>
      <c r="M797" s="344"/>
      <c r="N797" s="345"/>
      <c r="O797" s="311"/>
      <c r="P797" s="311"/>
      <c r="Q797" s="311"/>
      <c r="R797" s="346"/>
      <c r="S797" s="347"/>
      <c r="T797" s="348"/>
      <c r="U797" s="10"/>
      <c r="V797" s="349"/>
      <c r="W797" s="350"/>
      <c r="X797" s="9"/>
      <c r="Y797" s="10"/>
      <c r="Z797" s="6"/>
      <c r="AC797" s="11"/>
    </row>
    <row r="798" spans="1:29" ht="13.5" customHeight="1">
      <c r="A798" s="309"/>
      <c r="B798" s="340"/>
      <c r="C798" s="340"/>
      <c r="D798" s="340"/>
      <c r="E798" s="341"/>
      <c r="F798" s="8"/>
      <c r="G798" s="8"/>
      <c r="H798" s="208"/>
      <c r="I798" s="342"/>
      <c r="K798" s="311"/>
      <c r="L798" s="343"/>
      <c r="M798" s="344"/>
      <c r="N798" s="345"/>
      <c r="O798" s="311"/>
      <c r="P798" s="311"/>
      <c r="Q798" s="311"/>
      <c r="R798" s="346"/>
      <c r="S798" s="347"/>
      <c r="T798" s="348"/>
      <c r="U798" s="10"/>
      <c r="V798" s="349"/>
      <c r="W798" s="350"/>
      <c r="X798" s="9"/>
      <c r="Y798" s="10"/>
      <c r="Z798" s="6"/>
      <c r="AC798" s="11"/>
    </row>
    <row r="799" spans="1:29" ht="13.5" customHeight="1">
      <c r="A799" s="309"/>
      <c r="B799" s="340"/>
      <c r="C799" s="340"/>
      <c r="D799" s="340"/>
      <c r="E799" s="341"/>
      <c r="F799" s="8"/>
      <c r="G799" s="8"/>
      <c r="H799" s="208"/>
      <c r="I799" s="342"/>
      <c r="K799" s="311"/>
      <c r="L799" s="343"/>
      <c r="M799" s="344"/>
      <c r="N799" s="345"/>
      <c r="O799" s="311"/>
      <c r="P799" s="311"/>
      <c r="Q799" s="311"/>
      <c r="R799" s="346"/>
      <c r="S799" s="347"/>
      <c r="T799" s="348"/>
      <c r="U799" s="10"/>
      <c r="V799" s="349"/>
      <c r="W799" s="350"/>
      <c r="X799" s="9"/>
      <c r="Y799" s="10"/>
      <c r="Z799" s="6"/>
      <c r="AC799" s="11"/>
    </row>
    <row r="800" spans="1:29" ht="13.5" customHeight="1">
      <c r="A800" s="309"/>
      <c r="B800" s="340"/>
      <c r="C800" s="340"/>
      <c r="D800" s="340"/>
      <c r="E800" s="341"/>
      <c r="F800" s="8"/>
      <c r="G800" s="8"/>
      <c r="H800" s="208"/>
      <c r="I800" s="342"/>
      <c r="K800" s="311"/>
      <c r="L800" s="343"/>
      <c r="M800" s="344"/>
      <c r="N800" s="345"/>
      <c r="O800" s="311"/>
      <c r="P800" s="311"/>
      <c r="Q800" s="311"/>
      <c r="R800" s="346"/>
      <c r="S800" s="347"/>
      <c r="T800" s="348"/>
      <c r="U800" s="10"/>
      <c r="V800" s="349"/>
      <c r="W800" s="350"/>
      <c r="X800" s="9"/>
      <c r="Y800" s="10"/>
      <c r="Z800" s="6"/>
      <c r="AC800" s="11"/>
    </row>
    <row r="801" spans="1:29" ht="13.5" customHeight="1">
      <c r="A801" s="309"/>
      <c r="B801" s="340"/>
      <c r="C801" s="340"/>
      <c r="D801" s="340"/>
      <c r="E801" s="341"/>
      <c r="F801" s="8"/>
      <c r="G801" s="8"/>
      <c r="H801" s="208"/>
      <c r="I801" s="342"/>
      <c r="K801" s="311"/>
      <c r="L801" s="343"/>
      <c r="M801" s="344"/>
      <c r="N801" s="345"/>
      <c r="O801" s="311"/>
      <c r="P801" s="311"/>
      <c r="Q801" s="311"/>
      <c r="R801" s="346"/>
      <c r="S801" s="347"/>
      <c r="T801" s="348"/>
      <c r="U801" s="10"/>
      <c r="V801" s="349"/>
      <c r="W801" s="350"/>
      <c r="X801" s="9"/>
      <c r="Y801" s="10"/>
      <c r="Z801" s="6"/>
      <c r="AC801" s="11"/>
    </row>
    <row r="802" spans="1:29" ht="13.5" customHeight="1">
      <c r="A802" s="309"/>
      <c r="B802" s="340"/>
      <c r="C802" s="340"/>
      <c r="D802" s="340"/>
      <c r="E802" s="341"/>
      <c r="F802" s="8"/>
      <c r="G802" s="8"/>
      <c r="H802" s="208"/>
      <c r="I802" s="342"/>
      <c r="K802" s="311"/>
      <c r="L802" s="343"/>
      <c r="M802" s="344"/>
      <c r="N802" s="345"/>
      <c r="O802" s="311"/>
      <c r="P802" s="311"/>
      <c r="Q802" s="311"/>
      <c r="R802" s="346"/>
      <c r="S802" s="347"/>
      <c r="T802" s="348"/>
      <c r="U802" s="10"/>
      <c r="V802" s="349"/>
      <c r="W802" s="350"/>
      <c r="X802" s="9"/>
      <c r="Y802" s="10"/>
      <c r="Z802" s="6"/>
      <c r="AC802" s="11"/>
    </row>
    <row r="803" spans="1:29" ht="13.5" customHeight="1">
      <c r="A803" s="309"/>
      <c r="B803" s="340"/>
      <c r="C803" s="340"/>
      <c r="D803" s="340"/>
      <c r="E803" s="341"/>
      <c r="F803" s="8"/>
      <c r="G803" s="8"/>
      <c r="H803" s="208"/>
      <c r="I803" s="342"/>
      <c r="K803" s="311"/>
      <c r="L803" s="343"/>
      <c r="M803" s="344"/>
      <c r="N803" s="345"/>
      <c r="O803" s="311"/>
      <c r="P803" s="311"/>
      <c r="Q803" s="311"/>
      <c r="R803" s="346"/>
      <c r="S803" s="347"/>
      <c r="T803" s="348"/>
      <c r="U803" s="10"/>
      <c r="V803" s="349"/>
      <c r="W803" s="350"/>
      <c r="X803" s="9"/>
      <c r="Y803" s="10"/>
      <c r="Z803" s="6"/>
      <c r="AC803" s="11"/>
    </row>
    <row r="804" spans="1:29" ht="13.5" customHeight="1">
      <c r="A804" s="309"/>
      <c r="B804" s="340"/>
      <c r="C804" s="340"/>
      <c r="D804" s="340"/>
      <c r="E804" s="341"/>
      <c r="F804" s="8"/>
      <c r="G804" s="8"/>
      <c r="H804" s="208"/>
      <c r="I804" s="342"/>
      <c r="K804" s="311"/>
      <c r="L804" s="343"/>
      <c r="M804" s="344"/>
      <c r="N804" s="345"/>
      <c r="O804" s="311"/>
      <c r="P804" s="311"/>
      <c r="Q804" s="311"/>
      <c r="R804" s="346"/>
      <c r="S804" s="347"/>
      <c r="T804" s="348"/>
      <c r="U804" s="10"/>
      <c r="V804" s="349"/>
      <c r="W804" s="350"/>
      <c r="X804" s="9"/>
      <c r="Y804" s="10"/>
      <c r="Z804" s="6"/>
      <c r="AC804" s="11"/>
    </row>
    <row r="805" spans="1:29" ht="13.5" customHeight="1">
      <c r="A805" s="309"/>
      <c r="B805" s="340"/>
      <c r="C805" s="340"/>
      <c r="D805" s="340"/>
      <c r="E805" s="341"/>
      <c r="F805" s="8"/>
      <c r="G805" s="8"/>
      <c r="H805" s="208"/>
      <c r="I805" s="342"/>
      <c r="K805" s="311"/>
      <c r="L805" s="343"/>
      <c r="M805" s="344"/>
      <c r="N805" s="345"/>
      <c r="O805" s="311"/>
      <c r="P805" s="311"/>
      <c r="Q805" s="311"/>
      <c r="R805" s="346"/>
      <c r="S805" s="347"/>
      <c r="T805" s="348"/>
      <c r="U805" s="10"/>
      <c r="V805" s="349"/>
      <c r="W805" s="350"/>
      <c r="X805" s="9"/>
      <c r="Y805" s="10"/>
      <c r="Z805" s="6"/>
      <c r="AC805" s="11"/>
    </row>
    <row r="806" spans="1:29" ht="13.5" customHeight="1">
      <c r="A806" s="309"/>
      <c r="B806" s="340"/>
      <c r="C806" s="340"/>
      <c r="D806" s="340"/>
      <c r="E806" s="341"/>
      <c r="F806" s="8"/>
      <c r="G806" s="8"/>
      <c r="H806" s="208"/>
      <c r="I806" s="342"/>
      <c r="K806" s="311"/>
      <c r="L806" s="343"/>
      <c r="M806" s="344"/>
      <c r="N806" s="345"/>
      <c r="O806" s="311"/>
      <c r="P806" s="311"/>
      <c r="Q806" s="311"/>
      <c r="R806" s="346"/>
      <c r="S806" s="347"/>
      <c r="T806" s="348"/>
      <c r="U806" s="10"/>
      <c r="V806" s="349"/>
      <c r="W806" s="350"/>
      <c r="X806" s="9"/>
      <c r="Y806" s="10"/>
      <c r="Z806" s="6"/>
      <c r="AC806" s="11"/>
    </row>
    <row r="807" spans="1:29" ht="13.5" customHeight="1">
      <c r="A807" s="309"/>
      <c r="B807" s="340"/>
      <c r="C807" s="340"/>
      <c r="D807" s="340"/>
      <c r="E807" s="341"/>
      <c r="F807" s="8"/>
      <c r="G807" s="8"/>
      <c r="H807" s="208"/>
      <c r="I807" s="342"/>
      <c r="K807" s="311"/>
      <c r="L807" s="343"/>
      <c r="M807" s="344"/>
      <c r="N807" s="345"/>
      <c r="O807" s="311"/>
      <c r="P807" s="311"/>
      <c r="Q807" s="311"/>
      <c r="R807" s="346"/>
      <c r="S807" s="347"/>
      <c r="T807" s="348"/>
      <c r="U807" s="10"/>
      <c r="V807" s="349"/>
      <c r="W807" s="350"/>
      <c r="X807" s="9"/>
      <c r="Y807" s="10"/>
      <c r="Z807" s="6"/>
      <c r="AC807" s="11"/>
    </row>
    <row r="808" spans="1:29" ht="13.5" customHeight="1">
      <c r="A808" s="309"/>
      <c r="B808" s="340"/>
      <c r="C808" s="340"/>
      <c r="D808" s="340"/>
      <c r="E808" s="341"/>
      <c r="F808" s="8"/>
      <c r="G808" s="8"/>
      <c r="H808" s="208"/>
      <c r="I808" s="342"/>
      <c r="K808" s="311"/>
      <c r="L808" s="343"/>
      <c r="M808" s="344"/>
      <c r="N808" s="345"/>
      <c r="O808" s="311"/>
      <c r="P808" s="311"/>
      <c r="Q808" s="311"/>
      <c r="R808" s="346"/>
      <c r="S808" s="347"/>
      <c r="T808" s="348"/>
      <c r="U808" s="10"/>
      <c r="V808" s="349"/>
      <c r="W808" s="350"/>
      <c r="X808" s="9"/>
      <c r="Y808" s="10"/>
      <c r="Z808" s="6"/>
      <c r="AC808" s="11"/>
    </row>
    <row r="809" spans="1:29" ht="13.5" customHeight="1">
      <c r="A809" s="309"/>
      <c r="B809" s="340"/>
      <c r="C809" s="340"/>
      <c r="D809" s="340"/>
      <c r="E809" s="341"/>
      <c r="F809" s="8"/>
      <c r="G809" s="8"/>
      <c r="H809" s="208"/>
      <c r="I809" s="342"/>
      <c r="K809" s="311"/>
      <c r="L809" s="343"/>
      <c r="M809" s="344"/>
      <c r="N809" s="345"/>
      <c r="O809" s="311"/>
      <c r="P809" s="311"/>
      <c r="Q809" s="311"/>
      <c r="R809" s="346"/>
      <c r="S809" s="347"/>
      <c r="T809" s="348"/>
      <c r="U809" s="10"/>
      <c r="V809" s="349"/>
      <c r="W809" s="350"/>
      <c r="X809" s="9"/>
      <c r="Y809" s="10"/>
      <c r="Z809" s="6"/>
      <c r="AC809" s="11"/>
    </row>
    <row r="810" spans="1:29" ht="13.5" customHeight="1">
      <c r="A810" s="309"/>
      <c r="B810" s="340"/>
      <c r="C810" s="340"/>
      <c r="D810" s="340"/>
      <c r="E810" s="341"/>
      <c r="F810" s="8"/>
      <c r="G810" s="8"/>
      <c r="H810" s="208"/>
      <c r="I810" s="342"/>
      <c r="K810" s="311"/>
      <c r="L810" s="343"/>
      <c r="M810" s="344"/>
      <c r="N810" s="345"/>
      <c r="O810" s="311"/>
      <c r="P810" s="311"/>
      <c r="Q810" s="311"/>
      <c r="R810" s="346"/>
      <c r="S810" s="347"/>
      <c r="T810" s="348"/>
      <c r="U810" s="10"/>
      <c r="V810" s="349"/>
      <c r="W810" s="350"/>
      <c r="X810" s="9"/>
      <c r="Y810" s="10"/>
      <c r="Z810" s="6"/>
      <c r="AC810" s="11"/>
    </row>
    <row r="811" spans="1:29" ht="13.5" customHeight="1">
      <c r="A811" s="309"/>
      <c r="B811" s="340"/>
      <c r="C811" s="340"/>
      <c r="D811" s="340"/>
      <c r="E811" s="341"/>
      <c r="F811" s="8"/>
      <c r="G811" s="8"/>
      <c r="H811" s="208"/>
      <c r="I811" s="342"/>
      <c r="K811" s="311"/>
      <c r="L811" s="343"/>
      <c r="M811" s="344"/>
      <c r="N811" s="345"/>
      <c r="O811" s="311"/>
      <c r="P811" s="311"/>
      <c r="Q811" s="311"/>
      <c r="R811" s="346"/>
      <c r="S811" s="347"/>
      <c r="T811" s="348"/>
      <c r="U811" s="10"/>
      <c r="V811" s="349"/>
      <c r="W811" s="350"/>
      <c r="X811" s="9"/>
      <c r="Y811" s="10"/>
      <c r="Z811" s="6"/>
      <c r="AC811" s="11"/>
    </row>
    <row r="812" spans="1:29" ht="13.5" customHeight="1">
      <c r="A812" s="309"/>
      <c r="B812" s="340"/>
      <c r="C812" s="340"/>
      <c r="D812" s="340"/>
      <c r="E812" s="341"/>
      <c r="F812" s="8"/>
      <c r="G812" s="8"/>
      <c r="H812" s="208"/>
      <c r="I812" s="342"/>
      <c r="K812" s="311"/>
      <c r="L812" s="343"/>
      <c r="M812" s="344"/>
      <c r="N812" s="345"/>
      <c r="O812" s="311"/>
      <c r="P812" s="311"/>
      <c r="Q812" s="311"/>
      <c r="R812" s="346"/>
      <c r="S812" s="347"/>
      <c r="T812" s="348"/>
      <c r="U812" s="10"/>
      <c r="V812" s="349"/>
      <c r="W812" s="350"/>
      <c r="X812" s="9"/>
      <c r="Y812" s="10"/>
      <c r="Z812" s="6"/>
      <c r="AC812" s="11"/>
    </row>
    <row r="813" spans="1:29" ht="13.5" customHeight="1">
      <c r="A813" s="309"/>
      <c r="B813" s="340"/>
      <c r="C813" s="340"/>
      <c r="D813" s="340"/>
      <c r="E813" s="341"/>
      <c r="F813" s="8"/>
      <c r="G813" s="8"/>
      <c r="H813" s="208"/>
      <c r="I813" s="342"/>
      <c r="K813" s="311"/>
      <c r="L813" s="343"/>
      <c r="M813" s="344"/>
      <c r="N813" s="345"/>
      <c r="O813" s="311"/>
      <c r="P813" s="311"/>
      <c r="Q813" s="311"/>
      <c r="R813" s="346"/>
      <c r="S813" s="347"/>
      <c r="T813" s="348"/>
      <c r="U813" s="10"/>
      <c r="V813" s="349"/>
      <c r="W813" s="350"/>
      <c r="X813" s="9"/>
      <c r="Y813" s="10"/>
      <c r="Z813" s="6"/>
      <c r="AC813" s="11"/>
    </row>
    <row r="814" spans="1:29" ht="13.5" customHeight="1">
      <c r="A814" s="309"/>
      <c r="B814" s="340"/>
      <c r="C814" s="340"/>
      <c r="D814" s="340"/>
      <c r="E814" s="341"/>
      <c r="F814" s="8"/>
      <c r="G814" s="8"/>
      <c r="H814" s="208"/>
      <c r="I814" s="342"/>
      <c r="K814" s="311"/>
      <c r="L814" s="343"/>
      <c r="M814" s="344"/>
      <c r="N814" s="345"/>
      <c r="O814" s="311"/>
      <c r="P814" s="311"/>
      <c r="Q814" s="311"/>
      <c r="R814" s="346"/>
      <c r="S814" s="347"/>
      <c r="T814" s="348"/>
      <c r="U814" s="10"/>
      <c r="V814" s="349"/>
      <c r="W814" s="350"/>
      <c r="X814" s="9"/>
      <c r="Y814" s="10"/>
      <c r="Z814" s="6"/>
      <c r="AC814" s="11"/>
    </row>
    <row r="815" spans="1:29" ht="13.5" customHeight="1">
      <c r="A815" s="309"/>
      <c r="B815" s="340"/>
      <c r="C815" s="340"/>
      <c r="D815" s="340"/>
      <c r="E815" s="341"/>
      <c r="F815" s="8"/>
      <c r="G815" s="8"/>
      <c r="H815" s="208"/>
      <c r="I815" s="342"/>
      <c r="K815" s="311"/>
      <c r="L815" s="343"/>
      <c r="M815" s="344"/>
      <c r="N815" s="345"/>
      <c r="O815" s="311"/>
      <c r="P815" s="311"/>
      <c r="Q815" s="311"/>
      <c r="R815" s="346"/>
      <c r="S815" s="347"/>
      <c r="T815" s="348"/>
      <c r="U815" s="10"/>
      <c r="V815" s="349"/>
      <c r="W815" s="350"/>
      <c r="X815" s="9"/>
      <c r="Y815" s="10"/>
      <c r="Z815" s="6"/>
      <c r="AC815" s="11"/>
    </row>
    <row r="816" spans="1:29" ht="13.5" customHeight="1">
      <c r="A816" s="309"/>
      <c r="B816" s="340"/>
      <c r="C816" s="340"/>
      <c r="D816" s="340"/>
      <c r="E816" s="341"/>
      <c r="F816" s="8"/>
      <c r="G816" s="8"/>
      <c r="H816" s="208"/>
      <c r="I816" s="342"/>
      <c r="K816" s="311"/>
      <c r="L816" s="343"/>
      <c r="M816" s="344"/>
      <c r="N816" s="345"/>
      <c r="O816" s="311"/>
      <c r="P816" s="311"/>
      <c r="Q816" s="311"/>
      <c r="R816" s="346"/>
      <c r="S816" s="347"/>
      <c r="T816" s="348"/>
      <c r="U816" s="10"/>
      <c r="V816" s="349"/>
      <c r="W816" s="350"/>
      <c r="X816" s="9"/>
      <c r="Y816" s="10"/>
      <c r="Z816" s="6"/>
      <c r="AC816" s="11"/>
    </row>
    <row r="817" spans="1:29" ht="13.5" customHeight="1">
      <c r="A817" s="309"/>
      <c r="B817" s="340"/>
      <c r="C817" s="340"/>
      <c r="D817" s="340"/>
      <c r="E817" s="341"/>
      <c r="F817" s="8"/>
      <c r="G817" s="8"/>
      <c r="H817" s="208"/>
      <c r="I817" s="342"/>
      <c r="K817" s="311"/>
      <c r="L817" s="343"/>
      <c r="M817" s="344"/>
      <c r="N817" s="345"/>
      <c r="O817" s="311"/>
      <c r="P817" s="311"/>
      <c r="Q817" s="311"/>
      <c r="R817" s="346"/>
      <c r="S817" s="347"/>
      <c r="T817" s="348"/>
      <c r="U817" s="10"/>
      <c r="V817" s="349"/>
      <c r="W817" s="350"/>
      <c r="X817" s="9"/>
      <c r="Y817" s="10"/>
      <c r="Z817" s="6"/>
      <c r="AC817" s="11"/>
    </row>
    <row r="818" spans="1:29" ht="13.5" customHeight="1">
      <c r="A818" s="309"/>
      <c r="B818" s="340"/>
      <c r="C818" s="340"/>
      <c r="D818" s="340"/>
      <c r="E818" s="341"/>
      <c r="F818" s="8"/>
      <c r="G818" s="8"/>
      <c r="H818" s="208"/>
      <c r="I818" s="342"/>
      <c r="K818" s="311"/>
      <c r="L818" s="343"/>
      <c r="M818" s="344"/>
      <c r="N818" s="345"/>
      <c r="O818" s="311"/>
      <c r="P818" s="311"/>
      <c r="Q818" s="311"/>
      <c r="R818" s="346"/>
      <c r="S818" s="347"/>
      <c r="T818" s="348"/>
      <c r="U818" s="10"/>
      <c r="V818" s="349"/>
      <c r="W818" s="350"/>
      <c r="X818" s="9"/>
      <c r="Y818" s="10"/>
      <c r="Z818" s="6"/>
      <c r="AC818" s="11"/>
    </row>
    <row r="819" spans="1:29" ht="13.5" customHeight="1">
      <c r="A819" s="309"/>
      <c r="B819" s="340"/>
      <c r="C819" s="340"/>
      <c r="D819" s="340"/>
      <c r="E819" s="341"/>
      <c r="F819" s="8"/>
      <c r="G819" s="8"/>
      <c r="H819" s="208"/>
      <c r="I819" s="342"/>
      <c r="K819" s="311"/>
      <c r="L819" s="343"/>
      <c r="M819" s="344"/>
      <c r="N819" s="345"/>
      <c r="O819" s="311"/>
      <c r="P819" s="311"/>
      <c r="Q819" s="311"/>
      <c r="R819" s="346"/>
      <c r="S819" s="347"/>
      <c r="T819" s="348"/>
      <c r="U819" s="10"/>
      <c r="V819" s="349"/>
      <c r="W819" s="350"/>
      <c r="X819" s="9"/>
      <c r="Y819" s="10"/>
      <c r="Z819" s="6"/>
      <c r="AC819" s="11"/>
    </row>
    <row r="820" spans="1:29" ht="13.5" customHeight="1">
      <c r="A820" s="309"/>
      <c r="B820" s="340"/>
      <c r="C820" s="340"/>
      <c r="D820" s="340"/>
      <c r="E820" s="341"/>
      <c r="F820" s="8"/>
      <c r="G820" s="8"/>
      <c r="H820" s="208"/>
      <c r="I820" s="342"/>
      <c r="K820" s="311"/>
      <c r="L820" s="343"/>
      <c r="M820" s="344"/>
      <c r="N820" s="345"/>
      <c r="O820" s="311"/>
      <c r="P820" s="311"/>
      <c r="Q820" s="311"/>
      <c r="R820" s="346"/>
      <c r="S820" s="347"/>
      <c r="T820" s="348"/>
      <c r="U820" s="10"/>
      <c r="V820" s="349"/>
      <c r="W820" s="350"/>
      <c r="X820" s="9"/>
      <c r="Y820" s="10"/>
      <c r="Z820" s="6"/>
      <c r="AC820" s="11"/>
    </row>
    <row r="821" spans="1:29" ht="13.5" customHeight="1">
      <c r="A821" s="309"/>
      <c r="B821" s="340"/>
      <c r="C821" s="340"/>
      <c r="D821" s="340"/>
      <c r="E821" s="341"/>
      <c r="F821" s="8"/>
      <c r="G821" s="8"/>
      <c r="H821" s="208"/>
      <c r="I821" s="342"/>
      <c r="K821" s="311"/>
      <c r="L821" s="343"/>
      <c r="M821" s="344"/>
      <c r="N821" s="345"/>
      <c r="O821" s="311"/>
      <c r="P821" s="311"/>
      <c r="Q821" s="311"/>
      <c r="R821" s="346"/>
      <c r="S821" s="347"/>
      <c r="T821" s="348"/>
      <c r="U821" s="10"/>
      <c r="V821" s="349"/>
      <c r="W821" s="350"/>
      <c r="X821" s="9"/>
      <c r="Y821" s="10"/>
      <c r="Z821" s="6"/>
      <c r="AC821" s="11"/>
    </row>
    <row r="822" spans="1:29" ht="13.5" customHeight="1">
      <c r="A822" s="309"/>
      <c r="B822" s="340"/>
      <c r="C822" s="340"/>
      <c r="D822" s="340"/>
      <c r="E822" s="341"/>
      <c r="F822" s="8"/>
      <c r="G822" s="8"/>
      <c r="H822" s="208"/>
      <c r="I822" s="342"/>
      <c r="K822" s="311"/>
      <c r="L822" s="343"/>
      <c r="M822" s="344"/>
      <c r="N822" s="345"/>
      <c r="O822" s="311"/>
      <c r="P822" s="311"/>
      <c r="Q822" s="311"/>
      <c r="R822" s="346"/>
      <c r="S822" s="347"/>
      <c r="T822" s="348"/>
      <c r="U822" s="10"/>
      <c r="V822" s="349"/>
      <c r="W822" s="350"/>
      <c r="X822" s="9"/>
      <c r="Y822" s="10"/>
      <c r="Z822" s="6"/>
      <c r="AC822" s="11"/>
    </row>
    <row r="823" spans="1:29" ht="13.5" customHeight="1">
      <c r="A823" s="309"/>
      <c r="B823" s="340"/>
      <c r="C823" s="340"/>
      <c r="D823" s="340"/>
      <c r="E823" s="341"/>
      <c r="F823" s="8"/>
      <c r="G823" s="8"/>
      <c r="H823" s="208"/>
      <c r="I823" s="342"/>
      <c r="K823" s="311"/>
      <c r="L823" s="343"/>
      <c r="M823" s="344"/>
      <c r="N823" s="345"/>
      <c r="O823" s="311"/>
      <c r="P823" s="311"/>
      <c r="Q823" s="311"/>
      <c r="R823" s="346"/>
      <c r="S823" s="347"/>
      <c r="T823" s="348"/>
      <c r="U823" s="10"/>
      <c r="V823" s="349"/>
      <c r="W823" s="350"/>
      <c r="X823" s="9"/>
      <c r="Y823" s="10"/>
      <c r="Z823" s="6"/>
      <c r="AC823" s="11"/>
    </row>
    <row r="824" spans="1:29" ht="13.5" customHeight="1">
      <c r="A824" s="309"/>
      <c r="B824" s="340"/>
      <c r="C824" s="340"/>
      <c r="D824" s="340"/>
      <c r="E824" s="341"/>
      <c r="F824" s="8"/>
      <c r="G824" s="8"/>
      <c r="H824" s="208"/>
      <c r="I824" s="342"/>
      <c r="K824" s="311"/>
      <c r="L824" s="343"/>
      <c r="M824" s="344"/>
      <c r="N824" s="345"/>
      <c r="O824" s="311"/>
      <c r="P824" s="311"/>
      <c r="Q824" s="311"/>
      <c r="R824" s="346"/>
      <c r="S824" s="347"/>
      <c r="T824" s="348"/>
      <c r="U824" s="10"/>
      <c r="V824" s="349"/>
      <c r="W824" s="350"/>
      <c r="X824" s="9"/>
      <c r="Y824" s="10"/>
      <c r="Z824" s="6"/>
      <c r="AC824" s="11"/>
    </row>
    <row r="825" spans="1:29" ht="13.5" customHeight="1">
      <c r="A825" s="309"/>
      <c r="B825" s="340"/>
      <c r="C825" s="340"/>
      <c r="D825" s="340"/>
      <c r="E825" s="341"/>
      <c r="F825" s="8"/>
      <c r="G825" s="8"/>
      <c r="H825" s="208"/>
      <c r="I825" s="342"/>
      <c r="K825" s="311"/>
      <c r="L825" s="343"/>
      <c r="M825" s="344"/>
      <c r="N825" s="345"/>
      <c r="O825" s="311"/>
      <c r="P825" s="311"/>
      <c r="Q825" s="311"/>
      <c r="R825" s="346"/>
      <c r="S825" s="347"/>
      <c r="T825" s="348"/>
      <c r="U825" s="10"/>
      <c r="V825" s="349"/>
      <c r="W825" s="350"/>
      <c r="X825" s="9"/>
      <c r="Y825" s="10"/>
      <c r="Z825" s="6"/>
      <c r="AC825" s="11"/>
    </row>
    <row r="826" spans="1:29" ht="13.5" customHeight="1">
      <c r="A826" s="309"/>
      <c r="B826" s="340"/>
      <c r="C826" s="340"/>
      <c r="D826" s="340"/>
      <c r="E826" s="341"/>
      <c r="F826" s="8"/>
      <c r="G826" s="8"/>
      <c r="H826" s="208"/>
      <c r="I826" s="342"/>
      <c r="K826" s="311"/>
      <c r="L826" s="343"/>
      <c r="M826" s="344"/>
      <c r="N826" s="345"/>
      <c r="O826" s="311"/>
      <c r="P826" s="311"/>
      <c r="Q826" s="311"/>
      <c r="R826" s="346"/>
      <c r="S826" s="347"/>
      <c r="T826" s="348"/>
      <c r="U826" s="10"/>
      <c r="V826" s="349"/>
      <c r="W826" s="350"/>
      <c r="X826" s="9"/>
      <c r="Y826" s="10"/>
      <c r="Z826" s="6"/>
      <c r="AC826" s="11"/>
    </row>
    <row r="827" spans="1:29" ht="13.5" customHeight="1">
      <c r="A827" s="309"/>
      <c r="B827" s="340"/>
      <c r="C827" s="340"/>
      <c r="D827" s="340"/>
      <c r="E827" s="341"/>
      <c r="F827" s="8"/>
      <c r="G827" s="8"/>
      <c r="H827" s="208"/>
      <c r="I827" s="342"/>
      <c r="K827" s="311"/>
      <c r="L827" s="343"/>
      <c r="M827" s="344"/>
      <c r="N827" s="345"/>
      <c r="O827" s="311"/>
      <c r="P827" s="311"/>
      <c r="Q827" s="311"/>
      <c r="R827" s="346"/>
      <c r="S827" s="347"/>
      <c r="T827" s="348"/>
      <c r="U827" s="10"/>
      <c r="V827" s="349"/>
      <c r="W827" s="350"/>
      <c r="X827" s="9"/>
      <c r="Y827" s="10"/>
      <c r="Z827" s="6"/>
      <c r="AC827" s="11"/>
    </row>
    <row r="828" spans="1:29" ht="13.5" customHeight="1">
      <c r="A828" s="309"/>
      <c r="B828" s="340"/>
      <c r="C828" s="340"/>
      <c r="D828" s="340"/>
      <c r="E828" s="341"/>
      <c r="F828" s="8"/>
      <c r="G828" s="8"/>
      <c r="H828" s="208"/>
      <c r="I828" s="342"/>
      <c r="K828" s="311"/>
      <c r="L828" s="343"/>
      <c r="M828" s="344"/>
      <c r="N828" s="345"/>
      <c r="O828" s="311"/>
      <c r="P828" s="311"/>
      <c r="Q828" s="311"/>
      <c r="R828" s="346"/>
      <c r="S828" s="347"/>
      <c r="T828" s="348"/>
      <c r="U828" s="10"/>
      <c r="V828" s="349"/>
      <c r="W828" s="350"/>
      <c r="X828" s="9"/>
      <c r="Y828" s="10"/>
      <c r="Z828" s="6"/>
      <c r="AC828" s="11"/>
    </row>
    <row r="829" spans="1:29" ht="13.5" customHeight="1">
      <c r="A829" s="309"/>
      <c r="B829" s="340"/>
      <c r="C829" s="340"/>
      <c r="D829" s="340"/>
      <c r="E829" s="341"/>
      <c r="F829" s="8"/>
      <c r="G829" s="8"/>
      <c r="H829" s="208"/>
      <c r="I829" s="342"/>
      <c r="K829" s="311"/>
      <c r="L829" s="343"/>
      <c r="M829" s="344"/>
      <c r="N829" s="345"/>
      <c r="O829" s="311"/>
      <c r="P829" s="311"/>
      <c r="Q829" s="311"/>
      <c r="R829" s="346"/>
      <c r="S829" s="347"/>
      <c r="T829" s="348"/>
      <c r="U829" s="10"/>
      <c r="V829" s="349"/>
      <c r="W829" s="350"/>
      <c r="X829" s="9"/>
      <c r="Y829" s="10"/>
      <c r="Z829" s="6"/>
      <c r="AC829" s="11"/>
    </row>
    <row r="830" spans="1:29" ht="13.5" customHeight="1">
      <c r="A830" s="309"/>
      <c r="B830" s="340"/>
      <c r="C830" s="340"/>
      <c r="D830" s="340"/>
      <c r="E830" s="341"/>
      <c r="F830" s="8"/>
      <c r="G830" s="8"/>
      <c r="H830" s="208"/>
      <c r="I830" s="342"/>
      <c r="K830" s="311"/>
      <c r="L830" s="343"/>
      <c r="M830" s="344"/>
      <c r="N830" s="345"/>
      <c r="O830" s="311"/>
      <c r="P830" s="311"/>
      <c r="Q830" s="311"/>
      <c r="R830" s="346"/>
      <c r="S830" s="347"/>
      <c r="T830" s="348"/>
      <c r="U830" s="10"/>
      <c r="V830" s="349"/>
      <c r="W830" s="350"/>
      <c r="X830" s="9"/>
      <c r="Y830" s="10"/>
      <c r="Z830" s="6"/>
      <c r="AC830" s="11"/>
    </row>
    <row r="831" spans="1:29" ht="13.5" customHeight="1">
      <c r="A831" s="309"/>
      <c r="B831" s="340"/>
      <c r="C831" s="340"/>
      <c r="D831" s="340"/>
      <c r="E831" s="341"/>
      <c r="F831" s="8"/>
      <c r="G831" s="8"/>
      <c r="H831" s="208"/>
      <c r="I831" s="342"/>
      <c r="K831" s="311"/>
      <c r="L831" s="343"/>
      <c r="M831" s="344"/>
      <c r="N831" s="345"/>
      <c r="O831" s="311"/>
      <c r="P831" s="311"/>
      <c r="Q831" s="311"/>
      <c r="R831" s="346"/>
      <c r="S831" s="347"/>
      <c r="T831" s="348"/>
      <c r="U831" s="10"/>
      <c r="V831" s="349"/>
      <c r="W831" s="350"/>
      <c r="X831" s="9"/>
      <c r="Y831" s="10"/>
      <c r="Z831" s="6"/>
      <c r="AC831" s="11"/>
    </row>
    <row r="832" spans="1:29" ht="13.5" customHeight="1">
      <c r="A832" s="309"/>
      <c r="B832" s="340"/>
      <c r="C832" s="340"/>
      <c r="D832" s="340"/>
      <c r="E832" s="341"/>
      <c r="F832" s="8"/>
      <c r="G832" s="8"/>
      <c r="H832" s="208"/>
      <c r="I832" s="342"/>
      <c r="K832" s="311"/>
      <c r="L832" s="343"/>
      <c r="M832" s="344"/>
      <c r="N832" s="345"/>
      <c r="O832" s="311"/>
      <c r="P832" s="311"/>
      <c r="Q832" s="311"/>
      <c r="R832" s="346"/>
      <c r="S832" s="347"/>
      <c r="T832" s="348"/>
      <c r="U832" s="10"/>
      <c r="V832" s="349"/>
      <c r="W832" s="350"/>
      <c r="X832" s="9"/>
      <c r="Y832" s="10"/>
      <c r="Z832" s="6"/>
      <c r="AC832" s="11"/>
    </row>
    <row r="833" spans="1:29" ht="13.5" customHeight="1">
      <c r="A833" s="309"/>
      <c r="B833" s="340"/>
      <c r="C833" s="340"/>
      <c r="D833" s="340"/>
      <c r="E833" s="341"/>
      <c r="F833" s="8"/>
      <c r="G833" s="8"/>
      <c r="H833" s="208"/>
      <c r="I833" s="342"/>
      <c r="K833" s="311"/>
      <c r="L833" s="343"/>
      <c r="M833" s="344"/>
      <c r="N833" s="345"/>
      <c r="O833" s="311"/>
      <c r="P833" s="311"/>
      <c r="Q833" s="311"/>
      <c r="R833" s="346"/>
      <c r="S833" s="347"/>
      <c r="T833" s="348"/>
      <c r="U833" s="10"/>
      <c r="V833" s="349"/>
      <c r="W833" s="350"/>
      <c r="X833" s="9"/>
      <c r="Y833" s="10"/>
      <c r="Z833" s="6"/>
      <c r="AC833" s="11"/>
    </row>
    <row r="834" spans="1:29" ht="13.5" customHeight="1">
      <c r="A834" s="309"/>
      <c r="B834" s="340"/>
      <c r="C834" s="340"/>
      <c r="D834" s="340"/>
      <c r="E834" s="341"/>
      <c r="F834" s="8"/>
      <c r="G834" s="8"/>
      <c r="H834" s="208"/>
      <c r="I834" s="342"/>
      <c r="K834" s="311"/>
      <c r="L834" s="343"/>
      <c r="M834" s="344"/>
      <c r="N834" s="345"/>
      <c r="O834" s="311"/>
      <c r="P834" s="311"/>
      <c r="Q834" s="311"/>
      <c r="R834" s="346"/>
      <c r="S834" s="347"/>
      <c r="T834" s="348"/>
      <c r="U834" s="10"/>
      <c r="V834" s="349"/>
      <c r="W834" s="350"/>
      <c r="X834" s="9"/>
      <c r="Y834" s="10"/>
      <c r="Z834" s="6"/>
      <c r="AC834" s="11"/>
    </row>
    <row r="835" spans="1:29" ht="13.5" customHeight="1">
      <c r="A835" s="309"/>
      <c r="B835" s="340"/>
      <c r="C835" s="340"/>
      <c r="D835" s="340"/>
      <c r="E835" s="341"/>
      <c r="F835" s="8"/>
      <c r="G835" s="8"/>
      <c r="H835" s="208"/>
      <c r="I835" s="342"/>
      <c r="K835" s="311"/>
      <c r="L835" s="343"/>
      <c r="M835" s="344"/>
      <c r="N835" s="345"/>
      <c r="O835" s="311"/>
      <c r="P835" s="311"/>
      <c r="Q835" s="311"/>
      <c r="R835" s="346"/>
      <c r="S835" s="347"/>
      <c r="T835" s="348"/>
      <c r="U835" s="10"/>
      <c r="V835" s="349"/>
      <c r="W835" s="350"/>
      <c r="X835" s="9"/>
      <c r="Y835" s="10"/>
      <c r="Z835" s="6"/>
      <c r="AC835" s="11"/>
    </row>
    <row r="836" spans="1:29" ht="13.5" customHeight="1">
      <c r="A836" s="309"/>
      <c r="B836" s="340"/>
      <c r="C836" s="340"/>
      <c r="D836" s="340"/>
      <c r="E836" s="341"/>
      <c r="F836" s="8"/>
      <c r="G836" s="8"/>
      <c r="H836" s="208"/>
      <c r="I836" s="342"/>
      <c r="K836" s="311"/>
      <c r="L836" s="343"/>
      <c r="M836" s="344"/>
      <c r="N836" s="345"/>
      <c r="O836" s="311"/>
      <c r="P836" s="311"/>
      <c r="Q836" s="311"/>
      <c r="R836" s="346"/>
      <c r="S836" s="347"/>
      <c r="T836" s="348"/>
      <c r="U836" s="10"/>
      <c r="V836" s="349"/>
      <c r="W836" s="350"/>
      <c r="X836" s="9"/>
      <c r="Y836" s="10"/>
      <c r="Z836" s="6"/>
      <c r="AC836" s="11"/>
    </row>
    <row r="837" spans="1:29" ht="13.5" customHeight="1">
      <c r="A837" s="309"/>
      <c r="B837" s="340"/>
      <c r="C837" s="340"/>
      <c r="D837" s="340"/>
      <c r="E837" s="341"/>
      <c r="F837" s="8"/>
      <c r="G837" s="8"/>
      <c r="H837" s="208"/>
      <c r="I837" s="342"/>
      <c r="K837" s="311"/>
      <c r="L837" s="343"/>
      <c r="M837" s="344"/>
      <c r="N837" s="345"/>
      <c r="O837" s="311"/>
      <c r="P837" s="311"/>
      <c r="Q837" s="311"/>
      <c r="R837" s="346"/>
      <c r="S837" s="347"/>
      <c r="T837" s="348"/>
      <c r="U837" s="10"/>
      <c r="V837" s="349"/>
      <c r="W837" s="350"/>
      <c r="X837" s="9"/>
      <c r="Y837" s="10"/>
      <c r="Z837" s="6"/>
      <c r="AC837" s="11"/>
    </row>
    <row r="838" spans="1:29" ht="13.5" customHeight="1">
      <c r="A838" s="309"/>
      <c r="B838" s="340"/>
      <c r="C838" s="340"/>
      <c r="D838" s="340"/>
      <c r="E838" s="341"/>
      <c r="F838" s="8"/>
      <c r="G838" s="8"/>
      <c r="H838" s="208"/>
      <c r="I838" s="342"/>
      <c r="K838" s="311"/>
      <c r="L838" s="343"/>
      <c r="M838" s="344"/>
      <c r="N838" s="345"/>
      <c r="O838" s="311"/>
      <c r="P838" s="311"/>
      <c r="Q838" s="311"/>
      <c r="R838" s="346"/>
      <c r="S838" s="347"/>
      <c r="T838" s="348"/>
      <c r="U838" s="10"/>
      <c r="V838" s="349"/>
      <c r="W838" s="350"/>
      <c r="X838" s="9"/>
      <c r="Y838" s="10"/>
      <c r="Z838" s="6"/>
      <c r="AC838" s="11"/>
    </row>
    <row r="839" spans="1:29" ht="13.5" customHeight="1">
      <c r="A839" s="309"/>
      <c r="B839" s="340"/>
      <c r="C839" s="340"/>
      <c r="D839" s="340"/>
      <c r="E839" s="341"/>
      <c r="F839" s="8"/>
      <c r="G839" s="8"/>
      <c r="H839" s="208"/>
      <c r="I839" s="342"/>
      <c r="K839" s="311"/>
      <c r="L839" s="343"/>
      <c r="M839" s="344"/>
      <c r="N839" s="345"/>
      <c r="O839" s="311"/>
      <c r="P839" s="311"/>
      <c r="Q839" s="311"/>
      <c r="R839" s="346"/>
      <c r="S839" s="347"/>
      <c r="T839" s="348"/>
      <c r="U839" s="10"/>
      <c r="V839" s="349"/>
      <c r="W839" s="350"/>
      <c r="X839" s="9"/>
      <c r="Y839" s="10"/>
      <c r="Z839" s="6"/>
      <c r="AC839" s="11"/>
    </row>
    <row r="840" spans="1:29" ht="13.5" customHeight="1">
      <c r="A840" s="309"/>
      <c r="B840" s="340"/>
      <c r="C840" s="340"/>
      <c r="D840" s="340"/>
      <c r="E840" s="341"/>
      <c r="F840" s="8"/>
      <c r="G840" s="8"/>
      <c r="H840" s="208"/>
      <c r="I840" s="342"/>
      <c r="K840" s="311"/>
      <c r="L840" s="343"/>
      <c r="M840" s="344"/>
      <c r="N840" s="345"/>
      <c r="O840" s="311"/>
      <c r="P840" s="311"/>
      <c r="Q840" s="311"/>
      <c r="R840" s="346"/>
      <c r="S840" s="347"/>
      <c r="T840" s="348"/>
      <c r="U840" s="10"/>
      <c r="V840" s="349"/>
      <c r="W840" s="350"/>
      <c r="X840" s="9"/>
      <c r="Y840" s="10"/>
      <c r="Z840" s="6"/>
      <c r="AC840" s="11"/>
    </row>
    <row r="841" spans="1:29" ht="13.5" customHeight="1">
      <c r="A841" s="309"/>
      <c r="B841" s="340"/>
      <c r="C841" s="340"/>
      <c r="D841" s="340"/>
      <c r="E841" s="341"/>
      <c r="F841" s="8"/>
      <c r="G841" s="8"/>
      <c r="H841" s="208"/>
      <c r="I841" s="342"/>
      <c r="K841" s="311"/>
      <c r="L841" s="343"/>
      <c r="M841" s="344"/>
      <c r="N841" s="345"/>
      <c r="O841" s="311"/>
      <c r="P841" s="311"/>
      <c r="Q841" s="311"/>
      <c r="R841" s="346"/>
      <c r="S841" s="347"/>
      <c r="T841" s="348"/>
      <c r="U841" s="10"/>
      <c r="V841" s="349"/>
      <c r="W841" s="350"/>
      <c r="X841" s="9"/>
      <c r="Y841" s="10"/>
      <c r="Z841" s="6"/>
      <c r="AC841" s="11"/>
    </row>
    <row r="842" spans="1:29" ht="13.5" customHeight="1">
      <c r="A842" s="309"/>
      <c r="B842" s="340"/>
      <c r="C842" s="340"/>
      <c r="D842" s="340"/>
      <c r="E842" s="341"/>
      <c r="F842" s="8"/>
      <c r="G842" s="8"/>
      <c r="H842" s="208"/>
      <c r="I842" s="342"/>
      <c r="K842" s="311"/>
      <c r="L842" s="343"/>
      <c r="M842" s="344"/>
      <c r="N842" s="345"/>
      <c r="O842" s="311"/>
      <c r="P842" s="311"/>
      <c r="Q842" s="311"/>
      <c r="R842" s="346"/>
      <c r="S842" s="347"/>
      <c r="T842" s="348"/>
      <c r="U842" s="10"/>
      <c r="V842" s="349"/>
      <c r="W842" s="350"/>
      <c r="X842" s="9"/>
      <c r="Y842" s="10"/>
      <c r="Z842" s="6"/>
      <c r="AC842" s="11"/>
    </row>
    <row r="843" spans="1:29" ht="13.5" customHeight="1">
      <c r="A843" s="309"/>
      <c r="B843" s="340"/>
      <c r="C843" s="340"/>
      <c r="D843" s="340"/>
      <c r="E843" s="341"/>
      <c r="F843" s="8"/>
      <c r="G843" s="8"/>
      <c r="H843" s="208"/>
      <c r="I843" s="342"/>
      <c r="K843" s="311"/>
      <c r="L843" s="343"/>
      <c r="M843" s="344"/>
      <c r="N843" s="345"/>
      <c r="O843" s="311"/>
      <c r="P843" s="311"/>
      <c r="Q843" s="311"/>
      <c r="R843" s="346"/>
      <c r="S843" s="347"/>
      <c r="T843" s="348"/>
      <c r="U843" s="10"/>
      <c r="V843" s="349"/>
      <c r="W843" s="350"/>
      <c r="X843" s="9"/>
      <c r="Y843" s="10"/>
      <c r="Z843" s="6"/>
      <c r="AC843" s="11"/>
    </row>
    <row r="844" spans="1:29" ht="13.5" customHeight="1">
      <c r="A844" s="309"/>
      <c r="B844" s="340"/>
      <c r="C844" s="340"/>
      <c r="D844" s="340"/>
      <c r="E844" s="341"/>
      <c r="F844" s="8"/>
      <c r="G844" s="8"/>
      <c r="H844" s="208"/>
      <c r="I844" s="342"/>
      <c r="K844" s="311"/>
      <c r="L844" s="343"/>
      <c r="M844" s="344"/>
      <c r="N844" s="345"/>
      <c r="O844" s="311"/>
      <c r="P844" s="311"/>
      <c r="Q844" s="311"/>
      <c r="R844" s="346"/>
      <c r="S844" s="347"/>
      <c r="T844" s="348"/>
      <c r="U844" s="10"/>
      <c r="V844" s="349"/>
      <c r="W844" s="350"/>
      <c r="X844" s="9"/>
      <c r="Y844" s="10"/>
      <c r="Z844" s="6"/>
      <c r="AC844" s="11"/>
    </row>
    <row r="845" spans="1:29" ht="13.5" customHeight="1">
      <c r="A845" s="309"/>
      <c r="B845" s="340"/>
      <c r="C845" s="340"/>
      <c r="D845" s="340"/>
      <c r="E845" s="341"/>
      <c r="F845" s="8"/>
      <c r="G845" s="8"/>
      <c r="H845" s="208"/>
      <c r="I845" s="342"/>
      <c r="K845" s="311"/>
      <c r="L845" s="343"/>
      <c r="M845" s="344"/>
      <c r="N845" s="345"/>
      <c r="O845" s="311"/>
      <c r="P845" s="311"/>
      <c r="Q845" s="311"/>
      <c r="R845" s="346"/>
      <c r="S845" s="347"/>
      <c r="T845" s="348"/>
      <c r="U845" s="10"/>
      <c r="V845" s="349"/>
      <c r="W845" s="350"/>
      <c r="X845" s="9"/>
      <c r="Y845" s="10"/>
      <c r="Z845" s="6"/>
      <c r="AC845" s="11"/>
    </row>
    <row r="846" spans="1:29" ht="13.5" customHeight="1">
      <c r="A846" s="309"/>
      <c r="B846" s="340"/>
      <c r="C846" s="340"/>
      <c r="D846" s="340"/>
      <c r="E846" s="341"/>
      <c r="F846" s="8"/>
      <c r="G846" s="8"/>
      <c r="H846" s="208"/>
      <c r="I846" s="342"/>
      <c r="K846" s="311"/>
      <c r="L846" s="343"/>
      <c r="M846" s="344"/>
      <c r="N846" s="345"/>
      <c r="O846" s="311"/>
      <c r="P846" s="311"/>
      <c r="Q846" s="311"/>
      <c r="R846" s="346"/>
      <c r="S846" s="347"/>
      <c r="T846" s="348"/>
      <c r="U846" s="10"/>
      <c r="V846" s="349"/>
      <c r="W846" s="350"/>
      <c r="X846" s="9"/>
      <c r="Y846" s="10"/>
      <c r="Z846" s="6"/>
      <c r="AC846" s="11"/>
    </row>
    <row r="847" spans="1:29" ht="13.5" customHeight="1">
      <c r="A847" s="309"/>
      <c r="B847" s="340"/>
      <c r="C847" s="340"/>
      <c r="D847" s="340"/>
      <c r="E847" s="341"/>
      <c r="F847" s="8"/>
      <c r="G847" s="8"/>
      <c r="H847" s="208"/>
      <c r="I847" s="342"/>
      <c r="K847" s="311"/>
      <c r="L847" s="343"/>
      <c r="M847" s="344"/>
      <c r="N847" s="345"/>
      <c r="O847" s="311"/>
      <c r="P847" s="311"/>
      <c r="Q847" s="311"/>
      <c r="R847" s="346"/>
      <c r="S847" s="347"/>
      <c r="T847" s="348"/>
      <c r="U847" s="10"/>
      <c r="V847" s="349"/>
      <c r="W847" s="350"/>
      <c r="X847" s="9"/>
      <c r="Y847" s="10"/>
      <c r="Z847" s="6"/>
      <c r="AC847" s="11"/>
    </row>
    <row r="848" spans="1:29" ht="13.5" customHeight="1">
      <c r="A848" s="309"/>
      <c r="B848" s="340"/>
      <c r="C848" s="340"/>
      <c r="D848" s="340"/>
      <c r="E848" s="341"/>
      <c r="F848" s="8"/>
      <c r="G848" s="8"/>
      <c r="H848" s="208"/>
      <c r="I848" s="342"/>
      <c r="K848" s="311"/>
      <c r="L848" s="343"/>
      <c r="M848" s="344"/>
      <c r="N848" s="345"/>
      <c r="O848" s="311"/>
      <c r="P848" s="311"/>
      <c r="Q848" s="311"/>
      <c r="R848" s="346"/>
      <c r="S848" s="347"/>
      <c r="T848" s="348"/>
      <c r="U848" s="10"/>
      <c r="V848" s="349"/>
      <c r="W848" s="350"/>
      <c r="X848" s="9"/>
      <c r="Y848" s="10"/>
      <c r="Z848" s="6"/>
      <c r="AC848" s="11"/>
    </row>
    <row r="849" spans="1:29" ht="13.5" customHeight="1">
      <c r="A849" s="309"/>
      <c r="B849" s="340"/>
      <c r="C849" s="340"/>
      <c r="D849" s="340"/>
      <c r="E849" s="341"/>
      <c r="F849" s="8"/>
      <c r="G849" s="8"/>
      <c r="H849" s="208"/>
      <c r="I849" s="342"/>
      <c r="K849" s="311"/>
      <c r="L849" s="343"/>
      <c r="M849" s="344"/>
      <c r="N849" s="345"/>
      <c r="O849" s="311"/>
      <c r="P849" s="311"/>
      <c r="Q849" s="311"/>
      <c r="R849" s="346"/>
      <c r="S849" s="347"/>
      <c r="T849" s="348"/>
      <c r="U849" s="10"/>
      <c r="V849" s="349"/>
      <c r="W849" s="350"/>
      <c r="X849" s="9"/>
      <c r="Y849" s="10"/>
      <c r="Z849" s="6"/>
      <c r="AC849" s="11"/>
    </row>
    <row r="850" spans="1:29" ht="13.5" customHeight="1">
      <c r="A850" s="309"/>
      <c r="B850" s="340"/>
      <c r="C850" s="340"/>
      <c r="D850" s="340"/>
      <c r="E850" s="341"/>
      <c r="F850" s="8"/>
      <c r="G850" s="8"/>
      <c r="H850" s="208"/>
      <c r="I850" s="342"/>
      <c r="K850" s="311"/>
      <c r="L850" s="343"/>
      <c r="M850" s="344"/>
      <c r="N850" s="345"/>
      <c r="O850" s="311"/>
      <c r="P850" s="311"/>
      <c r="Q850" s="311"/>
      <c r="R850" s="346"/>
      <c r="S850" s="347"/>
      <c r="T850" s="348"/>
      <c r="U850" s="10"/>
      <c r="V850" s="349"/>
      <c r="W850" s="350"/>
      <c r="X850" s="9"/>
      <c r="Y850" s="10"/>
      <c r="Z850" s="6"/>
      <c r="AC850" s="11"/>
    </row>
    <row r="851" spans="1:29" ht="13.5" customHeight="1">
      <c r="A851" s="309"/>
      <c r="B851" s="340"/>
      <c r="C851" s="340"/>
      <c r="D851" s="340"/>
      <c r="E851" s="341"/>
      <c r="F851" s="8"/>
      <c r="G851" s="8"/>
      <c r="H851" s="208"/>
      <c r="I851" s="342"/>
      <c r="K851" s="311"/>
      <c r="L851" s="343"/>
      <c r="M851" s="344"/>
      <c r="N851" s="345"/>
      <c r="O851" s="311"/>
      <c r="P851" s="311"/>
      <c r="Q851" s="311"/>
      <c r="R851" s="346"/>
      <c r="S851" s="347"/>
      <c r="T851" s="348"/>
      <c r="U851" s="10"/>
      <c r="V851" s="349"/>
      <c r="W851" s="350"/>
      <c r="X851" s="9"/>
      <c r="Y851" s="10"/>
      <c r="Z851" s="6"/>
      <c r="AC851" s="11"/>
    </row>
    <row r="852" spans="1:29" ht="13.5" customHeight="1">
      <c r="A852" s="309"/>
      <c r="B852" s="340"/>
      <c r="C852" s="340"/>
      <c r="D852" s="340"/>
      <c r="E852" s="341"/>
      <c r="F852" s="8"/>
      <c r="G852" s="8"/>
      <c r="H852" s="208"/>
      <c r="I852" s="342"/>
      <c r="K852" s="311"/>
      <c r="L852" s="343"/>
      <c r="M852" s="344"/>
      <c r="N852" s="345"/>
      <c r="O852" s="311"/>
      <c r="P852" s="311"/>
      <c r="Q852" s="311"/>
      <c r="R852" s="346"/>
      <c r="S852" s="347"/>
      <c r="T852" s="348"/>
      <c r="U852" s="10"/>
      <c r="V852" s="349"/>
      <c r="W852" s="350"/>
      <c r="X852" s="9"/>
      <c r="Y852" s="10"/>
      <c r="Z852" s="6"/>
      <c r="AC852" s="11"/>
    </row>
    <row r="853" spans="1:29" ht="13.5" customHeight="1">
      <c r="A853" s="309"/>
      <c r="B853" s="340"/>
      <c r="C853" s="340"/>
      <c r="D853" s="340"/>
      <c r="E853" s="341"/>
      <c r="F853" s="8"/>
      <c r="G853" s="8"/>
      <c r="H853" s="208"/>
      <c r="I853" s="342"/>
      <c r="K853" s="311"/>
      <c r="L853" s="343"/>
      <c r="M853" s="344"/>
      <c r="N853" s="345"/>
      <c r="O853" s="311"/>
      <c r="P853" s="311"/>
      <c r="Q853" s="311"/>
      <c r="R853" s="346"/>
      <c r="S853" s="347"/>
      <c r="T853" s="348"/>
      <c r="U853" s="10"/>
      <c r="V853" s="349"/>
      <c r="W853" s="350"/>
      <c r="X853" s="9"/>
      <c r="Y853" s="10"/>
      <c r="Z853" s="6"/>
      <c r="AC853" s="11"/>
    </row>
    <row r="854" spans="1:29" ht="13.5" customHeight="1">
      <c r="A854" s="309"/>
      <c r="B854" s="340"/>
      <c r="C854" s="340"/>
      <c r="D854" s="340"/>
      <c r="E854" s="341"/>
      <c r="F854" s="8"/>
      <c r="G854" s="8"/>
      <c r="H854" s="208"/>
      <c r="I854" s="342"/>
      <c r="K854" s="311"/>
      <c r="L854" s="343"/>
      <c r="M854" s="344"/>
      <c r="N854" s="345"/>
      <c r="O854" s="311"/>
      <c r="P854" s="311"/>
      <c r="Q854" s="311"/>
      <c r="R854" s="346"/>
      <c r="S854" s="347"/>
      <c r="T854" s="348"/>
      <c r="U854" s="10"/>
      <c r="V854" s="349"/>
      <c r="W854" s="350"/>
      <c r="X854" s="9"/>
      <c r="Y854" s="10"/>
      <c r="Z854" s="6"/>
      <c r="AC854" s="11"/>
    </row>
    <row r="855" spans="1:29" ht="13.5" customHeight="1">
      <c r="A855" s="309"/>
      <c r="B855" s="340"/>
      <c r="C855" s="340"/>
      <c r="D855" s="340"/>
      <c r="E855" s="341"/>
      <c r="F855" s="8"/>
      <c r="G855" s="8"/>
      <c r="H855" s="208"/>
      <c r="I855" s="342"/>
      <c r="K855" s="311"/>
      <c r="L855" s="343"/>
      <c r="M855" s="344"/>
      <c r="N855" s="345"/>
      <c r="O855" s="311"/>
      <c r="P855" s="311"/>
      <c r="Q855" s="311"/>
      <c r="R855" s="346"/>
      <c r="S855" s="347"/>
      <c r="T855" s="348"/>
      <c r="U855" s="10"/>
      <c r="V855" s="349"/>
      <c r="W855" s="350"/>
      <c r="X855" s="9"/>
      <c r="Y855" s="10"/>
      <c r="Z855" s="6"/>
      <c r="AC855" s="11"/>
    </row>
    <row r="856" spans="1:29" ht="13.5" customHeight="1">
      <c r="A856" s="309"/>
      <c r="B856" s="340"/>
      <c r="C856" s="340"/>
      <c r="D856" s="340"/>
      <c r="E856" s="341"/>
      <c r="F856" s="8"/>
      <c r="G856" s="8"/>
      <c r="H856" s="208"/>
      <c r="I856" s="342"/>
      <c r="K856" s="311"/>
      <c r="L856" s="343"/>
      <c r="M856" s="344"/>
      <c r="N856" s="345"/>
      <c r="O856" s="311"/>
      <c r="P856" s="311"/>
      <c r="Q856" s="311"/>
      <c r="R856" s="346"/>
      <c r="S856" s="347"/>
      <c r="T856" s="348"/>
      <c r="U856" s="10"/>
      <c r="V856" s="349"/>
      <c r="W856" s="350"/>
      <c r="X856" s="9"/>
      <c r="Y856" s="10"/>
      <c r="Z856" s="6"/>
      <c r="AC856" s="11"/>
    </row>
    <row r="857" spans="1:29" ht="13.5" customHeight="1">
      <c r="A857" s="309"/>
      <c r="B857" s="340"/>
      <c r="C857" s="340"/>
      <c r="D857" s="340"/>
      <c r="E857" s="341"/>
      <c r="F857" s="8"/>
      <c r="G857" s="8"/>
      <c r="H857" s="208"/>
      <c r="I857" s="342"/>
      <c r="K857" s="311"/>
      <c r="L857" s="343"/>
      <c r="M857" s="344"/>
      <c r="N857" s="345"/>
      <c r="O857" s="311"/>
      <c r="P857" s="311"/>
      <c r="Q857" s="311"/>
      <c r="R857" s="346"/>
      <c r="S857" s="347"/>
      <c r="T857" s="348"/>
      <c r="U857" s="10"/>
      <c r="V857" s="349"/>
      <c r="W857" s="350"/>
      <c r="X857" s="9"/>
      <c r="Y857" s="10"/>
      <c r="Z857" s="6"/>
      <c r="AC857" s="11"/>
    </row>
    <row r="858" spans="1:29" ht="13.5" customHeight="1">
      <c r="A858" s="309"/>
      <c r="B858" s="340"/>
      <c r="C858" s="340"/>
      <c r="D858" s="340"/>
      <c r="E858" s="341"/>
      <c r="F858" s="8"/>
      <c r="G858" s="8"/>
      <c r="H858" s="208"/>
      <c r="I858" s="342"/>
      <c r="K858" s="311"/>
      <c r="L858" s="343"/>
      <c r="M858" s="344"/>
      <c r="N858" s="345"/>
      <c r="O858" s="311"/>
      <c r="P858" s="311"/>
      <c r="Q858" s="311"/>
      <c r="R858" s="346"/>
      <c r="S858" s="347"/>
      <c r="T858" s="348"/>
      <c r="U858" s="10"/>
      <c r="V858" s="349"/>
      <c r="W858" s="350"/>
      <c r="X858" s="9"/>
      <c r="Y858" s="10"/>
      <c r="Z858" s="6"/>
      <c r="AC858" s="11"/>
    </row>
    <row r="859" spans="1:29" ht="13.5" customHeight="1">
      <c r="A859" s="309"/>
      <c r="B859" s="340"/>
      <c r="C859" s="340"/>
      <c r="D859" s="340"/>
      <c r="E859" s="341"/>
      <c r="F859" s="8"/>
      <c r="G859" s="8"/>
      <c r="H859" s="208"/>
      <c r="I859" s="342"/>
      <c r="K859" s="311"/>
      <c r="L859" s="343"/>
      <c r="M859" s="344"/>
      <c r="N859" s="345"/>
      <c r="O859" s="311"/>
      <c r="P859" s="311"/>
      <c r="Q859" s="311"/>
      <c r="R859" s="346"/>
      <c r="S859" s="347"/>
      <c r="T859" s="348"/>
      <c r="U859" s="10"/>
      <c r="V859" s="349"/>
      <c r="W859" s="350"/>
      <c r="X859" s="9"/>
      <c r="Y859" s="10"/>
      <c r="Z859" s="6"/>
      <c r="AC859" s="11"/>
    </row>
    <row r="860" spans="1:29" ht="13.5" customHeight="1">
      <c r="A860" s="309"/>
      <c r="B860" s="340"/>
      <c r="C860" s="340"/>
      <c r="D860" s="340"/>
      <c r="E860" s="341"/>
      <c r="F860" s="8"/>
      <c r="G860" s="8"/>
      <c r="H860" s="208"/>
      <c r="I860" s="342"/>
      <c r="K860" s="311"/>
      <c r="L860" s="343"/>
      <c r="M860" s="344"/>
      <c r="N860" s="345"/>
      <c r="O860" s="311"/>
      <c r="P860" s="311"/>
      <c r="Q860" s="311"/>
      <c r="R860" s="346"/>
      <c r="S860" s="347"/>
      <c r="T860" s="348"/>
      <c r="U860" s="10"/>
      <c r="V860" s="349"/>
      <c r="W860" s="350"/>
      <c r="X860" s="9"/>
      <c r="Y860" s="10"/>
      <c r="Z860" s="6"/>
      <c r="AC860" s="11"/>
    </row>
    <row r="861" spans="1:29" ht="13.5" customHeight="1">
      <c r="A861" s="309"/>
      <c r="B861" s="340"/>
      <c r="C861" s="340"/>
      <c r="D861" s="340"/>
      <c r="E861" s="341"/>
      <c r="F861" s="8"/>
      <c r="G861" s="8"/>
      <c r="H861" s="208"/>
      <c r="I861" s="342"/>
      <c r="K861" s="311"/>
      <c r="L861" s="343"/>
      <c r="M861" s="344"/>
      <c r="N861" s="345"/>
      <c r="O861" s="311"/>
      <c r="P861" s="311"/>
      <c r="Q861" s="311"/>
      <c r="R861" s="346"/>
      <c r="S861" s="347"/>
      <c r="T861" s="348"/>
      <c r="U861" s="10"/>
      <c r="V861" s="349"/>
      <c r="W861" s="350"/>
      <c r="X861" s="9"/>
      <c r="Y861" s="10"/>
      <c r="Z861" s="6"/>
      <c r="AC861" s="11"/>
    </row>
    <row r="862" spans="1:29" ht="13.5" customHeight="1">
      <c r="A862" s="309"/>
      <c r="B862" s="340"/>
      <c r="C862" s="340"/>
      <c r="D862" s="340"/>
      <c r="E862" s="341"/>
      <c r="F862" s="8"/>
      <c r="G862" s="8"/>
      <c r="H862" s="208"/>
      <c r="I862" s="342"/>
      <c r="K862" s="311"/>
      <c r="L862" s="343"/>
      <c r="M862" s="344"/>
      <c r="N862" s="345"/>
      <c r="O862" s="311"/>
      <c r="P862" s="311"/>
      <c r="Q862" s="311"/>
      <c r="R862" s="346"/>
      <c r="S862" s="347"/>
      <c r="T862" s="348"/>
      <c r="U862" s="10"/>
      <c r="V862" s="349"/>
      <c r="W862" s="350"/>
      <c r="X862" s="9"/>
      <c r="Y862" s="10"/>
      <c r="Z862" s="6"/>
      <c r="AC862" s="11"/>
    </row>
    <row r="863" spans="1:29" ht="13.5" customHeight="1">
      <c r="A863" s="309"/>
      <c r="B863" s="340"/>
      <c r="C863" s="340"/>
      <c r="D863" s="340"/>
      <c r="E863" s="341"/>
      <c r="F863" s="8"/>
      <c r="G863" s="8"/>
      <c r="H863" s="208"/>
      <c r="I863" s="342"/>
      <c r="K863" s="311"/>
      <c r="L863" s="343"/>
      <c r="M863" s="344"/>
      <c r="N863" s="345"/>
      <c r="O863" s="311"/>
      <c r="P863" s="311"/>
      <c r="Q863" s="311"/>
      <c r="R863" s="346"/>
      <c r="S863" s="347"/>
      <c r="T863" s="348"/>
      <c r="U863" s="10"/>
      <c r="V863" s="349"/>
      <c r="W863" s="350"/>
      <c r="X863" s="9"/>
      <c r="Y863" s="10"/>
      <c r="Z863" s="6"/>
      <c r="AC863" s="11"/>
    </row>
    <row r="864" spans="1:29" ht="13.5" customHeight="1">
      <c r="A864" s="309"/>
      <c r="B864" s="340"/>
      <c r="C864" s="340"/>
      <c r="D864" s="340"/>
      <c r="E864" s="341"/>
      <c r="F864" s="8"/>
      <c r="G864" s="8"/>
      <c r="H864" s="208"/>
      <c r="I864" s="342"/>
      <c r="K864" s="311"/>
      <c r="L864" s="343"/>
      <c r="M864" s="344"/>
      <c r="N864" s="345"/>
      <c r="O864" s="311"/>
      <c r="P864" s="311"/>
      <c r="Q864" s="311"/>
      <c r="R864" s="346"/>
      <c r="S864" s="347"/>
      <c r="T864" s="348"/>
      <c r="U864" s="10"/>
      <c r="V864" s="349"/>
      <c r="W864" s="350"/>
      <c r="X864" s="9"/>
      <c r="Y864" s="10"/>
      <c r="Z864" s="6"/>
      <c r="AC864" s="11"/>
    </row>
    <row r="865" spans="1:29" ht="13.5" customHeight="1">
      <c r="A865" s="309"/>
      <c r="B865" s="340"/>
      <c r="C865" s="340"/>
      <c r="D865" s="340"/>
      <c r="E865" s="341"/>
      <c r="F865" s="8"/>
      <c r="G865" s="8"/>
      <c r="H865" s="208"/>
      <c r="I865" s="342"/>
      <c r="K865" s="311"/>
      <c r="L865" s="343"/>
      <c r="M865" s="344"/>
      <c r="N865" s="345"/>
      <c r="O865" s="311"/>
      <c r="P865" s="311"/>
      <c r="Q865" s="311"/>
      <c r="R865" s="346"/>
      <c r="S865" s="347"/>
      <c r="T865" s="348"/>
      <c r="U865" s="10"/>
      <c r="V865" s="349"/>
      <c r="W865" s="350"/>
      <c r="X865" s="9"/>
      <c r="Y865" s="10"/>
      <c r="Z865" s="6"/>
      <c r="AC865" s="11"/>
    </row>
    <row r="866" spans="1:29" ht="13.5" customHeight="1">
      <c r="A866" s="309"/>
      <c r="B866" s="340"/>
      <c r="C866" s="340"/>
      <c r="D866" s="340"/>
      <c r="E866" s="341"/>
      <c r="F866" s="8"/>
      <c r="G866" s="8"/>
      <c r="H866" s="208"/>
      <c r="I866" s="342"/>
      <c r="K866" s="311"/>
      <c r="L866" s="343"/>
      <c r="M866" s="344"/>
      <c r="N866" s="345"/>
      <c r="O866" s="311"/>
      <c r="P866" s="311"/>
      <c r="Q866" s="311"/>
      <c r="R866" s="346"/>
      <c r="S866" s="347"/>
      <c r="T866" s="348"/>
      <c r="U866" s="10"/>
      <c r="V866" s="349"/>
      <c r="W866" s="350"/>
      <c r="X866" s="9"/>
      <c r="Y866" s="10"/>
      <c r="Z866" s="6"/>
      <c r="AC866" s="11"/>
    </row>
    <row r="867" spans="1:29" ht="13.5" customHeight="1">
      <c r="A867" s="309"/>
      <c r="B867" s="340"/>
      <c r="C867" s="340"/>
      <c r="D867" s="340"/>
      <c r="E867" s="341"/>
      <c r="F867" s="8"/>
      <c r="G867" s="8"/>
      <c r="H867" s="208"/>
      <c r="I867" s="342"/>
      <c r="K867" s="311"/>
      <c r="L867" s="343"/>
      <c r="M867" s="344"/>
      <c r="N867" s="345"/>
      <c r="O867" s="311"/>
      <c r="P867" s="311"/>
      <c r="Q867" s="311"/>
      <c r="R867" s="346"/>
      <c r="S867" s="347"/>
      <c r="T867" s="348"/>
      <c r="U867" s="10"/>
      <c r="V867" s="349"/>
      <c r="W867" s="350"/>
      <c r="X867" s="9"/>
      <c r="Y867" s="10"/>
      <c r="Z867" s="6"/>
      <c r="AC867" s="11"/>
    </row>
    <row r="868" spans="1:29" ht="13.5" customHeight="1">
      <c r="A868" s="309"/>
      <c r="B868" s="340"/>
      <c r="C868" s="340"/>
      <c r="D868" s="340"/>
      <c r="E868" s="341"/>
      <c r="F868" s="8"/>
      <c r="G868" s="8"/>
      <c r="H868" s="208"/>
      <c r="I868" s="342"/>
      <c r="K868" s="311"/>
      <c r="L868" s="343"/>
      <c r="M868" s="344"/>
      <c r="N868" s="345"/>
      <c r="O868" s="311"/>
      <c r="P868" s="311"/>
      <c r="Q868" s="311"/>
      <c r="R868" s="346"/>
      <c r="S868" s="347"/>
      <c r="T868" s="348"/>
      <c r="U868" s="10"/>
      <c r="V868" s="349"/>
      <c r="W868" s="350"/>
      <c r="X868" s="9"/>
      <c r="Y868" s="10"/>
      <c r="Z868" s="6"/>
      <c r="AC868" s="11"/>
    </row>
    <row r="869" spans="1:29" ht="13.5" customHeight="1">
      <c r="A869" s="309"/>
      <c r="B869" s="340"/>
      <c r="C869" s="340"/>
      <c r="D869" s="340"/>
      <c r="E869" s="341"/>
      <c r="F869" s="8"/>
      <c r="G869" s="8"/>
      <c r="H869" s="208"/>
      <c r="I869" s="342"/>
      <c r="K869" s="311"/>
      <c r="L869" s="343"/>
      <c r="M869" s="344"/>
      <c r="N869" s="345"/>
      <c r="O869" s="311"/>
      <c r="P869" s="311"/>
      <c r="Q869" s="311"/>
      <c r="R869" s="346"/>
      <c r="S869" s="347"/>
      <c r="T869" s="348"/>
      <c r="U869" s="10"/>
      <c r="V869" s="349"/>
      <c r="W869" s="350"/>
      <c r="X869" s="9"/>
      <c r="Y869" s="10"/>
      <c r="Z869" s="6"/>
      <c r="AC869" s="11"/>
    </row>
    <row r="870" spans="1:29" ht="13.5" customHeight="1">
      <c r="A870" s="309"/>
      <c r="B870" s="340"/>
      <c r="C870" s="340"/>
      <c r="D870" s="340"/>
      <c r="E870" s="341"/>
      <c r="F870" s="8"/>
      <c r="G870" s="8"/>
      <c r="H870" s="208"/>
      <c r="I870" s="342"/>
      <c r="K870" s="311"/>
      <c r="L870" s="343"/>
      <c r="M870" s="344"/>
      <c r="N870" s="345"/>
      <c r="O870" s="311"/>
      <c r="P870" s="311"/>
      <c r="Q870" s="311"/>
      <c r="R870" s="346"/>
      <c r="S870" s="347"/>
      <c r="T870" s="348"/>
      <c r="U870" s="10"/>
      <c r="V870" s="349"/>
      <c r="W870" s="350"/>
      <c r="X870" s="9"/>
      <c r="Y870" s="10"/>
      <c r="Z870" s="6"/>
      <c r="AC870" s="11"/>
    </row>
    <row r="871" spans="1:29" ht="13.5" customHeight="1">
      <c r="A871" s="309"/>
      <c r="B871" s="340"/>
      <c r="C871" s="340"/>
      <c r="D871" s="340"/>
      <c r="E871" s="341"/>
      <c r="F871" s="8"/>
      <c r="G871" s="8"/>
      <c r="H871" s="208"/>
      <c r="I871" s="342"/>
      <c r="K871" s="311"/>
      <c r="L871" s="343"/>
      <c r="M871" s="344"/>
      <c r="N871" s="345"/>
      <c r="O871" s="311"/>
      <c r="P871" s="311"/>
      <c r="Q871" s="311"/>
      <c r="R871" s="346"/>
      <c r="S871" s="347"/>
      <c r="T871" s="348"/>
      <c r="U871" s="10"/>
      <c r="V871" s="349"/>
      <c r="W871" s="350"/>
      <c r="X871" s="9"/>
      <c r="Y871" s="10"/>
      <c r="Z871" s="6"/>
      <c r="AC871" s="11"/>
    </row>
    <row r="872" spans="1:29" ht="13.5" customHeight="1">
      <c r="A872" s="309"/>
      <c r="B872" s="340"/>
      <c r="C872" s="340"/>
      <c r="D872" s="340"/>
      <c r="E872" s="341"/>
      <c r="F872" s="8"/>
      <c r="G872" s="8"/>
      <c r="H872" s="208"/>
      <c r="I872" s="342"/>
      <c r="K872" s="311"/>
      <c r="L872" s="343"/>
      <c r="M872" s="344"/>
      <c r="N872" s="345"/>
      <c r="O872" s="311"/>
      <c r="P872" s="311"/>
      <c r="Q872" s="311"/>
      <c r="R872" s="346"/>
      <c r="S872" s="347"/>
      <c r="T872" s="348"/>
      <c r="U872" s="10"/>
      <c r="V872" s="349"/>
      <c r="W872" s="350"/>
      <c r="X872" s="9"/>
      <c r="Y872" s="10"/>
      <c r="Z872" s="6"/>
      <c r="AC872" s="11"/>
    </row>
    <row r="873" spans="1:29" ht="13.5" customHeight="1">
      <c r="A873" s="309"/>
      <c r="B873" s="340"/>
      <c r="C873" s="340"/>
      <c r="D873" s="340"/>
      <c r="E873" s="341"/>
      <c r="F873" s="8"/>
      <c r="G873" s="8"/>
      <c r="H873" s="208"/>
      <c r="I873" s="342"/>
      <c r="K873" s="311"/>
      <c r="L873" s="343"/>
      <c r="M873" s="344"/>
      <c r="N873" s="345"/>
      <c r="O873" s="311"/>
      <c r="P873" s="311"/>
      <c r="Q873" s="311"/>
      <c r="R873" s="346"/>
      <c r="S873" s="347"/>
      <c r="T873" s="348"/>
      <c r="U873" s="10"/>
      <c r="V873" s="349"/>
      <c r="W873" s="350"/>
      <c r="X873" s="9"/>
      <c r="Y873" s="10"/>
      <c r="Z873" s="6"/>
      <c r="AC873" s="11"/>
    </row>
    <row r="874" spans="1:29" ht="13.5" customHeight="1">
      <c r="A874" s="309"/>
      <c r="B874" s="340"/>
      <c r="C874" s="340"/>
      <c r="D874" s="340"/>
      <c r="E874" s="341"/>
      <c r="F874" s="8"/>
      <c r="G874" s="8"/>
      <c r="H874" s="208"/>
      <c r="I874" s="342"/>
      <c r="K874" s="311"/>
      <c r="L874" s="343"/>
      <c r="M874" s="344"/>
      <c r="N874" s="345"/>
      <c r="O874" s="311"/>
      <c r="P874" s="311"/>
      <c r="Q874" s="311"/>
      <c r="R874" s="346"/>
      <c r="S874" s="347"/>
      <c r="T874" s="348"/>
      <c r="U874" s="10"/>
      <c r="V874" s="349"/>
      <c r="W874" s="350"/>
      <c r="X874" s="9"/>
      <c r="Y874" s="10"/>
      <c r="Z874" s="6"/>
      <c r="AC874" s="11"/>
    </row>
    <row r="875" spans="1:29" ht="13.5" customHeight="1">
      <c r="A875" s="309"/>
      <c r="B875" s="340"/>
      <c r="C875" s="340"/>
      <c r="D875" s="340"/>
      <c r="E875" s="341"/>
      <c r="F875" s="8"/>
      <c r="G875" s="8"/>
      <c r="H875" s="208"/>
      <c r="I875" s="342"/>
      <c r="K875" s="311"/>
      <c r="L875" s="343"/>
      <c r="M875" s="344"/>
      <c r="N875" s="345"/>
      <c r="O875" s="311"/>
      <c r="P875" s="311"/>
      <c r="Q875" s="311"/>
      <c r="R875" s="346"/>
      <c r="S875" s="347"/>
      <c r="T875" s="348"/>
      <c r="U875" s="10"/>
      <c r="V875" s="349"/>
      <c r="W875" s="350"/>
      <c r="X875" s="9"/>
      <c r="Y875" s="10"/>
      <c r="Z875" s="6"/>
      <c r="AC875" s="11"/>
    </row>
    <row r="876" spans="1:29" ht="13.5" customHeight="1">
      <c r="A876" s="309"/>
      <c r="B876" s="340"/>
      <c r="C876" s="340"/>
      <c r="D876" s="340"/>
      <c r="E876" s="341"/>
      <c r="F876" s="8"/>
      <c r="G876" s="8"/>
      <c r="H876" s="208"/>
      <c r="I876" s="342"/>
      <c r="K876" s="311"/>
      <c r="L876" s="343"/>
      <c r="M876" s="344"/>
      <c r="N876" s="345"/>
      <c r="O876" s="311"/>
      <c r="P876" s="311"/>
      <c r="Q876" s="311"/>
      <c r="R876" s="346"/>
      <c r="S876" s="347"/>
      <c r="T876" s="348"/>
      <c r="U876" s="10"/>
      <c r="V876" s="349"/>
      <c r="W876" s="350"/>
      <c r="X876" s="9"/>
      <c r="Y876" s="10"/>
      <c r="Z876" s="6"/>
      <c r="AC876" s="11"/>
    </row>
    <row r="877" spans="1:29" ht="13.5" customHeight="1">
      <c r="A877" s="309"/>
      <c r="B877" s="340"/>
      <c r="C877" s="340"/>
      <c r="D877" s="340"/>
      <c r="E877" s="341"/>
      <c r="F877" s="8"/>
      <c r="G877" s="8"/>
      <c r="H877" s="208"/>
      <c r="I877" s="342"/>
      <c r="K877" s="311"/>
      <c r="L877" s="343"/>
      <c r="M877" s="344"/>
      <c r="N877" s="345"/>
      <c r="O877" s="311"/>
      <c r="P877" s="311"/>
      <c r="Q877" s="311"/>
      <c r="R877" s="346"/>
      <c r="S877" s="347"/>
      <c r="T877" s="348"/>
      <c r="U877" s="10"/>
      <c r="V877" s="349"/>
      <c r="W877" s="350"/>
      <c r="X877" s="9"/>
      <c r="Y877" s="10"/>
      <c r="Z877" s="6"/>
      <c r="AC877" s="11"/>
    </row>
    <row r="878" spans="1:29" ht="13.5" customHeight="1">
      <c r="A878" s="309"/>
      <c r="B878" s="340"/>
      <c r="C878" s="340"/>
      <c r="D878" s="340"/>
      <c r="E878" s="341"/>
      <c r="F878" s="8"/>
      <c r="G878" s="8"/>
      <c r="H878" s="208"/>
      <c r="I878" s="342"/>
      <c r="K878" s="311"/>
      <c r="L878" s="343"/>
      <c r="M878" s="344"/>
      <c r="N878" s="345"/>
      <c r="O878" s="311"/>
      <c r="P878" s="311"/>
      <c r="Q878" s="311"/>
      <c r="R878" s="346"/>
      <c r="S878" s="347"/>
      <c r="T878" s="348"/>
      <c r="U878" s="10"/>
      <c r="V878" s="349"/>
      <c r="W878" s="350"/>
      <c r="X878" s="9"/>
      <c r="Y878" s="10"/>
      <c r="Z878" s="6"/>
      <c r="AC878" s="11"/>
    </row>
    <row r="879" spans="1:29" ht="13.5" customHeight="1">
      <c r="A879" s="309"/>
      <c r="B879" s="340"/>
      <c r="C879" s="340"/>
      <c r="D879" s="340"/>
      <c r="E879" s="341"/>
      <c r="F879" s="8"/>
      <c r="G879" s="8"/>
      <c r="H879" s="208"/>
      <c r="I879" s="342"/>
      <c r="K879" s="311"/>
      <c r="L879" s="343"/>
      <c r="M879" s="344"/>
      <c r="N879" s="345"/>
      <c r="O879" s="311"/>
      <c r="P879" s="311"/>
      <c r="Q879" s="311"/>
      <c r="R879" s="346"/>
      <c r="S879" s="347"/>
      <c r="T879" s="348"/>
      <c r="U879" s="10"/>
      <c r="V879" s="349"/>
      <c r="W879" s="350"/>
      <c r="X879" s="9"/>
      <c r="Y879" s="10"/>
      <c r="Z879" s="6"/>
      <c r="AC879" s="11"/>
    </row>
    <row r="880" spans="1:29" ht="13.5" customHeight="1">
      <c r="A880" s="309"/>
      <c r="B880" s="340"/>
      <c r="C880" s="340"/>
      <c r="D880" s="340"/>
      <c r="E880" s="341"/>
      <c r="F880" s="8"/>
      <c r="G880" s="8"/>
      <c r="H880" s="208"/>
      <c r="I880" s="342"/>
      <c r="K880" s="311"/>
      <c r="L880" s="343"/>
      <c r="M880" s="344"/>
      <c r="N880" s="345"/>
      <c r="O880" s="311"/>
      <c r="P880" s="311"/>
      <c r="Q880" s="311"/>
      <c r="R880" s="346"/>
      <c r="S880" s="347"/>
      <c r="T880" s="348"/>
      <c r="U880" s="10"/>
      <c r="V880" s="349"/>
      <c r="W880" s="350"/>
      <c r="X880" s="9"/>
      <c r="Y880" s="10"/>
      <c r="Z880" s="6"/>
      <c r="AC880" s="11"/>
    </row>
    <row r="881" spans="1:29" ht="13.5" customHeight="1">
      <c r="A881" s="309"/>
      <c r="B881" s="340"/>
      <c r="C881" s="340"/>
      <c r="D881" s="340"/>
      <c r="E881" s="341"/>
      <c r="F881" s="8"/>
      <c r="G881" s="8"/>
      <c r="H881" s="208"/>
      <c r="I881" s="342"/>
      <c r="K881" s="311"/>
      <c r="L881" s="343"/>
      <c r="M881" s="344"/>
      <c r="N881" s="345"/>
      <c r="O881" s="311"/>
      <c r="P881" s="311"/>
      <c r="Q881" s="311"/>
      <c r="R881" s="346"/>
      <c r="S881" s="347"/>
      <c r="T881" s="348"/>
      <c r="U881" s="10"/>
      <c r="V881" s="349"/>
      <c r="W881" s="350"/>
      <c r="X881" s="9"/>
      <c r="Y881" s="10"/>
      <c r="Z881" s="6"/>
      <c r="AC881" s="11"/>
    </row>
    <row r="882" spans="1:29" ht="13.5" customHeight="1">
      <c r="A882" s="309"/>
      <c r="B882" s="340"/>
      <c r="C882" s="340"/>
      <c r="D882" s="340"/>
      <c r="E882" s="341"/>
      <c r="F882" s="8"/>
      <c r="G882" s="8"/>
      <c r="H882" s="208"/>
      <c r="I882" s="342"/>
      <c r="K882" s="311"/>
      <c r="L882" s="343"/>
      <c r="M882" s="344"/>
      <c r="N882" s="345"/>
      <c r="O882" s="311"/>
      <c r="P882" s="311"/>
      <c r="Q882" s="311"/>
      <c r="R882" s="346"/>
      <c r="S882" s="347"/>
      <c r="T882" s="348"/>
      <c r="U882" s="10"/>
      <c r="V882" s="349"/>
      <c r="W882" s="350"/>
      <c r="X882" s="9"/>
      <c r="Y882" s="10"/>
      <c r="Z882" s="6"/>
      <c r="AC882" s="11"/>
    </row>
    <row r="883" spans="1:29" ht="13.5" customHeight="1">
      <c r="A883" s="309"/>
      <c r="B883" s="340"/>
      <c r="C883" s="340"/>
      <c r="D883" s="340"/>
      <c r="E883" s="341"/>
      <c r="F883" s="8"/>
      <c r="G883" s="8"/>
      <c r="H883" s="208"/>
      <c r="I883" s="342"/>
      <c r="K883" s="311"/>
      <c r="L883" s="343"/>
      <c r="M883" s="344"/>
      <c r="N883" s="345"/>
      <c r="O883" s="311"/>
      <c r="P883" s="311"/>
      <c r="Q883" s="311"/>
      <c r="R883" s="346"/>
      <c r="S883" s="347"/>
      <c r="T883" s="348"/>
      <c r="U883" s="10"/>
      <c r="V883" s="349"/>
      <c r="W883" s="350"/>
      <c r="X883" s="9"/>
      <c r="Y883" s="10"/>
      <c r="Z883" s="6"/>
      <c r="AC883" s="11"/>
    </row>
    <row r="884" spans="1:29" ht="13.5" customHeight="1">
      <c r="A884" s="309"/>
      <c r="B884" s="340"/>
      <c r="C884" s="340"/>
      <c r="D884" s="340"/>
      <c r="E884" s="341"/>
      <c r="F884" s="8"/>
      <c r="G884" s="8"/>
      <c r="H884" s="208"/>
      <c r="I884" s="342"/>
      <c r="K884" s="311"/>
      <c r="L884" s="343"/>
      <c r="M884" s="344"/>
      <c r="N884" s="345"/>
      <c r="O884" s="311"/>
      <c r="P884" s="311"/>
      <c r="Q884" s="311"/>
      <c r="R884" s="346"/>
      <c r="S884" s="347"/>
      <c r="T884" s="348"/>
      <c r="U884" s="10"/>
      <c r="V884" s="349"/>
      <c r="W884" s="350"/>
      <c r="X884" s="9"/>
      <c r="Y884" s="10"/>
      <c r="Z884" s="6"/>
      <c r="AC884" s="11"/>
    </row>
    <row r="885" spans="1:29" ht="13.5" customHeight="1">
      <c r="A885" s="309"/>
      <c r="B885" s="340"/>
      <c r="C885" s="340"/>
      <c r="D885" s="340"/>
      <c r="E885" s="341"/>
      <c r="F885" s="8"/>
      <c r="G885" s="8"/>
      <c r="H885" s="208"/>
      <c r="I885" s="342"/>
      <c r="K885" s="311"/>
      <c r="L885" s="343"/>
      <c r="M885" s="344"/>
      <c r="N885" s="345"/>
      <c r="O885" s="311"/>
      <c r="P885" s="311"/>
      <c r="Q885" s="311"/>
      <c r="R885" s="346"/>
      <c r="S885" s="347"/>
      <c r="T885" s="348"/>
      <c r="U885" s="10"/>
      <c r="V885" s="349"/>
      <c r="W885" s="350"/>
      <c r="X885" s="9"/>
      <c r="Y885" s="10"/>
      <c r="Z885" s="6"/>
      <c r="AC885" s="11"/>
    </row>
    <row r="886" spans="1:29" ht="13.5" customHeight="1">
      <c r="A886" s="309"/>
      <c r="B886" s="340"/>
      <c r="C886" s="340"/>
      <c r="D886" s="340"/>
      <c r="E886" s="341"/>
      <c r="F886" s="8"/>
      <c r="G886" s="8"/>
      <c r="H886" s="208"/>
      <c r="I886" s="342"/>
      <c r="K886" s="311"/>
      <c r="L886" s="343"/>
      <c r="M886" s="344"/>
      <c r="N886" s="345"/>
      <c r="O886" s="311"/>
      <c r="P886" s="311"/>
      <c r="Q886" s="311"/>
      <c r="R886" s="346"/>
      <c r="S886" s="347"/>
      <c r="T886" s="348"/>
      <c r="U886" s="10"/>
      <c r="V886" s="349"/>
      <c r="W886" s="350"/>
      <c r="X886" s="9"/>
      <c r="Y886" s="10"/>
      <c r="Z886" s="6"/>
      <c r="AC886" s="11"/>
    </row>
    <row r="887" spans="1:29" ht="13.5" customHeight="1">
      <c r="A887" s="309"/>
      <c r="B887" s="340"/>
      <c r="C887" s="340"/>
      <c r="D887" s="340"/>
      <c r="E887" s="341"/>
      <c r="F887" s="8"/>
      <c r="G887" s="8"/>
      <c r="H887" s="208"/>
      <c r="I887" s="342"/>
      <c r="K887" s="311"/>
      <c r="L887" s="343"/>
      <c r="M887" s="344"/>
      <c r="N887" s="345"/>
      <c r="O887" s="311"/>
      <c r="P887" s="311"/>
      <c r="Q887" s="311"/>
      <c r="R887" s="346"/>
      <c r="S887" s="347"/>
      <c r="T887" s="348"/>
      <c r="U887" s="10"/>
      <c r="V887" s="349"/>
      <c r="W887" s="350"/>
      <c r="X887" s="9"/>
      <c r="Y887" s="10"/>
      <c r="Z887" s="6"/>
      <c r="AC887" s="11"/>
    </row>
    <row r="888" spans="1:29" ht="13.5" customHeight="1">
      <c r="A888" s="309"/>
      <c r="B888" s="340"/>
      <c r="C888" s="340"/>
      <c r="D888" s="340"/>
      <c r="E888" s="341"/>
      <c r="F888" s="8"/>
      <c r="G888" s="8"/>
      <c r="H888" s="208"/>
      <c r="I888" s="342"/>
      <c r="K888" s="311"/>
      <c r="L888" s="343"/>
      <c r="M888" s="344"/>
      <c r="N888" s="345"/>
      <c r="O888" s="311"/>
      <c r="P888" s="311"/>
      <c r="Q888" s="311"/>
      <c r="R888" s="346"/>
      <c r="S888" s="347"/>
      <c r="T888" s="348"/>
      <c r="U888" s="10"/>
      <c r="V888" s="349"/>
      <c r="W888" s="350"/>
      <c r="X888" s="9"/>
      <c r="Y888" s="10"/>
      <c r="Z888" s="6"/>
      <c r="AC888" s="11"/>
    </row>
    <row r="889" spans="1:29" ht="13.5" customHeight="1">
      <c r="A889" s="309"/>
      <c r="B889" s="340"/>
      <c r="C889" s="340"/>
      <c r="D889" s="340"/>
      <c r="E889" s="341"/>
      <c r="F889" s="8"/>
      <c r="G889" s="8"/>
      <c r="H889" s="208"/>
      <c r="I889" s="342"/>
      <c r="K889" s="311"/>
      <c r="L889" s="343"/>
      <c r="M889" s="344"/>
      <c r="N889" s="345"/>
      <c r="O889" s="311"/>
      <c r="P889" s="311"/>
      <c r="Q889" s="311"/>
      <c r="R889" s="346"/>
      <c r="S889" s="347"/>
      <c r="T889" s="348"/>
      <c r="U889" s="10"/>
      <c r="V889" s="349"/>
      <c r="W889" s="350"/>
      <c r="X889" s="9"/>
      <c r="Y889" s="10"/>
      <c r="Z889" s="6"/>
      <c r="AC889" s="11"/>
    </row>
    <row r="890" spans="1:29" ht="13.5" customHeight="1">
      <c r="A890" s="309"/>
      <c r="B890" s="340"/>
      <c r="C890" s="340"/>
      <c r="D890" s="340"/>
      <c r="E890" s="341"/>
      <c r="F890" s="8"/>
      <c r="G890" s="8"/>
      <c r="H890" s="208"/>
      <c r="I890" s="342"/>
      <c r="K890" s="311"/>
      <c r="L890" s="343"/>
      <c r="M890" s="344"/>
      <c r="N890" s="345"/>
      <c r="O890" s="311"/>
      <c r="P890" s="311"/>
      <c r="Q890" s="311"/>
      <c r="R890" s="346"/>
      <c r="S890" s="347"/>
      <c r="T890" s="348"/>
      <c r="U890" s="10"/>
      <c r="V890" s="349"/>
      <c r="W890" s="350"/>
      <c r="X890" s="9"/>
      <c r="Y890" s="10"/>
      <c r="Z890" s="6"/>
      <c r="AC890" s="11"/>
    </row>
    <row r="891" spans="1:29" ht="13.5" customHeight="1">
      <c r="A891" s="309"/>
      <c r="B891" s="340"/>
      <c r="C891" s="340"/>
      <c r="D891" s="340"/>
      <c r="E891" s="341"/>
      <c r="F891" s="8"/>
      <c r="G891" s="8"/>
      <c r="H891" s="208"/>
      <c r="I891" s="342"/>
      <c r="K891" s="311"/>
      <c r="L891" s="343"/>
      <c r="M891" s="344"/>
      <c r="N891" s="345"/>
      <c r="O891" s="311"/>
      <c r="P891" s="311"/>
      <c r="Q891" s="311"/>
      <c r="R891" s="346"/>
      <c r="S891" s="347"/>
      <c r="T891" s="348"/>
      <c r="U891" s="10"/>
      <c r="V891" s="349"/>
      <c r="W891" s="350"/>
      <c r="X891" s="9"/>
      <c r="Y891" s="10"/>
      <c r="Z891" s="6"/>
      <c r="AC891" s="11"/>
    </row>
    <row r="892" spans="1:29" ht="13.5" customHeight="1">
      <c r="A892" s="309"/>
      <c r="B892" s="340"/>
      <c r="C892" s="340"/>
      <c r="D892" s="340"/>
      <c r="E892" s="341"/>
      <c r="F892" s="8"/>
      <c r="G892" s="8"/>
      <c r="H892" s="208"/>
      <c r="I892" s="342"/>
      <c r="K892" s="311"/>
      <c r="L892" s="343"/>
      <c r="M892" s="344"/>
      <c r="N892" s="345"/>
      <c r="O892" s="311"/>
      <c r="P892" s="311"/>
      <c r="Q892" s="311"/>
      <c r="R892" s="346"/>
      <c r="S892" s="347"/>
      <c r="T892" s="348"/>
      <c r="U892" s="10"/>
      <c r="V892" s="349"/>
      <c r="W892" s="350"/>
      <c r="X892" s="9"/>
      <c r="Y892" s="10"/>
      <c r="Z892" s="6"/>
      <c r="AC892" s="11"/>
    </row>
    <row r="893" spans="1:29" ht="13.5" customHeight="1">
      <c r="A893" s="309"/>
      <c r="B893" s="340"/>
      <c r="C893" s="340"/>
      <c r="D893" s="340"/>
      <c r="E893" s="341"/>
      <c r="F893" s="8"/>
      <c r="G893" s="8"/>
      <c r="H893" s="208"/>
      <c r="I893" s="342"/>
      <c r="K893" s="311"/>
      <c r="L893" s="343"/>
      <c r="M893" s="344"/>
      <c r="N893" s="345"/>
      <c r="O893" s="311"/>
      <c r="P893" s="311"/>
      <c r="Q893" s="311"/>
      <c r="R893" s="346"/>
      <c r="S893" s="347"/>
      <c r="T893" s="348"/>
      <c r="U893" s="10"/>
      <c r="V893" s="349"/>
      <c r="W893" s="350"/>
      <c r="X893" s="9"/>
      <c r="Y893" s="10"/>
      <c r="Z893" s="6"/>
      <c r="AC893" s="11"/>
    </row>
    <row r="894" spans="1:29" ht="13.5" customHeight="1">
      <c r="A894" s="309"/>
      <c r="B894" s="340"/>
      <c r="C894" s="340"/>
      <c r="D894" s="340"/>
      <c r="E894" s="341"/>
      <c r="F894" s="8"/>
      <c r="G894" s="8"/>
      <c r="H894" s="208"/>
      <c r="I894" s="342"/>
      <c r="K894" s="311"/>
      <c r="L894" s="343"/>
      <c r="M894" s="344"/>
      <c r="N894" s="345"/>
      <c r="O894" s="311"/>
      <c r="P894" s="311"/>
      <c r="Q894" s="311"/>
      <c r="R894" s="346"/>
      <c r="S894" s="347"/>
      <c r="T894" s="348"/>
      <c r="U894" s="10"/>
      <c r="V894" s="349"/>
      <c r="W894" s="350"/>
      <c r="X894" s="9"/>
      <c r="Y894" s="10"/>
      <c r="Z894" s="6"/>
      <c r="AC894" s="11"/>
    </row>
    <row r="895" spans="1:29" ht="13.5" customHeight="1">
      <c r="A895" s="309"/>
      <c r="B895" s="340"/>
      <c r="C895" s="340"/>
      <c r="D895" s="340"/>
      <c r="E895" s="341"/>
      <c r="F895" s="8"/>
      <c r="G895" s="8"/>
      <c r="H895" s="208"/>
      <c r="I895" s="342"/>
      <c r="K895" s="311"/>
      <c r="L895" s="343"/>
      <c r="M895" s="344"/>
      <c r="N895" s="345"/>
      <c r="O895" s="311"/>
      <c r="P895" s="311"/>
      <c r="Q895" s="311"/>
      <c r="R895" s="346"/>
      <c r="S895" s="347"/>
      <c r="T895" s="348"/>
      <c r="U895" s="10"/>
      <c r="V895" s="349"/>
      <c r="W895" s="350"/>
      <c r="X895" s="9"/>
      <c r="Y895" s="10"/>
      <c r="Z895" s="6"/>
      <c r="AC895" s="11"/>
    </row>
    <row r="896" spans="1:29" ht="13.5" customHeight="1">
      <c r="A896" s="309"/>
      <c r="B896" s="340"/>
      <c r="C896" s="340"/>
      <c r="D896" s="340"/>
      <c r="E896" s="341"/>
      <c r="F896" s="8"/>
      <c r="G896" s="8"/>
      <c r="H896" s="208"/>
      <c r="I896" s="342"/>
      <c r="K896" s="311"/>
      <c r="L896" s="343"/>
      <c r="M896" s="344"/>
      <c r="N896" s="345"/>
      <c r="O896" s="311"/>
      <c r="P896" s="311"/>
      <c r="Q896" s="311"/>
      <c r="R896" s="346"/>
      <c r="S896" s="347"/>
      <c r="T896" s="348"/>
      <c r="U896" s="10"/>
      <c r="V896" s="349"/>
      <c r="W896" s="350"/>
      <c r="X896" s="9"/>
      <c r="Y896" s="10"/>
      <c r="Z896" s="6"/>
      <c r="AC896" s="11"/>
    </row>
    <row r="897" spans="1:29" ht="13.5" customHeight="1">
      <c r="A897" s="309"/>
      <c r="B897" s="340"/>
      <c r="C897" s="340"/>
      <c r="D897" s="340"/>
      <c r="E897" s="341"/>
      <c r="F897" s="8"/>
      <c r="G897" s="8"/>
      <c r="H897" s="208"/>
      <c r="I897" s="342"/>
      <c r="K897" s="311"/>
      <c r="L897" s="343"/>
      <c r="M897" s="344"/>
      <c r="N897" s="345"/>
      <c r="O897" s="311"/>
      <c r="P897" s="311"/>
      <c r="Q897" s="311"/>
      <c r="R897" s="346"/>
      <c r="S897" s="347"/>
      <c r="T897" s="348"/>
      <c r="U897" s="10"/>
      <c r="V897" s="349"/>
      <c r="W897" s="350"/>
      <c r="X897" s="9"/>
      <c r="Y897" s="10"/>
      <c r="Z897" s="6"/>
      <c r="AC897" s="11"/>
    </row>
    <row r="898" spans="1:29" ht="13.5" customHeight="1">
      <c r="A898" s="309"/>
      <c r="B898" s="340"/>
      <c r="C898" s="340"/>
      <c r="D898" s="340"/>
      <c r="E898" s="341"/>
      <c r="F898" s="8"/>
      <c r="G898" s="8"/>
      <c r="H898" s="208"/>
      <c r="I898" s="342"/>
      <c r="K898" s="311"/>
      <c r="L898" s="343"/>
      <c r="M898" s="344"/>
      <c r="N898" s="345"/>
      <c r="O898" s="311"/>
      <c r="P898" s="311"/>
      <c r="Q898" s="311"/>
      <c r="R898" s="346"/>
      <c r="S898" s="347"/>
      <c r="T898" s="348"/>
      <c r="U898" s="10"/>
      <c r="V898" s="349"/>
      <c r="W898" s="350"/>
      <c r="X898" s="9"/>
      <c r="Y898" s="10"/>
      <c r="Z898" s="6"/>
      <c r="AC898" s="11"/>
    </row>
    <row r="899" spans="1:29" ht="13.5" customHeight="1">
      <c r="A899" s="309"/>
      <c r="B899" s="340"/>
      <c r="C899" s="340"/>
      <c r="D899" s="340"/>
      <c r="E899" s="341"/>
      <c r="F899" s="8"/>
      <c r="G899" s="8"/>
      <c r="H899" s="208"/>
      <c r="I899" s="342"/>
      <c r="K899" s="311"/>
      <c r="L899" s="343"/>
      <c r="M899" s="344"/>
      <c r="N899" s="345"/>
      <c r="O899" s="311"/>
      <c r="P899" s="311"/>
      <c r="Q899" s="311"/>
      <c r="R899" s="346"/>
      <c r="S899" s="347"/>
      <c r="T899" s="348"/>
      <c r="U899" s="10"/>
      <c r="V899" s="349"/>
      <c r="W899" s="350"/>
      <c r="X899" s="9"/>
      <c r="Y899" s="10"/>
      <c r="Z899" s="6"/>
      <c r="AC899" s="11"/>
    </row>
    <row r="900" spans="1:29" ht="13.5" customHeight="1">
      <c r="A900" s="309"/>
      <c r="B900" s="340"/>
      <c r="C900" s="340"/>
      <c r="D900" s="340"/>
      <c r="E900" s="341"/>
      <c r="F900" s="8"/>
      <c r="G900" s="8"/>
      <c r="H900" s="208"/>
      <c r="I900" s="342"/>
      <c r="K900" s="311"/>
      <c r="L900" s="343"/>
      <c r="M900" s="344"/>
      <c r="N900" s="345"/>
      <c r="O900" s="311"/>
      <c r="P900" s="311"/>
      <c r="Q900" s="311"/>
      <c r="R900" s="346"/>
      <c r="S900" s="347"/>
      <c r="T900" s="348"/>
      <c r="U900" s="10"/>
      <c r="V900" s="349"/>
      <c r="W900" s="350"/>
      <c r="X900" s="9"/>
      <c r="Y900" s="10"/>
      <c r="Z900" s="6"/>
      <c r="AC900" s="11"/>
    </row>
    <row r="901" spans="1:29" ht="13.5" customHeight="1">
      <c r="A901" s="309"/>
      <c r="B901" s="340"/>
      <c r="C901" s="340"/>
      <c r="D901" s="340"/>
      <c r="E901" s="341"/>
      <c r="F901" s="8"/>
      <c r="G901" s="8"/>
      <c r="H901" s="208"/>
      <c r="I901" s="342"/>
      <c r="K901" s="311"/>
      <c r="L901" s="343"/>
      <c r="M901" s="344"/>
      <c r="N901" s="345"/>
      <c r="O901" s="311"/>
      <c r="P901" s="311"/>
      <c r="Q901" s="311"/>
      <c r="R901" s="346"/>
      <c r="S901" s="347"/>
      <c r="T901" s="348"/>
      <c r="U901" s="10"/>
      <c r="V901" s="349"/>
      <c r="W901" s="350"/>
      <c r="X901" s="9"/>
      <c r="Y901" s="10"/>
      <c r="Z901" s="6"/>
      <c r="AC901" s="11"/>
    </row>
    <row r="902" spans="1:29" ht="13.5" customHeight="1">
      <c r="A902" s="309"/>
      <c r="B902" s="340"/>
      <c r="C902" s="340"/>
      <c r="D902" s="340"/>
      <c r="E902" s="341"/>
      <c r="F902" s="8"/>
      <c r="G902" s="8"/>
      <c r="H902" s="208"/>
      <c r="I902" s="342"/>
      <c r="K902" s="311"/>
      <c r="L902" s="343"/>
      <c r="M902" s="344"/>
      <c r="N902" s="345"/>
      <c r="O902" s="311"/>
      <c r="P902" s="311"/>
      <c r="Q902" s="311"/>
      <c r="R902" s="346"/>
      <c r="S902" s="347"/>
      <c r="T902" s="348"/>
      <c r="U902" s="10"/>
      <c r="V902" s="349"/>
      <c r="W902" s="350"/>
      <c r="X902" s="9"/>
      <c r="Y902" s="10"/>
      <c r="Z902" s="6"/>
      <c r="AC902" s="11"/>
    </row>
    <row r="903" spans="1:29" ht="13.5" customHeight="1">
      <c r="A903" s="309"/>
      <c r="B903" s="340"/>
      <c r="C903" s="340"/>
      <c r="D903" s="340"/>
      <c r="E903" s="341"/>
      <c r="F903" s="8"/>
      <c r="G903" s="8"/>
      <c r="H903" s="208"/>
      <c r="I903" s="342"/>
      <c r="K903" s="311"/>
      <c r="L903" s="343"/>
      <c r="M903" s="344"/>
      <c r="N903" s="345"/>
      <c r="O903" s="311"/>
      <c r="P903" s="311"/>
      <c r="Q903" s="311"/>
      <c r="R903" s="346"/>
      <c r="S903" s="347"/>
      <c r="T903" s="348"/>
      <c r="U903" s="10"/>
      <c r="V903" s="349"/>
      <c r="W903" s="350"/>
      <c r="X903" s="9"/>
      <c r="Y903" s="10"/>
      <c r="Z903" s="6"/>
      <c r="AC903" s="11"/>
    </row>
    <row r="904" spans="1:29" ht="13.5" customHeight="1">
      <c r="A904" s="309"/>
      <c r="B904" s="340"/>
      <c r="C904" s="340"/>
      <c r="D904" s="340"/>
      <c r="E904" s="341"/>
      <c r="F904" s="8"/>
      <c r="G904" s="8"/>
      <c r="H904" s="208"/>
      <c r="I904" s="342"/>
      <c r="K904" s="311"/>
      <c r="L904" s="343"/>
      <c r="M904" s="344"/>
      <c r="N904" s="345"/>
      <c r="O904" s="311"/>
      <c r="P904" s="311"/>
      <c r="Q904" s="311"/>
      <c r="R904" s="346"/>
      <c r="S904" s="347"/>
      <c r="T904" s="348"/>
      <c r="U904" s="10"/>
      <c r="V904" s="349"/>
      <c r="W904" s="350"/>
      <c r="X904" s="9"/>
      <c r="Y904" s="10"/>
      <c r="Z904" s="6"/>
      <c r="AC904" s="11"/>
    </row>
    <row r="905" spans="1:29" ht="13.5" customHeight="1">
      <c r="A905" s="309"/>
      <c r="B905" s="340"/>
      <c r="C905" s="340"/>
      <c r="D905" s="340"/>
      <c r="E905" s="341"/>
      <c r="F905" s="8"/>
      <c r="G905" s="8"/>
      <c r="H905" s="208"/>
      <c r="I905" s="342"/>
      <c r="K905" s="311"/>
      <c r="L905" s="343"/>
      <c r="M905" s="344"/>
      <c r="N905" s="345"/>
      <c r="O905" s="311"/>
      <c r="P905" s="311"/>
      <c r="Q905" s="311"/>
      <c r="R905" s="346"/>
      <c r="S905" s="347"/>
      <c r="T905" s="348"/>
      <c r="U905" s="10"/>
      <c r="V905" s="349"/>
      <c r="W905" s="350"/>
      <c r="X905" s="9"/>
      <c r="Y905" s="10"/>
      <c r="Z905" s="6"/>
      <c r="AC905" s="11"/>
    </row>
    <row r="906" spans="1:29" ht="13.5" customHeight="1">
      <c r="A906" s="309"/>
      <c r="B906" s="340"/>
      <c r="C906" s="340"/>
      <c r="D906" s="340"/>
      <c r="E906" s="341"/>
      <c r="F906" s="8"/>
      <c r="G906" s="8"/>
      <c r="H906" s="208"/>
      <c r="I906" s="342"/>
      <c r="K906" s="311"/>
      <c r="L906" s="343"/>
      <c r="M906" s="344"/>
      <c r="N906" s="345"/>
      <c r="O906" s="311"/>
      <c r="P906" s="311"/>
      <c r="Q906" s="311"/>
      <c r="R906" s="346"/>
      <c r="S906" s="347"/>
      <c r="T906" s="348"/>
      <c r="U906" s="10"/>
      <c r="V906" s="349"/>
      <c r="W906" s="350"/>
      <c r="X906" s="9"/>
      <c r="Y906" s="10"/>
      <c r="Z906" s="6"/>
      <c r="AC906" s="11"/>
    </row>
    <row r="907" spans="1:29" ht="13.5" customHeight="1">
      <c r="A907" s="309"/>
      <c r="B907" s="340"/>
      <c r="C907" s="340"/>
      <c r="D907" s="340"/>
      <c r="E907" s="341"/>
      <c r="F907" s="8"/>
      <c r="G907" s="8"/>
      <c r="H907" s="208"/>
      <c r="I907" s="342"/>
      <c r="K907" s="311"/>
      <c r="L907" s="343"/>
      <c r="M907" s="344"/>
      <c r="N907" s="345"/>
      <c r="O907" s="311"/>
      <c r="P907" s="311"/>
      <c r="Q907" s="311"/>
      <c r="R907" s="346"/>
      <c r="S907" s="347"/>
      <c r="T907" s="348"/>
      <c r="U907" s="10"/>
      <c r="V907" s="349"/>
      <c r="W907" s="350"/>
      <c r="X907" s="9"/>
      <c r="Y907" s="10"/>
      <c r="Z907" s="6"/>
      <c r="AC907" s="11"/>
    </row>
    <row r="908" spans="1:29" ht="13.5" customHeight="1">
      <c r="A908" s="309"/>
      <c r="B908" s="340"/>
      <c r="C908" s="340"/>
      <c r="D908" s="340"/>
      <c r="E908" s="341"/>
      <c r="F908" s="8"/>
      <c r="G908" s="8"/>
      <c r="H908" s="208"/>
      <c r="I908" s="342"/>
      <c r="K908" s="311"/>
      <c r="L908" s="343"/>
      <c r="M908" s="344"/>
      <c r="N908" s="345"/>
      <c r="O908" s="311"/>
      <c r="P908" s="311"/>
      <c r="Q908" s="311"/>
      <c r="R908" s="346"/>
      <c r="S908" s="347"/>
      <c r="T908" s="348"/>
      <c r="U908" s="10"/>
      <c r="V908" s="349"/>
      <c r="W908" s="350"/>
      <c r="X908" s="9"/>
      <c r="Y908" s="10"/>
      <c r="Z908" s="6"/>
      <c r="AC908" s="11"/>
    </row>
    <row r="909" spans="1:29" ht="13.5" customHeight="1">
      <c r="A909" s="309"/>
      <c r="B909" s="340"/>
      <c r="C909" s="340"/>
      <c r="D909" s="340"/>
      <c r="E909" s="341"/>
      <c r="F909" s="8"/>
      <c r="G909" s="8"/>
      <c r="H909" s="208"/>
      <c r="I909" s="342"/>
      <c r="K909" s="311"/>
      <c r="L909" s="343"/>
      <c r="M909" s="344"/>
      <c r="N909" s="345"/>
      <c r="O909" s="311"/>
      <c r="P909" s="311"/>
      <c r="Q909" s="311"/>
      <c r="R909" s="346"/>
      <c r="S909" s="347"/>
      <c r="T909" s="348"/>
      <c r="U909" s="10"/>
      <c r="V909" s="349"/>
      <c r="W909" s="350"/>
      <c r="X909" s="9"/>
      <c r="Y909" s="10"/>
      <c r="Z909" s="6"/>
      <c r="AC909" s="11"/>
    </row>
    <row r="910" spans="1:29" ht="13.5" customHeight="1">
      <c r="A910" s="309"/>
      <c r="B910" s="340"/>
      <c r="C910" s="340"/>
      <c r="D910" s="340"/>
      <c r="E910" s="341"/>
      <c r="F910" s="8"/>
      <c r="G910" s="8"/>
      <c r="H910" s="208"/>
      <c r="I910" s="342"/>
      <c r="K910" s="311"/>
      <c r="L910" s="343"/>
      <c r="M910" s="344"/>
      <c r="N910" s="345"/>
      <c r="O910" s="311"/>
      <c r="P910" s="311"/>
      <c r="Q910" s="311"/>
      <c r="R910" s="346"/>
      <c r="S910" s="347"/>
      <c r="T910" s="348"/>
      <c r="U910" s="10"/>
      <c r="V910" s="349"/>
      <c r="W910" s="350"/>
      <c r="X910" s="9"/>
      <c r="Y910" s="10"/>
      <c r="Z910" s="6"/>
      <c r="AC910" s="11"/>
    </row>
    <row r="911" spans="1:29" ht="13.5" customHeight="1">
      <c r="A911" s="309"/>
      <c r="B911" s="340"/>
      <c r="C911" s="340"/>
      <c r="D911" s="340"/>
      <c r="E911" s="341"/>
      <c r="F911" s="8"/>
      <c r="G911" s="8"/>
      <c r="H911" s="208"/>
      <c r="I911" s="342"/>
      <c r="K911" s="311"/>
      <c r="L911" s="343"/>
      <c r="M911" s="344"/>
      <c r="N911" s="345"/>
      <c r="O911" s="311"/>
      <c r="P911" s="311"/>
      <c r="Q911" s="311"/>
      <c r="R911" s="346"/>
      <c r="S911" s="347"/>
      <c r="T911" s="348"/>
      <c r="U911" s="10"/>
      <c r="V911" s="349"/>
      <c r="W911" s="350"/>
      <c r="X911" s="9"/>
      <c r="Y911" s="10"/>
      <c r="Z911" s="6"/>
      <c r="AC911" s="11"/>
    </row>
    <row r="912" spans="1:29" ht="13.5" customHeight="1">
      <c r="A912" s="309"/>
      <c r="B912" s="340"/>
      <c r="C912" s="340"/>
      <c r="D912" s="340"/>
      <c r="E912" s="341"/>
      <c r="F912" s="8"/>
      <c r="G912" s="8"/>
      <c r="H912" s="208"/>
      <c r="I912" s="342"/>
      <c r="K912" s="311"/>
      <c r="L912" s="343"/>
      <c r="M912" s="344"/>
      <c r="N912" s="345"/>
      <c r="O912" s="311"/>
      <c r="P912" s="311"/>
      <c r="Q912" s="311"/>
      <c r="R912" s="346"/>
      <c r="S912" s="347"/>
      <c r="T912" s="348"/>
      <c r="U912" s="10"/>
      <c r="V912" s="349"/>
      <c r="W912" s="350"/>
      <c r="X912" s="9"/>
      <c r="Y912" s="10"/>
      <c r="Z912" s="6"/>
      <c r="AC912" s="11"/>
    </row>
    <row r="913" spans="1:29" ht="13.5" customHeight="1">
      <c r="A913" s="309"/>
      <c r="B913" s="340"/>
      <c r="C913" s="340"/>
      <c r="D913" s="340"/>
      <c r="E913" s="341"/>
      <c r="F913" s="8"/>
      <c r="G913" s="8"/>
      <c r="H913" s="208"/>
      <c r="I913" s="342"/>
      <c r="K913" s="311"/>
      <c r="L913" s="343"/>
      <c r="M913" s="344"/>
      <c r="N913" s="345"/>
      <c r="O913" s="311"/>
      <c r="P913" s="311"/>
      <c r="Q913" s="311"/>
      <c r="R913" s="346"/>
      <c r="S913" s="347"/>
      <c r="T913" s="348"/>
      <c r="U913" s="10"/>
      <c r="V913" s="349"/>
      <c r="W913" s="350"/>
      <c r="X913" s="9"/>
      <c r="Y913" s="10"/>
      <c r="Z913" s="6"/>
      <c r="AC913" s="11"/>
    </row>
    <row r="914" spans="1:29" ht="13.5" customHeight="1">
      <c r="A914" s="309"/>
      <c r="B914" s="340"/>
      <c r="C914" s="340"/>
      <c r="D914" s="340"/>
      <c r="E914" s="341"/>
      <c r="F914" s="8"/>
      <c r="G914" s="8"/>
      <c r="H914" s="208"/>
      <c r="I914" s="342"/>
      <c r="K914" s="311"/>
      <c r="L914" s="343"/>
      <c r="M914" s="344"/>
      <c r="N914" s="345"/>
      <c r="O914" s="311"/>
      <c r="P914" s="311"/>
      <c r="Q914" s="311"/>
      <c r="R914" s="346"/>
      <c r="S914" s="347"/>
      <c r="T914" s="348"/>
      <c r="U914" s="10"/>
      <c r="V914" s="349"/>
      <c r="W914" s="350"/>
      <c r="X914" s="9"/>
      <c r="Y914" s="10"/>
      <c r="Z914" s="6"/>
      <c r="AC914" s="11"/>
    </row>
    <row r="915" spans="1:29" ht="13.5" customHeight="1">
      <c r="A915" s="309"/>
      <c r="B915" s="340"/>
      <c r="C915" s="340"/>
      <c r="D915" s="340"/>
      <c r="E915" s="341"/>
      <c r="F915" s="8"/>
      <c r="G915" s="8"/>
      <c r="H915" s="208"/>
      <c r="I915" s="342"/>
      <c r="K915" s="311"/>
      <c r="L915" s="343"/>
      <c r="M915" s="344"/>
      <c r="N915" s="345"/>
      <c r="O915" s="311"/>
      <c r="P915" s="311"/>
      <c r="Q915" s="311"/>
      <c r="R915" s="346"/>
      <c r="S915" s="347"/>
      <c r="T915" s="348"/>
      <c r="U915" s="10"/>
      <c r="V915" s="349"/>
      <c r="W915" s="350"/>
      <c r="X915" s="9"/>
      <c r="Y915" s="10"/>
      <c r="Z915" s="6"/>
      <c r="AC915" s="11"/>
    </row>
    <row r="916" spans="1:29" ht="13.5" customHeight="1">
      <c r="A916" s="309"/>
      <c r="B916" s="340"/>
      <c r="C916" s="340"/>
      <c r="D916" s="340"/>
      <c r="E916" s="341"/>
      <c r="F916" s="8"/>
      <c r="G916" s="8"/>
      <c r="H916" s="208"/>
      <c r="I916" s="342"/>
      <c r="K916" s="311"/>
      <c r="L916" s="343"/>
      <c r="M916" s="344"/>
      <c r="N916" s="345"/>
      <c r="O916" s="311"/>
      <c r="P916" s="311"/>
      <c r="Q916" s="311"/>
      <c r="R916" s="346"/>
      <c r="S916" s="347"/>
      <c r="T916" s="348"/>
      <c r="U916" s="10"/>
      <c r="V916" s="349"/>
      <c r="W916" s="350"/>
      <c r="X916" s="9"/>
      <c r="Y916" s="10"/>
      <c r="Z916" s="6"/>
      <c r="AC916" s="11"/>
    </row>
    <row r="917" spans="1:29" ht="13.5" customHeight="1">
      <c r="A917" s="309"/>
      <c r="B917" s="340"/>
      <c r="C917" s="340"/>
      <c r="D917" s="340"/>
      <c r="E917" s="341"/>
      <c r="F917" s="8"/>
      <c r="G917" s="8"/>
      <c r="H917" s="208"/>
      <c r="I917" s="342"/>
      <c r="K917" s="311"/>
      <c r="L917" s="343"/>
      <c r="M917" s="344"/>
      <c r="N917" s="345"/>
      <c r="O917" s="311"/>
      <c r="P917" s="311"/>
      <c r="Q917" s="311"/>
      <c r="R917" s="346"/>
      <c r="S917" s="347"/>
      <c r="T917" s="348"/>
      <c r="U917" s="10"/>
      <c r="V917" s="349"/>
      <c r="W917" s="350"/>
      <c r="X917" s="9"/>
      <c r="Y917" s="10"/>
      <c r="Z917" s="6"/>
      <c r="AC917" s="11"/>
    </row>
    <row r="918" spans="1:29" ht="13.5" customHeight="1">
      <c r="A918" s="309"/>
      <c r="B918" s="340"/>
      <c r="C918" s="340"/>
      <c r="D918" s="340"/>
      <c r="E918" s="341"/>
      <c r="F918" s="8"/>
      <c r="G918" s="8"/>
      <c r="H918" s="208"/>
      <c r="I918" s="342"/>
      <c r="K918" s="311"/>
      <c r="L918" s="343"/>
      <c r="M918" s="344"/>
      <c r="N918" s="345"/>
      <c r="O918" s="311"/>
      <c r="P918" s="311"/>
      <c r="Q918" s="311"/>
      <c r="R918" s="346"/>
      <c r="S918" s="347"/>
      <c r="T918" s="348"/>
      <c r="U918" s="10"/>
      <c r="V918" s="349"/>
      <c r="W918" s="350"/>
      <c r="X918" s="9"/>
      <c r="Y918" s="10"/>
      <c r="Z918" s="6"/>
      <c r="AC918" s="11"/>
    </row>
    <row r="919" spans="1:29" ht="13.5" customHeight="1">
      <c r="A919" s="309"/>
      <c r="B919" s="340"/>
      <c r="C919" s="340"/>
      <c r="D919" s="340"/>
      <c r="E919" s="341"/>
      <c r="F919" s="8"/>
      <c r="G919" s="8"/>
      <c r="H919" s="208"/>
      <c r="I919" s="342"/>
      <c r="K919" s="311"/>
      <c r="L919" s="343"/>
      <c r="M919" s="344"/>
      <c r="N919" s="345"/>
      <c r="O919" s="311"/>
      <c r="P919" s="311"/>
      <c r="Q919" s="311"/>
      <c r="R919" s="346"/>
      <c r="S919" s="347"/>
      <c r="T919" s="348"/>
      <c r="U919" s="10"/>
      <c r="V919" s="349"/>
      <c r="W919" s="350"/>
      <c r="X919" s="9"/>
      <c r="Y919" s="10"/>
      <c r="Z919" s="6"/>
      <c r="AC919" s="11"/>
    </row>
    <row r="920" spans="1:29" ht="13.5" customHeight="1">
      <c r="A920" s="309"/>
      <c r="B920" s="340"/>
      <c r="C920" s="340"/>
      <c r="D920" s="340"/>
      <c r="E920" s="341"/>
      <c r="F920" s="8"/>
      <c r="G920" s="8"/>
      <c r="H920" s="208"/>
      <c r="I920" s="342"/>
      <c r="K920" s="311"/>
      <c r="L920" s="343"/>
      <c r="M920" s="344"/>
      <c r="N920" s="345"/>
      <c r="O920" s="311"/>
      <c r="P920" s="311"/>
      <c r="Q920" s="311"/>
      <c r="R920" s="346"/>
      <c r="S920" s="347"/>
      <c r="T920" s="348"/>
      <c r="U920" s="10"/>
      <c r="V920" s="349"/>
      <c r="W920" s="350"/>
      <c r="X920" s="9"/>
      <c r="Y920" s="10"/>
      <c r="Z920" s="6"/>
      <c r="AC920" s="11"/>
    </row>
    <row r="921" spans="1:29" ht="13.5" customHeight="1">
      <c r="A921" s="309"/>
      <c r="B921" s="340"/>
      <c r="C921" s="340"/>
      <c r="D921" s="340"/>
      <c r="E921" s="341"/>
      <c r="F921" s="8"/>
      <c r="G921" s="8"/>
      <c r="H921" s="208"/>
      <c r="I921" s="342"/>
      <c r="K921" s="311"/>
      <c r="L921" s="343"/>
      <c r="M921" s="344"/>
      <c r="N921" s="345"/>
      <c r="O921" s="311"/>
      <c r="P921" s="311"/>
      <c r="Q921" s="311"/>
      <c r="R921" s="346"/>
      <c r="S921" s="347"/>
      <c r="T921" s="348"/>
      <c r="U921" s="10"/>
      <c r="V921" s="349"/>
      <c r="W921" s="350"/>
      <c r="X921" s="9"/>
      <c r="Y921" s="10"/>
      <c r="Z921" s="6"/>
      <c r="AC921" s="11"/>
    </row>
    <row r="922" spans="1:29" ht="13.5" customHeight="1">
      <c r="A922" s="309"/>
      <c r="B922" s="340"/>
      <c r="C922" s="340"/>
      <c r="D922" s="340"/>
      <c r="E922" s="341"/>
      <c r="F922" s="8"/>
      <c r="G922" s="8"/>
      <c r="H922" s="208"/>
      <c r="I922" s="342"/>
      <c r="K922" s="311"/>
      <c r="L922" s="343"/>
      <c r="M922" s="344"/>
      <c r="N922" s="345"/>
      <c r="O922" s="311"/>
      <c r="P922" s="311"/>
      <c r="Q922" s="311"/>
      <c r="R922" s="346"/>
      <c r="S922" s="347"/>
      <c r="T922" s="348"/>
      <c r="U922" s="10"/>
      <c r="V922" s="349"/>
      <c r="W922" s="350"/>
      <c r="X922" s="9"/>
      <c r="Y922" s="10"/>
      <c r="Z922" s="6"/>
      <c r="AC922" s="11"/>
    </row>
    <row r="923" spans="1:29" ht="13.5" customHeight="1">
      <c r="A923" s="309"/>
      <c r="B923" s="340"/>
      <c r="C923" s="340"/>
      <c r="D923" s="340"/>
      <c r="E923" s="341"/>
      <c r="F923" s="8"/>
      <c r="G923" s="8"/>
      <c r="H923" s="208"/>
      <c r="I923" s="342"/>
      <c r="K923" s="311"/>
      <c r="L923" s="343"/>
      <c r="M923" s="344"/>
      <c r="N923" s="345"/>
      <c r="O923" s="311"/>
      <c r="P923" s="311"/>
      <c r="Q923" s="311"/>
      <c r="R923" s="346"/>
      <c r="S923" s="347"/>
      <c r="T923" s="348"/>
      <c r="U923" s="10"/>
      <c r="V923" s="349"/>
      <c r="W923" s="350"/>
      <c r="X923" s="9"/>
      <c r="Y923" s="10"/>
      <c r="Z923" s="6"/>
      <c r="AC923" s="11"/>
    </row>
    <row r="924" spans="1:29" ht="13.5" customHeight="1">
      <c r="A924" s="309"/>
      <c r="B924" s="340"/>
      <c r="C924" s="340"/>
      <c r="D924" s="340"/>
      <c r="E924" s="341"/>
      <c r="F924" s="8"/>
      <c r="G924" s="8"/>
      <c r="H924" s="208"/>
      <c r="I924" s="342"/>
      <c r="K924" s="311"/>
      <c r="L924" s="343"/>
      <c r="M924" s="344"/>
      <c r="N924" s="345"/>
      <c r="O924" s="311"/>
      <c r="P924" s="311"/>
      <c r="Q924" s="311"/>
      <c r="R924" s="346"/>
      <c r="S924" s="347"/>
      <c r="T924" s="348"/>
      <c r="U924" s="10"/>
      <c r="V924" s="349"/>
      <c r="W924" s="350"/>
      <c r="X924" s="9"/>
      <c r="Y924" s="10"/>
      <c r="Z924" s="6"/>
      <c r="AC924" s="11"/>
    </row>
    <row r="925" spans="1:29" ht="13.5" customHeight="1">
      <c r="A925" s="309"/>
      <c r="B925" s="340"/>
      <c r="C925" s="340"/>
      <c r="D925" s="340"/>
      <c r="E925" s="341"/>
      <c r="F925" s="8"/>
      <c r="G925" s="8"/>
      <c r="H925" s="208"/>
      <c r="I925" s="342"/>
      <c r="K925" s="311"/>
      <c r="L925" s="343"/>
      <c r="M925" s="344"/>
      <c r="N925" s="345"/>
      <c r="O925" s="311"/>
      <c r="P925" s="311"/>
      <c r="Q925" s="311"/>
      <c r="R925" s="346"/>
      <c r="S925" s="347"/>
      <c r="T925" s="348"/>
      <c r="U925" s="10"/>
      <c r="V925" s="349"/>
      <c r="W925" s="350"/>
      <c r="X925" s="9"/>
      <c r="Y925" s="10"/>
      <c r="Z925" s="6"/>
      <c r="AC925" s="11"/>
    </row>
    <row r="926" spans="1:29" ht="13.5" customHeight="1">
      <c r="A926" s="309"/>
      <c r="B926" s="340"/>
      <c r="C926" s="340"/>
      <c r="D926" s="340"/>
      <c r="E926" s="341"/>
      <c r="F926" s="8"/>
      <c r="G926" s="8"/>
      <c r="H926" s="208"/>
      <c r="I926" s="342"/>
      <c r="K926" s="311"/>
      <c r="L926" s="343"/>
      <c r="M926" s="344"/>
      <c r="N926" s="345"/>
      <c r="O926" s="311"/>
      <c r="P926" s="311"/>
      <c r="Q926" s="311"/>
      <c r="R926" s="346"/>
      <c r="S926" s="347"/>
      <c r="T926" s="348"/>
      <c r="U926" s="10"/>
      <c r="V926" s="349"/>
      <c r="W926" s="350"/>
      <c r="X926" s="9"/>
      <c r="Y926" s="10"/>
      <c r="Z926" s="6"/>
      <c r="AC926" s="11"/>
    </row>
    <row r="927" spans="1:29" ht="13.5" customHeight="1">
      <c r="A927" s="309"/>
      <c r="B927" s="340"/>
      <c r="C927" s="340"/>
      <c r="D927" s="340"/>
      <c r="E927" s="341"/>
      <c r="F927" s="8"/>
      <c r="G927" s="8"/>
      <c r="H927" s="208"/>
      <c r="I927" s="342"/>
      <c r="K927" s="311"/>
      <c r="L927" s="343"/>
      <c r="M927" s="344"/>
      <c r="N927" s="345"/>
      <c r="O927" s="311"/>
      <c r="P927" s="311"/>
      <c r="Q927" s="311"/>
      <c r="R927" s="346"/>
      <c r="S927" s="347"/>
      <c r="T927" s="348"/>
      <c r="U927" s="10"/>
      <c r="V927" s="349"/>
      <c r="W927" s="350"/>
      <c r="X927" s="9"/>
      <c r="Y927" s="10"/>
      <c r="Z927" s="6"/>
      <c r="AC927" s="11"/>
    </row>
    <row r="928" spans="1:29" ht="13.5" customHeight="1">
      <c r="A928" s="309"/>
      <c r="B928" s="340"/>
      <c r="C928" s="340"/>
      <c r="D928" s="340"/>
      <c r="E928" s="341"/>
      <c r="F928" s="8"/>
      <c r="G928" s="8"/>
      <c r="H928" s="208"/>
      <c r="I928" s="342"/>
      <c r="K928" s="311"/>
      <c r="L928" s="343"/>
      <c r="M928" s="344"/>
      <c r="N928" s="345"/>
      <c r="O928" s="311"/>
      <c r="P928" s="311"/>
      <c r="Q928" s="311"/>
      <c r="R928" s="346"/>
      <c r="S928" s="347"/>
      <c r="T928" s="348"/>
      <c r="U928" s="10"/>
      <c r="V928" s="349"/>
      <c r="W928" s="350"/>
      <c r="X928" s="9"/>
      <c r="Y928" s="10"/>
      <c r="Z928" s="6"/>
      <c r="AC928" s="11"/>
    </row>
    <row r="929" spans="1:29" ht="13.5" customHeight="1">
      <c r="A929" s="309"/>
      <c r="B929" s="340"/>
      <c r="C929" s="340"/>
      <c r="D929" s="340"/>
      <c r="E929" s="341"/>
      <c r="F929" s="8"/>
      <c r="G929" s="8"/>
      <c r="H929" s="208"/>
      <c r="I929" s="342"/>
      <c r="K929" s="311"/>
      <c r="L929" s="343"/>
      <c r="M929" s="344"/>
      <c r="N929" s="345"/>
      <c r="O929" s="311"/>
      <c r="P929" s="311"/>
      <c r="Q929" s="311"/>
      <c r="R929" s="346"/>
      <c r="S929" s="347"/>
      <c r="T929" s="348"/>
      <c r="U929" s="10"/>
      <c r="V929" s="349"/>
      <c r="W929" s="350"/>
      <c r="X929" s="9"/>
      <c r="Y929" s="10"/>
      <c r="Z929" s="6"/>
      <c r="AC929" s="11"/>
    </row>
    <row r="930" spans="1:29" ht="13.5" customHeight="1">
      <c r="A930" s="309"/>
      <c r="B930" s="340"/>
      <c r="C930" s="340"/>
      <c r="D930" s="340"/>
      <c r="E930" s="341"/>
      <c r="F930" s="8"/>
      <c r="G930" s="8"/>
      <c r="H930" s="208"/>
      <c r="I930" s="342"/>
      <c r="K930" s="311"/>
      <c r="L930" s="343"/>
      <c r="M930" s="344"/>
      <c r="N930" s="345"/>
      <c r="O930" s="311"/>
      <c r="P930" s="311"/>
      <c r="Q930" s="311"/>
      <c r="R930" s="346"/>
      <c r="S930" s="347"/>
      <c r="T930" s="348"/>
      <c r="U930" s="10"/>
      <c r="V930" s="349"/>
      <c r="W930" s="350"/>
      <c r="X930" s="9"/>
      <c r="Y930" s="10"/>
      <c r="Z930" s="6"/>
      <c r="AC930" s="11"/>
    </row>
    <row r="931" spans="1:29" ht="13.5" customHeight="1">
      <c r="A931" s="309"/>
      <c r="B931" s="340"/>
      <c r="C931" s="340"/>
      <c r="D931" s="340"/>
      <c r="E931" s="341"/>
      <c r="F931" s="8"/>
      <c r="G931" s="8"/>
      <c r="H931" s="208"/>
      <c r="I931" s="342"/>
      <c r="K931" s="311"/>
      <c r="L931" s="343"/>
      <c r="M931" s="344"/>
      <c r="N931" s="345"/>
      <c r="O931" s="311"/>
      <c r="P931" s="311"/>
      <c r="Q931" s="311"/>
      <c r="R931" s="346"/>
      <c r="S931" s="347"/>
      <c r="T931" s="348"/>
      <c r="U931" s="10"/>
      <c r="V931" s="349"/>
      <c r="W931" s="350"/>
      <c r="X931" s="9"/>
      <c r="Y931" s="10"/>
      <c r="Z931" s="6"/>
      <c r="AC931" s="11"/>
    </row>
    <row r="932" spans="1:29" ht="13.5" customHeight="1">
      <c r="A932" s="309"/>
      <c r="B932" s="340"/>
      <c r="C932" s="340"/>
      <c r="D932" s="340"/>
      <c r="E932" s="341"/>
      <c r="F932" s="8"/>
      <c r="G932" s="8"/>
      <c r="H932" s="208"/>
      <c r="I932" s="342"/>
      <c r="K932" s="311"/>
      <c r="L932" s="343"/>
      <c r="M932" s="344"/>
      <c r="N932" s="345"/>
      <c r="O932" s="311"/>
      <c r="P932" s="311"/>
      <c r="Q932" s="311"/>
      <c r="R932" s="346"/>
      <c r="S932" s="347"/>
      <c r="T932" s="348"/>
      <c r="U932" s="10"/>
      <c r="V932" s="349"/>
      <c r="W932" s="350"/>
      <c r="X932" s="9"/>
      <c r="Y932" s="10"/>
      <c r="Z932" s="6"/>
      <c r="AC932" s="11"/>
    </row>
    <row r="933" spans="1:29" ht="13.5" customHeight="1">
      <c r="A933" s="309"/>
      <c r="B933" s="340"/>
      <c r="C933" s="340"/>
      <c r="D933" s="340"/>
      <c r="E933" s="341"/>
      <c r="F933" s="8"/>
      <c r="G933" s="8"/>
      <c r="H933" s="208"/>
      <c r="I933" s="342"/>
      <c r="K933" s="311"/>
      <c r="L933" s="343"/>
      <c r="M933" s="344"/>
      <c r="N933" s="345"/>
      <c r="O933" s="311"/>
      <c r="P933" s="311"/>
      <c r="Q933" s="311"/>
      <c r="R933" s="346"/>
      <c r="S933" s="347"/>
      <c r="T933" s="348"/>
      <c r="U933" s="10"/>
      <c r="V933" s="349"/>
      <c r="W933" s="350"/>
      <c r="X933" s="9"/>
      <c r="Y933" s="10"/>
      <c r="Z933" s="6"/>
      <c r="AC933" s="11"/>
    </row>
    <row r="934" spans="1:29" ht="13.5" customHeight="1">
      <c r="A934" s="309"/>
      <c r="B934" s="340"/>
      <c r="C934" s="340"/>
      <c r="D934" s="340"/>
      <c r="E934" s="341"/>
      <c r="F934" s="8"/>
      <c r="G934" s="8"/>
      <c r="H934" s="208"/>
      <c r="I934" s="342"/>
      <c r="K934" s="311"/>
      <c r="L934" s="343"/>
      <c r="M934" s="344"/>
      <c r="N934" s="345"/>
      <c r="O934" s="311"/>
      <c r="P934" s="311"/>
      <c r="Q934" s="311"/>
      <c r="R934" s="346"/>
      <c r="S934" s="347"/>
      <c r="T934" s="348"/>
      <c r="U934" s="10"/>
      <c r="V934" s="349"/>
      <c r="W934" s="350"/>
      <c r="X934" s="9"/>
      <c r="Y934" s="10"/>
      <c r="Z934" s="6"/>
      <c r="AC934" s="11"/>
    </row>
    <row r="935" spans="1:29" ht="13.5" customHeight="1">
      <c r="A935" s="309"/>
      <c r="B935" s="340"/>
      <c r="C935" s="340"/>
      <c r="D935" s="340"/>
      <c r="E935" s="341"/>
      <c r="F935" s="8"/>
      <c r="G935" s="8"/>
      <c r="H935" s="208"/>
      <c r="I935" s="342"/>
      <c r="K935" s="311"/>
      <c r="L935" s="343"/>
      <c r="M935" s="344"/>
      <c r="N935" s="345"/>
      <c r="O935" s="311"/>
      <c r="P935" s="311"/>
      <c r="Q935" s="311"/>
      <c r="R935" s="346"/>
      <c r="S935" s="347"/>
      <c r="T935" s="348"/>
      <c r="U935" s="10"/>
      <c r="V935" s="349"/>
      <c r="W935" s="350"/>
      <c r="X935" s="9"/>
      <c r="Y935" s="10"/>
      <c r="Z935" s="6"/>
      <c r="AC935" s="11"/>
    </row>
    <row r="936" spans="1:29" ht="13.5" customHeight="1">
      <c r="A936" s="309"/>
      <c r="B936" s="340"/>
      <c r="C936" s="340"/>
      <c r="D936" s="340"/>
      <c r="E936" s="341"/>
      <c r="F936" s="8"/>
      <c r="G936" s="8"/>
      <c r="H936" s="208"/>
      <c r="I936" s="342"/>
      <c r="K936" s="311"/>
      <c r="L936" s="343"/>
      <c r="M936" s="344"/>
      <c r="N936" s="345"/>
      <c r="O936" s="311"/>
      <c r="P936" s="311"/>
      <c r="Q936" s="311"/>
      <c r="R936" s="346"/>
      <c r="S936" s="347"/>
      <c r="T936" s="348"/>
      <c r="U936" s="10"/>
      <c r="V936" s="349"/>
      <c r="W936" s="350"/>
      <c r="X936" s="9"/>
      <c r="Y936" s="10"/>
      <c r="Z936" s="6"/>
      <c r="AC936" s="11"/>
    </row>
    <row r="937" spans="1:29" ht="13.5" customHeight="1">
      <c r="A937" s="309"/>
      <c r="B937" s="340"/>
      <c r="C937" s="340"/>
      <c r="D937" s="340"/>
      <c r="E937" s="341"/>
      <c r="F937" s="8"/>
      <c r="G937" s="8"/>
      <c r="H937" s="208"/>
      <c r="I937" s="342"/>
      <c r="K937" s="311"/>
      <c r="L937" s="343"/>
      <c r="M937" s="344"/>
      <c r="N937" s="345"/>
      <c r="O937" s="311"/>
      <c r="P937" s="311"/>
      <c r="Q937" s="311"/>
      <c r="R937" s="346"/>
      <c r="S937" s="347"/>
      <c r="T937" s="348"/>
      <c r="U937" s="10"/>
      <c r="V937" s="349"/>
      <c r="W937" s="350"/>
      <c r="X937" s="9"/>
      <c r="Y937" s="10"/>
      <c r="Z937" s="6"/>
      <c r="AC937" s="11"/>
    </row>
    <row r="938" spans="1:29" ht="13.5" customHeight="1">
      <c r="A938" s="309"/>
      <c r="B938" s="340"/>
      <c r="C938" s="340"/>
      <c r="D938" s="340"/>
      <c r="E938" s="341"/>
      <c r="F938" s="8"/>
      <c r="G938" s="8"/>
      <c r="H938" s="208"/>
      <c r="I938" s="342"/>
      <c r="K938" s="311"/>
      <c r="L938" s="343"/>
      <c r="M938" s="344"/>
      <c r="N938" s="345"/>
      <c r="O938" s="311"/>
      <c r="P938" s="311"/>
      <c r="Q938" s="311"/>
      <c r="R938" s="346"/>
      <c r="S938" s="347"/>
      <c r="T938" s="348"/>
      <c r="U938" s="10"/>
      <c r="V938" s="349"/>
      <c r="W938" s="350"/>
      <c r="X938" s="9"/>
      <c r="Y938" s="10"/>
      <c r="Z938" s="6"/>
      <c r="AC938" s="11"/>
    </row>
    <row r="939" spans="1:29" ht="13.5" customHeight="1">
      <c r="A939" s="309"/>
      <c r="B939" s="340"/>
      <c r="C939" s="340"/>
      <c r="D939" s="340"/>
      <c r="E939" s="341"/>
      <c r="F939" s="8"/>
      <c r="G939" s="8"/>
      <c r="H939" s="208"/>
      <c r="I939" s="342"/>
      <c r="K939" s="311"/>
      <c r="L939" s="343"/>
      <c r="M939" s="344"/>
      <c r="N939" s="345"/>
      <c r="O939" s="311"/>
      <c r="P939" s="311"/>
      <c r="Q939" s="311"/>
      <c r="R939" s="346"/>
      <c r="S939" s="347"/>
      <c r="T939" s="348"/>
      <c r="U939" s="10"/>
      <c r="V939" s="349"/>
      <c r="W939" s="350"/>
      <c r="X939" s="9"/>
      <c r="Y939" s="10"/>
      <c r="Z939" s="6"/>
      <c r="AC939" s="11"/>
    </row>
    <row r="940" spans="1:29" ht="13.5" customHeight="1">
      <c r="A940" s="309"/>
      <c r="B940" s="340"/>
      <c r="C940" s="340"/>
      <c r="D940" s="340"/>
      <c r="E940" s="341"/>
      <c r="F940" s="8"/>
      <c r="G940" s="8"/>
      <c r="H940" s="208"/>
      <c r="I940" s="342"/>
      <c r="K940" s="311"/>
      <c r="L940" s="343"/>
      <c r="M940" s="344"/>
      <c r="N940" s="345"/>
      <c r="O940" s="311"/>
      <c r="P940" s="311"/>
      <c r="Q940" s="311"/>
      <c r="R940" s="346"/>
      <c r="S940" s="347"/>
      <c r="T940" s="348"/>
      <c r="U940" s="10"/>
      <c r="V940" s="349"/>
      <c r="W940" s="350"/>
      <c r="X940" s="9"/>
      <c r="Y940" s="10"/>
      <c r="Z940" s="6"/>
      <c r="AC940" s="11"/>
    </row>
    <row r="941" spans="1:29" ht="13.5" customHeight="1">
      <c r="A941" s="309"/>
      <c r="B941" s="340"/>
      <c r="C941" s="340"/>
      <c r="D941" s="340"/>
      <c r="E941" s="341"/>
      <c r="F941" s="8"/>
      <c r="G941" s="8"/>
      <c r="H941" s="208"/>
      <c r="I941" s="342"/>
      <c r="K941" s="311"/>
      <c r="L941" s="343"/>
      <c r="M941" s="344"/>
      <c r="N941" s="345"/>
      <c r="O941" s="311"/>
      <c r="P941" s="311"/>
      <c r="Q941" s="311"/>
      <c r="R941" s="346"/>
      <c r="S941" s="347"/>
      <c r="T941" s="348"/>
      <c r="U941" s="10"/>
      <c r="V941" s="349"/>
      <c r="W941" s="350"/>
      <c r="X941" s="9"/>
      <c r="Y941" s="10"/>
      <c r="Z941" s="6"/>
      <c r="AC941" s="11"/>
    </row>
    <row r="942" spans="1:29" ht="13.5" customHeight="1">
      <c r="A942" s="309"/>
      <c r="B942" s="340"/>
      <c r="C942" s="340"/>
      <c r="D942" s="340"/>
      <c r="E942" s="341"/>
      <c r="F942" s="8"/>
      <c r="G942" s="8"/>
      <c r="H942" s="208"/>
      <c r="I942" s="342"/>
      <c r="K942" s="311"/>
      <c r="L942" s="343"/>
      <c r="M942" s="344"/>
      <c r="N942" s="345"/>
      <c r="O942" s="311"/>
      <c r="P942" s="311"/>
      <c r="Q942" s="311"/>
      <c r="R942" s="346"/>
      <c r="S942" s="347"/>
      <c r="T942" s="348"/>
      <c r="U942" s="10"/>
      <c r="V942" s="349"/>
      <c r="W942" s="350"/>
      <c r="X942" s="9"/>
      <c r="Y942" s="10"/>
      <c r="Z942" s="6"/>
      <c r="AC942" s="11"/>
    </row>
    <row r="943" spans="1:29" ht="13.5" customHeight="1">
      <c r="A943" s="309"/>
      <c r="B943" s="340"/>
      <c r="C943" s="340"/>
      <c r="D943" s="340"/>
      <c r="E943" s="341"/>
      <c r="F943" s="8"/>
      <c r="G943" s="8"/>
      <c r="H943" s="208"/>
      <c r="I943" s="342"/>
      <c r="K943" s="311"/>
      <c r="L943" s="343"/>
      <c r="M943" s="344"/>
      <c r="N943" s="345"/>
      <c r="O943" s="311"/>
      <c r="P943" s="311"/>
      <c r="Q943" s="311"/>
      <c r="R943" s="346"/>
      <c r="S943" s="347"/>
      <c r="T943" s="348"/>
      <c r="U943" s="10"/>
      <c r="V943" s="349"/>
      <c r="W943" s="350"/>
      <c r="X943" s="9"/>
      <c r="Y943" s="10"/>
      <c r="Z943" s="6"/>
      <c r="AC943" s="11"/>
    </row>
    <row r="944" spans="1:29" ht="13.5" customHeight="1">
      <c r="A944" s="309"/>
      <c r="B944" s="340"/>
      <c r="C944" s="340"/>
      <c r="D944" s="340"/>
      <c r="E944" s="341"/>
      <c r="F944" s="8"/>
      <c r="G944" s="8"/>
      <c r="H944" s="208"/>
      <c r="I944" s="342"/>
      <c r="K944" s="311"/>
      <c r="L944" s="343"/>
      <c r="M944" s="344"/>
      <c r="N944" s="345"/>
      <c r="O944" s="311"/>
      <c r="P944" s="311"/>
      <c r="Q944" s="311"/>
      <c r="R944" s="346"/>
      <c r="S944" s="347"/>
      <c r="T944" s="348"/>
      <c r="U944" s="10"/>
      <c r="V944" s="349"/>
      <c r="W944" s="350"/>
      <c r="X944" s="9"/>
      <c r="Y944" s="10"/>
      <c r="Z944" s="6"/>
      <c r="AC944" s="11"/>
    </row>
    <row r="945" spans="1:29" ht="13.5" customHeight="1">
      <c r="A945" s="309"/>
      <c r="B945" s="340"/>
      <c r="C945" s="340"/>
      <c r="D945" s="340"/>
      <c r="E945" s="341"/>
      <c r="F945" s="8"/>
      <c r="G945" s="8"/>
      <c r="H945" s="208"/>
      <c r="I945" s="342"/>
      <c r="K945" s="311"/>
      <c r="L945" s="343"/>
      <c r="M945" s="344"/>
      <c r="N945" s="345"/>
      <c r="O945" s="311"/>
      <c r="P945" s="311"/>
      <c r="Q945" s="311"/>
      <c r="R945" s="346"/>
      <c r="S945" s="347"/>
      <c r="T945" s="348"/>
      <c r="U945" s="10"/>
      <c r="V945" s="349"/>
      <c r="W945" s="350"/>
      <c r="X945" s="9"/>
      <c r="Y945" s="10"/>
      <c r="Z945" s="6"/>
      <c r="AC945" s="11"/>
    </row>
    <row r="946" spans="1:29" ht="13.5" customHeight="1">
      <c r="A946" s="309"/>
      <c r="B946" s="340"/>
      <c r="C946" s="340"/>
      <c r="D946" s="340"/>
      <c r="E946" s="341"/>
      <c r="F946" s="8"/>
      <c r="G946" s="8"/>
      <c r="H946" s="208"/>
      <c r="I946" s="342"/>
      <c r="K946" s="311"/>
      <c r="L946" s="343"/>
      <c r="M946" s="344"/>
      <c r="N946" s="345"/>
      <c r="O946" s="311"/>
      <c r="P946" s="311"/>
      <c r="Q946" s="311"/>
      <c r="R946" s="346"/>
      <c r="S946" s="347"/>
      <c r="T946" s="348"/>
      <c r="U946" s="10"/>
      <c r="V946" s="349"/>
      <c r="W946" s="350"/>
      <c r="X946" s="9"/>
      <c r="Y946" s="10"/>
      <c r="Z946" s="6"/>
      <c r="AC946" s="11"/>
    </row>
    <row r="947" spans="1:29" ht="13.5" customHeight="1">
      <c r="A947" s="309"/>
      <c r="B947" s="340"/>
      <c r="C947" s="340"/>
      <c r="D947" s="340"/>
      <c r="E947" s="341"/>
      <c r="F947" s="8"/>
      <c r="G947" s="8"/>
      <c r="H947" s="208"/>
      <c r="I947" s="342"/>
      <c r="K947" s="311"/>
      <c r="L947" s="343"/>
      <c r="M947" s="344"/>
      <c r="N947" s="345"/>
      <c r="O947" s="311"/>
      <c r="P947" s="311"/>
      <c r="Q947" s="311"/>
      <c r="R947" s="346"/>
      <c r="S947" s="347"/>
      <c r="T947" s="348"/>
      <c r="U947" s="10"/>
      <c r="V947" s="349"/>
      <c r="W947" s="350"/>
      <c r="X947" s="9"/>
      <c r="Y947" s="10"/>
      <c r="Z947" s="6"/>
      <c r="AC947" s="11"/>
    </row>
    <row r="948" spans="1:29" ht="13.5" customHeight="1">
      <c r="A948" s="309"/>
      <c r="B948" s="340"/>
      <c r="C948" s="340"/>
      <c r="D948" s="340"/>
      <c r="E948" s="341"/>
      <c r="F948" s="8"/>
      <c r="G948" s="8"/>
      <c r="H948" s="208"/>
      <c r="I948" s="342"/>
      <c r="K948" s="311"/>
      <c r="L948" s="343"/>
      <c r="M948" s="344"/>
      <c r="N948" s="345"/>
      <c r="O948" s="311"/>
      <c r="P948" s="311"/>
      <c r="Q948" s="311"/>
      <c r="R948" s="346"/>
      <c r="S948" s="347"/>
      <c r="T948" s="348"/>
      <c r="U948" s="10"/>
      <c r="V948" s="349"/>
      <c r="W948" s="350"/>
      <c r="X948" s="9"/>
      <c r="Y948" s="10"/>
      <c r="Z948" s="6"/>
      <c r="AC948" s="11"/>
    </row>
    <row r="949" spans="1:29" ht="13.5" customHeight="1">
      <c r="A949" s="309"/>
      <c r="B949" s="340"/>
      <c r="C949" s="340"/>
      <c r="D949" s="340"/>
      <c r="E949" s="341"/>
      <c r="F949" s="8"/>
      <c r="G949" s="8"/>
      <c r="H949" s="208"/>
      <c r="I949" s="342"/>
      <c r="K949" s="311"/>
      <c r="L949" s="343"/>
      <c r="M949" s="344"/>
      <c r="N949" s="345"/>
      <c r="O949" s="311"/>
      <c r="P949" s="311"/>
      <c r="Q949" s="311"/>
      <c r="R949" s="346"/>
      <c r="S949" s="347"/>
      <c r="T949" s="348"/>
      <c r="U949" s="10"/>
      <c r="V949" s="349"/>
      <c r="W949" s="350"/>
      <c r="X949" s="9"/>
      <c r="Y949" s="10"/>
      <c r="Z949" s="6"/>
      <c r="AC949" s="11"/>
    </row>
    <row r="950" spans="1:29" ht="13.5" customHeight="1">
      <c r="A950" s="309"/>
      <c r="B950" s="340"/>
      <c r="C950" s="340"/>
      <c r="D950" s="340"/>
      <c r="E950" s="341"/>
      <c r="F950" s="8"/>
      <c r="G950" s="8"/>
      <c r="H950" s="208"/>
      <c r="I950" s="342"/>
      <c r="K950" s="311"/>
      <c r="L950" s="343"/>
      <c r="M950" s="344"/>
      <c r="N950" s="345"/>
      <c r="O950" s="311"/>
      <c r="P950" s="311"/>
      <c r="Q950" s="311"/>
      <c r="R950" s="346"/>
      <c r="S950" s="347"/>
      <c r="T950" s="348"/>
      <c r="U950" s="10"/>
      <c r="V950" s="349"/>
      <c r="W950" s="350"/>
      <c r="X950" s="9"/>
      <c r="Y950" s="10"/>
      <c r="Z950" s="6"/>
      <c r="AC950" s="11"/>
    </row>
    <row r="951" spans="1:29" ht="13.5" customHeight="1">
      <c r="A951" s="309"/>
      <c r="B951" s="340"/>
      <c r="C951" s="340"/>
      <c r="D951" s="340"/>
      <c r="E951" s="341"/>
      <c r="F951" s="8"/>
      <c r="G951" s="8"/>
      <c r="H951" s="208"/>
      <c r="I951" s="342"/>
      <c r="K951" s="311"/>
      <c r="L951" s="343"/>
      <c r="M951" s="344"/>
      <c r="N951" s="345"/>
      <c r="O951" s="311"/>
      <c r="P951" s="311"/>
      <c r="Q951" s="311"/>
      <c r="R951" s="346"/>
      <c r="S951" s="347"/>
      <c r="T951" s="348"/>
      <c r="U951" s="10"/>
      <c r="V951" s="349"/>
      <c r="W951" s="350"/>
      <c r="X951" s="9"/>
      <c r="Y951" s="10"/>
      <c r="Z951" s="6"/>
      <c r="AC951" s="11"/>
    </row>
    <row r="952" spans="1:29" ht="13.5" customHeight="1">
      <c r="A952" s="309"/>
      <c r="B952" s="340"/>
      <c r="C952" s="340"/>
      <c r="D952" s="340"/>
      <c r="E952" s="341"/>
      <c r="F952" s="8"/>
      <c r="G952" s="8"/>
      <c r="H952" s="208"/>
      <c r="I952" s="342"/>
      <c r="K952" s="311"/>
      <c r="L952" s="343"/>
      <c r="M952" s="344"/>
      <c r="N952" s="345"/>
      <c r="O952" s="311"/>
      <c r="P952" s="311"/>
      <c r="Q952" s="311"/>
      <c r="R952" s="346"/>
      <c r="S952" s="347"/>
      <c r="T952" s="348"/>
      <c r="U952" s="10"/>
      <c r="V952" s="349"/>
      <c r="W952" s="350"/>
      <c r="X952" s="9"/>
      <c r="Y952" s="10"/>
      <c r="Z952" s="6"/>
      <c r="AC952" s="11"/>
    </row>
    <row r="953" spans="1:29" ht="13.5" customHeight="1">
      <c r="A953" s="309"/>
      <c r="B953" s="340"/>
      <c r="C953" s="340"/>
      <c r="D953" s="340"/>
      <c r="E953" s="341"/>
      <c r="F953" s="8"/>
      <c r="G953" s="8"/>
      <c r="H953" s="208"/>
      <c r="I953" s="342"/>
      <c r="K953" s="311"/>
      <c r="L953" s="343"/>
      <c r="M953" s="344"/>
      <c r="N953" s="345"/>
      <c r="O953" s="311"/>
      <c r="P953" s="311"/>
      <c r="Q953" s="311"/>
      <c r="R953" s="346"/>
      <c r="S953" s="347"/>
      <c r="T953" s="348"/>
      <c r="U953" s="10"/>
      <c r="V953" s="349"/>
      <c r="W953" s="350"/>
      <c r="X953" s="9"/>
      <c r="Y953" s="10"/>
      <c r="Z953" s="6"/>
      <c r="AC953" s="11"/>
    </row>
    <row r="954" spans="1:29" ht="13.5" customHeight="1">
      <c r="A954" s="309"/>
      <c r="B954" s="340"/>
      <c r="C954" s="340"/>
      <c r="D954" s="340"/>
      <c r="E954" s="341"/>
      <c r="F954" s="8"/>
      <c r="G954" s="8"/>
      <c r="H954" s="208"/>
      <c r="I954" s="342"/>
      <c r="K954" s="311"/>
      <c r="L954" s="343"/>
      <c r="M954" s="344"/>
      <c r="N954" s="345"/>
      <c r="O954" s="311"/>
      <c r="P954" s="311"/>
      <c r="Q954" s="311"/>
      <c r="R954" s="346"/>
      <c r="S954" s="347"/>
      <c r="T954" s="348"/>
      <c r="U954" s="10"/>
      <c r="V954" s="349"/>
      <c r="W954" s="350"/>
      <c r="X954" s="9"/>
      <c r="Y954" s="10"/>
      <c r="Z954" s="6"/>
      <c r="AC954" s="11"/>
    </row>
    <row r="955" spans="1:29" ht="13.5" customHeight="1">
      <c r="A955" s="309"/>
      <c r="B955" s="340"/>
      <c r="C955" s="340"/>
      <c r="D955" s="340"/>
      <c r="E955" s="341"/>
      <c r="F955" s="8"/>
      <c r="G955" s="8"/>
      <c r="H955" s="208"/>
      <c r="I955" s="342"/>
      <c r="K955" s="311"/>
      <c r="L955" s="343"/>
      <c r="M955" s="344"/>
      <c r="N955" s="345"/>
      <c r="O955" s="311"/>
      <c r="P955" s="311"/>
      <c r="Q955" s="311"/>
      <c r="R955" s="346"/>
      <c r="S955" s="347"/>
      <c r="T955" s="348"/>
      <c r="U955" s="10"/>
      <c r="V955" s="349"/>
      <c r="W955" s="350"/>
      <c r="X955" s="9"/>
      <c r="Y955" s="10"/>
      <c r="Z955" s="6"/>
      <c r="AC955" s="11"/>
    </row>
    <row r="956" spans="1:29" ht="13.5" customHeight="1">
      <c r="A956" s="309"/>
      <c r="B956" s="340"/>
      <c r="C956" s="340"/>
      <c r="D956" s="340"/>
      <c r="E956" s="341"/>
      <c r="F956" s="8"/>
      <c r="G956" s="8"/>
      <c r="H956" s="208"/>
      <c r="I956" s="342"/>
      <c r="K956" s="311"/>
      <c r="L956" s="343"/>
      <c r="M956" s="344"/>
      <c r="N956" s="345"/>
      <c r="O956" s="311"/>
      <c r="P956" s="311"/>
      <c r="Q956" s="311"/>
      <c r="R956" s="346"/>
      <c r="S956" s="347"/>
      <c r="T956" s="348"/>
      <c r="U956" s="10"/>
      <c r="V956" s="349"/>
      <c r="W956" s="350"/>
      <c r="X956" s="9"/>
      <c r="Y956" s="10"/>
      <c r="Z956" s="6"/>
      <c r="AC956" s="11"/>
    </row>
    <row r="957" spans="1:29" ht="13.5" customHeight="1">
      <c r="A957" s="309"/>
      <c r="B957" s="340"/>
      <c r="C957" s="340"/>
      <c r="D957" s="340"/>
      <c r="E957" s="341"/>
      <c r="F957" s="8"/>
      <c r="G957" s="8"/>
      <c r="H957" s="208"/>
      <c r="I957" s="342"/>
      <c r="K957" s="311"/>
      <c r="L957" s="343"/>
      <c r="M957" s="344"/>
      <c r="N957" s="345"/>
      <c r="O957" s="311"/>
      <c r="P957" s="311"/>
      <c r="Q957" s="311"/>
      <c r="R957" s="346"/>
      <c r="S957" s="347"/>
      <c r="T957" s="348"/>
      <c r="U957" s="10"/>
      <c r="V957" s="349"/>
      <c r="W957" s="350"/>
      <c r="X957" s="9"/>
      <c r="Y957" s="10"/>
      <c r="Z957" s="6"/>
      <c r="AC957" s="11"/>
    </row>
    <row r="958" spans="1:29" ht="13.5" customHeight="1">
      <c r="A958" s="309"/>
      <c r="B958" s="340"/>
      <c r="C958" s="340"/>
      <c r="D958" s="340"/>
      <c r="E958" s="341"/>
      <c r="F958" s="8"/>
      <c r="G958" s="8"/>
      <c r="H958" s="208"/>
      <c r="I958" s="342"/>
      <c r="K958" s="311"/>
      <c r="L958" s="343"/>
      <c r="M958" s="344"/>
      <c r="N958" s="345"/>
      <c r="O958" s="311"/>
      <c r="P958" s="311"/>
      <c r="Q958" s="311"/>
      <c r="R958" s="346"/>
      <c r="S958" s="347"/>
      <c r="T958" s="348"/>
      <c r="U958" s="10"/>
      <c r="V958" s="349"/>
      <c r="W958" s="350"/>
      <c r="X958" s="9"/>
      <c r="Y958" s="10"/>
      <c r="Z958" s="6"/>
      <c r="AC958" s="11"/>
    </row>
    <row r="959" spans="1:29" ht="13.5" customHeight="1">
      <c r="A959" s="309"/>
      <c r="B959" s="340"/>
      <c r="C959" s="340"/>
      <c r="D959" s="340"/>
      <c r="E959" s="341"/>
      <c r="F959" s="8"/>
      <c r="G959" s="8"/>
      <c r="H959" s="208"/>
      <c r="I959" s="342"/>
      <c r="K959" s="311"/>
      <c r="L959" s="343"/>
      <c r="M959" s="344"/>
      <c r="N959" s="345"/>
      <c r="O959" s="311"/>
      <c r="P959" s="311"/>
      <c r="Q959" s="311"/>
      <c r="R959" s="346"/>
      <c r="S959" s="347"/>
      <c r="T959" s="348"/>
      <c r="U959" s="10"/>
      <c r="V959" s="349"/>
      <c r="W959" s="350"/>
      <c r="X959" s="9"/>
      <c r="Y959" s="10"/>
      <c r="Z959" s="6"/>
      <c r="AC959" s="11"/>
    </row>
    <row r="960" spans="1:29" ht="13.5" customHeight="1">
      <c r="A960" s="309"/>
      <c r="B960" s="340"/>
      <c r="C960" s="340"/>
      <c r="D960" s="340"/>
      <c r="E960" s="341"/>
      <c r="F960" s="8"/>
      <c r="G960" s="8"/>
      <c r="H960" s="208"/>
      <c r="I960" s="342"/>
      <c r="K960" s="311"/>
      <c r="L960" s="343"/>
      <c r="M960" s="344"/>
      <c r="N960" s="345"/>
      <c r="O960" s="311"/>
      <c r="P960" s="311"/>
      <c r="Q960" s="311"/>
      <c r="R960" s="346"/>
      <c r="S960" s="347"/>
      <c r="T960" s="348"/>
      <c r="U960" s="10"/>
      <c r="V960" s="349"/>
      <c r="W960" s="350"/>
      <c r="X960" s="9"/>
      <c r="Y960" s="10"/>
      <c r="Z960" s="6"/>
      <c r="AC960" s="11"/>
    </row>
    <row r="961" spans="1:29" ht="13.5" customHeight="1">
      <c r="A961" s="309"/>
      <c r="B961" s="340"/>
      <c r="C961" s="340"/>
      <c r="D961" s="340"/>
      <c r="E961" s="341"/>
      <c r="F961" s="8"/>
      <c r="G961" s="8"/>
      <c r="H961" s="208"/>
      <c r="I961" s="342"/>
      <c r="K961" s="311"/>
      <c r="L961" s="343"/>
      <c r="M961" s="344"/>
      <c r="N961" s="345"/>
      <c r="O961" s="311"/>
      <c r="P961" s="311"/>
      <c r="Q961" s="311"/>
      <c r="R961" s="346"/>
      <c r="S961" s="347"/>
      <c r="T961" s="348"/>
      <c r="U961" s="10"/>
      <c r="V961" s="349"/>
      <c r="W961" s="350"/>
      <c r="X961" s="9"/>
      <c r="Y961" s="10"/>
      <c r="Z961" s="6"/>
      <c r="AC961" s="11"/>
    </row>
    <row r="962" spans="1:29" ht="13.5" customHeight="1">
      <c r="A962" s="309"/>
      <c r="B962" s="340"/>
      <c r="C962" s="340"/>
      <c r="D962" s="340"/>
      <c r="E962" s="341"/>
      <c r="F962" s="8"/>
      <c r="G962" s="8"/>
      <c r="H962" s="208"/>
      <c r="I962" s="342"/>
      <c r="K962" s="311"/>
      <c r="L962" s="343"/>
      <c r="M962" s="344"/>
      <c r="N962" s="345"/>
      <c r="O962" s="311"/>
      <c r="P962" s="311"/>
      <c r="Q962" s="311"/>
      <c r="R962" s="346"/>
      <c r="S962" s="347"/>
      <c r="T962" s="348"/>
      <c r="U962" s="10"/>
      <c r="V962" s="349"/>
      <c r="W962" s="350"/>
      <c r="X962" s="9"/>
      <c r="Y962" s="10"/>
      <c r="Z962" s="6"/>
      <c r="AC962" s="11"/>
    </row>
    <row r="963" spans="1:29" ht="13.5" customHeight="1">
      <c r="A963" s="309"/>
      <c r="B963" s="340"/>
      <c r="C963" s="340"/>
      <c r="D963" s="340"/>
      <c r="E963" s="341"/>
      <c r="F963" s="8"/>
      <c r="G963" s="8"/>
      <c r="H963" s="208"/>
      <c r="I963" s="342"/>
      <c r="K963" s="311"/>
      <c r="L963" s="343"/>
      <c r="M963" s="344"/>
      <c r="N963" s="345"/>
      <c r="O963" s="311"/>
      <c r="P963" s="311"/>
      <c r="Q963" s="311"/>
      <c r="R963" s="346"/>
      <c r="S963" s="347"/>
      <c r="T963" s="348"/>
      <c r="U963" s="10"/>
      <c r="V963" s="349"/>
      <c r="W963" s="350"/>
      <c r="X963" s="9"/>
      <c r="Y963" s="10"/>
      <c r="Z963" s="6"/>
      <c r="AC963" s="11"/>
    </row>
    <row r="964" spans="1:29" ht="13.5" customHeight="1">
      <c r="A964" s="309"/>
      <c r="B964" s="340"/>
      <c r="C964" s="340"/>
      <c r="D964" s="340"/>
      <c r="E964" s="341"/>
      <c r="F964" s="8"/>
      <c r="G964" s="8"/>
      <c r="H964" s="208"/>
      <c r="I964" s="342"/>
      <c r="K964" s="311"/>
      <c r="L964" s="343"/>
      <c r="M964" s="344"/>
      <c r="N964" s="345"/>
      <c r="O964" s="311"/>
      <c r="P964" s="311"/>
      <c r="Q964" s="311"/>
      <c r="R964" s="346"/>
      <c r="S964" s="347"/>
      <c r="T964" s="348"/>
      <c r="U964" s="10"/>
      <c r="V964" s="349"/>
      <c r="W964" s="350"/>
      <c r="X964" s="9"/>
      <c r="Y964" s="10"/>
      <c r="Z964" s="6"/>
      <c r="AC964" s="11"/>
    </row>
    <row r="965" spans="1:29" ht="13.5" customHeight="1">
      <c r="A965" s="309"/>
      <c r="B965" s="340"/>
      <c r="C965" s="340"/>
      <c r="D965" s="340"/>
      <c r="E965" s="341"/>
      <c r="F965" s="8"/>
      <c r="G965" s="8"/>
      <c r="H965" s="208"/>
      <c r="I965" s="342"/>
      <c r="K965" s="311"/>
      <c r="L965" s="343"/>
      <c r="M965" s="344"/>
      <c r="N965" s="345"/>
      <c r="O965" s="311"/>
      <c r="P965" s="311"/>
      <c r="Q965" s="311"/>
      <c r="R965" s="346"/>
      <c r="S965" s="347"/>
      <c r="T965" s="348"/>
      <c r="U965" s="10"/>
      <c r="V965" s="349"/>
      <c r="W965" s="350"/>
      <c r="X965" s="9"/>
      <c r="Y965" s="10"/>
      <c r="Z965" s="6"/>
      <c r="AC965" s="11"/>
    </row>
    <row r="966" spans="1:29" ht="13.5" customHeight="1">
      <c r="A966" s="309"/>
      <c r="B966" s="340"/>
      <c r="C966" s="340"/>
      <c r="D966" s="340"/>
      <c r="E966" s="341"/>
      <c r="F966" s="8"/>
      <c r="G966" s="8"/>
      <c r="H966" s="208"/>
      <c r="I966" s="342"/>
      <c r="K966" s="311"/>
      <c r="L966" s="343"/>
      <c r="M966" s="344"/>
      <c r="N966" s="345"/>
      <c r="O966" s="311"/>
      <c r="P966" s="311"/>
      <c r="Q966" s="311"/>
      <c r="R966" s="346"/>
      <c r="S966" s="347"/>
      <c r="T966" s="348"/>
      <c r="U966" s="10"/>
      <c r="V966" s="349"/>
      <c r="W966" s="350"/>
      <c r="X966" s="9"/>
      <c r="Y966" s="10"/>
      <c r="Z966" s="6"/>
      <c r="AC966" s="11"/>
    </row>
    <row r="967" spans="1:29" ht="13.5" customHeight="1">
      <c r="A967" s="309"/>
      <c r="B967" s="340"/>
      <c r="C967" s="340"/>
      <c r="D967" s="340"/>
      <c r="E967" s="341"/>
      <c r="F967" s="8"/>
      <c r="G967" s="8"/>
      <c r="H967" s="208"/>
      <c r="I967" s="342"/>
      <c r="K967" s="311"/>
      <c r="L967" s="343"/>
      <c r="M967" s="344"/>
      <c r="N967" s="345"/>
      <c r="O967" s="311"/>
      <c r="P967" s="311"/>
      <c r="Q967" s="311"/>
      <c r="R967" s="346"/>
      <c r="S967" s="347"/>
      <c r="T967" s="348"/>
      <c r="U967" s="10"/>
      <c r="V967" s="349"/>
      <c r="W967" s="350"/>
      <c r="X967" s="9"/>
      <c r="Y967" s="10"/>
      <c r="Z967" s="6"/>
      <c r="AC967" s="11"/>
    </row>
    <row r="968" spans="1:29" ht="13.5" customHeight="1">
      <c r="A968" s="309"/>
      <c r="B968" s="340"/>
      <c r="C968" s="340"/>
      <c r="D968" s="340"/>
      <c r="E968" s="341"/>
      <c r="F968" s="8"/>
      <c r="G968" s="8"/>
      <c r="H968" s="208"/>
      <c r="I968" s="342"/>
      <c r="K968" s="311"/>
      <c r="L968" s="343"/>
      <c r="M968" s="344"/>
      <c r="N968" s="345"/>
      <c r="O968" s="311"/>
      <c r="P968" s="311"/>
      <c r="Q968" s="311"/>
      <c r="R968" s="346"/>
      <c r="S968" s="347"/>
      <c r="T968" s="348"/>
      <c r="U968" s="10"/>
      <c r="V968" s="349"/>
      <c r="W968" s="350"/>
      <c r="X968" s="9"/>
      <c r="Y968" s="10"/>
      <c r="Z968" s="6"/>
      <c r="AC968" s="11"/>
    </row>
    <row r="969" spans="1:29" ht="13.5" customHeight="1">
      <c r="A969" s="309"/>
      <c r="B969" s="340"/>
      <c r="C969" s="340"/>
      <c r="D969" s="340"/>
      <c r="E969" s="341"/>
      <c r="F969" s="8"/>
      <c r="G969" s="8"/>
      <c r="H969" s="208"/>
      <c r="I969" s="342"/>
      <c r="K969" s="311"/>
      <c r="L969" s="343"/>
      <c r="M969" s="344"/>
      <c r="N969" s="345"/>
      <c r="O969" s="311"/>
      <c r="P969" s="311"/>
      <c r="Q969" s="311"/>
      <c r="R969" s="346"/>
      <c r="S969" s="347"/>
      <c r="T969" s="348"/>
      <c r="U969" s="10"/>
      <c r="V969" s="349"/>
      <c r="W969" s="350"/>
      <c r="X969" s="9"/>
      <c r="Y969" s="10"/>
      <c r="Z969" s="6"/>
      <c r="AC969" s="11"/>
    </row>
    <row r="970" spans="1:29" ht="13.5" customHeight="1">
      <c r="A970" s="309"/>
      <c r="B970" s="340"/>
      <c r="C970" s="340"/>
      <c r="D970" s="340"/>
      <c r="E970" s="341"/>
      <c r="F970" s="8"/>
      <c r="G970" s="8"/>
      <c r="H970" s="208"/>
      <c r="I970" s="342"/>
      <c r="K970" s="311"/>
      <c r="L970" s="343"/>
      <c r="M970" s="344"/>
      <c r="N970" s="345"/>
      <c r="O970" s="311"/>
      <c r="P970" s="311"/>
      <c r="Q970" s="311"/>
      <c r="R970" s="346"/>
      <c r="S970" s="347"/>
      <c r="T970" s="348"/>
      <c r="U970" s="10"/>
      <c r="V970" s="349"/>
      <c r="W970" s="350"/>
      <c r="X970" s="9"/>
      <c r="Y970" s="10"/>
      <c r="Z970" s="6"/>
      <c r="AC970" s="11"/>
    </row>
    <row r="971" spans="1:29" ht="13.5" customHeight="1">
      <c r="A971" s="309"/>
      <c r="B971" s="340"/>
      <c r="C971" s="340"/>
      <c r="D971" s="340"/>
      <c r="E971" s="341"/>
      <c r="F971" s="8"/>
      <c r="G971" s="8"/>
      <c r="H971" s="208"/>
      <c r="I971" s="342"/>
      <c r="K971" s="311"/>
      <c r="L971" s="343"/>
      <c r="M971" s="344"/>
      <c r="N971" s="345"/>
      <c r="O971" s="311"/>
      <c r="P971" s="311"/>
      <c r="Q971" s="311"/>
      <c r="R971" s="346"/>
      <c r="S971" s="347"/>
      <c r="T971" s="348"/>
      <c r="U971" s="10"/>
      <c r="V971" s="349"/>
      <c r="W971" s="350"/>
      <c r="X971" s="9"/>
      <c r="Y971" s="10"/>
      <c r="Z971" s="6"/>
      <c r="AC971" s="11"/>
    </row>
    <row r="972" spans="1:29" ht="13.5" customHeight="1">
      <c r="A972" s="309"/>
      <c r="B972" s="340"/>
      <c r="C972" s="340"/>
      <c r="D972" s="340"/>
      <c r="E972" s="341"/>
      <c r="F972" s="8"/>
      <c r="G972" s="8"/>
      <c r="H972" s="208"/>
      <c r="I972" s="342"/>
      <c r="K972" s="311"/>
      <c r="L972" s="343"/>
      <c r="M972" s="344"/>
      <c r="N972" s="345"/>
      <c r="O972" s="311"/>
      <c r="P972" s="311"/>
      <c r="Q972" s="311"/>
      <c r="R972" s="346"/>
      <c r="S972" s="347"/>
      <c r="T972" s="348"/>
      <c r="U972" s="10"/>
      <c r="V972" s="349"/>
      <c r="W972" s="350"/>
      <c r="X972" s="9"/>
      <c r="Y972" s="10"/>
      <c r="Z972" s="6"/>
      <c r="AC972" s="11"/>
    </row>
    <row r="973" spans="1:29" ht="13.5" customHeight="1">
      <c r="A973" s="309"/>
      <c r="B973" s="340"/>
      <c r="C973" s="340"/>
      <c r="D973" s="340"/>
      <c r="E973" s="341"/>
      <c r="F973" s="8"/>
      <c r="G973" s="8"/>
      <c r="H973" s="208"/>
      <c r="I973" s="342"/>
      <c r="K973" s="311"/>
      <c r="L973" s="343"/>
      <c r="M973" s="344"/>
      <c r="N973" s="345"/>
      <c r="O973" s="311"/>
      <c r="P973" s="311"/>
      <c r="Q973" s="311"/>
      <c r="R973" s="346"/>
      <c r="S973" s="347"/>
      <c r="T973" s="348"/>
      <c r="U973" s="10"/>
      <c r="V973" s="349"/>
      <c r="W973" s="350"/>
      <c r="X973" s="9"/>
      <c r="Y973" s="10"/>
      <c r="Z973" s="6"/>
      <c r="AC973" s="11"/>
    </row>
    <row r="974" spans="1:29" ht="13.5" customHeight="1">
      <c r="A974" s="309"/>
      <c r="B974" s="340"/>
      <c r="C974" s="340"/>
      <c r="D974" s="340"/>
      <c r="E974" s="341"/>
      <c r="F974" s="8"/>
      <c r="G974" s="8"/>
      <c r="H974" s="208"/>
      <c r="I974" s="342"/>
      <c r="K974" s="311"/>
      <c r="L974" s="343"/>
      <c r="M974" s="344"/>
      <c r="N974" s="345"/>
      <c r="O974" s="311"/>
      <c r="P974" s="311"/>
      <c r="Q974" s="311"/>
      <c r="R974" s="346"/>
      <c r="S974" s="347"/>
      <c r="T974" s="348"/>
      <c r="U974" s="10"/>
      <c r="V974" s="349"/>
      <c r="W974" s="350"/>
      <c r="X974" s="9"/>
      <c r="Y974" s="10"/>
      <c r="Z974" s="6"/>
      <c r="AC974" s="11"/>
    </row>
    <row r="975" spans="1:29" ht="13.5" customHeight="1">
      <c r="A975" s="309"/>
      <c r="B975" s="340"/>
      <c r="C975" s="340"/>
      <c r="D975" s="340"/>
      <c r="E975" s="341"/>
      <c r="F975" s="8"/>
      <c r="G975" s="8"/>
      <c r="H975" s="208"/>
      <c r="I975" s="342"/>
      <c r="K975" s="311"/>
      <c r="L975" s="343"/>
      <c r="M975" s="344"/>
      <c r="N975" s="345"/>
      <c r="O975" s="311"/>
      <c r="P975" s="311"/>
      <c r="Q975" s="311"/>
      <c r="R975" s="346"/>
      <c r="S975" s="347"/>
      <c r="T975" s="348"/>
      <c r="U975" s="10"/>
      <c r="V975" s="349"/>
      <c r="W975" s="350"/>
      <c r="X975" s="9"/>
      <c r="Y975" s="10"/>
      <c r="Z975" s="6"/>
      <c r="AC975" s="11"/>
    </row>
    <row r="976" spans="1:29" ht="13.5" customHeight="1">
      <c r="A976" s="309"/>
      <c r="B976" s="340"/>
      <c r="C976" s="340"/>
      <c r="D976" s="340"/>
      <c r="E976" s="341"/>
      <c r="F976" s="8"/>
      <c r="G976" s="8"/>
      <c r="H976" s="208"/>
      <c r="I976" s="342"/>
      <c r="K976" s="311"/>
      <c r="L976" s="343"/>
      <c r="M976" s="344"/>
      <c r="N976" s="345"/>
      <c r="O976" s="311"/>
      <c r="P976" s="311"/>
      <c r="Q976" s="311"/>
      <c r="R976" s="346"/>
      <c r="S976" s="347"/>
      <c r="T976" s="348"/>
      <c r="U976" s="10"/>
      <c r="V976" s="349"/>
      <c r="W976" s="350"/>
      <c r="X976" s="9"/>
      <c r="Y976" s="10"/>
      <c r="Z976" s="6"/>
      <c r="AC976" s="11"/>
    </row>
    <row r="977" spans="1:29" ht="13.5" customHeight="1">
      <c r="A977" s="309"/>
      <c r="B977" s="340"/>
      <c r="C977" s="340"/>
      <c r="D977" s="340"/>
      <c r="E977" s="341"/>
      <c r="F977" s="8"/>
      <c r="G977" s="8"/>
      <c r="H977" s="208"/>
      <c r="I977" s="342"/>
      <c r="K977" s="311"/>
      <c r="L977" s="343"/>
      <c r="M977" s="344"/>
      <c r="N977" s="345"/>
      <c r="O977" s="311"/>
      <c r="P977" s="311"/>
      <c r="Q977" s="311"/>
      <c r="R977" s="346"/>
      <c r="S977" s="347"/>
      <c r="T977" s="348"/>
      <c r="U977" s="10"/>
      <c r="V977" s="349"/>
      <c r="W977" s="350"/>
      <c r="X977" s="9"/>
      <c r="Y977" s="10"/>
      <c r="Z977" s="6"/>
      <c r="AC977" s="11"/>
    </row>
    <row r="978" spans="1:29" ht="13.5" customHeight="1">
      <c r="A978" s="309"/>
      <c r="B978" s="340"/>
      <c r="C978" s="340"/>
      <c r="D978" s="340"/>
      <c r="E978" s="341"/>
      <c r="F978" s="8"/>
      <c r="G978" s="8"/>
      <c r="H978" s="208"/>
      <c r="I978" s="342"/>
      <c r="K978" s="311"/>
      <c r="L978" s="343"/>
      <c r="M978" s="344"/>
      <c r="N978" s="345"/>
      <c r="O978" s="311"/>
      <c r="P978" s="311"/>
      <c r="Q978" s="311"/>
      <c r="R978" s="346"/>
      <c r="S978" s="347"/>
      <c r="T978" s="348"/>
      <c r="U978" s="10"/>
      <c r="V978" s="349"/>
      <c r="W978" s="350"/>
      <c r="X978" s="9"/>
      <c r="Y978" s="10"/>
      <c r="Z978" s="6"/>
      <c r="AC978" s="11"/>
    </row>
    <row r="979" spans="1:29" ht="13.5" customHeight="1">
      <c r="A979" s="309"/>
      <c r="B979" s="340"/>
      <c r="C979" s="340"/>
      <c r="D979" s="340"/>
      <c r="E979" s="341"/>
      <c r="F979" s="8"/>
      <c r="G979" s="8"/>
      <c r="H979" s="208"/>
      <c r="I979" s="342"/>
      <c r="K979" s="311"/>
      <c r="L979" s="343"/>
      <c r="M979" s="344"/>
      <c r="N979" s="345"/>
      <c r="O979" s="311"/>
      <c r="P979" s="311"/>
      <c r="Q979" s="311"/>
      <c r="R979" s="346"/>
      <c r="S979" s="347"/>
      <c r="T979" s="348"/>
      <c r="U979" s="10"/>
      <c r="V979" s="349"/>
      <c r="W979" s="350"/>
      <c r="X979" s="9"/>
      <c r="Y979" s="10"/>
      <c r="Z979" s="6"/>
      <c r="AC979" s="11"/>
    </row>
    <row r="980" spans="1:29" ht="13.5" customHeight="1">
      <c r="A980" s="309"/>
      <c r="B980" s="340"/>
      <c r="C980" s="340"/>
      <c r="D980" s="340"/>
      <c r="E980" s="341"/>
      <c r="F980" s="8"/>
      <c r="G980" s="8"/>
      <c r="H980" s="208"/>
      <c r="I980" s="342"/>
      <c r="K980" s="311"/>
      <c r="L980" s="343"/>
      <c r="M980" s="344"/>
      <c r="N980" s="345"/>
      <c r="O980" s="311"/>
      <c r="P980" s="311"/>
      <c r="Q980" s="311"/>
      <c r="R980" s="346"/>
      <c r="S980" s="347"/>
      <c r="T980" s="348"/>
      <c r="U980" s="10"/>
      <c r="V980" s="349"/>
      <c r="W980" s="350"/>
      <c r="X980" s="9"/>
      <c r="Y980" s="10"/>
      <c r="Z980" s="6"/>
      <c r="AC980" s="11"/>
    </row>
    <row r="981" spans="1:29" ht="13.5" customHeight="1">
      <c r="A981" s="309"/>
      <c r="B981" s="340"/>
      <c r="C981" s="340"/>
      <c r="D981" s="340"/>
      <c r="E981" s="341"/>
      <c r="F981" s="8"/>
      <c r="G981" s="8"/>
      <c r="H981" s="208"/>
      <c r="I981" s="342"/>
      <c r="K981" s="311"/>
      <c r="L981" s="343"/>
      <c r="M981" s="344"/>
      <c r="N981" s="345"/>
      <c r="O981" s="311"/>
      <c r="P981" s="311"/>
      <c r="Q981" s="311"/>
      <c r="R981" s="346"/>
      <c r="S981" s="347"/>
      <c r="T981" s="348"/>
      <c r="U981" s="10"/>
      <c r="V981" s="349"/>
      <c r="W981" s="350"/>
      <c r="X981" s="9"/>
      <c r="Y981" s="10"/>
      <c r="Z981" s="6"/>
      <c r="AC981" s="11"/>
    </row>
    <row r="982" spans="1:29" ht="13.5" customHeight="1">
      <c r="A982" s="309"/>
      <c r="B982" s="340"/>
      <c r="C982" s="340"/>
      <c r="D982" s="340"/>
      <c r="E982" s="341"/>
      <c r="F982" s="8"/>
      <c r="G982" s="8"/>
      <c r="H982" s="208"/>
      <c r="I982" s="342"/>
      <c r="K982" s="311"/>
      <c r="L982" s="343"/>
      <c r="M982" s="344"/>
      <c r="N982" s="345"/>
      <c r="O982" s="311"/>
      <c r="P982" s="311"/>
      <c r="Q982" s="311"/>
      <c r="R982" s="346"/>
      <c r="S982" s="347"/>
      <c r="T982" s="348"/>
      <c r="U982" s="10"/>
      <c r="V982" s="349"/>
      <c r="W982" s="350"/>
      <c r="X982" s="9"/>
      <c r="Y982" s="10"/>
      <c r="Z982" s="6"/>
      <c r="AC982" s="11"/>
    </row>
    <row r="983" spans="1:29" ht="13.5" customHeight="1">
      <c r="A983" s="309"/>
      <c r="B983" s="340"/>
      <c r="C983" s="340"/>
      <c r="D983" s="340"/>
      <c r="E983" s="341"/>
      <c r="F983" s="8"/>
      <c r="G983" s="8"/>
      <c r="H983" s="208"/>
      <c r="I983" s="342"/>
      <c r="K983" s="311"/>
      <c r="L983" s="343"/>
      <c r="M983" s="344"/>
      <c r="N983" s="345"/>
      <c r="O983" s="311"/>
      <c r="P983" s="311"/>
      <c r="Q983" s="311"/>
      <c r="R983" s="346"/>
      <c r="S983" s="347"/>
      <c r="T983" s="348"/>
      <c r="U983" s="10"/>
      <c r="V983" s="349"/>
      <c r="W983" s="350"/>
      <c r="X983" s="9"/>
      <c r="Y983" s="10"/>
      <c r="Z983" s="6"/>
      <c r="AC983" s="11"/>
    </row>
    <row r="984" spans="1:29" ht="13.5" customHeight="1">
      <c r="A984" s="309"/>
      <c r="B984" s="340"/>
      <c r="C984" s="340"/>
      <c r="D984" s="340"/>
      <c r="E984" s="341"/>
      <c r="F984" s="8"/>
      <c r="G984" s="8"/>
      <c r="H984" s="208"/>
      <c r="I984" s="342"/>
      <c r="K984" s="311"/>
      <c r="L984" s="343"/>
      <c r="M984" s="344"/>
      <c r="N984" s="345"/>
      <c r="O984" s="311"/>
      <c r="P984" s="311"/>
      <c r="Q984" s="311"/>
      <c r="R984" s="346"/>
      <c r="S984" s="347"/>
      <c r="T984" s="348"/>
      <c r="U984" s="10"/>
      <c r="V984" s="349"/>
      <c r="W984" s="350"/>
      <c r="X984" s="9"/>
      <c r="Y984" s="10"/>
      <c r="Z984" s="6"/>
      <c r="AC984" s="11"/>
    </row>
    <row r="985" spans="1:29" ht="13.5" customHeight="1">
      <c r="A985" s="309"/>
      <c r="B985" s="340"/>
      <c r="C985" s="340"/>
      <c r="D985" s="340"/>
      <c r="E985" s="341"/>
      <c r="F985" s="8"/>
      <c r="G985" s="8"/>
      <c r="H985" s="208"/>
      <c r="I985" s="342"/>
      <c r="K985" s="311"/>
      <c r="L985" s="343"/>
      <c r="M985" s="344"/>
      <c r="N985" s="345"/>
      <c r="O985" s="311"/>
      <c r="P985" s="311"/>
      <c r="Q985" s="311"/>
      <c r="R985" s="346"/>
      <c r="S985" s="347"/>
      <c r="T985" s="348"/>
      <c r="U985" s="10"/>
      <c r="V985" s="349"/>
      <c r="W985" s="350"/>
      <c r="X985" s="9"/>
      <c r="Y985" s="10"/>
      <c r="Z985" s="6"/>
      <c r="AC985" s="11"/>
    </row>
    <row r="986" spans="1:29" ht="13.5" customHeight="1">
      <c r="A986" s="309"/>
      <c r="B986" s="340"/>
      <c r="C986" s="340"/>
      <c r="D986" s="340"/>
      <c r="E986" s="341"/>
      <c r="F986" s="8"/>
      <c r="G986" s="8"/>
      <c r="H986" s="208"/>
      <c r="I986" s="342"/>
      <c r="K986" s="311"/>
      <c r="L986" s="343"/>
      <c r="M986" s="344"/>
      <c r="N986" s="345"/>
      <c r="O986" s="311"/>
      <c r="P986" s="311"/>
      <c r="Q986" s="311"/>
      <c r="R986" s="346"/>
      <c r="S986" s="347"/>
      <c r="T986" s="348"/>
      <c r="U986" s="10"/>
      <c r="V986" s="349"/>
      <c r="W986" s="350"/>
      <c r="X986" s="9"/>
      <c r="Y986" s="10"/>
      <c r="Z986" s="6"/>
      <c r="AC986" s="11"/>
    </row>
    <row r="987" spans="1:29" ht="13.5" customHeight="1">
      <c r="A987" s="309"/>
      <c r="B987" s="340"/>
      <c r="C987" s="340"/>
      <c r="D987" s="340"/>
      <c r="E987" s="341"/>
      <c r="F987" s="8"/>
      <c r="G987" s="8"/>
      <c r="H987" s="208"/>
      <c r="I987" s="342"/>
      <c r="K987" s="311"/>
      <c r="L987" s="343"/>
      <c r="M987" s="344"/>
      <c r="N987" s="345"/>
      <c r="O987" s="311"/>
      <c r="P987" s="311"/>
      <c r="Q987" s="311"/>
      <c r="R987" s="346"/>
      <c r="S987" s="347"/>
      <c r="T987" s="348"/>
      <c r="U987" s="10"/>
      <c r="V987" s="349"/>
      <c r="W987" s="350"/>
      <c r="X987" s="9"/>
      <c r="Y987" s="10"/>
      <c r="Z987" s="6"/>
      <c r="AC987" s="11"/>
    </row>
    <row r="988" spans="1:29" ht="13.5" customHeight="1">
      <c r="A988" s="309"/>
      <c r="B988" s="340"/>
      <c r="C988" s="340"/>
      <c r="D988" s="340"/>
      <c r="E988" s="341"/>
      <c r="F988" s="8"/>
      <c r="G988" s="8"/>
      <c r="H988" s="208"/>
      <c r="I988" s="342"/>
      <c r="K988" s="311"/>
      <c r="L988" s="343"/>
      <c r="M988" s="344"/>
      <c r="N988" s="345"/>
      <c r="O988" s="311"/>
      <c r="P988" s="311"/>
      <c r="Q988" s="311"/>
      <c r="R988" s="346"/>
      <c r="S988" s="347"/>
      <c r="T988" s="348"/>
      <c r="U988" s="10"/>
      <c r="V988" s="349"/>
      <c r="W988" s="350"/>
      <c r="X988" s="9"/>
      <c r="Y988" s="10"/>
      <c r="Z988" s="6"/>
      <c r="AC988" s="11"/>
    </row>
    <row r="989" spans="1:29" ht="13.5" customHeight="1">
      <c r="A989" s="309"/>
      <c r="B989" s="340"/>
      <c r="C989" s="340"/>
      <c r="D989" s="340"/>
      <c r="E989" s="341"/>
      <c r="F989" s="8"/>
      <c r="G989" s="8"/>
      <c r="H989" s="208"/>
      <c r="I989" s="342"/>
      <c r="K989" s="311"/>
      <c r="L989" s="343"/>
      <c r="M989" s="344"/>
      <c r="N989" s="345"/>
      <c r="O989" s="311"/>
      <c r="P989" s="311"/>
      <c r="Q989" s="311"/>
      <c r="R989" s="346"/>
      <c r="S989" s="347"/>
      <c r="T989" s="348"/>
      <c r="U989" s="10"/>
      <c r="V989" s="349"/>
      <c r="W989" s="350"/>
      <c r="X989" s="9"/>
      <c r="Y989" s="10"/>
      <c r="Z989" s="6"/>
      <c r="AC989" s="11"/>
    </row>
    <row r="990" spans="1:29" ht="13.5" customHeight="1">
      <c r="A990" s="309"/>
      <c r="B990" s="340"/>
      <c r="C990" s="340"/>
      <c r="D990" s="340"/>
      <c r="E990" s="341"/>
      <c r="F990" s="8"/>
      <c r="G990" s="8"/>
      <c r="H990" s="208"/>
      <c r="I990" s="342"/>
      <c r="K990" s="311"/>
      <c r="L990" s="343"/>
      <c r="M990" s="344"/>
      <c r="N990" s="345"/>
      <c r="O990" s="311"/>
      <c r="P990" s="311"/>
      <c r="Q990" s="311"/>
      <c r="R990" s="346"/>
      <c r="S990" s="347"/>
      <c r="T990" s="348"/>
      <c r="U990" s="10"/>
      <c r="V990" s="349"/>
      <c r="W990" s="350"/>
      <c r="X990" s="9"/>
      <c r="Y990" s="10"/>
      <c r="Z990" s="6"/>
      <c r="AC990" s="11"/>
    </row>
    <row r="991" spans="1:29" ht="13.5" customHeight="1">
      <c r="A991" s="309"/>
      <c r="B991" s="340"/>
      <c r="C991" s="340"/>
      <c r="D991" s="340"/>
      <c r="E991" s="341"/>
      <c r="F991" s="8"/>
      <c r="G991" s="8"/>
      <c r="H991" s="208"/>
      <c r="I991" s="342"/>
      <c r="K991" s="311"/>
      <c r="L991" s="343"/>
      <c r="M991" s="344"/>
      <c r="N991" s="345"/>
      <c r="O991" s="311"/>
      <c r="P991" s="311"/>
      <c r="Q991" s="311"/>
      <c r="R991" s="346"/>
      <c r="S991" s="347"/>
      <c r="T991" s="348"/>
      <c r="U991" s="10"/>
      <c r="V991" s="349"/>
      <c r="W991" s="350"/>
      <c r="X991" s="9"/>
      <c r="Y991" s="10"/>
      <c r="Z991" s="6"/>
      <c r="AC991" s="11"/>
    </row>
    <row r="992" spans="1:29" ht="13.5" customHeight="1">
      <c r="A992" s="309"/>
      <c r="B992" s="340"/>
      <c r="C992" s="340"/>
      <c r="D992" s="340"/>
      <c r="E992" s="341"/>
      <c r="F992" s="8"/>
      <c r="G992" s="8"/>
      <c r="H992" s="208"/>
      <c r="I992" s="342"/>
      <c r="K992" s="311"/>
      <c r="L992" s="343"/>
      <c r="M992" s="344"/>
      <c r="N992" s="345"/>
      <c r="O992" s="311"/>
      <c r="P992" s="311"/>
      <c r="Q992" s="311"/>
      <c r="R992" s="346"/>
      <c r="S992" s="347"/>
      <c r="T992" s="348"/>
      <c r="U992" s="10"/>
      <c r="V992" s="349"/>
      <c r="W992" s="350"/>
      <c r="X992" s="9"/>
      <c r="Y992" s="10"/>
      <c r="Z992" s="6"/>
      <c r="AC992" s="11"/>
    </row>
    <row r="993" spans="1:29" ht="13.5" customHeight="1">
      <c r="A993" s="309"/>
      <c r="B993" s="340"/>
      <c r="C993" s="340"/>
      <c r="D993" s="340"/>
      <c r="E993" s="341"/>
      <c r="F993" s="8"/>
      <c r="G993" s="8"/>
      <c r="H993" s="208"/>
      <c r="I993" s="342"/>
      <c r="K993" s="311"/>
      <c r="L993" s="343"/>
      <c r="M993" s="344"/>
      <c r="N993" s="345"/>
      <c r="O993" s="311"/>
      <c r="P993" s="311"/>
      <c r="Q993" s="311"/>
      <c r="R993" s="346"/>
      <c r="S993" s="347"/>
      <c r="T993" s="348"/>
      <c r="U993" s="10"/>
      <c r="V993" s="349"/>
      <c r="W993" s="350"/>
      <c r="X993" s="9"/>
      <c r="Y993" s="10"/>
      <c r="Z993" s="6"/>
      <c r="AC993" s="11"/>
    </row>
    <row r="994" spans="1:29" ht="13.5" customHeight="1">
      <c r="A994" s="309"/>
      <c r="B994" s="340"/>
      <c r="C994" s="340"/>
      <c r="D994" s="340"/>
      <c r="E994" s="341"/>
      <c r="F994" s="8"/>
      <c r="G994" s="8"/>
      <c r="H994" s="208"/>
      <c r="I994" s="342"/>
      <c r="K994" s="311"/>
      <c r="L994" s="343"/>
      <c r="M994" s="344"/>
      <c r="N994" s="345"/>
      <c r="O994" s="311"/>
      <c r="P994" s="311"/>
      <c r="Q994" s="311"/>
      <c r="R994" s="346"/>
      <c r="S994" s="347"/>
      <c r="T994" s="348"/>
      <c r="U994" s="10"/>
      <c r="V994" s="349"/>
      <c r="W994" s="350"/>
      <c r="X994" s="9"/>
      <c r="Y994" s="10"/>
      <c r="Z994" s="6"/>
      <c r="AC994" s="11"/>
    </row>
    <row r="995" spans="1:29" ht="13.5" customHeight="1">
      <c r="A995" s="309"/>
      <c r="B995" s="340"/>
      <c r="C995" s="340"/>
      <c r="D995" s="340"/>
      <c r="E995" s="341"/>
      <c r="F995" s="8"/>
      <c r="G995" s="8"/>
      <c r="H995" s="208"/>
      <c r="I995" s="342"/>
      <c r="K995" s="311"/>
      <c r="L995" s="343"/>
      <c r="M995" s="344"/>
      <c r="N995" s="345"/>
      <c r="O995" s="311"/>
      <c r="P995" s="311"/>
      <c r="Q995" s="311"/>
      <c r="R995" s="346"/>
      <c r="S995" s="347"/>
      <c r="T995" s="348"/>
      <c r="U995" s="10"/>
      <c r="V995" s="349"/>
      <c r="W995" s="350"/>
      <c r="X995" s="9"/>
      <c r="Y995" s="10"/>
      <c r="Z995" s="6"/>
      <c r="AC995" s="11"/>
    </row>
    <row r="996" spans="1:29" ht="13.5" customHeight="1">
      <c r="A996" s="309"/>
      <c r="B996" s="340"/>
      <c r="C996" s="340"/>
      <c r="D996" s="340"/>
      <c r="E996" s="341"/>
      <c r="F996" s="8"/>
      <c r="G996" s="8"/>
      <c r="H996" s="208"/>
      <c r="I996" s="342"/>
      <c r="K996" s="311"/>
      <c r="L996" s="343"/>
      <c r="M996" s="344"/>
      <c r="N996" s="345"/>
      <c r="O996" s="311"/>
      <c r="P996" s="311"/>
      <c r="Q996" s="311"/>
      <c r="R996" s="346"/>
      <c r="S996" s="347"/>
      <c r="T996" s="348"/>
      <c r="U996" s="10"/>
      <c r="V996" s="349"/>
      <c r="W996" s="350"/>
      <c r="X996" s="9"/>
      <c r="Y996" s="10"/>
      <c r="Z996" s="6"/>
      <c r="AC996" s="11"/>
    </row>
    <row r="997" spans="1:29" ht="13.5" customHeight="1">
      <c r="A997" s="309"/>
      <c r="B997" s="340"/>
      <c r="C997" s="340"/>
      <c r="D997" s="340"/>
      <c r="E997" s="341"/>
      <c r="F997" s="8"/>
      <c r="G997" s="8"/>
      <c r="H997" s="208"/>
      <c r="I997" s="342"/>
      <c r="K997" s="311"/>
      <c r="L997" s="343"/>
      <c r="M997" s="344"/>
      <c r="N997" s="345"/>
      <c r="O997" s="311"/>
      <c r="P997" s="311"/>
      <c r="Q997" s="311"/>
      <c r="R997" s="346"/>
      <c r="S997" s="347"/>
      <c r="T997" s="348"/>
      <c r="U997" s="10"/>
      <c r="V997" s="349"/>
      <c r="W997" s="350"/>
      <c r="X997" s="9"/>
      <c r="Y997" s="10"/>
      <c r="Z997" s="6"/>
      <c r="AC997" s="11"/>
    </row>
    <row r="998" spans="1:29" ht="13.5" customHeight="1">
      <c r="A998" s="309"/>
      <c r="B998" s="340"/>
      <c r="C998" s="340"/>
      <c r="D998" s="340"/>
      <c r="E998" s="341"/>
      <c r="F998" s="8"/>
      <c r="G998" s="8"/>
      <c r="H998" s="208"/>
      <c r="I998" s="342"/>
      <c r="K998" s="311"/>
      <c r="L998" s="343"/>
      <c r="M998" s="344"/>
      <c r="N998" s="345"/>
      <c r="O998" s="311"/>
      <c r="P998" s="311"/>
      <c r="Q998" s="311"/>
      <c r="R998" s="346"/>
      <c r="S998" s="347"/>
      <c r="T998" s="348"/>
      <c r="U998" s="10"/>
      <c r="V998" s="349"/>
      <c r="W998" s="350"/>
      <c r="X998" s="9"/>
      <c r="Y998" s="10"/>
      <c r="Z998" s="6"/>
      <c r="AC998" s="11"/>
    </row>
    <row r="999" spans="1:29" ht="13.5" customHeight="1">
      <c r="A999" s="309"/>
      <c r="B999" s="340"/>
      <c r="C999" s="340"/>
      <c r="D999" s="340"/>
      <c r="E999" s="341"/>
      <c r="F999" s="8"/>
      <c r="G999" s="8"/>
      <c r="H999" s="208"/>
      <c r="I999" s="342"/>
      <c r="K999" s="311"/>
      <c r="L999" s="343"/>
      <c r="M999" s="344"/>
      <c r="N999" s="345"/>
      <c r="O999" s="311"/>
      <c r="P999" s="311"/>
      <c r="Q999" s="311"/>
      <c r="R999" s="346"/>
      <c r="S999" s="347"/>
      <c r="T999" s="348"/>
      <c r="U999" s="10"/>
      <c r="V999" s="349"/>
      <c r="W999" s="350"/>
      <c r="X999" s="9"/>
      <c r="Y999" s="10"/>
      <c r="Z999" s="6"/>
      <c r="AC999" s="11"/>
    </row>
    <row r="1000" spans="1:29" ht="13.5" customHeight="1">
      <c r="A1000" s="309"/>
      <c r="B1000" s="340"/>
      <c r="C1000" s="340"/>
      <c r="D1000" s="340"/>
      <c r="E1000" s="341"/>
      <c r="F1000" s="8"/>
      <c r="G1000" s="8"/>
      <c r="H1000" s="208"/>
      <c r="I1000" s="342"/>
      <c r="K1000" s="311"/>
      <c r="L1000" s="343"/>
      <c r="M1000" s="344"/>
      <c r="N1000" s="345"/>
      <c r="O1000" s="311"/>
      <c r="P1000" s="311"/>
      <c r="Q1000" s="311"/>
      <c r="R1000" s="346"/>
      <c r="S1000" s="347"/>
      <c r="T1000" s="348"/>
      <c r="U1000" s="10"/>
      <c r="V1000" s="349"/>
      <c r="W1000" s="350"/>
      <c r="X1000" s="9"/>
      <c r="Y1000" s="10"/>
      <c r="Z1000" s="6"/>
      <c r="AC1000" s="11"/>
    </row>
  </sheetData>
  <autoFilter ref="A6:AS406" xr:uid="{00000000-0009-0000-0000-000001000000}"/>
  <mergeCells count="16">
    <mergeCell ref="AG5:AI5"/>
    <mergeCell ref="AJ5:AL5"/>
    <mergeCell ref="AM5:AO5"/>
    <mergeCell ref="D1:E3"/>
    <mergeCell ref="F1:T3"/>
    <mergeCell ref="U1:V3"/>
    <mergeCell ref="D4:M5"/>
    <mergeCell ref="N4:Q5"/>
    <mergeCell ref="R4:V4"/>
    <mergeCell ref="X4:AR4"/>
    <mergeCell ref="AP5:AR5"/>
    <mergeCell ref="R5:S5"/>
    <mergeCell ref="T5:V5"/>
    <mergeCell ref="X5:Z5"/>
    <mergeCell ref="AA5:AC5"/>
    <mergeCell ref="AD5:AF5"/>
  </mergeCells>
  <conditionalFormatting sqref="A15">
    <cfRule type="expression" dxfId="521" priority="1" stopIfTrue="1">
      <formula>NOT(ISERROR(SEARCH("renovar",A15)))</formula>
    </cfRule>
  </conditionalFormatting>
  <conditionalFormatting sqref="A15">
    <cfRule type="expression" dxfId="520" priority="2" stopIfTrue="1">
      <formula>NOT(ISERROR(SEARCH("Renovar",A15)))</formula>
    </cfRule>
  </conditionalFormatting>
  <conditionalFormatting sqref="A31">
    <cfRule type="expression" dxfId="519" priority="3" stopIfTrue="1">
      <formula>NOT(ISERROR(SEARCH("renovar",A31)))</formula>
    </cfRule>
  </conditionalFormatting>
  <conditionalFormatting sqref="A31">
    <cfRule type="expression" dxfId="518" priority="4" stopIfTrue="1">
      <formula>NOT(ISERROR(SEARCH("Renovar",A31)))</formula>
    </cfRule>
  </conditionalFormatting>
  <conditionalFormatting sqref="A33">
    <cfRule type="expression" dxfId="517" priority="5" stopIfTrue="1">
      <formula>NOT(ISERROR(SEARCH("renovar",A33)))</formula>
    </cfRule>
  </conditionalFormatting>
  <conditionalFormatting sqref="A33">
    <cfRule type="expression" dxfId="516" priority="6" stopIfTrue="1">
      <formula>NOT(ISERROR(SEARCH("Renovar",A33)))</formula>
    </cfRule>
  </conditionalFormatting>
  <conditionalFormatting sqref="A35">
    <cfRule type="expression" dxfId="515" priority="7" stopIfTrue="1">
      <formula>NOT(ISERROR(SEARCH("renovar",A35)))</formula>
    </cfRule>
  </conditionalFormatting>
  <conditionalFormatting sqref="A35">
    <cfRule type="expression" dxfId="514" priority="8" stopIfTrue="1">
      <formula>NOT(ISERROR(SEARCH("Renovar",A35)))</formula>
    </cfRule>
  </conditionalFormatting>
  <conditionalFormatting sqref="A37">
    <cfRule type="expression" dxfId="513" priority="9" stopIfTrue="1">
      <formula>NOT(ISERROR(SEARCH("renovar",A37)))</formula>
    </cfRule>
  </conditionalFormatting>
  <conditionalFormatting sqref="A37">
    <cfRule type="expression" dxfId="512" priority="10" stopIfTrue="1">
      <formula>NOT(ISERROR(SEARCH("Renovar",A37)))</formula>
    </cfRule>
  </conditionalFormatting>
  <conditionalFormatting sqref="A39">
    <cfRule type="expression" dxfId="511" priority="11" stopIfTrue="1">
      <formula>NOT(ISERROR(SEARCH("renovar",A39)))</formula>
    </cfRule>
  </conditionalFormatting>
  <conditionalFormatting sqref="A39">
    <cfRule type="expression" dxfId="510" priority="12" stopIfTrue="1">
      <formula>NOT(ISERROR(SEARCH("Renovar",A39)))</formula>
    </cfRule>
  </conditionalFormatting>
  <conditionalFormatting sqref="A41">
    <cfRule type="expression" dxfId="509" priority="13" stopIfTrue="1">
      <formula>NOT(ISERROR(SEARCH("renovar",A41)))</formula>
    </cfRule>
  </conditionalFormatting>
  <conditionalFormatting sqref="A41">
    <cfRule type="expression" dxfId="508" priority="14" stopIfTrue="1">
      <formula>NOT(ISERROR(SEARCH("Renovar",A41)))</formula>
    </cfRule>
  </conditionalFormatting>
  <conditionalFormatting sqref="A43">
    <cfRule type="expression" dxfId="507" priority="15" stopIfTrue="1">
      <formula>NOT(ISERROR(SEARCH("renovar",A43)))</formula>
    </cfRule>
  </conditionalFormatting>
  <conditionalFormatting sqref="A43">
    <cfRule type="expression" dxfId="506" priority="16" stopIfTrue="1">
      <formula>NOT(ISERROR(SEARCH("Renovar",A43)))</formula>
    </cfRule>
  </conditionalFormatting>
  <conditionalFormatting sqref="A45">
    <cfRule type="expression" dxfId="505" priority="17" stopIfTrue="1">
      <formula>NOT(ISERROR(SEARCH("renovar",A45)))</formula>
    </cfRule>
  </conditionalFormatting>
  <conditionalFormatting sqref="A45">
    <cfRule type="expression" dxfId="504" priority="18" stopIfTrue="1">
      <formula>NOT(ISERROR(SEARCH("Renovar",A45)))</formula>
    </cfRule>
  </conditionalFormatting>
  <conditionalFormatting sqref="A57">
    <cfRule type="expression" dxfId="503" priority="19" stopIfTrue="1">
      <formula>NOT(ISERROR(SEARCH("renovar",A57)))</formula>
    </cfRule>
  </conditionalFormatting>
  <conditionalFormatting sqref="A57">
    <cfRule type="expression" dxfId="502" priority="20" stopIfTrue="1">
      <formula>NOT(ISERROR(SEARCH("Renovar",A57)))</formula>
    </cfRule>
  </conditionalFormatting>
  <conditionalFormatting sqref="A59">
    <cfRule type="expression" dxfId="501" priority="21" stopIfTrue="1">
      <formula>NOT(ISERROR(SEARCH("renovar",A59)))</formula>
    </cfRule>
  </conditionalFormatting>
  <conditionalFormatting sqref="A59">
    <cfRule type="expression" dxfId="500" priority="22" stopIfTrue="1">
      <formula>NOT(ISERROR(SEARCH("Renovar",A59)))</formula>
    </cfRule>
  </conditionalFormatting>
  <conditionalFormatting sqref="A61">
    <cfRule type="expression" dxfId="499" priority="23" stopIfTrue="1">
      <formula>NOT(ISERROR(SEARCH("renovar",A61)))</formula>
    </cfRule>
  </conditionalFormatting>
  <conditionalFormatting sqref="A61">
    <cfRule type="expression" dxfId="498" priority="24" stopIfTrue="1">
      <formula>NOT(ISERROR(SEARCH("Renovar",A61)))</formula>
    </cfRule>
  </conditionalFormatting>
  <conditionalFormatting sqref="A63">
    <cfRule type="expression" dxfId="497" priority="25" stopIfTrue="1">
      <formula>NOT(ISERROR(SEARCH("renovar",A63)))</formula>
    </cfRule>
  </conditionalFormatting>
  <conditionalFormatting sqref="A63">
    <cfRule type="expression" dxfId="496" priority="26" stopIfTrue="1">
      <formula>NOT(ISERROR(SEARCH("Renovar",A63)))</formula>
    </cfRule>
  </conditionalFormatting>
  <conditionalFormatting sqref="A65">
    <cfRule type="expression" dxfId="495" priority="27" stopIfTrue="1">
      <formula>NOT(ISERROR(SEARCH("renovar",A65)))</formula>
    </cfRule>
  </conditionalFormatting>
  <conditionalFormatting sqref="A65">
    <cfRule type="expression" dxfId="494" priority="28" stopIfTrue="1">
      <formula>NOT(ISERROR(SEARCH("Renovar",A65)))</formula>
    </cfRule>
  </conditionalFormatting>
  <conditionalFormatting sqref="A67">
    <cfRule type="expression" dxfId="493" priority="29" stopIfTrue="1">
      <formula>NOT(ISERROR(SEARCH("renovar",A67)))</formula>
    </cfRule>
  </conditionalFormatting>
  <conditionalFormatting sqref="A67">
    <cfRule type="expression" dxfId="492" priority="30" stopIfTrue="1">
      <formula>NOT(ISERROR(SEARCH("Renovar",A67)))</formula>
    </cfRule>
  </conditionalFormatting>
  <conditionalFormatting sqref="A69">
    <cfRule type="expression" dxfId="491" priority="31" stopIfTrue="1">
      <formula>NOT(ISERROR(SEARCH("renovar",A69)))</formula>
    </cfRule>
  </conditionalFormatting>
  <conditionalFormatting sqref="A69">
    <cfRule type="expression" dxfId="490" priority="32" stopIfTrue="1">
      <formula>NOT(ISERROR(SEARCH("Renovar",A69)))</formula>
    </cfRule>
  </conditionalFormatting>
  <conditionalFormatting sqref="A71">
    <cfRule type="expression" dxfId="489" priority="33" stopIfTrue="1">
      <formula>NOT(ISERROR(SEARCH("renovar",A71)))</formula>
    </cfRule>
  </conditionalFormatting>
  <conditionalFormatting sqref="A71">
    <cfRule type="expression" dxfId="488" priority="34" stopIfTrue="1">
      <formula>NOT(ISERROR(SEARCH("Renovar",A71)))</formula>
    </cfRule>
  </conditionalFormatting>
  <conditionalFormatting sqref="A73">
    <cfRule type="expression" dxfId="487" priority="35" stopIfTrue="1">
      <formula>NOT(ISERROR(SEARCH("renovar",A73)))</formula>
    </cfRule>
  </conditionalFormatting>
  <conditionalFormatting sqref="A73">
    <cfRule type="expression" dxfId="486" priority="36" stopIfTrue="1">
      <formula>NOT(ISERROR(SEARCH("Renovar",A73)))</formula>
    </cfRule>
  </conditionalFormatting>
  <conditionalFormatting sqref="A75">
    <cfRule type="expression" dxfId="485" priority="37" stopIfTrue="1">
      <formula>NOT(ISERROR(SEARCH("renovar",A75)))</formula>
    </cfRule>
  </conditionalFormatting>
  <conditionalFormatting sqref="A75">
    <cfRule type="expression" dxfId="484" priority="38" stopIfTrue="1">
      <formula>NOT(ISERROR(SEARCH("Renovar",A75)))</formula>
    </cfRule>
  </conditionalFormatting>
  <conditionalFormatting sqref="A119">
    <cfRule type="expression" dxfId="483" priority="39" stopIfTrue="1">
      <formula>NOT(ISERROR(SEARCH("renovar",A119)))</formula>
    </cfRule>
  </conditionalFormatting>
  <conditionalFormatting sqref="A119">
    <cfRule type="expression" dxfId="482" priority="40" stopIfTrue="1">
      <formula>NOT(ISERROR(SEARCH("Renovar",A119)))</formula>
    </cfRule>
  </conditionalFormatting>
  <conditionalFormatting sqref="A121">
    <cfRule type="expression" dxfId="481" priority="41" stopIfTrue="1">
      <formula>NOT(ISERROR(SEARCH("renovar",A121)))</formula>
    </cfRule>
  </conditionalFormatting>
  <conditionalFormatting sqref="A121">
    <cfRule type="expression" dxfId="480" priority="42" stopIfTrue="1">
      <formula>NOT(ISERROR(SEARCH("Renovar",A121)))</formula>
    </cfRule>
  </conditionalFormatting>
  <conditionalFormatting sqref="A193">
    <cfRule type="expression" dxfId="479" priority="43" stopIfTrue="1">
      <formula>NOT(ISERROR(SEARCH("renovar",A193)))</formula>
    </cfRule>
  </conditionalFormatting>
  <conditionalFormatting sqref="A193">
    <cfRule type="expression" dxfId="478" priority="44" stopIfTrue="1">
      <formula>NOT(ISERROR(SEARCH("Renovar",A193)))</formula>
    </cfRule>
  </conditionalFormatting>
  <conditionalFormatting sqref="A289">
    <cfRule type="expression" dxfId="477" priority="45" stopIfTrue="1">
      <formula>NOT(ISERROR(SEARCH("renovar",A289)))</formula>
    </cfRule>
  </conditionalFormatting>
  <conditionalFormatting sqref="A289">
    <cfRule type="expression" dxfId="476" priority="46" stopIfTrue="1">
      <formula>NOT(ISERROR(SEARCH("Renovar",A289)))</formula>
    </cfRule>
  </conditionalFormatting>
  <conditionalFormatting sqref="A291">
    <cfRule type="expression" dxfId="475" priority="47" stopIfTrue="1">
      <formula>NOT(ISERROR(SEARCH("renovar",A291)))</formula>
    </cfRule>
  </conditionalFormatting>
  <conditionalFormatting sqref="A291">
    <cfRule type="expression" dxfId="474" priority="48" stopIfTrue="1">
      <formula>NOT(ISERROR(SEARCH("Renovar",A291)))</formula>
    </cfRule>
  </conditionalFormatting>
  <conditionalFormatting sqref="A293">
    <cfRule type="expression" dxfId="473" priority="49" stopIfTrue="1">
      <formula>NOT(ISERROR(SEARCH("renovar",A293)))</formula>
    </cfRule>
  </conditionalFormatting>
  <conditionalFormatting sqref="A293">
    <cfRule type="expression" dxfId="472" priority="50" stopIfTrue="1">
      <formula>NOT(ISERROR(SEARCH("Renovar",A293)))</formula>
    </cfRule>
  </conditionalFormatting>
  <conditionalFormatting sqref="A295">
    <cfRule type="expression" dxfId="471" priority="51" stopIfTrue="1">
      <formula>NOT(ISERROR(SEARCH("renovar",A295)))</formula>
    </cfRule>
  </conditionalFormatting>
  <conditionalFormatting sqref="A295">
    <cfRule type="expression" dxfId="470" priority="52" stopIfTrue="1">
      <formula>NOT(ISERROR(SEARCH("Renovar",A295)))</formula>
    </cfRule>
  </conditionalFormatting>
  <conditionalFormatting sqref="A297">
    <cfRule type="expression" dxfId="469" priority="53" stopIfTrue="1">
      <formula>NOT(ISERROR(SEARCH("renovar",A297)))</formula>
    </cfRule>
  </conditionalFormatting>
  <conditionalFormatting sqref="A297">
    <cfRule type="expression" dxfId="468" priority="54" stopIfTrue="1">
      <formula>NOT(ISERROR(SEARCH("Renovar",A297)))</formula>
    </cfRule>
  </conditionalFormatting>
  <conditionalFormatting sqref="A299">
    <cfRule type="expression" dxfId="467" priority="55" stopIfTrue="1">
      <formula>NOT(ISERROR(SEARCH("renovar",A299)))</formula>
    </cfRule>
  </conditionalFormatting>
  <conditionalFormatting sqref="A299">
    <cfRule type="expression" dxfId="466" priority="56" stopIfTrue="1">
      <formula>NOT(ISERROR(SEARCH("Renovar",A299)))</formula>
    </cfRule>
  </conditionalFormatting>
  <conditionalFormatting sqref="A301">
    <cfRule type="expression" dxfId="465" priority="57" stopIfTrue="1">
      <formula>NOT(ISERROR(SEARCH("renovar",A301)))</formula>
    </cfRule>
  </conditionalFormatting>
  <conditionalFormatting sqref="A301">
    <cfRule type="expression" dxfId="464" priority="58" stopIfTrue="1">
      <formula>NOT(ISERROR(SEARCH("Renovar",A301)))</formula>
    </cfRule>
  </conditionalFormatting>
  <conditionalFormatting sqref="A303">
    <cfRule type="expression" dxfId="463" priority="59" stopIfTrue="1">
      <formula>NOT(ISERROR(SEARCH("renovar",A303)))</formula>
    </cfRule>
  </conditionalFormatting>
  <conditionalFormatting sqref="A303">
    <cfRule type="expression" dxfId="462" priority="60" stopIfTrue="1">
      <formula>NOT(ISERROR(SEARCH("Renovar",A303)))</formula>
    </cfRule>
  </conditionalFormatting>
  <conditionalFormatting sqref="A305">
    <cfRule type="expression" dxfId="461" priority="61" stopIfTrue="1">
      <formula>NOT(ISERROR(SEARCH("renovar",A305)))</formula>
    </cfRule>
  </conditionalFormatting>
  <conditionalFormatting sqref="A305">
    <cfRule type="expression" dxfId="460" priority="62" stopIfTrue="1">
      <formula>NOT(ISERROR(SEARCH("Renovar",A305)))</formula>
    </cfRule>
  </conditionalFormatting>
  <conditionalFormatting sqref="A307">
    <cfRule type="expression" dxfId="459" priority="63" stopIfTrue="1">
      <formula>NOT(ISERROR(SEARCH("renovar",A307)))</formula>
    </cfRule>
  </conditionalFormatting>
  <conditionalFormatting sqref="A307">
    <cfRule type="expression" dxfId="458" priority="64" stopIfTrue="1">
      <formula>NOT(ISERROR(SEARCH("Renovar",A307)))</formula>
    </cfRule>
  </conditionalFormatting>
  <conditionalFormatting sqref="A309">
    <cfRule type="expression" dxfId="457" priority="65" stopIfTrue="1">
      <formula>NOT(ISERROR(SEARCH("renovar",A309)))</formula>
    </cfRule>
  </conditionalFormatting>
  <conditionalFormatting sqref="A309">
    <cfRule type="expression" dxfId="456" priority="66" stopIfTrue="1">
      <formula>NOT(ISERROR(SEARCH("Renovar",A309)))</formula>
    </cfRule>
  </conditionalFormatting>
  <conditionalFormatting sqref="A311">
    <cfRule type="expression" dxfId="455" priority="67" stopIfTrue="1">
      <formula>NOT(ISERROR(SEARCH("renovar",A311)))</formula>
    </cfRule>
  </conditionalFormatting>
  <conditionalFormatting sqref="A311">
    <cfRule type="expression" dxfId="454" priority="68" stopIfTrue="1">
      <formula>NOT(ISERROR(SEARCH("Renovar",A311)))</formula>
    </cfRule>
  </conditionalFormatting>
  <conditionalFormatting sqref="A313">
    <cfRule type="expression" dxfId="453" priority="69" stopIfTrue="1">
      <formula>NOT(ISERROR(SEARCH("renovar",A313)))</formula>
    </cfRule>
  </conditionalFormatting>
  <conditionalFormatting sqref="A313">
    <cfRule type="expression" dxfId="452" priority="70" stopIfTrue="1">
      <formula>NOT(ISERROR(SEARCH("Renovar",A313)))</formula>
    </cfRule>
  </conditionalFormatting>
  <conditionalFormatting sqref="A315">
    <cfRule type="expression" dxfId="451" priority="71" stopIfTrue="1">
      <formula>NOT(ISERROR(SEARCH("renovar",A315)))</formula>
    </cfRule>
  </conditionalFormatting>
  <conditionalFormatting sqref="A315">
    <cfRule type="expression" dxfId="450" priority="72" stopIfTrue="1">
      <formula>NOT(ISERROR(SEARCH("Renovar",A315)))</formula>
    </cfRule>
  </conditionalFormatting>
  <conditionalFormatting sqref="A317">
    <cfRule type="expression" dxfId="449" priority="73" stopIfTrue="1">
      <formula>NOT(ISERROR(SEARCH("renovar",A317)))</formula>
    </cfRule>
  </conditionalFormatting>
  <conditionalFormatting sqref="A317">
    <cfRule type="expression" dxfId="448" priority="74" stopIfTrue="1">
      <formula>NOT(ISERROR(SEARCH("Renovar",A317)))</formula>
    </cfRule>
  </conditionalFormatting>
  <conditionalFormatting sqref="A319">
    <cfRule type="expression" dxfId="447" priority="75" stopIfTrue="1">
      <formula>NOT(ISERROR(SEARCH("renovar",A319)))</formula>
    </cfRule>
  </conditionalFormatting>
  <conditionalFormatting sqref="A319">
    <cfRule type="expression" dxfId="446" priority="76" stopIfTrue="1">
      <formula>NOT(ISERROR(SEARCH("Renovar",A319)))</formula>
    </cfRule>
  </conditionalFormatting>
  <conditionalFormatting sqref="A321">
    <cfRule type="expression" dxfId="445" priority="77" stopIfTrue="1">
      <formula>NOT(ISERROR(SEARCH("renovar",A321)))</formula>
    </cfRule>
  </conditionalFormatting>
  <conditionalFormatting sqref="A321">
    <cfRule type="expression" dxfId="444" priority="78" stopIfTrue="1">
      <formula>NOT(ISERROR(SEARCH("Renovar",A321)))</formula>
    </cfRule>
  </conditionalFormatting>
  <conditionalFormatting sqref="A323">
    <cfRule type="expression" dxfId="443" priority="79" stopIfTrue="1">
      <formula>NOT(ISERROR(SEARCH("renovar",A323)))</formula>
    </cfRule>
  </conditionalFormatting>
  <conditionalFormatting sqref="A323">
    <cfRule type="expression" dxfId="442" priority="80" stopIfTrue="1">
      <formula>NOT(ISERROR(SEARCH("Renovar",A323)))</formula>
    </cfRule>
  </conditionalFormatting>
  <conditionalFormatting sqref="A325">
    <cfRule type="expression" dxfId="441" priority="81" stopIfTrue="1">
      <formula>NOT(ISERROR(SEARCH("renovar",A325)))</formula>
    </cfRule>
  </conditionalFormatting>
  <conditionalFormatting sqref="A325">
    <cfRule type="expression" dxfId="440" priority="82" stopIfTrue="1">
      <formula>NOT(ISERROR(SEARCH("Renovar",A325)))</formula>
    </cfRule>
  </conditionalFormatting>
  <conditionalFormatting sqref="A327">
    <cfRule type="expression" dxfId="439" priority="83" stopIfTrue="1">
      <formula>NOT(ISERROR(SEARCH("renovar",A327)))</formula>
    </cfRule>
  </conditionalFormatting>
  <conditionalFormatting sqref="A327">
    <cfRule type="expression" dxfId="438" priority="84" stopIfTrue="1">
      <formula>NOT(ISERROR(SEARCH("Renovar",A327)))</formula>
    </cfRule>
  </conditionalFormatting>
  <conditionalFormatting sqref="A329">
    <cfRule type="expression" dxfId="437" priority="85" stopIfTrue="1">
      <formula>NOT(ISERROR(SEARCH("renovar",A329)))</formula>
    </cfRule>
  </conditionalFormatting>
  <conditionalFormatting sqref="A329">
    <cfRule type="expression" dxfId="436" priority="86" stopIfTrue="1">
      <formula>NOT(ISERROR(SEARCH("Renovar",A329)))</formula>
    </cfRule>
  </conditionalFormatting>
  <conditionalFormatting sqref="A331">
    <cfRule type="expression" dxfId="435" priority="87" stopIfTrue="1">
      <formula>NOT(ISERROR(SEARCH("renovar",A331)))</formula>
    </cfRule>
  </conditionalFormatting>
  <conditionalFormatting sqref="A331">
    <cfRule type="expression" dxfId="434" priority="88" stopIfTrue="1">
      <formula>NOT(ISERROR(SEARCH("Renovar",A331)))</formula>
    </cfRule>
  </conditionalFormatting>
  <conditionalFormatting sqref="A333">
    <cfRule type="expression" dxfId="433" priority="89" stopIfTrue="1">
      <formula>NOT(ISERROR(SEARCH("renovar",A333)))</formula>
    </cfRule>
  </conditionalFormatting>
  <conditionalFormatting sqref="A333">
    <cfRule type="expression" dxfId="432" priority="90" stopIfTrue="1">
      <formula>NOT(ISERROR(SEARCH("Renovar",A333)))</formula>
    </cfRule>
  </conditionalFormatting>
  <conditionalFormatting sqref="A335">
    <cfRule type="expression" dxfId="431" priority="91" stopIfTrue="1">
      <formula>NOT(ISERROR(SEARCH("renovar",A335)))</formula>
    </cfRule>
  </conditionalFormatting>
  <conditionalFormatting sqref="A335">
    <cfRule type="expression" dxfId="430" priority="92" stopIfTrue="1">
      <formula>NOT(ISERROR(SEARCH("Renovar",A335)))</formula>
    </cfRule>
  </conditionalFormatting>
  <conditionalFormatting sqref="A337">
    <cfRule type="expression" dxfId="429" priority="93" stopIfTrue="1">
      <formula>NOT(ISERROR(SEARCH("renovar",A337)))</formula>
    </cfRule>
  </conditionalFormatting>
  <conditionalFormatting sqref="A337">
    <cfRule type="expression" dxfId="428" priority="94" stopIfTrue="1">
      <formula>NOT(ISERROR(SEARCH("Renovar",A337)))</formula>
    </cfRule>
  </conditionalFormatting>
  <conditionalFormatting sqref="A339">
    <cfRule type="expression" dxfId="427" priority="95" stopIfTrue="1">
      <formula>NOT(ISERROR(SEARCH("renovar",A339)))</formula>
    </cfRule>
  </conditionalFormatting>
  <conditionalFormatting sqref="A339">
    <cfRule type="expression" dxfId="426" priority="96" stopIfTrue="1">
      <formula>NOT(ISERROR(SEARCH("Renovar",A339)))</formula>
    </cfRule>
  </conditionalFormatting>
  <conditionalFormatting sqref="A379">
    <cfRule type="expression" dxfId="425" priority="97" stopIfTrue="1">
      <formula>NOT(ISERROR(SEARCH("renovar",A379)))</formula>
    </cfRule>
  </conditionalFormatting>
  <conditionalFormatting sqref="A379">
    <cfRule type="expression" dxfId="424" priority="98" stopIfTrue="1">
      <formula>NOT(ISERROR(SEARCH("Renovar",A379)))</formula>
    </cfRule>
  </conditionalFormatting>
  <conditionalFormatting sqref="A381">
    <cfRule type="expression" dxfId="423" priority="99" stopIfTrue="1">
      <formula>NOT(ISERROR(SEARCH("renovar",A381)))</formula>
    </cfRule>
  </conditionalFormatting>
  <conditionalFormatting sqref="A381">
    <cfRule type="expression" dxfId="422" priority="100" stopIfTrue="1">
      <formula>NOT(ISERROR(SEARCH("Renovar",A381)))</formula>
    </cfRule>
  </conditionalFormatting>
  <conditionalFormatting sqref="A383">
    <cfRule type="expression" dxfId="421" priority="101" stopIfTrue="1">
      <formula>NOT(ISERROR(SEARCH("renovar",A383)))</formula>
    </cfRule>
  </conditionalFormatting>
  <conditionalFormatting sqref="A383">
    <cfRule type="expression" dxfId="420" priority="102" stopIfTrue="1">
      <formula>NOT(ISERROR(SEARCH("Renovar",A383)))</formula>
    </cfRule>
  </conditionalFormatting>
  <conditionalFormatting sqref="A385">
    <cfRule type="expression" dxfId="419" priority="103" stopIfTrue="1">
      <formula>NOT(ISERROR(SEARCH("renovar",A385)))</formula>
    </cfRule>
  </conditionalFormatting>
  <conditionalFormatting sqref="A385">
    <cfRule type="expression" dxfId="418" priority="104" stopIfTrue="1">
      <formula>NOT(ISERROR(SEARCH("Renovar",A385)))</formula>
    </cfRule>
  </conditionalFormatting>
  <conditionalFormatting sqref="A387">
    <cfRule type="expression" dxfId="417" priority="105" stopIfTrue="1">
      <formula>NOT(ISERROR(SEARCH("renovar",A387)))</formula>
    </cfRule>
  </conditionalFormatting>
  <conditionalFormatting sqref="A387">
    <cfRule type="expression" dxfId="416" priority="106" stopIfTrue="1">
      <formula>NOT(ISERROR(SEARCH("Renovar",A387)))</formula>
    </cfRule>
  </conditionalFormatting>
  <conditionalFormatting sqref="A389">
    <cfRule type="expression" dxfId="415" priority="107" stopIfTrue="1">
      <formula>NOT(ISERROR(SEARCH("renovar",A389)))</formula>
    </cfRule>
  </conditionalFormatting>
  <conditionalFormatting sqref="A389">
    <cfRule type="expression" dxfId="414" priority="108" stopIfTrue="1">
      <formula>NOT(ISERROR(SEARCH("Renovar",A389)))</formula>
    </cfRule>
  </conditionalFormatting>
  <conditionalFormatting sqref="A391">
    <cfRule type="expression" dxfId="413" priority="109" stopIfTrue="1">
      <formula>NOT(ISERROR(SEARCH("renovar",A391)))</formula>
    </cfRule>
  </conditionalFormatting>
  <conditionalFormatting sqref="A391">
    <cfRule type="expression" dxfId="412" priority="110" stopIfTrue="1">
      <formula>NOT(ISERROR(SEARCH("Renovar",A391)))</formula>
    </cfRule>
  </conditionalFormatting>
  <conditionalFormatting sqref="A393">
    <cfRule type="expression" dxfId="411" priority="111" stopIfTrue="1">
      <formula>NOT(ISERROR(SEARCH("renovar",A393)))</formula>
    </cfRule>
  </conditionalFormatting>
  <conditionalFormatting sqref="A393">
    <cfRule type="expression" dxfId="410" priority="112" stopIfTrue="1">
      <formula>NOT(ISERROR(SEARCH("Renovar",A393)))</formula>
    </cfRule>
  </conditionalFormatting>
  <conditionalFormatting sqref="A395">
    <cfRule type="expression" dxfId="409" priority="113" stopIfTrue="1">
      <formula>NOT(ISERROR(SEARCH("renovar",A395)))</formula>
    </cfRule>
  </conditionalFormatting>
  <conditionalFormatting sqref="A395">
    <cfRule type="expression" dxfId="408" priority="114" stopIfTrue="1">
      <formula>NOT(ISERROR(SEARCH("Renovar",A395)))</formula>
    </cfRule>
  </conditionalFormatting>
  <conditionalFormatting sqref="A397">
    <cfRule type="expression" dxfId="407" priority="115" stopIfTrue="1">
      <formula>NOT(ISERROR(SEARCH("renovar",A397)))</formula>
    </cfRule>
  </conditionalFormatting>
  <conditionalFormatting sqref="A397">
    <cfRule type="expression" dxfId="406" priority="116" stopIfTrue="1">
      <formula>NOT(ISERROR(SEARCH("Renovar",A397)))</formula>
    </cfRule>
  </conditionalFormatting>
  <conditionalFormatting sqref="A399">
    <cfRule type="expression" dxfId="405" priority="117" stopIfTrue="1">
      <formula>NOT(ISERROR(SEARCH("renovar",A399)))</formula>
    </cfRule>
  </conditionalFormatting>
  <conditionalFormatting sqref="A399">
    <cfRule type="expression" dxfId="404" priority="118" stopIfTrue="1">
      <formula>NOT(ISERROR(SEARCH("Renovar",A399)))</formula>
    </cfRule>
  </conditionalFormatting>
  <conditionalFormatting sqref="A401">
    <cfRule type="expression" dxfId="403" priority="119" stopIfTrue="1">
      <formula>NOT(ISERROR(SEARCH("renovar",A401)))</formula>
    </cfRule>
  </conditionalFormatting>
  <conditionalFormatting sqref="A401">
    <cfRule type="expression" dxfId="402" priority="120" stopIfTrue="1">
      <formula>NOT(ISERROR(SEARCH("Renovar",A401)))</formula>
    </cfRule>
  </conditionalFormatting>
  <conditionalFormatting sqref="A403">
    <cfRule type="expression" dxfId="401" priority="121" stopIfTrue="1">
      <formula>NOT(ISERROR(SEARCH("renovar",A403)))</formula>
    </cfRule>
  </conditionalFormatting>
  <conditionalFormatting sqref="A403">
    <cfRule type="expression" dxfId="400" priority="122" stopIfTrue="1">
      <formula>NOT(ISERROR(SEARCH("Renovar",A403)))</formula>
    </cfRule>
  </conditionalFormatting>
  <conditionalFormatting sqref="A405">
    <cfRule type="expression" dxfId="399" priority="123" stopIfTrue="1">
      <formula>NOT(ISERROR(SEARCH("renovar",A405)))</formula>
    </cfRule>
  </conditionalFormatting>
  <conditionalFormatting sqref="A405">
    <cfRule type="expression" dxfId="398" priority="124" stopIfTrue="1">
      <formula>NOT(ISERROR(SEARCH("Renovar",A405)))</formula>
    </cfRule>
  </conditionalFormatting>
  <conditionalFormatting sqref="A407">
    <cfRule type="expression" dxfId="397" priority="125" stopIfTrue="1">
      <formula>NOT(ISERROR(SEARCH("renovar",A407)))</formula>
    </cfRule>
  </conditionalFormatting>
  <conditionalFormatting sqref="A407">
    <cfRule type="expression" dxfId="396" priority="126" stopIfTrue="1">
      <formula>NOT(ISERROR(SEARCH("Renovar",A407)))</formula>
    </cfRule>
  </conditionalFormatting>
  <hyperlinks>
    <hyperlink ref="K7" r:id="rId1" xr:uid="{00000000-0004-0000-0100-000000000000}"/>
    <hyperlink ref="Q7" r:id="rId2" xr:uid="{00000000-0004-0000-0100-000001000000}"/>
    <hyperlink ref="K9" r:id="rId3" xr:uid="{00000000-0004-0000-0100-000002000000}"/>
    <hyperlink ref="Q9" r:id="rId4" xr:uid="{00000000-0004-0000-0100-000003000000}"/>
    <hyperlink ref="K11" r:id="rId5" xr:uid="{00000000-0004-0000-0100-000004000000}"/>
    <hyperlink ref="Q11" r:id="rId6" xr:uid="{00000000-0004-0000-0100-000005000000}"/>
    <hyperlink ref="K13" r:id="rId7" xr:uid="{00000000-0004-0000-0100-000006000000}"/>
    <hyperlink ref="Q13" r:id="rId8" xr:uid="{00000000-0004-0000-0100-000007000000}"/>
    <hyperlink ref="K15" r:id="rId9" xr:uid="{00000000-0004-0000-0100-000008000000}"/>
    <hyperlink ref="Q15" r:id="rId10" xr:uid="{00000000-0004-0000-0100-000009000000}"/>
    <hyperlink ref="K17" r:id="rId11" xr:uid="{00000000-0004-0000-0100-00000A000000}"/>
    <hyperlink ref="Q17" r:id="rId12" xr:uid="{00000000-0004-0000-0100-00000B000000}"/>
    <hyperlink ref="K19" r:id="rId13" xr:uid="{00000000-0004-0000-0100-00000C000000}"/>
    <hyperlink ref="Q19" r:id="rId14" xr:uid="{00000000-0004-0000-0100-00000D000000}"/>
    <hyperlink ref="K21" r:id="rId15" xr:uid="{00000000-0004-0000-0100-00000E000000}"/>
    <hyperlink ref="Q21" r:id="rId16" xr:uid="{00000000-0004-0000-0100-00000F000000}"/>
    <hyperlink ref="K23" r:id="rId17" xr:uid="{00000000-0004-0000-0100-000010000000}"/>
    <hyperlink ref="Q23" r:id="rId18" xr:uid="{00000000-0004-0000-0100-000011000000}"/>
    <hyperlink ref="K25" r:id="rId19" xr:uid="{00000000-0004-0000-0100-000012000000}"/>
    <hyperlink ref="Q25" r:id="rId20" xr:uid="{00000000-0004-0000-0100-000013000000}"/>
    <hyperlink ref="K27" r:id="rId21" xr:uid="{00000000-0004-0000-0100-000014000000}"/>
    <hyperlink ref="Q27" r:id="rId22" xr:uid="{00000000-0004-0000-0100-000015000000}"/>
    <hyperlink ref="K29" r:id="rId23" xr:uid="{00000000-0004-0000-0100-000016000000}"/>
    <hyperlink ref="Q29" r:id="rId24" xr:uid="{00000000-0004-0000-0100-000017000000}"/>
    <hyperlink ref="K31" r:id="rId25" xr:uid="{00000000-0004-0000-0100-000018000000}"/>
    <hyperlink ref="Q31" r:id="rId26" xr:uid="{00000000-0004-0000-0100-000019000000}"/>
    <hyperlink ref="K33" r:id="rId27" xr:uid="{00000000-0004-0000-0100-00001A000000}"/>
    <hyperlink ref="Q33" r:id="rId28" xr:uid="{00000000-0004-0000-0100-00001B000000}"/>
    <hyperlink ref="K37" r:id="rId29" xr:uid="{00000000-0004-0000-0100-00001C000000}"/>
    <hyperlink ref="Q37" r:id="rId30" xr:uid="{00000000-0004-0000-0100-00001D000000}"/>
    <hyperlink ref="K39" r:id="rId31" xr:uid="{00000000-0004-0000-0100-00001E000000}"/>
    <hyperlink ref="Q39" r:id="rId32" xr:uid="{00000000-0004-0000-0100-00001F000000}"/>
    <hyperlink ref="K41" r:id="rId33" xr:uid="{00000000-0004-0000-0100-000020000000}"/>
    <hyperlink ref="Q41" r:id="rId34" xr:uid="{00000000-0004-0000-0100-000021000000}"/>
    <hyperlink ref="K43" r:id="rId35" xr:uid="{00000000-0004-0000-0100-000022000000}"/>
    <hyperlink ref="Q43" r:id="rId36" xr:uid="{00000000-0004-0000-0100-000023000000}"/>
    <hyperlink ref="K45" r:id="rId37" xr:uid="{00000000-0004-0000-0100-000024000000}"/>
    <hyperlink ref="Q45" r:id="rId38" xr:uid="{00000000-0004-0000-0100-000025000000}"/>
    <hyperlink ref="K47" r:id="rId39" xr:uid="{00000000-0004-0000-0100-000026000000}"/>
    <hyperlink ref="Q47" r:id="rId40" xr:uid="{00000000-0004-0000-0100-000027000000}"/>
    <hyperlink ref="K49" r:id="rId41" xr:uid="{00000000-0004-0000-0100-000028000000}"/>
    <hyperlink ref="Q49" r:id="rId42" xr:uid="{00000000-0004-0000-0100-000029000000}"/>
    <hyperlink ref="K51" r:id="rId43" xr:uid="{00000000-0004-0000-0100-00002A000000}"/>
    <hyperlink ref="Q51" r:id="rId44" xr:uid="{00000000-0004-0000-0100-00002B000000}"/>
    <hyperlink ref="K53" r:id="rId45" xr:uid="{00000000-0004-0000-0100-00002C000000}"/>
    <hyperlink ref="Q53" r:id="rId46" xr:uid="{00000000-0004-0000-0100-00002D000000}"/>
    <hyperlink ref="K55" r:id="rId47" xr:uid="{00000000-0004-0000-0100-00002E000000}"/>
    <hyperlink ref="Q55" r:id="rId48" xr:uid="{00000000-0004-0000-0100-00002F000000}"/>
    <hyperlink ref="K57" r:id="rId49" xr:uid="{00000000-0004-0000-0100-000030000000}"/>
    <hyperlink ref="Q57" r:id="rId50" xr:uid="{00000000-0004-0000-0100-000031000000}"/>
    <hyperlink ref="K59" r:id="rId51" xr:uid="{00000000-0004-0000-0100-000032000000}"/>
    <hyperlink ref="Q59" r:id="rId52" xr:uid="{00000000-0004-0000-0100-000033000000}"/>
    <hyperlink ref="K61" r:id="rId53" xr:uid="{00000000-0004-0000-0100-000034000000}"/>
    <hyperlink ref="Q61" r:id="rId54" xr:uid="{00000000-0004-0000-0100-000035000000}"/>
    <hyperlink ref="K63" r:id="rId55" xr:uid="{00000000-0004-0000-0100-000036000000}"/>
    <hyperlink ref="Q63" r:id="rId56" xr:uid="{00000000-0004-0000-0100-000037000000}"/>
    <hyperlink ref="K65" r:id="rId57" xr:uid="{00000000-0004-0000-0100-000038000000}"/>
    <hyperlink ref="Q65" r:id="rId58" xr:uid="{00000000-0004-0000-0100-000039000000}"/>
    <hyperlink ref="K69" r:id="rId59" xr:uid="{00000000-0004-0000-0100-00003A000000}"/>
    <hyperlink ref="Q69" r:id="rId60" xr:uid="{00000000-0004-0000-0100-00003B000000}"/>
    <hyperlink ref="K71" r:id="rId61" xr:uid="{00000000-0004-0000-0100-00003C000000}"/>
    <hyperlink ref="Q71" r:id="rId62" xr:uid="{00000000-0004-0000-0100-00003D000000}"/>
    <hyperlink ref="K73" r:id="rId63" xr:uid="{00000000-0004-0000-0100-00003E000000}"/>
    <hyperlink ref="Q73" r:id="rId64" xr:uid="{00000000-0004-0000-0100-00003F000000}"/>
    <hyperlink ref="K75" r:id="rId65" xr:uid="{00000000-0004-0000-0100-000040000000}"/>
    <hyperlink ref="Q75" r:id="rId66" xr:uid="{00000000-0004-0000-0100-000041000000}"/>
    <hyperlink ref="K77" r:id="rId67" xr:uid="{00000000-0004-0000-0100-000042000000}"/>
    <hyperlink ref="Q77" r:id="rId68" xr:uid="{00000000-0004-0000-0100-000043000000}"/>
    <hyperlink ref="K79" r:id="rId69" xr:uid="{00000000-0004-0000-0100-000044000000}"/>
    <hyperlink ref="Q79" r:id="rId70" xr:uid="{00000000-0004-0000-0100-000045000000}"/>
    <hyperlink ref="K81" r:id="rId71" xr:uid="{00000000-0004-0000-0100-000046000000}"/>
    <hyperlink ref="K83" r:id="rId72" xr:uid="{00000000-0004-0000-0100-000047000000}"/>
    <hyperlink ref="Q83" r:id="rId73" xr:uid="{00000000-0004-0000-0100-000048000000}"/>
    <hyperlink ref="K85" r:id="rId74" xr:uid="{00000000-0004-0000-0100-000049000000}"/>
    <hyperlink ref="Q85" r:id="rId75" xr:uid="{00000000-0004-0000-0100-00004A000000}"/>
    <hyperlink ref="K87" r:id="rId76" xr:uid="{00000000-0004-0000-0100-00004B000000}"/>
    <hyperlink ref="Q87" r:id="rId77" xr:uid="{00000000-0004-0000-0100-00004C000000}"/>
    <hyperlink ref="Q89" r:id="rId78" xr:uid="{00000000-0004-0000-0100-00004D000000}"/>
    <hyperlink ref="K91" r:id="rId79" xr:uid="{00000000-0004-0000-0100-00004E000000}"/>
    <hyperlink ref="Q91" r:id="rId80" xr:uid="{00000000-0004-0000-0100-00004F000000}"/>
    <hyperlink ref="Q93" r:id="rId81" xr:uid="{00000000-0004-0000-0100-000050000000}"/>
    <hyperlink ref="K95" r:id="rId82" xr:uid="{00000000-0004-0000-0100-000051000000}"/>
    <hyperlink ref="Q95" r:id="rId83" xr:uid="{00000000-0004-0000-0100-000052000000}"/>
    <hyperlink ref="K97" r:id="rId84" xr:uid="{00000000-0004-0000-0100-000053000000}"/>
    <hyperlink ref="Q97" r:id="rId85" xr:uid="{00000000-0004-0000-0100-000054000000}"/>
    <hyperlink ref="K99" r:id="rId86" xr:uid="{00000000-0004-0000-0100-000055000000}"/>
    <hyperlink ref="Q99" r:id="rId87" xr:uid="{00000000-0004-0000-0100-000056000000}"/>
    <hyperlink ref="K101" r:id="rId88" xr:uid="{00000000-0004-0000-0100-000057000000}"/>
    <hyperlink ref="Q105" r:id="rId89" xr:uid="{00000000-0004-0000-0100-000058000000}"/>
    <hyperlink ref="K107" r:id="rId90" xr:uid="{00000000-0004-0000-0100-000059000000}"/>
    <hyperlink ref="Q107" r:id="rId91" xr:uid="{00000000-0004-0000-0100-00005A000000}"/>
    <hyperlink ref="K109" r:id="rId92" xr:uid="{00000000-0004-0000-0100-00005B000000}"/>
    <hyperlink ref="Q109" r:id="rId93" xr:uid="{00000000-0004-0000-0100-00005C000000}"/>
    <hyperlink ref="K111" r:id="rId94" xr:uid="{00000000-0004-0000-0100-00005D000000}"/>
    <hyperlink ref="Q111" r:id="rId95" xr:uid="{00000000-0004-0000-0100-00005E000000}"/>
    <hyperlink ref="K113" r:id="rId96" xr:uid="{00000000-0004-0000-0100-00005F000000}"/>
    <hyperlink ref="K115" r:id="rId97" xr:uid="{00000000-0004-0000-0100-000060000000}"/>
    <hyperlink ref="Q115" r:id="rId98" xr:uid="{00000000-0004-0000-0100-000061000000}"/>
    <hyperlink ref="K117" r:id="rId99" xr:uid="{00000000-0004-0000-0100-000062000000}"/>
    <hyperlink ref="Q117" r:id="rId100" xr:uid="{00000000-0004-0000-0100-000063000000}"/>
    <hyperlink ref="Q119" r:id="rId101" xr:uid="{00000000-0004-0000-0100-000064000000}"/>
    <hyperlink ref="Q121" r:id="rId102" xr:uid="{00000000-0004-0000-0100-000065000000}"/>
    <hyperlink ref="Q123" r:id="rId103" xr:uid="{00000000-0004-0000-0100-000066000000}"/>
    <hyperlink ref="Q125" r:id="rId104" xr:uid="{00000000-0004-0000-0100-000067000000}"/>
    <hyperlink ref="K127" r:id="rId105" xr:uid="{00000000-0004-0000-0100-000068000000}"/>
    <hyperlink ref="Q127" r:id="rId106" xr:uid="{00000000-0004-0000-0100-000069000000}"/>
    <hyperlink ref="Q129" r:id="rId107" xr:uid="{00000000-0004-0000-0100-00006A000000}"/>
    <hyperlink ref="Q131" r:id="rId108" xr:uid="{00000000-0004-0000-0100-00006B000000}"/>
    <hyperlink ref="Q133" r:id="rId109" xr:uid="{00000000-0004-0000-0100-00006C000000}"/>
    <hyperlink ref="Q135" r:id="rId110" xr:uid="{00000000-0004-0000-0100-00006D000000}"/>
    <hyperlink ref="Q137" r:id="rId111" xr:uid="{00000000-0004-0000-0100-00006E000000}"/>
    <hyperlink ref="K139" r:id="rId112" xr:uid="{00000000-0004-0000-0100-00006F000000}"/>
    <hyperlink ref="Q141" r:id="rId113" xr:uid="{00000000-0004-0000-0100-000070000000}"/>
    <hyperlink ref="K143" r:id="rId114" xr:uid="{00000000-0004-0000-0100-000071000000}"/>
    <hyperlink ref="Q143" r:id="rId115" xr:uid="{00000000-0004-0000-0100-000072000000}"/>
    <hyperlink ref="K145" r:id="rId116" xr:uid="{00000000-0004-0000-0100-000073000000}"/>
    <hyperlink ref="Q145" r:id="rId117" xr:uid="{00000000-0004-0000-0100-000074000000}"/>
    <hyperlink ref="Q147" r:id="rId118" xr:uid="{00000000-0004-0000-0100-000075000000}"/>
    <hyperlink ref="K151" r:id="rId119" xr:uid="{00000000-0004-0000-0100-000076000000}"/>
    <hyperlink ref="Q151" r:id="rId120" xr:uid="{00000000-0004-0000-0100-000077000000}"/>
    <hyperlink ref="K153" r:id="rId121" xr:uid="{00000000-0004-0000-0100-000078000000}"/>
    <hyperlink ref="Q153" r:id="rId122" xr:uid="{00000000-0004-0000-0100-000079000000}"/>
    <hyperlink ref="K155" r:id="rId123" xr:uid="{00000000-0004-0000-0100-00007A000000}"/>
    <hyperlink ref="Q155" r:id="rId124" xr:uid="{00000000-0004-0000-0100-00007B000000}"/>
    <hyperlink ref="Q157" r:id="rId125" xr:uid="{00000000-0004-0000-0100-00007C000000}"/>
    <hyperlink ref="Q159" r:id="rId126" xr:uid="{00000000-0004-0000-0100-00007D000000}"/>
    <hyperlink ref="Q163" r:id="rId127" xr:uid="{00000000-0004-0000-0100-00007E000000}"/>
    <hyperlink ref="K165" r:id="rId128" xr:uid="{00000000-0004-0000-0100-00007F000000}"/>
    <hyperlink ref="Q165" r:id="rId129" xr:uid="{00000000-0004-0000-0100-000080000000}"/>
    <hyperlink ref="Q167" r:id="rId130" xr:uid="{00000000-0004-0000-0100-000081000000}"/>
    <hyperlink ref="K169" r:id="rId131" xr:uid="{00000000-0004-0000-0100-000082000000}"/>
    <hyperlink ref="Q169" r:id="rId132" xr:uid="{00000000-0004-0000-0100-000083000000}"/>
    <hyperlink ref="K173" r:id="rId133" xr:uid="{00000000-0004-0000-0100-000084000000}"/>
    <hyperlink ref="Q173" r:id="rId134" xr:uid="{00000000-0004-0000-0100-000085000000}"/>
    <hyperlink ref="K175" r:id="rId135" xr:uid="{00000000-0004-0000-0100-000086000000}"/>
    <hyperlink ref="Q175" r:id="rId136" xr:uid="{00000000-0004-0000-0100-000087000000}"/>
    <hyperlink ref="K179" r:id="rId137" xr:uid="{00000000-0004-0000-0100-000088000000}"/>
    <hyperlink ref="K183" r:id="rId138" xr:uid="{00000000-0004-0000-0100-000089000000}"/>
    <hyperlink ref="K185" r:id="rId139" xr:uid="{00000000-0004-0000-0100-00008A000000}"/>
    <hyperlink ref="Q185" r:id="rId140" xr:uid="{00000000-0004-0000-0100-00008B000000}"/>
    <hyperlink ref="K187" r:id="rId141" xr:uid="{00000000-0004-0000-0100-00008C000000}"/>
    <hyperlink ref="K189" r:id="rId142" xr:uid="{00000000-0004-0000-0100-00008D000000}"/>
    <hyperlink ref="K191" r:id="rId143" xr:uid="{00000000-0004-0000-0100-00008E000000}"/>
    <hyperlink ref="K195" r:id="rId144" xr:uid="{00000000-0004-0000-0100-00008F000000}"/>
    <hyperlink ref="K197" r:id="rId145" xr:uid="{00000000-0004-0000-0100-000090000000}"/>
    <hyperlink ref="K199" r:id="rId146" xr:uid="{00000000-0004-0000-0100-000091000000}"/>
    <hyperlink ref="K201" r:id="rId147" xr:uid="{00000000-0004-0000-0100-000092000000}"/>
    <hyperlink ref="K205" r:id="rId148" xr:uid="{00000000-0004-0000-0100-000093000000}"/>
    <hyperlink ref="K207" r:id="rId149" xr:uid="{00000000-0004-0000-0100-000094000000}"/>
    <hyperlink ref="Q207" r:id="rId150" xr:uid="{00000000-0004-0000-0100-000095000000}"/>
    <hyperlink ref="K209" r:id="rId151" xr:uid="{00000000-0004-0000-0100-000096000000}"/>
    <hyperlink ref="Q209" r:id="rId152" xr:uid="{00000000-0004-0000-0100-000097000000}"/>
    <hyperlink ref="Q211" r:id="rId153" xr:uid="{00000000-0004-0000-0100-000098000000}"/>
    <hyperlink ref="K212" r:id="rId154" xr:uid="{00000000-0004-0000-0100-000099000000}"/>
    <hyperlink ref="K213" r:id="rId155" xr:uid="{00000000-0004-0000-0100-00009A000000}"/>
    <hyperlink ref="Q213" r:id="rId156" xr:uid="{00000000-0004-0000-0100-00009B000000}"/>
    <hyperlink ref="K215" r:id="rId157" xr:uid="{00000000-0004-0000-0100-00009C000000}"/>
    <hyperlink ref="Q215" r:id="rId158" xr:uid="{00000000-0004-0000-0100-00009D000000}"/>
    <hyperlink ref="K217" r:id="rId159" xr:uid="{00000000-0004-0000-0100-00009E000000}"/>
    <hyperlink ref="Q217" r:id="rId160" xr:uid="{00000000-0004-0000-0100-00009F000000}"/>
    <hyperlink ref="K219" r:id="rId161" xr:uid="{00000000-0004-0000-0100-0000A0000000}"/>
    <hyperlink ref="K221" r:id="rId162" xr:uid="{00000000-0004-0000-0100-0000A1000000}"/>
    <hyperlink ref="Q221" r:id="rId163" xr:uid="{00000000-0004-0000-0100-0000A2000000}"/>
    <hyperlink ref="K223" r:id="rId164" xr:uid="{00000000-0004-0000-0100-0000A3000000}"/>
    <hyperlink ref="K225" r:id="rId165" xr:uid="{00000000-0004-0000-0100-0000A4000000}"/>
    <hyperlink ref="Q225" r:id="rId166" xr:uid="{00000000-0004-0000-0100-0000A5000000}"/>
    <hyperlink ref="K227" r:id="rId167" xr:uid="{00000000-0004-0000-0100-0000A6000000}"/>
    <hyperlink ref="Q227" r:id="rId168" xr:uid="{00000000-0004-0000-0100-0000A7000000}"/>
    <hyperlink ref="K229" r:id="rId169" xr:uid="{00000000-0004-0000-0100-0000A8000000}"/>
    <hyperlink ref="Q229" r:id="rId170" xr:uid="{00000000-0004-0000-0100-0000A9000000}"/>
    <hyperlink ref="K231" r:id="rId171" xr:uid="{00000000-0004-0000-0100-0000AA000000}"/>
    <hyperlink ref="Q231" r:id="rId172" xr:uid="{00000000-0004-0000-0100-0000AB000000}"/>
    <hyperlink ref="K233" r:id="rId173" xr:uid="{00000000-0004-0000-0100-0000AC000000}"/>
    <hyperlink ref="K235" r:id="rId174" xr:uid="{00000000-0004-0000-0100-0000AD000000}"/>
    <hyperlink ref="K237" r:id="rId175" xr:uid="{00000000-0004-0000-0100-0000AE000000}"/>
    <hyperlink ref="Q237" r:id="rId176" xr:uid="{00000000-0004-0000-0100-0000AF000000}"/>
    <hyperlink ref="K239" r:id="rId177" xr:uid="{00000000-0004-0000-0100-0000B0000000}"/>
    <hyperlink ref="K241" r:id="rId178" xr:uid="{00000000-0004-0000-0100-0000B1000000}"/>
    <hyperlink ref="K243" r:id="rId179" xr:uid="{00000000-0004-0000-0100-0000B2000000}"/>
    <hyperlink ref="Q243" r:id="rId180" xr:uid="{00000000-0004-0000-0100-0000B3000000}"/>
    <hyperlink ref="K245" r:id="rId181" xr:uid="{00000000-0004-0000-0100-0000B4000000}"/>
    <hyperlink ref="Q245" r:id="rId182" xr:uid="{00000000-0004-0000-0100-0000B5000000}"/>
    <hyperlink ref="K247" r:id="rId183" xr:uid="{00000000-0004-0000-0100-0000B6000000}"/>
    <hyperlink ref="K249" r:id="rId184" xr:uid="{00000000-0004-0000-0100-0000B7000000}"/>
    <hyperlink ref="Q249" r:id="rId185" xr:uid="{00000000-0004-0000-0100-0000B8000000}"/>
    <hyperlink ref="K251" r:id="rId186" xr:uid="{00000000-0004-0000-0100-0000B9000000}"/>
    <hyperlink ref="Q251" r:id="rId187" xr:uid="{00000000-0004-0000-0100-0000BA000000}"/>
    <hyperlink ref="K253" r:id="rId188" xr:uid="{00000000-0004-0000-0100-0000BB000000}"/>
    <hyperlink ref="Q253" r:id="rId189" xr:uid="{00000000-0004-0000-0100-0000BC000000}"/>
    <hyperlink ref="K257" r:id="rId190" xr:uid="{00000000-0004-0000-0100-0000BD000000}"/>
    <hyperlink ref="Q257" r:id="rId191" xr:uid="{00000000-0004-0000-0100-0000BE000000}"/>
    <hyperlink ref="K259" r:id="rId192" xr:uid="{00000000-0004-0000-0100-0000BF000000}"/>
    <hyperlink ref="Q259" r:id="rId193" xr:uid="{00000000-0004-0000-0100-0000C0000000}"/>
    <hyperlink ref="K261" r:id="rId194" xr:uid="{00000000-0004-0000-0100-0000C1000000}"/>
    <hyperlink ref="Q261" r:id="rId195" xr:uid="{00000000-0004-0000-0100-0000C2000000}"/>
    <hyperlink ref="K263" r:id="rId196" xr:uid="{00000000-0004-0000-0100-0000C3000000}"/>
    <hyperlink ref="Q265" r:id="rId197" xr:uid="{00000000-0004-0000-0100-0000C4000000}"/>
    <hyperlink ref="Q267" r:id="rId198" xr:uid="{00000000-0004-0000-0100-0000C5000000}"/>
    <hyperlink ref="K269" r:id="rId199" xr:uid="{00000000-0004-0000-0100-0000C6000000}"/>
    <hyperlink ref="Q269" r:id="rId200" xr:uid="{00000000-0004-0000-0100-0000C7000000}"/>
    <hyperlink ref="K271" r:id="rId201" xr:uid="{00000000-0004-0000-0100-0000C8000000}"/>
    <hyperlink ref="Q271" r:id="rId202" xr:uid="{00000000-0004-0000-0100-0000C9000000}"/>
    <hyperlink ref="K273" r:id="rId203" xr:uid="{00000000-0004-0000-0100-0000CA000000}"/>
    <hyperlink ref="K275" r:id="rId204" xr:uid="{00000000-0004-0000-0100-0000CB000000}"/>
    <hyperlink ref="Q277" r:id="rId205" xr:uid="{00000000-0004-0000-0100-0000CC000000}"/>
    <hyperlink ref="K279" r:id="rId206" xr:uid="{00000000-0004-0000-0100-0000CD000000}"/>
    <hyperlink ref="K281" r:id="rId207" xr:uid="{00000000-0004-0000-0100-0000CE000000}"/>
    <hyperlink ref="Q281" r:id="rId208" xr:uid="{00000000-0004-0000-0100-0000CF000000}"/>
    <hyperlink ref="K283" r:id="rId209" xr:uid="{00000000-0004-0000-0100-0000D0000000}"/>
    <hyperlink ref="Q283" r:id="rId210" xr:uid="{00000000-0004-0000-0100-0000D1000000}"/>
    <hyperlink ref="K285" r:id="rId211" xr:uid="{00000000-0004-0000-0100-0000D2000000}"/>
    <hyperlink ref="K287" r:id="rId212" xr:uid="{00000000-0004-0000-0100-0000D3000000}"/>
    <hyperlink ref="K289" r:id="rId213" xr:uid="{00000000-0004-0000-0100-0000D4000000}"/>
    <hyperlink ref="Q289" r:id="rId214" xr:uid="{00000000-0004-0000-0100-0000D5000000}"/>
    <hyperlink ref="K291" r:id="rId215" xr:uid="{00000000-0004-0000-0100-0000D6000000}"/>
    <hyperlink ref="Q291" r:id="rId216" xr:uid="{00000000-0004-0000-0100-0000D7000000}"/>
    <hyperlink ref="K293" r:id="rId217" xr:uid="{00000000-0004-0000-0100-0000D8000000}"/>
    <hyperlink ref="Q293" r:id="rId218" xr:uid="{00000000-0004-0000-0100-0000D9000000}"/>
    <hyperlink ref="K295" r:id="rId219" xr:uid="{00000000-0004-0000-0100-0000DA000000}"/>
    <hyperlink ref="Q295" r:id="rId220" xr:uid="{00000000-0004-0000-0100-0000DB000000}"/>
    <hyperlink ref="K297" r:id="rId221" xr:uid="{00000000-0004-0000-0100-0000DC000000}"/>
    <hyperlink ref="Q297" r:id="rId222" xr:uid="{00000000-0004-0000-0100-0000DD000000}"/>
    <hyperlink ref="K299" r:id="rId223" xr:uid="{00000000-0004-0000-0100-0000DE000000}"/>
    <hyperlink ref="Q299" r:id="rId224" xr:uid="{00000000-0004-0000-0100-0000DF000000}"/>
    <hyperlink ref="K301" r:id="rId225" xr:uid="{00000000-0004-0000-0100-0000E0000000}"/>
    <hyperlink ref="Q301" r:id="rId226" xr:uid="{00000000-0004-0000-0100-0000E1000000}"/>
    <hyperlink ref="K303" r:id="rId227" xr:uid="{00000000-0004-0000-0100-0000E2000000}"/>
    <hyperlink ref="Q303" r:id="rId228" xr:uid="{00000000-0004-0000-0100-0000E3000000}"/>
    <hyperlink ref="K307" r:id="rId229" xr:uid="{00000000-0004-0000-0100-0000E4000000}"/>
    <hyperlink ref="Q307" r:id="rId230" xr:uid="{00000000-0004-0000-0100-0000E5000000}"/>
    <hyperlink ref="Q309" r:id="rId231" xr:uid="{00000000-0004-0000-0100-0000E6000000}"/>
    <hyperlink ref="K311" r:id="rId232" xr:uid="{00000000-0004-0000-0100-0000E7000000}"/>
    <hyperlink ref="Q311" r:id="rId233" xr:uid="{00000000-0004-0000-0100-0000E8000000}"/>
    <hyperlink ref="K313" r:id="rId234" xr:uid="{00000000-0004-0000-0100-0000E9000000}"/>
    <hyperlink ref="Q313" r:id="rId235" xr:uid="{00000000-0004-0000-0100-0000EA000000}"/>
    <hyperlink ref="K315" r:id="rId236" xr:uid="{00000000-0004-0000-0100-0000EB000000}"/>
    <hyperlink ref="K317" r:id="rId237" xr:uid="{00000000-0004-0000-0100-0000EC000000}"/>
    <hyperlink ref="Q317" r:id="rId238" xr:uid="{00000000-0004-0000-0100-0000ED000000}"/>
    <hyperlink ref="Q319" r:id="rId239" xr:uid="{00000000-0004-0000-0100-0000EE000000}"/>
    <hyperlink ref="K321" r:id="rId240" xr:uid="{00000000-0004-0000-0100-0000EF000000}"/>
    <hyperlink ref="K323" r:id="rId241" xr:uid="{00000000-0004-0000-0100-0000F0000000}"/>
    <hyperlink ref="Q323" r:id="rId242" xr:uid="{00000000-0004-0000-0100-0000F1000000}"/>
    <hyperlink ref="K325" r:id="rId243" xr:uid="{00000000-0004-0000-0100-0000F2000000}"/>
    <hyperlink ref="Q325" r:id="rId244" xr:uid="{00000000-0004-0000-0100-0000F3000000}"/>
    <hyperlink ref="K327" r:id="rId245" xr:uid="{00000000-0004-0000-0100-0000F4000000}"/>
    <hyperlink ref="Q327" r:id="rId246" xr:uid="{00000000-0004-0000-0100-0000F5000000}"/>
    <hyperlink ref="K329" r:id="rId247" xr:uid="{00000000-0004-0000-0100-0000F6000000}"/>
    <hyperlink ref="Q329" r:id="rId248" xr:uid="{00000000-0004-0000-0100-0000F7000000}"/>
    <hyperlink ref="K331" r:id="rId249" xr:uid="{00000000-0004-0000-0100-0000F8000000}"/>
    <hyperlink ref="Q331" r:id="rId250" xr:uid="{00000000-0004-0000-0100-0000F9000000}"/>
    <hyperlink ref="K333" r:id="rId251" xr:uid="{00000000-0004-0000-0100-0000FA000000}"/>
    <hyperlink ref="Q333" r:id="rId252" xr:uid="{00000000-0004-0000-0100-0000FB000000}"/>
    <hyperlink ref="K335" r:id="rId253" xr:uid="{00000000-0004-0000-0100-0000FC000000}"/>
    <hyperlink ref="K337" r:id="rId254" xr:uid="{00000000-0004-0000-0100-0000FD000000}"/>
    <hyperlink ref="K339" r:id="rId255" xr:uid="{00000000-0004-0000-0100-0000FE000000}"/>
    <hyperlink ref="Q339" r:id="rId256" xr:uid="{00000000-0004-0000-0100-0000FF000000}"/>
  </hyperlinks>
  <pageMargins left="0.7" right="0.7" top="0.75" bottom="0.75" header="0" footer="0"/>
  <pageSetup orientation="portrait"/>
  <drawing r:id="rId257"/>
  <legacyDrawing r:id="rId25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S808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10" defaultColWidth="14.44140625" defaultRowHeight="15" customHeight="1"/>
  <cols>
    <col min="1" max="1" width="4.6640625" customWidth="1"/>
    <col min="2" max="2" width="18" customWidth="1"/>
    <col min="3" max="3" width="4.33203125" customWidth="1"/>
    <col min="4" max="4" width="5.44140625" customWidth="1"/>
    <col min="5" max="5" width="33.5546875" customWidth="1"/>
    <col min="6" max="6" width="14.109375" customWidth="1"/>
    <col min="7" max="7" width="13.5546875" customWidth="1"/>
    <col min="8" max="8" width="13.109375" customWidth="1"/>
    <col min="9" max="9" width="11.88671875" customWidth="1"/>
    <col min="10" max="10" width="4.88671875" customWidth="1"/>
    <col min="11" max="11" width="39.44140625" customWidth="1"/>
    <col min="12" max="12" width="15.109375" customWidth="1"/>
    <col min="13" max="13" width="47" customWidth="1"/>
    <col min="14" max="14" width="31.109375" customWidth="1"/>
    <col min="15" max="15" width="13.109375" customWidth="1"/>
    <col min="16" max="16" width="27.6640625" customWidth="1"/>
    <col min="17" max="17" width="35.88671875" customWidth="1"/>
    <col min="18" max="18" width="15.109375" customWidth="1"/>
    <col min="19" max="19" width="27.33203125" customWidth="1"/>
    <col min="20" max="20" width="20.44140625" customWidth="1"/>
    <col min="21" max="21" width="11.6640625" hidden="1" customWidth="1"/>
    <col min="22" max="22" width="13.44140625" hidden="1" customWidth="1"/>
    <col min="23" max="23" width="22.109375" hidden="1" customWidth="1"/>
    <col min="24" max="24" width="19" customWidth="1"/>
    <col min="25" max="25" width="14" customWidth="1"/>
    <col min="26" max="26" width="17.88671875" customWidth="1"/>
    <col min="27" max="28" width="11.44140625" customWidth="1"/>
    <col min="29" max="29" width="15.109375" customWidth="1"/>
    <col min="30" max="31" width="11.44140625" customWidth="1"/>
    <col min="32" max="32" width="9.5546875" customWidth="1"/>
    <col min="33" max="34" width="11.44140625" customWidth="1"/>
    <col min="35" max="35" width="9.88671875" customWidth="1"/>
    <col min="36" max="37" width="11.44140625" customWidth="1"/>
    <col min="38" max="38" width="10.5546875" customWidth="1"/>
    <col min="39" max="44" width="11.44140625" customWidth="1"/>
  </cols>
  <sheetData>
    <row r="1" spans="1:45" ht="14.4">
      <c r="A1" s="1"/>
      <c r="B1" s="201" t="s">
        <v>2551</v>
      </c>
      <c r="C1" s="201"/>
      <c r="D1" s="711"/>
      <c r="E1" s="686"/>
      <c r="F1" s="713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714" t="s">
        <v>2552</v>
      </c>
      <c r="V1" s="686"/>
      <c r="W1" s="3"/>
      <c r="X1" s="4"/>
      <c r="Y1" s="5"/>
      <c r="Z1" s="6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7"/>
      <c r="AS1" s="3"/>
    </row>
    <row r="2" spans="1:45" ht="14.4">
      <c r="A2" s="8"/>
      <c r="B2" s="203" t="s">
        <v>2553</v>
      </c>
      <c r="C2" s="203"/>
      <c r="D2" s="712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86"/>
      <c r="Q2" s="686"/>
      <c r="R2" s="686"/>
      <c r="S2" s="686"/>
      <c r="T2" s="686"/>
      <c r="U2" s="686"/>
      <c r="V2" s="686"/>
      <c r="X2" s="9"/>
      <c r="Y2" s="10"/>
      <c r="Z2" s="6"/>
      <c r="AC2" s="11"/>
      <c r="AR2" s="12"/>
    </row>
    <row r="3" spans="1:45" ht="12" customHeight="1">
      <c r="A3" s="8"/>
      <c r="B3" s="203" t="s">
        <v>2554</v>
      </c>
      <c r="C3" s="203"/>
      <c r="D3" s="692"/>
      <c r="E3" s="688"/>
      <c r="F3" s="688"/>
      <c r="G3" s="688"/>
      <c r="H3" s="688"/>
      <c r="I3" s="688"/>
      <c r="J3" s="688"/>
      <c r="K3" s="688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X3" s="9"/>
      <c r="Y3" s="10"/>
      <c r="Z3" s="6"/>
      <c r="AC3" s="11"/>
      <c r="AR3" s="12"/>
    </row>
    <row r="4" spans="1:45" ht="14.25" customHeight="1">
      <c r="A4" s="204"/>
      <c r="B4" s="203" t="s">
        <v>2555</v>
      </c>
      <c r="C4" s="203"/>
      <c r="D4" s="715"/>
      <c r="E4" s="690"/>
      <c r="F4" s="690"/>
      <c r="G4" s="690"/>
      <c r="H4" s="690"/>
      <c r="I4" s="690"/>
      <c r="J4" s="690"/>
      <c r="K4" s="690"/>
      <c r="L4" s="690"/>
      <c r="M4" s="691"/>
      <c r="N4" s="716" t="s">
        <v>2556</v>
      </c>
      <c r="O4" s="690"/>
      <c r="P4" s="690"/>
      <c r="Q4" s="691"/>
      <c r="R4" s="717" t="s">
        <v>2557</v>
      </c>
      <c r="S4" s="681"/>
      <c r="T4" s="681"/>
      <c r="U4" s="681"/>
      <c r="V4" s="681"/>
      <c r="W4" s="205" t="s">
        <v>4</v>
      </c>
      <c r="X4" s="718" t="s">
        <v>5</v>
      </c>
      <c r="Y4" s="698"/>
      <c r="Z4" s="698"/>
      <c r="AA4" s="698"/>
      <c r="AB4" s="698"/>
      <c r="AC4" s="698"/>
      <c r="AD4" s="698"/>
      <c r="AE4" s="698"/>
      <c r="AF4" s="698"/>
      <c r="AG4" s="698"/>
      <c r="AH4" s="698"/>
      <c r="AI4" s="698"/>
      <c r="AJ4" s="698"/>
      <c r="AK4" s="698"/>
      <c r="AL4" s="698"/>
      <c r="AM4" s="698"/>
      <c r="AN4" s="698"/>
      <c r="AO4" s="698"/>
      <c r="AP4" s="698"/>
      <c r="AQ4" s="698"/>
      <c r="AR4" s="699"/>
      <c r="AS4" s="206"/>
    </row>
    <row r="5" spans="1:45" ht="12.75" customHeight="1">
      <c r="A5" s="207"/>
      <c r="B5" s="203" t="s">
        <v>2558</v>
      </c>
      <c r="C5" s="203"/>
      <c r="D5" s="692"/>
      <c r="E5" s="688"/>
      <c r="F5" s="688"/>
      <c r="G5" s="688"/>
      <c r="H5" s="688"/>
      <c r="I5" s="688"/>
      <c r="J5" s="688"/>
      <c r="K5" s="688"/>
      <c r="L5" s="688"/>
      <c r="M5" s="693"/>
      <c r="N5" s="692"/>
      <c r="O5" s="688"/>
      <c r="P5" s="688"/>
      <c r="Q5" s="693"/>
      <c r="R5" s="708" t="s">
        <v>6</v>
      </c>
      <c r="S5" s="682"/>
      <c r="T5" s="709" t="s">
        <v>7</v>
      </c>
      <c r="U5" s="681"/>
      <c r="V5" s="681"/>
      <c r="W5" s="205"/>
      <c r="X5" s="710" t="s">
        <v>8</v>
      </c>
      <c r="Y5" s="681"/>
      <c r="Z5" s="682"/>
      <c r="AA5" s="710" t="s">
        <v>9</v>
      </c>
      <c r="AB5" s="681"/>
      <c r="AC5" s="682"/>
      <c r="AD5" s="710" t="s">
        <v>10</v>
      </c>
      <c r="AE5" s="681"/>
      <c r="AF5" s="682"/>
      <c r="AG5" s="710" t="s">
        <v>11</v>
      </c>
      <c r="AH5" s="681"/>
      <c r="AI5" s="682"/>
      <c r="AJ5" s="710" t="s">
        <v>12</v>
      </c>
      <c r="AK5" s="681"/>
      <c r="AL5" s="682"/>
      <c r="AM5" s="710" t="s">
        <v>13</v>
      </c>
      <c r="AN5" s="681"/>
      <c r="AO5" s="682"/>
      <c r="AP5" s="710" t="s">
        <v>14</v>
      </c>
      <c r="AQ5" s="681"/>
      <c r="AR5" s="682"/>
      <c r="AS5" s="206"/>
    </row>
    <row r="6" spans="1:45" ht="46.5" customHeight="1">
      <c r="A6" s="208"/>
      <c r="B6" s="351" t="s">
        <v>15</v>
      </c>
      <c r="C6" s="351"/>
      <c r="D6" s="351" t="s">
        <v>2559</v>
      </c>
      <c r="E6" s="351" t="s">
        <v>17</v>
      </c>
      <c r="F6" s="351" t="s">
        <v>16</v>
      </c>
      <c r="G6" s="351" t="s">
        <v>18</v>
      </c>
      <c r="H6" s="351" t="s">
        <v>19</v>
      </c>
      <c r="I6" s="351" t="s">
        <v>20</v>
      </c>
      <c r="J6" s="351" t="s">
        <v>21</v>
      </c>
      <c r="K6" s="351" t="s">
        <v>22</v>
      </c>
      <c r="L6" s="352" t="s">
        <v>23</v>
      </c>
      <c r="M6" s="353" t="s">
        <v>24</v>
      </c>
      <c r="N6" s="354" t="s">
        <v>25</v>
      </c>
      <c r="O6" s="351" t="s">
        <v>26</v>
      </c>
      <c r="P6" s="355" t="s">
        <v>27</v>
      </c>
      <c r="Q6" s="356" t="s">
        <v>28</v>
      </c>
      <c r="R6" s="354" t="s">
        <v>29</v>
      </c>
      <c r="S6" s="354" t="s">
        <v>30</v>
      </c>
      <c r="T6" s="354" t="s">
        <v>31</v>
      </c>
      <c r="U6" s="351" t="s">
        <v>32</v>
      </c>
      <c r="V6" s="357" t="s">
        <v>33</v>
      </c>
      <c r="W6" s="205"/>
      <c r="X6" s="217" t="s">
        <v>34</v>
      </c>
      <c r="Y6" s="218" t="s">
        <v>35</v>
      </c>
      <c r="Z6" s="219" t="s">
        <v>36</v>
      </c>
      <c r="AA6" s="220" t="s">
        <v>34</v>
      </c>
      <c r="AB6" s="218" t="s">
        <v>35</v>
      </c>
      <c r="AC6" s="219" t="s">
        <v>36</v>
      </c>
      <c r="AD6" s="220" t="s">
        <v>34</v>
      </c>
      <c r="AE6" s="218" t="s">
        <v>35</v>
      </c>
      <c r="AF6" s="219" t="s">
        <v>36</v>
      </c>
      <c r="AG6" s="221" t="s">
        <v>37</v>
      </c>
      <c r="AH6" s="222" t="s">
        <v>38</v>
      </c>
      <c r="AI6" s="223" t="s">
        <v>39</v>
      </c>
      <c r="AJ6" s="221" t="s">
        <v>37</v>
      </c>
      <c r="AK6" s="222" t="s">
        <v>38</v>
      </c>
      <c r="AL6" s="223" t="s">
        <v>39</v>
      </c>
      <c r="AM6" s="221" t="s">
        <v>37</v>
      </c>
      <c r="AN6" s="222" t="s">
        <v>38</v>
      </c>
      <c r="AO6" s="223" t="s">
        <v>39</v>
      </c>
      <c r="AP6" s="221" t="s">
        <v>37</v>
      </c>
      <c r="AQ6" s="222" t="s">
        <v>38</v>
      </c>
      <c r="AR6" s="223" t="s">
        <v>39</v>
      </c>
      <c r="AS6" s="224"/>
    </row>
    <row r="7" spans="1:45" ht="13.5" hidden="1" customHeight="1">
      <c r="A7" s="12"/>
      <c r="B7" s="358" t="s">
        <v>40</v>
      </c>
      <c r="C7" s="359">
        <v>1</v>
      </c>
      <c r="D7" s="359">
        <v>1</v>
      </c>
      <c r="E7" s="360" t="s">
        <v>42</v>
      </c>
      <c r="F7" s="230" t="s">
        <v>41</v>
      </c>
      <c r="G7" s="361" t="s">
        <v>43</v>
      </c>
      <c r="H7" s="362">
        <v>34427327</v>
      </c>
      <c r="I7" s="230">
        <v>40647</v>
      </c>
      <c r="J7" s="230">
        <v>12</v>
      </c>
      <c r="K7" s="363" t="s">
        <v>44</v>
      </c>
      <c r="L7" s="364" t="s">
        <v>45</v>
      </c>
      <c r="M7" s="365" t="s">
        <v>46</v>
      </c>
      <c r="N7" s="366" t="s">
        <v>47</v>
      </c>
      <c r="O7" s="367">
        <v>10277817</v>
      </c>
      <c r="P7" s="368" t="s">
        <v>48</v>
      </c>
      <c r="Q7" s="369" t="s">
        <v>49</v>
      </c>
      <c r="R7" s="370" t="s">
        <v>50</v>
      </c>
      <c r="S7" s="370" t="s">
        <v>51</v>
      </c>
      <c r="T7" s="371" t="s">
        <v>52</v>
      </c>
      <c r="U7" s="372" t="s">
        <v>53</v>
      </c>
      <c r="V7" s="373">
        <v>400</v>
      </c>
      <c r="W7" s="374" t="s">
        <v>54</v>
      </c>
      <c r="X7" s="375">
        <v>45208</v>
      </c>
      <c r="Y7" s="376" t="s">
        <v>50</v>
      </c>
      <c r="Z7" s="377">
        <v>400</v>
      </c>
      <c r="AA7" s="325"/>
      <c r="AB7" s="378"/>
      <c r="AC7" s="377"/>
      <c r="AD7" s="325"/>
      <c r="AE7" s="378"/>
      <c r="AF7" s="377"/>
      <c r="AG7" s="325"/>
      <c r="AH7" s="378"/>
      <c r="AI7" s="377"/>
      <c r="AJ7" s="325"/>
      <c r="AK7" s="378"/>
      <c r="AL7" s="377"/>
      <c r="AM7" s="325"/>
      <c r="AN7" s="379"/>
      <c r="AO7" s="380"/>
      <c r="AP7" s="359"/>
      <c r="AQ7" s="230"/>
      <c r="AR7" s="381"/>
      <c r="AS7" s="202"/>
    </row>
    <row r="8" spans="1:45" ht="14.25" hidden="1" customHeight="1">
      <c r="A8" s="12"/>
      <c r="B8" s="358"/>
      <c r="C8" s="359"/>
      <c r="D8" s="359"/>
      <c r="E8" s="360"/>
      <c r="F8" s="230"/>
      <c r="G8" s="378"/>
      <c r="H8" s="230"/>
      <c r="I8" s="230"/>
      <c r="J8" s="230"/>
      <c r="K8" s="230"/>
      <c r="L8" s="364"/>
      <c r="M8" s="365"/>
      <c r="N8" s="366"/>
      <c r="O8" s="367"/>
      <c r="P8" s="368"/>
      <c r="Q8" s="382"/>
      <c r="R8" s="370"/>
      <c r="S8" s="370"/>
      <c r="T8" s="371"/>
      <c r="U8" s="372"/>
      <c r="V8" s="373"/>
      <c r="W8" s="383"/>
      <c r="X8" s="375"/>
      <c r="Y8" s="376"/>
      <c r="Z8" s="377"/>
      <c r="AA8" s="325"/>
      <c r="AB8" s="378"/>
      <c r="AC8" s="377"/>
      <c r="AD8" s="325"/>
      <c r="AE8" s="378"/>
      <c r="AF8" s="377"/>
      <c r="AG8" s="325"/>
      <c r="AH8" s="378"/>
      <c r="AI8" s="377"/>
      <c r="AJ8" s="325"/>
      <c r="AK8" s="378"/>
      <c r="AL8" s="377"/>
      <c r="AM8" s="325"/>
      <c r="AN8" s="379"/>
      <c r="AO8" s="380"/>
      <c r="AP8" s="359"/>
      <c r="AQ8" s="230"/>
      <c r="AR8" s="381"/>
      <c r="AS8" s="202"/>
    </row>
    <row r="9" spans="1:45" ht="12.75" hidden="1" customHeight="1">
      <c r="A9" s="12"/>
      <c r="B9" s="358" t="s">
        <v>40</v>
      </c>
      <c r="C9" s="359">
        <v>2</v>
      </c>
      <c r="D9" s="359">
        <v>2</v>
      </c>
      <c r="E9" s="360" t="s">
        <v>56</v>
      </c>
      <c r="F9" s="230" t="s">
        <v>55</v>
      </c>
      <c r="G9" s="361" t="s">
        <v>43</v>
      </c>
      <c r="H9" s="362">
        <v>32056776</v>
      </c>
      <c r="I9" s="230">
        <v>39312</v>
      </c>
      <c r="J9" s="230">
        <v>16</v>
      </c>
      <c r="K9" s="363" t="s">
        <v>57</v>
      </c>
      <c r="L9" s="364" t="s">
        <v>58</v>
      </c>
      <c r="M9" s="365" t="s">
        <v>59</v>
      </c>
      <c r="N9" s="366" t="s">
        <v>60</v>
      </c>
      <c r="O9" s="362">
        <v>6965128</v>
      </c>
      <c r="P9" s="368" t="s">
        <v>61</v>
      </c>
      <c r="Q9" s="369" t="s">
        <v>62</v>
      </c>
      <c r="R9" s="370" t="s">
        <v>63</v>
      </c>
      <c r="S9" s="370" t="s">
        <v>64</v>
      </c>
      <c r="T9" s="371" t="s">
        <v>65</v>
      </c>
      <c r="U9" s="384" t="s">
        <v>66</v>
      </c>
      <c r="V9" s="373">
        <v>702</v>
      </c>
      <c r="W9" s="385" t="s">
        <v>54</v>
      </c>
      <c r="X9" s="386">
        <v>45233</v>
      </c>
      <c r="Y9" s="387" t="s">
        <v>63</v>
      </c>
      <c r="Z9" s="388" t="s">
        <v>67</v>
      </c>
      <c r="AA9" s="389"/>
      <c r="AB9" s="390"/>
      <c r="AC9" s="388"/>
      <c r="AD9" s="389"/>
      <c r="AE9" s="390"/>
      <c r="AF9" s="388"/>
      <c r="AG9" s="389"/>
      <c r="AH9" s="390"/>
      <c r="AI9" s="388" t="s">
        <v>68</v>
      </c>
      <c r="AJ9" s="325"/>
      <c r="AK9" s="378"/>
      <c r="AL9" s="377"/>
      <c r="AM9" s="325"/>
      <c r="AN9" s="378"/>
      <c r="AO9" s="377"/>
      <c r="AP9" s="325"/>
      <c r="AQ9" s="378"/>
      <c r="AR9" s="377"/>
      <c r="AS9" s="202" t="s">
        <v>68</v>
      </c>
    </row>
    <row r="10" spans="1:45" ht="13.5" hidden="1" customHeight="1">
      <c r="A10" s="12"/>
      <c r="B10" s="358"/>
      <c r="C10" s="359"/>
      <c r="D10" s="359"/>
      <c r="E10" s="360"/>
      <c r="F10" s="230"/>
      <c r="G10" s="378"/>
      <c r="H10" s="230"/>
      <c r="I10" s="230"/>
      <c r="J10" s="230"/>
      <c r="K10" s="230"/>
      <c r="L10" s="364"/>
      <c r="M10" s="365"/>
      <c r="N10" s="366"/>
      <c r="O10" s="230"/>
      <c r="P10" s="368"/>
      <c r="Q10" s="391"/>
      <c r="R10" s="370"/>
      <c r="S10" s="370"/>
      <c r="T10" s="371"/>
      <c r="U10" s="384"/>
      <c r="V10" s="373"/>
      <c r="W10" s="392"/>
      <c r="X10" s="393"/>
      <c r="Y10" s="376"/>
      <c r="Z10" s="394"/>
      <c r="AA10" s="395"/>
      <c r="AB10" s="396"/>
      <c r="AC10" s="394"/>
      <c r="AD10" s="395"/>
      <c r="AE10" s="396"/>
      <c r="AF10" s="394"/>
      <c r="AG10" s="395"/>
      <c r="AH10" s="396"/>
      <c r="AI10" s="394"/>
      <c r="AJ10" s="325"/>
      <c r="AK10" s="378"/>
      <c r="AL10" s="377"/>
      <c r="AM10" s="325"/>
      <c r="AN10" s="378"/>
      <c r="AO10" s="377"/>
      <c r="AP10" s="325"/>
      <c r="AQ10" s="378"/>
      <c r="AR10" s="377"/>
      <c r="AS10" s="202"/>
    </row>
    <row r="11" spans="1:45" ht="13.5" hidden="1" customHeight="1">
      <c r="A11" s="12"/>
      <c r="B11" s="358" t="s">
        <v>40</v>
      </c>
      <c r="C11" s="359">
        <v>3</v>
      </c>
      <c r="D11" s="359">
        <v>3</v>
      </c>
      <c r="E11" s="360" t="s">
        <v>70</v>
      </c>
      <c r="F11" s="230" t="s">
        <v>69</v>
      </c>
      <c r="G11" s="361" t="s">
        <v>43</v>
      </c>
      <c r="H11" s="362">
        <v>32947324</v>
      </c>
      <c r="I11" s="230">
        <v>39700</v>
      </c>
      <c r="J11" s="230">
        <v>15</v>
      </c>
      <c r="K11" s="363" t="s">
        <v>71</v>
      </c>
      <c r="L11" s="364" t="s">
        <v>72</v>
      </c>
      <c r="M11" s="365" t="s">
        <v>73</v>
      </c>
      <c r="N11" s="366" t="s">
        <v>74</v>
      </c>
      <c r="O11" s="367">
        <v>13066018</v>
      </c>
      <c r="P11" s="368" t="s">
        <v>75</v>
      </c>
      <c r="Q11" s="397" t="s">
        <v>71</v>
      </c>
      <c r="R11" s="370" t="s">
        <v>76</v>
      </c>
      <c r="S11" s="370" t="s">
        <v>77</v>
      </c>
      <c r="T11" s="371"/>
      <c r="U11" s="384"/>
      <c r="V11" s="373"/>
      <c r="W11" s="398" t="s">
        <v>78</v>
      </c>
      <c r="X11" s="386">
        <v>45241</v>
      </c>
      <c r="Y11" s="372" t="s">
        <v>76</v>
      </c>
      <c r="Z11" s="381"/>
      <c r="AA11" s="359"/>
      <c r="AB11" s="230"/>
      <c r="AC11" s="381"/>
      <c r="AD11" s="359"/>
      <c r="AE11" s="230"/>
      <c r="AF11" s="381"/>
      <c r="AG11" s="359"/>
      <c r="AH11" s="230"/>
      <c r="AI11" s="381"/>
      <c r="AJ11" s="359"/>
      <c r="AK11" s="230"/>
      <c r="AL11" s="381"/>
      <c r="AM11" s="359"/>
      <c r="AN11" s="230"/>
      <c r="AO11" s="381"/>
      <c r="AP11" s="359"/>
      <c r="AQ11" s="230"/>
      <c r="AR11" s="381"/>
      <c r="AS11" s="202"/>
    </row>
    <row r="12" spans="1:45" ht="14.25" hidden="1" customHeight="1">
      <c r="A12" s="12"/>
      <c r="B12" s="358"/>
      <c r="C12" s="359"/>
      <c r="D12" s="359"/>
      <c r="E12" s="360"/>
      <c r="F12" s="230"/>
      <c r="G12" s="378"/>
      <c r="H12" s="362"/>
      <c r="I12" s="230"/>
      <c r="J12" s="230"/>
      <c r="K12" s="368"/>
      <c r="L12" s="364"/>
      <c r="M12" s="365"/>
      <c r="N12" s="366"/>
      <c r="O12" s="367"/>
      <c r="P12" s="368"/>
      <c r="Q12" s="399"/>
      <c r="R12" s="370"/>
      <c r="S12" s="370"/>
      <c r="T12" s="371"/>
      <c r="U12" s="384"/>
      <c r="V12" s="373"/>
      <c r="W12" s="400"/>
      <c r="X12" s="393"/>
      <c r="Y12" s="372"/>
      <c r="Z12" s="381"/>
      <c r="AA12" s="359"/>
      <c r="AB12" s="230"/>
      <c r="AC12" s="381"/>
      <c r="AD12" s="359"/>
      <c r="AE12" s="230"/>
      <c r="AF12" s="381"/>
      <c r="AG12" s="359"/>
      <c r="AH12" s="230"/>
      <c r="AI12" s="381"/>
      <c r="AJ12" s="359"/>
      <c r="AK12" s="230"/>
      <c r="AL12" s="381"/>
      <c r="AM12" s="359"/>
      <c r="AN12" s="230"/>
      <c r="AO12" s="381"/>
      <c r="AP12" s="359"/>
      <c r="AQ12" s="230"/>
      <c r="AR12" s="381"/>
      <c r="AS12" s="202"/>
    </row>
    <row r="13" spans="1:45" ht="13.5" hidden="1" customHeight="1">
      <c r="A13" s="12"/>
      <c r="B13" s="358" t="s">
        <v>40</v>
      </c>
      <c r="C13" s="359">
        <v>4</v>
      </c>
      <c r="D13" s="359">
        <v>4</v>
      </c>
      <c r="E13" s="360" t="s">
        <v>80</v>
      </c>
      <c r="F13" s="230" t="s">
        <v>79</v>
      </c>
      <c r="G13" s="361" t="s">
        <v>43</v>
      </c>
      <c r="H13" s="362">
        <v>33625463</v>
      </c>
      <c r="I13" s="230">
        <v>40863</v>
      </c>
      <c r="J13" s="230">
        <v>13</v>
      </c>
      <c r="K13" s="363" t="s">
        <v>81</v>
      </c>
      <c r="L13" s="364"/>
      <c r="M13" s="365" t="s">
        <v>82</v>
      </c>
      <c r="N13" s="366" t="s">
        <v>83</v>
      </c>
      <c r="O13" s="367">
        <v>16286066</v>
      </c>
      <c r="P13" s="368" t="s">
        <v>84</v>
      </c>
      <c r="Q13" s="363" t="s">
        <v>81</v>
      </c>
      <c r="R13" s="370" t="s">
        <v>50</v>
      </c>
      <c r="S13" s="370" t="s">
        <v>77</v>
      </c>
      <c r="T13" s="371" t="s">
        <v>85</v>
      </c>
      <c r="U13" s="384" t="s">
        <v>66</v>
      </c>
      <c r="V13" s="373" t="s">
        <v>86</v>
      </c>
      <c r="W13" s="398" t="s">
        <v>54</v>
      </c>
      <c r="X13" s="386">
        <v>45245</v>
      </c>
      <c r="Y13" s="372" t="s">
        <v>50</v>
      </c>
      <c r="Z13" s="381">
        <v>240</v>
      </c>
      <c r="AA13" s="359"/>
      <c r="AB13" s="230"/>
      <c r="AC13" s="401"/>
      <c r="AD13" s="402"/>
      <c r="AE13" s="403"/>
      <c r="AF13" s="401"/>
      <c r="AG13" s="402"/>
      <c r="AH13" s="403"/>
      <c r="AI13" s="401"/>
      <c r="AJ13" s="402"/>
      <c r="AK13" s="403"/>
      <c r="AL13" s="401"/>
      <c r="AM13" s="402"/>
      <c r="AN13" s="403"/>
      <c r="AO13" s="401"/>
      <c r="AP13" s="402"/>
      <c r="AQ13" s="403"/>
      <c r="AR13" s="401"/>
      <c r="AS13" s="202"/>
    </row>
    <row r="14" spans="1:45" ht="13.5" hidden="1" customHeight="1">
      <c r="A14" s="12"/>
      <c r="B14" s="358"/>
      <c r="C14" s="359"/>
      <c r="D14" s="359"/>
      <c r="E14" s="360"/>
      <c r="F14" s="230"/>
      <c r="G14" s="378"/>
      <c r="H14" s="362"/>
      <c r="I14" s="230"/>
      <c r="J14" s="230"/>
      <c r="K14" s="368"/>
      <c r="L14" s="364"/>
      <c r="M14" s="365"/>
      <c r="N14" s="366"/>
      <c r="O14" s="367"/>
      <c r="P14" s="368"/>
      <c r="Q14" s="368"/>
      <c r="R14" s="370"/>
      <c r="S14" s="370"/>
      <c r="T14" s="371"/>
      <c r="U14" s="384"/>
      <c r="V14" s="373"/>
      <c r="W14" s="400"/>
      <c r="X14" s="393"/>
      <c r="Y14" s="372"/>
      <c r="Z14" s="381"/>
      <c r="AA14" s="359"/>
      <c r="AB14" s="230"/>
      <c r="AC14" s="401"/>
      <c r="AD14" s="402"/>
      <c r="AE14" s="403"/>
      <c r="AF14" s="401"/>
      <c r="AG14" s="402"/>
      <c r="AH14" s="403"/>
      <c r="AI14" s="401"/>
      <c r="AJ14" s="402"/>
      <c r="AK14" s="403"/>
      <c r="AL14" s="401"/>
      <c r="AM14" s="402"/>
      <c r="AN14" s="403"/>
      <c r="AO14" s="401"/>
      <c r="AP14" s="402"/>
      <c r="AQ14" s="403"/>
      <c r="AR14" s="401"/>
      <c r="AS14" s="202"/>
    </row>
    <row r="15" spans="1:45" ht="13.5" hidden="1" customHeight="1">
      <c r="A15" s="12"/>
      <c r="B15" s="358" t="s">
        <v>40</v>
      </c>
      <c r="C15" s="359">
        <v>5</v>
      </c>
      <c r="D15" s="359">
        <v>5</v>
      </c>
      <c r="E15" s="360" t="s">
        <v>88</v>
      </c>
      <c r="F15" s="230" t="s">
        <v>87</v>
      </c>
      <c r="G15" s="361" t="s">
        <v>43</v>
      </c>
      <c r="H15" s="362"/>
      <c r="I15" s="230">
        <v>43195</v>
      </c>
      <c r="J15" s="230">
        <v>5</v>
      </c>
      <c r="K15" s="363" t="s">
        <v>89</v>
      </c>
      <c r="L15" s="364"/>
      <c r="M15" s="365" t="s">
        <v>90</v>
      </c>
      <c r="N15" s="366" t="s">
        <v>91</v>
      </c>
      <c r="O15" s="367">
        <v>19391787</v>
      </c>
      <c r="P15" s="368" t="s">
        <v>92</v>
      </c>
      <c r="Q15" s="369" t="s">
        <v>93</v>
      </c>
      <c r="R15" s="370" t="s">
        <v>94</v>
      </c>
      <c r="S15" s="370" t="s">
        <v>95</v>
      </c>
      <c r="T15" s="371" t="s">
        <v>85</v>
      </c>
      <c r="U15" s="384" t="s">
        <v>66</v>
      </c>
      <c r="V15" s="373" t="s">
        <v>86</v>
      </c>
      <c r="W15" s="398" t="s">
        <v>78</v>
      </c>
      <c r="X15" s="404">
        <v>45251</v>
      </c>
      <c r="Y15" s="372" t="s">
        <v>96</v>
      </c>
      <c r="Z15" s="381" t="s">
        <v>97</v>
      </c>
      <c r="AA15" s="359"/>
      <c r="AB15" s="230"/>
      <c r="AC15" s="401"/>
      <c r="AD15" s="402"/>
      <c r="AE15" s="403"/>
      <c r="AF15" s="401"/>
      <c r="AG15" s="402"/>
      <c r="AH15" s="403"/>
      <c r="AI15" s="401"/>
      <c r="AJ15" s="402"/>
      <c r="AK15" s="403"/>
      <c r="AL15" s="401"/>
      <c r="AM15" s="402"/>
      <c r="AN15" s="403"/>
      <c r="AO15" s="401"/>
      <c r="AP15" s="402"/>
      <c r="AQ15" s="403"/>
      <c r="AR15" s="401"/>
      <c r="AS15" s="202"/>
    </row>
    <row r="16" spans="1:45" ht="13.5" hidden="1" customHeight="1">
      <c r="A16" s="12"/>
      <c r="B16" s="358"/>
      <c r="C16" s="359"/>
      <c r="D16" s="359"/>
      <c r="E16" s="360"/>
      <c r="F16" s="230"/>
      <c r="G16" s="378"/>
      <c r="H16" s="362"/>
      <c r="I16" s="230"/>
      <c r="J16" s="230"/>
      <c r="K16" s="368"/>
      <c r="L16" s="364"/>
      <c r="M16" s="365"/>
      <c r="N16" s="366"/>
      <c r="O16" s="367"/>
      <c r="P16" s="368"/>
      <c r="Q16" s="382"/>
      <c r="R16" s="370"/>
      <c r="S16" s="370"/>
      <c r="T16" s="371"/>
      <c r="U16" s="384"/>
      <c r="V16" s="373"/>
      <c r="W16" s="400"/>
      <c r="X16" s="404"/>
      <c r="Y16" s="372"/>
      <c r="Z16" s="381"/>
      <c r="AA16" s="359"/>
      <c r="AB16" s="230"/>
      <c r="AC16" s="401"/>
      <c r="AD16" s="402"/>
      <c r="AE16" s="403"/>
      <c r="AF16" s="401"/>
      <c r="AG16" s="402"/>
      <c r="AH16" s="403"/>
      <c r="AI16" s="401"/>
      <c r="AJ16" s="402"/>
      <c r="AK16" s="403"/>
      <c r="AL16" s="401"/>
      <c r="AM16" s="402"/>
      <c r="AN16" s="403"/>
      <c r="AO16" s="401"/>
      <c r="AP16" s="402"/>
      <c r="AQ16" s="403"/>
      <c r="AR16" s="401"/>
      <c r="AS16" s="202"/>
    </row>
    <row r="17" spans="1:45" ht="13.5" hidden="1" customHeight="1">
      <c r="A17" s="12"/>
      <c r="B17" s="358" t="s">
        <v>40</v>
      </c>
      <c r="C17" s="359">
        <v>6</v>
      </c>
      <c r="D17" s="359">
        <v>6</v>
      </c>
      <c r="E17" s="360" t="s">
        <v>99</v>
      </c>
      <c r="F17" s="230" t="s">
        <v>98</v>
      </c>
      <c r="G17" s="361" t="s">
        <v>43</v>
      </c>
      <c r="H17" s="362">
        <v>32707985</v>
      </c>
      <c r="I17" s="230">
        <v>39610</v>
      </c>
      <c r="J17" s="230">
        <v>15</v>
      </c>
      <c r="K17" s="363" t="s">
        <v>100</v>
      </c>
      <c r="L17" s="364" t="s">
        <v>101</v>
      </c>
      <c r="M17" s="365" t="s">
        <v>102</v>
      </c>
      <c r="N17" s="366" t="s">
        <v>103</v>
      </c>
      <c r="O17" s="367">
        <v>10283219</v>
      </c>
      <c r="P17" s="368" t="s">
        <v>104</v>
      </c>
      <c r="Q17" s="369" t="s">
        <v>105</v>
      </c>
      <c r="R17" s="370" t="s">
        <v>106</v>
      </c>
      <c r="S17" s="370" t="s">
        <v>107</v>
      </c>
      <c r="T17" s="371" t="s">
        <v>85</v>
      </c>
      <c r="U17" s="384"/>
      <c r="V17" s="373">
        <v>240</v>
      </c>
      <c r="W17" s="398" t="s">
        <v>54</v>
      </c>
      <c r="X17" s="404">
        <v>45251</v>
      </c>
      <c r="Y17" s="372" t="s">
        <v>106</v>
      </c>
      <c r="Z17" s="381">
        <v>240</v>
      </c>
      <c r="AA17" s="359"/>
      <c r="AB17" s="230"/>
      <c r="AC17" s="381"/>
      <c r="AD17" s="359"/>
      <c r="AE17" s="230"/>
      <c r="AF17" s="381"/>
      <c r="AG17" s="359"/>
      <c r="AH17" s="230"/>
      <c r="AI17" s="381"/>
      <c r="AJ17" s="359"/>
      <c r="AK17" s="230"/>
      <c r="AL17" s="381"/>
      <c r="AM17" s="402"/>
      <c r="AN17" s="403"/>
      <c r="AO17" s="401"/>
      <c r="AP17" s="402"/>
      <c r="AQ17" s="403"/>
      <c r="AR17" s="401"/>
      <c r="AS17" s="202"/>
    </row>
    <row r="18" spans="1:45" ht="13.5" hidden="1" customHeight="1">
      <c r="A18" s="12"/>
      <c r="B18" s="358"/>
      <c r="C18" s="359"/>
      <c r="D18" s="359"/>
      <c r="E18" s="360"/>
      <c r="F18" s="230"/>
      <c r="G18" s="378"/>
      <c r="H18" s="230"/>
      <c r="I18" s="230"/>
      <c r="J18" s="230"/>
      <c r="K18" s="368"/>
      <c r="L18" s="364"/>
      <c r="M18" s="365"/>
      <c r="N18" s="366"/>
      <c r="O18" s="367"/>
      <c r="P18" s="368"/>
      <c r="Q18" s="382"/>
      <c r="R18" s="370"/>
      <c r="S18" s="370"/>
      <c r="T18" s="371"/>
      <c r="U18" s="384"/>
      <c r="V18" s="373"/>
      <c r="W18" s="400"/>
      <c r="X18" s="404"/>
      <c r="Y18" s="372"/>
      <c r="Z18" s="381"/>
      <c r="AA18" s="359"/>
      <c r="AB18" s="230"/>
      <c r="AC18" s="381"/>
      <c r="AD18" s="359"/>
      <c r="AE18" s="230"/>
      <c r="AF18" s="381"/>
      <c r="AG18" s="359"/>
      <c r="AH18" s="230"/>
      <c r="AI18" s="381"/>
      <c r="AJ18" s="359"/>
      <c r="AK18" s="230"/>
      <c r="AL18" s="381"/>
      <c r="AM18" s="402"/>
      <c r="AN18" s="403"/>
      <c r="AO18" s="401"/>
      <c r="AP18" s="402"/>
      <c r="AQ18" s="403"/>
      <c r="AR18" s="401"/>
      <c r="AS18" s="202"/>
    </row>
    <row r="19" spans="1:45" ht="13.5" hidden="1" customHeight="1">
      <c r="A19" s="12"/>
      <c r="B19" s="358" t="s">
        <v>40</v>
      </c>
      <c r="C19" s="359">
        <v>7</v>
      </c>
      <c r="D19" s="359">
        <v>7</v>
      </c>
      <c r="E19" s="360" t="s">
        <v>109</v>
      </c>
      <c r="F19" s="230" t="s">
        <v>108</v>
      </c>
      <c r="G19" s="361" t="s">
        <v>43</v>
      </c>
      <c r="H19" s="362"/>
      <c r="I19" s="230">
        <v>43200</v>
      </c>
      <c r="J19" s="230">
        <v>5</v>
      </c>
      <c r="K19" s="363" t="s">
        <v>110</v>
      </c>
      <c r="L19" s="364"/>
      <c r="M19" s="405" t="s">
        <v>111</v>
      </c>
      <c r="N19" s="366" t="s">
        <v>112</v>
      </c>
      <c r="O19" s="367">
        <v>15914411</v>
      </c>
      <c r="P19" s="368" t="s">
        <v>113</v>
      </c>
      <c r="Q19" s="406" t="s">
        <v>110</v>
      </c>
      <c r="R19" s="371" t="s">
        <v>94</v>
      </c>
      <c r="S19" s="407" t="s">
        <v>77</v>
      </c>
      <c r="T19" s="371" t="s">
        <v>85</v>
      </c>
      <c r="U19" s="384" t="s">
        <v>66</v>
      </c>
      <c r="V19" s="373">
        <v>100</v>
      </c>
      <c r="W19" s="398" t="s">
        <v>54</v>
      </c>
      <c r="X19" s="404">
        <v>45251</v>
      </c>
      <c r="Y19" s="372" t="s">
        <v>96</v>
      </c>
      <c r="Z19" s="381" t="s">
        <v>114</v>
      </c>
      <c r="AA19" s="359"/>
      <c r="AB19" s="230"/>
      <c r="AC19" s="381"/>
      <c r="AD19" s="359"/>
      <c r="AE19" s="230"/>
      <c r="AF19" s="381"/>
      <c r="AG19" s="402"/>
      <c r="AH19" s="403"/>
      <c r="AI19" s="401"/>
      <c r="AJ19" s="402"/>
      <c r="AK19" s="403"/>
      <c r="AL19" s="401"/>
      <c r="AM19" s="402"/>
      <c r="AN19" s="403"/>
      <c r="AO19" s="401"/>
      <c r="AP19" s="402"/>
      <c r="AQ19" s="403"/>
      <c r="AR19" s="401"/>
      <c r="AS19" s="202"/>
    </row>
    <row r="20" spans="1:45" ht="14.4" hidden="1">
      <c r="A20" s="12"/>
      <c r="B20" s="358"/>
      <c r="C20" s="359"/>
      <c r="D20" s="359"/>
      <c r="E20" s="360"/>
      <c r="F20" s="230"/>
      <c r="G20" s="378"/>
      <c r="H20" s="230"/>
      <c r="I20" s="230"/>
      <c r="J20" s="230"/>
      <c r="K20" s="368"/>
      <c r="L20" s="364"/>
      <c r="M20" s="405"/>
      <c r="N20" s="366"/>
      <c r="O20" s="367"/>
      <c r="P20" s="368"/>
      <c r="Q20" s="408"/>
      <c r="R20" s="371"/>
      <c r="S20" s="407"/>
      <c r="T20" s="371"/>
      <c r="U20" s="384"/>
      <c r="V20" s="373"/>
      <c r="W20" s="400"/>
      <c r="X20" s="404"/>
      <c r="Y20" s="372"/>
      <c r="Z20" s="381"/>
      <c r="AA20" s="359"/>
      <c r="AB20" s="230"/>
      <c r="AC20" s="381"/>
      <c r="AD20" s="359"/>
      <c r="AE20" s="230"/>
      <c r="AF20" s="381"/>
      <c r="AG20" s="402"/>
      <c r="AH20" s="403"/>
      <c r="AI20" s="401"/>
      <c r="AJ20" s="402"/>
      <c r="AK20" s="403"/>
      <c r="AL20" s="401"/>
      <c r="AM20" s="402"/>
      <c r="AN20" s="403"/>
      <c r="AO20" s="401"/>
      <c r="AP20" s="402"/>
      <c r="AQ20" s="403"/>
      <c r="AR20" s="401"/>
      <c r="AS20" s="202"/>
    </row>
    <row r="21" spans="1:45" ht="13.5" hidden="1" customHeight="1">
      <c r="A21" s="12"/>
      <c r="B21" s="358" t="s">
        <v>40</v>
      </c>
      <c r="C21" s="359">
        <v>8</v>
      </c>
      <c r="D21" s="359">
        <v>8</v>
      </c>
      <c r="E21" s="360" t="s">
        <v>116</v>
      </c>
      <c r="F21" s="230" t="s">
        <v>115</v>
      </c>
      <c r="G21" s="361" t="s">
        <v>43</v>
      </c>
      <c r="H21" s="362">
        <v>32026908</v>
      </c>
      <c r="I21" s="230">
        <v>39028</v>
      </c>
      <c r="J21" s="230">
        <v>17</v>
      </c>
      <c r="K21" s="363" t="s">
        <v>117</v>
      </c>
      <c r="L21" s="364" t="s">
        <v>118</v>
      </c>
      <c r="M21" s="405" t="s">
        <v>102</v>
      </c>
      <c r="N21" s="366" t="s">
        <v>103</v>
      </c>
      <c r="O21" s="367">
        <v>10283219</v>
      </c>
      <c r="P21" s="368" t="s">
        <v>104</v>
      </c>
      <c r="Q21" s="369" t="s">
        <v>105</v>
      </c>
      <c r="R21" s="370" t="s">
        <v>119</v>
      </c>
      <c r="S21" s="370" t="s">
        <v>120</v>
      </c>
      <c r="T21" s="371" t="s">
        <v>85</v>
      </c>
      <c r="U21" s="384"/>
      <c r="V21" s="373">
        <v>240</v>
      </c>
      <c r="W21" s="398" t="s">
        <v>54</v>
      </c>
      <c r="X21" s="404">
        <v>45251</v>
      </c>
      <c r="Y21" s="372" t="s">
        <v>119</v>
      </c>
      <c r="Z21" s="381">
        <v>240</v>
      </c>
      <c r="AA21" s="359"/>
      <c r="AB21" s="230"/>
      <c r="AC21" s="381"/>
      <c r="AD21" s="402"/>
      <c r="AE21" s="403"/>
      <c r="AF21" s="401"/>
      <c r="AG21" s="359"/>
      <c r="AH21" s="230"/>
      <c r="AI21" s="381"/>
      <c r="AJ21" s="359"/>
      <c r="AK21" s="230"/>
      <c r="AL21" s="381"/>
      <c r="AM21" s="402"/>
      <c r="AN21" s="403"/>
      <c r="AO21" s="401"/>
      <c r="AP21" s="402"/>
      <c r="AQ21" s="403"/>
      <c r="AR21" s="401"/>
      <c r="AS21" s="202"/>
    </row>
    <row r="22" spans="1:45" ht="15.75" hidden="1" customHeight="1">
      <c r="A22" s="12"/>
      <c r="B22" s="358"/>
      <c r="C22" s="359"/>
      <c r="D22" s="359"/>
      <c r="E22" s="360"/>
      <c r="F22" s="230"/>
      <c r="G22" s="378"/>
      <c r="H22" s="230"/>
      <c r="I22" s="230"/>
      <c r="J22" s="230"/>
      <c r="K22" s="368"/>
      <c r="L22" s="364"/>
      <c r="M22" s="405"/>
      <c r="N22" s="366"/>
      <c r="O22" s="367"/>
      <c r="P22" s="368"/>
      <c r="Q22" s="391"/>
      <c r="R22" s="370"/>
      <c r="S22" s="370"/>
      <c r="T22" s="371"/>
      <c r="U22" s="384"/>
      <c r="V22" s="373"/>
      <c r="W22" s="400"/>
      <c r="X22" s="404"/>
      <c r="Y22" s="372"/>
      <c r="Z22" s="381"/>
      <c r="AA22" s="359"/>
      <c r="AB22" s="230"/>
      <c r="AC22" s="381"/>
      <c r="AD22" s="402"/>
      <c r="AE22" s="403"/>
      <c r="AF22" s="401"/>
      <c r="AG22" s="359"/>
      <c r="AH22" s="230"/>
      <c r="AI22" s="381"/>
      <c r="AJ22" s="359"/>
      <c r="AK22" s="230"/>
      <c r="AL22" s="381"/>
      <c r="AM22" s="402"/>
      <c r="AN22" s="403"/>
      <c r="AO22" s="401"/>
      <c r="AP22" s="402"/>
      <c r="AQ22" s="403"/>
      <c r="AR22" s="401"/>
      <c r="AS22" s="202"/>
    </row>
    <row r="23" spans="1:45" ht="13.5" hidden="1" customHeight="1">
      <c r="A23" s="12"/>
      <c r="B23" s="358" t="s">
        <v>40</v>
      </c>
      <c r="C23" s="359">
        <v>9</v>
      </c>
      <c r="D23" s="359">
        <v>9</v>
      </c>
      <c r="E23" s="360" t="s">
        <v>122</v>
      </c>
      <c r="F23" s="230" t="s">
        <v>121</v>
      </c>
      <c r="G23" s="361" t="s">
        <v>43</v>
      </c>
      <c r="H23" s="230" t="s">
        <v>123</v>
      </c>
      <c r="I23" s="230">
        <v>41708</v>
      </c>
      <c r="J23" s="230">
        <v>9</v>
      </c>
      <c r="K23" s="363" t="s">
        <v>124</v>
      </c>
      <c r="L23" s="364" t="s">
        <v>125</v>
      </c>
      <c r="M23" s="405" t="s">
        <v>126</v>
      </c>
      <c r="N23" s="366" t="s">
        <v>127</v>
      </c>
      <c r="O23" s="367">
        <v>13727828</v>
      </c>
      <c r="P23" s="368" t="s">
        <v>128</v>
      </c>
      <c r="Q23" s="369" t="s">
        <v>124</v>
      </c>
      <c r="R23" s="370" t="s">
        <v>129</v>
      </c>
      <c r="S23" s="370" t="s">
        <v>130</v>
      </c>
      <c r="T23" s="371" t="s">
        <v>85</v>
      </c>
      <c r="U23" s="384" t="s">
        <v>66</v>
      </c>
      <c r="V23" s="373">
        <v>100</v>
      </c>
      <c r="W23" s="398" t="s">
        <v>54</v>
      </c>
      <c r="X23" s="404">
        <v>45259</v>
      </c>
      <c r="Y23" s="372" t="s">
        <v>129</v>
      </c>
      <c r="Z23" s="381" t="s">
        <v>114</v>
      </c>
      <c r="AA23" s="359"/>
      <c r="AB23" s="230"/>
      <c r="AC23" s="401"/>
      <c r="AD23" s="359"/>
      <c r="AE23" s="230"/>
      <c r="AF23" s="381"/>
      <c r="AG23" s="359"/>
      <c r="AH23" s="230"/>
      <c r="AI23" s="381"/>
      <c r="AJ23" s="359"/>
      <c r="AK23" s="230"/>
      <c r="AL23" s="381"/>
      <c r="AM23" s="402"/>
      <c r="AN23" s="403"/>
      <c r="AO23" s="401"/>
      <c r="AP23" s="402"/>
      <c r="AQ23" s="403"/>
      <c r="AR23" s="401"/>
      <c r="AS23" s="202"/>
    </row>
    <row r="24" spans="1:45" ht="15.75" hidden="1" customHeight="1">
      <c r="A24" s="12"/>
      <c r="B24" s="358"/>
      <c r="C24" s="359"/>
      <c r="D24" s="359"/>
      <c r="E24" s="360"/>
      <c r="F24" s="230"/>
      <c r="G24" s="378"/>
      <c r="H24" s="230"/>
      <c r="I24" s="230"/>
      <c r="J24" s="230"/>
      <c r="K24" s="368"/>
      <c r="L24" s="364"/>
      <c r="M24" s="405"/>
      <c r="N24" s="366"/>
      <c r="O24" s="367"/>
      <c r="P24" s="368"/>
      <c r="Q24" s="391"/>
      <c r="R24" s="370"/>
      <c r="S24" s="370"/>
      <c r="T24" s="371"/>
      <c r="U24" s="384"/>
      <c r="V24" s="373"/>
      <c r="W24" s="400"/>
      <c r="X24" s="404"/>
      <c r="Y24" s="372"/>
      <c r="Z24" s="381"/>
      <c r="AA24" s="359"/>
      <c r="AB24" s="230"/>
      <c r="AC24" s="401"/>
      <c r="AD24" s="359"/>
      <c r="AE24" s="230"/>
      <c r="AF24" s="381"/>
      <c r="AG24" s="359"/>
      <c r="AH24" s="230"/>
      <c r="AI24" s="381"/>
      <c r="AJ24" s="359"/>
      <c r="AK24" s="230"/>
      <c r="AL24" s="381"/>
      <c r="AM24" s="402"/>
      <c r="AN24" s="403"/>
      <c r="AO24" s="401"/>
      <c r="AP24" s="402"/>
      <c r="AQ24" s="403"/>
      <c r="AR24" s="401"/>
      <c r="AS24" s="202"/>
    </row>
    <row r="25" spans="1:45" ht="13.5" hidden="1" customHeight="1">
      <c r="A25" s="12"/>
      <c r="B25" s="358" t="s">
        <v>40</v>
      </c>
      <c r="C25" s="359">
        <v>10</v>
      </c>
      <c r="D25" s="359">
        <v>10</v>
      </c>
      <c r="E25" s="409" t="s">
        <v>132</v>
      </c>
      <c r="F25" s="230" t="s">
        <v>131</v>
      </c>
      <c r="G25" s="361" t="s">
        <v>43</v>
      </c>
      <c r="H25" s="410">
        <v>36069604</v>
      </c>
      <c r="I25" s="411">
        <v>41660</v>
      </c>
      <c r="J25" s="411">
        <v>9</v>
      </c>
      <c r="K25" s="412" t="s">
        <v>133</v>
      </c>
      <c r="L25" s="413" t="s">
        <v>134</v>
      </c>
      <c r="M25" s="414" t="s">
        <v>135</v>
      </c>
      <c r="N25" s="415" t="s">
        <v>136</v>
      </c>
      <c r="O25" s="416">
        <v>20115114</v>
      </c>
      <c r="P25" s="417" t="s">
        <v>137</v>
      </c>
      <c r="Q25" s="418" t="s">
        <v>133</v>
      </c>
      <c r="R25" s="419" t="s">
        <v>129</v>
      </c>
      <c r="S25" s="420" t="s">
        <v>64</v>
      </c>
      <c r="T25" s="421" t="s">
        <v>138</v>
      </c>
      <c r="U25" s="422"/>
      <c r="V25" s="423">
        <v>240</v>
      </c>
      <c r="W25" s="398" t="s">
        <v>78</v>
      </c>
      <c r="X25" s="424">
        <v>45266</v>
      </c>
      <c r="Y25" s="372" t="s">
        <v>129</v>
      </c>
      <c r="Z25" s="381">
        <v>240</v>
      </c>
      <c r="AA25" s="359"/>
      <c r="AB25" s="230"/>
      <c r="AC25" s="381"/>
      <c r="AD25" s="402"/>
      <c r="AE25" s="403"/>
      <c r="AF25" s="401"/>
      <c r="AG25" s="402"/>
      <c r="AH25" s="403"/>
      <c r="AI25" s="401"/>
      <c r="AJ25" s="402"/>
      <c r="AK25" s="403"/>
      <c r="AL25" s="401"/>
      <c r="AM25" s="402"/>
      <c r="AN25" s="403"/>
      <c r="AO25" s="401"/>
      <c r="AP25" s="402"/>
      <c r="AQ25" s="403"/>
      <c r="AR25" s="401"/>
      <c r="AS25" s="202"/>
    </row>
    <row r="26" spans="1:45" ht="13.5" hidden="1" customHeight="1">
      <c r="A26" s="12"/>
      <c r="B26" s="358"/>
      <c r="C26" s="359"/>
      <c r="D26" s="359"/>
      <c r="E26" s="425"/>
      <c r="F26" s="230"/>
      <c r="G26" s="378"/>
      <c r="H26" s="426"/>
      <c r="I26" s="378"/>
      <c r="J26" s="378"/>
      <c r="K26" s="378"/>
      <c r="L26" s="427"/>
      <c r="M26" s="428"/>
      <c r="N26" s="425"/>
      <c r="O26" s="429"/>
      <c r="P26" s="430"/>
      <c r="Q26" s="431"/>
      <c r="R26" s="432"/>
      <c r="S26" s="433"/>
      <c r="T26" s="434"/>
      <c r="U26" s="435"/>
      <c r="V26" s="436"/>
      <c r="W26" s="400"/>
      <c r="X26" s="375"/>
      <c r="Y26" s="372"/>
      <c r="Z26" s="381"/>
      <c r="AA26" s="359"/>
      <c r="AB26" s="230"/>
      <c r="AC26" s="381"/>
      <c r="AD26" s="402"/>
      <c r="AE26" s="403"/>
      <c r="AF26" s="401"/>
      <c r="AG26" s="402"/>
      <c r="AH26" s="403"/>
      <c r="AI26" s="401"/>
      <c r="AJ26" s="402"/>
      <c r="AK26" s="403"/>
      <c r="AL26" s="401"/>
      <c r="AM26" s="402"/>
      <c r="AN26" s="403"/>
      <c r="AO26" s="401"/>
      <c r="AP26" s="402"/>
      <c r="AQ26" s="403"/>
      <c r="AR26" s="401"/>
      <c r="AS26" s="202"/>
    </row>
    <row r="27" spans="1:45" ht="13.5" hidden="1" customHeight="1">
      <c r="A27" s="12"/>
      <c r="B27" s="358" t="s">
        <v>40</v>
      </c>
      <c r="C27" s="359">
        <v>11</v>
      </c>
      <c r="D27" s="359">
        <v>11</v>
      </c>
      <c r="E27" s="437" t="s">
        <v>140</v>
      </c>
      <c r="F27" s="230" t="s">
        <v>139</v>
      </c>
      <c r="G27" s="361" t="s">
        <v>43</v>
      </c>
      <c r="H27" s="426"/>
      <c r="I27" s="378">
        <v>42283</v>
      </c>
      <c r="J27" s="378">
        <v>8</v>
      </c>
      <c r="K27" s="438" t="s">
        <v>141</v>
      </c>
      <c r="L27" s="427"/>
      <c r="M27" s="439" t="s">
        <v>142</v>
      </c>
      <c r="N27" s="425" t="s">
        <v>143</v>
      </c>
      <c r="O27" s="440">
        <v>16959039</v>
      </c>
      <c r="P27" s="441" t="s">
        <v>144</v>
      </c>
      <c r="Q27" s="442" t="s">
        <v>145</v>
      </c>
      <c r="R27" s="370" t="s">
        <v>129</v>
      </c>
      <c r="S27" s="370" t="s">
        <v>146</v>
      </c>
      <c r="T27" s="371"/>
      <c r="U27" s="372"/>
      <c r="V27" s="373">
        <v>240</v>
      </c>
      <c r="W27" s="398" t="s">
        <v>54</v>
      </c>
      <c r="X27" s="404">
        <v>45267</v>
      </c>
      <c r="Y27" s="372" t="s">
        <v>129</v>
      </c>
      <c r="Z27" s="381">
        <v>240</v>
      </c>
      <c r="AA27" s="359"/>
      <c r="AB27" s="230"/>
      <c r="AC27" s="401"/>
      <c r="AD27" s="359"/>
      <c r="AE27" s="230"/>
      <c r="AF27" s="381"/>
      <c r="AG27" s="402"/>
      <c r="AH27" s="403"/>
      <c r="AI27" s="401"/>
      <c r="AJ27" s="402"/>
      <c r="AK27" s="403"/>
      <c r="AL27" s="401"/>
      <c r="AM27" s="402"/>
      <c r="AN27" s="403"/>
      <c r="AO27" s="401"/>
      <c r="AP27" s="402"/>
      <c r="AQ27" s="403"/>
      <c r="AR27" s="401"/>
      <c r="AS27" s="202"/>
    </row>
    <row r="28" spans="1:45" ht="13.5" hidden="1" customHeight="1">
      <c r="A28" s="12"/>
      <c r="B28" s="358"/>
      <c r="C28" s="359"/>
      <c r="D28" s="359"/>
      <c r="E28" s="360"/>
      <c r="F28" s="230"/>
      <c r="G28" s="378"/>
      <c r="H28" s="362"/>
      <c r="I28" s="230"/>
      <c r="J28" s="230"/>
      <c r="K28" s="368"/>
      <c r="L28" s="364"/>
      <c r="M28" s="365"/>
      <c r="N28" s="366"/>
      <c r="O28" s="367"/>
      <c r="P28" s="368"/>
      <c r="Q28" s="391"/>
      <c r="R28" s="370"/>
      <c r="S28" s="370"/>
      <c r="T28" s="371"/>
      <c r="U28" s="372"/>
      <c r="V28" s="373"/>
      <c r="W28" s="400"/>
      <c r="X28" s="404"/>
      <c r="Y28" s="372"/>
      <c r="Z28" s="381"/>
      <c r="AA28" s="359"/>
      <c r="AB28" s="230"/>
      <c r="AC28" s="401"/>
      <c r="AD28" s="359"/>
      <c r="AE28" s="230"/>
      <c r="AF28" s="381"/>
      <c r="AG28" s="402"/>
      <c r="AH28" s="403"/>
      <c r="AI28" s="401"/>
      <c r="AJ28" s="402"/>
      <c r="AK28" s="403"/>
      <c r="AL28" s="401"/>
      <c r="AM28" s="402"/>
      <c r="AN28" s="403"/>
      <c r="AO28" s="401"/>
      <c r="AP28" s="402"/>
      <c r="AQ28" s="403"/>
      <c r="AR28" s="401"/>
      <c r="AS28" s="202"/>
    </row>
    <row r="29" spans="1:45" ht="13.5" hidden="1" customHeight="1">
      <c r="A29" s="12"/>
      <c r="B29" s="358" t="s">
        <v>40</v>
      </c>
      <c r="C29" s="359">
        <v>12</v>
      </c>
      <c r="D29" s="359">
        <v>12</v>
      </c>
      <c r="E29" s="360" t="s">
        <v>148</v>
      </c>
      <c r="F29" s="230" t="s">
        <v>147</v>
      </c>
      <c r="G29" s="361" t="s">
        <v>43</v>
      </c>
      <c r="H29" s="362">
        <v>33329037</v>
      </c>
      <c r="I29" s="230">
        <v>40392</v>
      </c>
      <c r="J29" s="230">
        <v>13</v>
      </c>
      <c r="K29" s="363" t="s">
        <v>149</v>
      </c>
      <c r="L29" s="364" t="s">
        <v>150</v>
      </c>
      <c r="M29" s="365" t="s">
        <v>151</v>
      </c>
      <c r="N29" s="366" t="s">
        <v>152</v>
      </c>
      <c r="O29" s="367">
        <v>18539781</v>
      </c>
      <c r="P29" s="368" t="s">
        <v>153</v>
      </c>
      <c r="Q29" s="369" t="s">
        <v>154</v>
      </c>
      <c r="R29" s="370" t="s">
        <v>50</v>
      </c>
      <c r="S29" s="370" t="s">
        <v>77</v>
      </c>
      <c r="T29" s="371" t="s">
        <v>138</v>
      </c>
      <c r="U29" s="372" t="s">
        <v>66</v>
      </c>
      <c r="V29" s="373">
        <v>100</v>
      </c>
      <c r="W29" s="398" t="s">
        <v>78</v>
      </c>
      <c r="X29" s="404">
        <v>45268</v>
      </c>
      <c r="Y29" s="372" t="s">
        <v>50</v>
      </c>
      <c r="Z29" s="381" t="s">
        <v>114</v>
      </c>
      <c r="AA29" s="402"/>
      <c r="AB29" s="403"/>
      <c r="AC29" s="401"/>
      <c r="AD29" s="359"/>
      <c r="AE29" s="230"/>
      <c r="AF29" s="381"/>
      <c r="AG29" s="402"/>
      <c r="AH29" s="403"/>
      <c r="AI29" s="401"/>
      <c r="AJ29" s="402"/>
      <c r="AK29" s="403"/>
      <c r="AL29" s="401"/>
      <c r="AM29" s="402"/>
      <c r="AN29" s="403"/>
      <c r="AO29" s="401"/>
      <c r="AP29" s="402"/>
      <c r="AQ29" s="403"/>
      <c r="AR29" s="401"/>
      <c r="AS29" s="202"/>
    </row>
    <row r="30" spans="1:45" ht="13.5" hidden="1" customHeight="1">
      <c r="A30" s="12"/>
      <c r="B30" s="358"/>
      <c r="C30" s="359"/>
      <c r="D30" s="359"/>
      <c r="E30" s="360"/>
      <c r="F30" s="230"/>
      <c r="G30" s="378"/>
      <c r="H30" s="362"/>
      <c r="I30" s="230"/>
      <c r="J30" s="230"/>
      <c r="K30" s="368"/>
      <c r="L30" s="364"/>
      <c r="M30" s="365"/>
      <c r="N30" s="366"/>
      <c r="O30" s="367"/>
      <c r="P30" s="368"/>
      <c r="Q30" s="382"/>
      <c r="R30" s="370"/>
      <c r="S30" s="370"/>
      <c r="T30" s="371"/>
      <c r="U30" s="372"/>
      <c r="V30" s="373"/>
      <c r="W30" s="400"/>
      <c r="X30" s="404"/>
      <c r="Y30" s="372"/>
      <c r="Z30" s="381"/>
      <c r="AA30" s="402"/>
      <c r="AB30" s="403"/>
      <c r="AC30" s="401"/>
      <c r="AD30" s="359"/>
      <c r="AE30" s="230"/>
      <c r="AF30" s="381"/>
      <c r="AG30" s="402"/>
      <c r="AH30" s="403"/>
      <c r="AI30" s="401"/>
      <c r="AJ30" s="402"/>
      <c r="AK30" s="403"/>
      <c r="AL30" s="401"/>
      <c r="AM30" s="402"/>
      <c r="AN30" s="403"/>
      <c r="AO30" s="401"/>
      <c r="AP30" s="402"/>
      <c r="AQ30" s="403"/>
      <c r="AR30" s="401"/>
      <c r="AS30" s="202"/>
    </row>
    <row r="31" spans="1:45" ht="13.5" hidden="1" customHeight="1">
      <c r="A31" s="12"/>
      <c r="B31" s="358" t="s">
        <v>40</v>
      </c>
      <c r="C31" s="359">
        <v>13</v>
      </c>
      <c r="D31" s="359">
        <v>13</v>
      </c>
      <c r="E31" s="360" t="s">
        <v>156</v>
      </c>
      <c r="F31" s="230" t="s">
        <v>155</v>
      </c>
      <c r="G31" s="361" t="s">
        <v>43</v>
      </c>
      <c r="H31" s="362"/>
      <c r="I31" s="230">
        <v>41731</v>
      </c>
      <c r="J31" s="230">
        <v>9</v>
      </c>
      <c r="K31" s="363" t="s">
        <v>157</v>
      </c>
      <c r="L31" s="364" t="s">
        <v>158</v>
      </c>
      <c r="M31" s="365" t="s">
        <v>159</v>
      </c>
      <c r="N31" s="366" t="s">
        <v>160</v>
      </c>
      <c r="O31" s="443">
        <v>14418138</v>
      </c>
      <c r="P31" s="368" t="s">
        <v>161</v>
      </c>
      <c r="Q31" s="406" t="s">
        <v>162</v>
      </c>
      <c r="R31" s="370" t="s">
        <v>129</v>
      </c>
      <c r="S31" s="370" t="s">
        <v>64</v>
      </c>
      <c r="T31" s="371" t="s">
        <v>138</v>
      </c>
      <c r="U31" s="384" t="s">
        <v>66</v>
      </c>
      <c r="V31" s="373">
        <v>100</v>
      </c>
      <c r="W31" s="398" t="s">
        <v>78</v>
      </c>
      <c r="X31" s="404">
        <v>45268</v>
      </c>
      <c r="Y31" s="372" t="s">
        <v>129</v>
      </c>
      <c r="Z31" s="381" t="s">
        <v>114</v>
      </c>
      <c r="AA31" s="359"/>
      <c r="AB31" s="230"/>
      <c r="AC31" s="381"/>
      <c r="AD31" s="359"/>
      <c r="AE31" s="230"/>
      <c r="AF31" s="381"/>
      <c r="AG31" s="402"/>
      <c r="AH31" s="403"/>
      <c r="AI31" s="401"/>
      <c r="AJ31" s="402"/>
      <c r="AK31" s="403"/>
      <c r="AL31" s="401"/>
      <c r="AM31" s="402"/>
      <c r="AN31" s="403"/>
      <c r="AO31" s="401"/>
      <c r="AP31" s="402"/>
      <c r="AQ31" s="403"/>
      <c r="AR31" s="401"/>
      <c r="AS31" s="202"/>
    </row>
    <row r="32" spans="1:45" ht="13.5" hidden="1" customHeight="1">
      <c r="A32" s="12"/>
      <c r="B32" s="358"/>
      <c r="C32" s="359"/>
      <c r="D32" s="359"/>
      <c r="E32" s="360"/>
      <c r="F32" s="230"/>
      <c r="G32" s="378"/>
      <c r="H32" s="362"/>
      <c r="I32" s="230"/>
      <c r="J32" s="230"/>
      <c r="K32" s="230"/>
      <c r="L32" s="364"/>
      <c r="M32" s="365"/>
      <c r="N32" s="366"/>
      <c r="O32" s="368"/>
      <c r="P32" s="368"/>
      <c r="Q32" s="408"/>
      <c r="R32" s="370"/>
      <c r="S32" s="370"/>
      <c r="T32" s="371"/>
      <c r="U32" s="384"/>
      <c r="V32" s="373"/>
      <c r="W32" s="400"/>
      <c r="X32" s="404"/>
      <c r="Y32" s="372"/>
      <c r="Z32" s="381"/>
      <c r="AA32" s="359"/>
      <c r="AB32" s="230"/>
      <c r="AC32" s="381"/>
      <c r="AD32" s="359"/>
      <c r="AE32" s="230"/>
      <c r="AF32" s="381"/>
      <c r="AG32" s="402"/>
      <c r="AH32" s="403"/>
      <c r="AI32" s="401"/>
      <c r="AJ32" s="402"/>
      <c r="AK32" s="403"/>
      <c r="AL32" s="401"/>
      <c r="AM32" s="402"/>
      <c r="AN32" s="403"/>
      <c r="AO32" s="401"/>
      <c r="AP32" s="402"/>
      <c r="AQ32" s="403"/>
      <c r="AR32" s="401"/>
      <c r="AS32" s="202"/>
    </row>
    <row r="33" spans="1:45" ht="13.5" hidden="1" customHeight="1">
      <c r="A33" s="12"/>
      <c r="B33" s="358" t="s">
        <v>40</v>
      </c>
      <c r="C33" s="359">
        <v>14</v>
      </c>
      <c r="D33" s="359">
        <v>14</v>
      </c>
      <c r="E33" s="360" t="s">
        <v>164</v>
      </c>
      <c r="F33" s="230" t="s">
        <v>163</v>
      </c>
      <c r="G33" s="361" t="s">
        <v>43</v>
      </c>
      <c r="H33" s="362">
        <v>33853048</v>
      </c>
      <c r="I33" s="230">
        <v>40446</v>
      </c>
      <c r="J33" s="230">
        <v>13</v>
      </c>
      <c r="K33" s="363" t="s">
        <v>165</v>
      </c>
      <c r="L33" s="364" t="s">
        <v>166</v>
      </c>
      <c r="M33" s="365" t="s">
        <v>167</v>
      </c>
      <c r="N33" s="366" t="s">
        <v>168</v>
      </c>
      <c r="O33" s="443">
        <v>16887066</v>
      </c>
      <c r="P33" s="368" t="s">
        <v>169</v>
      </c>
      <c r="Q33" s="369" t="s">
        <v>170</v>
      </c>
      <c r="R33" s="370" t="s">
        <v>50</v>
      </c>
      <c r="S33" s="370" t="s">
        <v>171</v>
      </c>
      <c r="T33" s="371" t="s">
        <v>138</v>
      </c>
      <c r="U33" s="384" t="s">
        <v>66</v>
      </c>
      <c r="V33" s="373">
        <v>100</v>
      </c>
      <c r="W33" s="398" t="s">
        <v>78</v>
      </c>
      <c r="X33" s="404">
        <v>45269</v>
      </c>
      <c r="Y33" s="372" t="s">
        <v>50</v>
      </c>
      <c r="Z33" s="381" t="s">
        <v>114</v>
      </c>
      <c r="AA33" s="359"/>
      <c r="AB33" s="230"/>
      <c r="AC33" s="381"/>
      <c r="AD33" s="359"/>
      <c r="AE33" s="230"/>
      <c r="AF33" s="381"/>
      <c r="AG33" s="402"/>
      <c r="AH33" s="403"/>
      <c r="AI33" s="401"/>
      <c r="AJ33" s="402"/>
      <c r="AK33" s="403"/>
      <c r="AL33" s="401"/>
      <c r="AM33" s="402"/>
      <c r="AN33" s="403"/>
      <c r="AO33" s="401"/>
      <c r="AP33" s="402"/>
      <c r="AQ33" s="403"/>
      <c r="AR33" s="401"/>
      <c r="AS33" s="202"/>
    </row>
    <row r="34" spans="1:45" ht="13.5" hidden="1" customHeight="1">
      <c r="A34" s="12"/>
      <c r="B34" s="358"/>
      <c r="C34" s="359"/>
      <c r="D34" s="359"/>
      <c r="E34" s="360"/>
      <c r="F34" s="230"/>
      <c r="G34" s="378"/>
      <c r="H34" s="362"/>
      <c r="I34" s="230"/>
      <c r="J34" s="230"/>
      <c r="K34" s="230"/>
      <c r="L34" s="364"/>
      <c r="M34" s="365"/>
      <c r="N34" s="366"/>
      <c r="O34" s="368"/>
      <c r="P34" s="368"/>
      <c r="Q34" s="382"/>
      <c r="R34" s="370"/>
      <c r="S34" s="370"/>
      <c r="T34" s="371"/>
      <c r="U34" s="384"/>
      <c r="V34" s="373"/>
      <c r="W34" s="400"/>
      <c r="X34" s="404"/>
      <c r="Y34" s="372"/>
      <c r="Z34" s="381"/>
      <c r="AA34" s="359"/>
      <c r="AB34" s="230"/>
      <c r="AC34" s="381"/>
      <c r="AD34" s="359"/>
      <c r="AE34" s="230"/>
      <c r="AF34" s="381"/>
      <c r="AG34" s="402"/>
      <c r="AH34" s="403"/>
      <c r="AI34" s="401"/>
      <c r="AJ34" s="402"/>
      <c r="AK34" s="403"/>
      <c r="AL34" s="401"/>
      <c r="AM34" s="402"/>
      <c r="AN34" s="403"/>
      <c r="AO34" s="401"/>
      <c r="AP34" s="402"/>
      <c r="AQ34" s="403"/>
      <c r="AR34" s="401"/>
      <c r="AS34" s="202"/>
    </row>
    <row r="35" spans="1:45" ht="13.5" hidden="1" customHeight="1">
      <c r="A35" s="12"/>
      <c r="B35" s="358" t="s">
        <v>40</v>
      </c>
      <c r="C35" s="359">
        <v>15</v>
      </c>
      <c r="D35" s="359">
        <v>15</v>
      </c>
      <c r="E35" s="360" t="s">
        <v>173</v>
      </c>
      <c r="F35" s="230" t="s">
        <v>172</v>
      </c>
      <c r="G35" s="361" t="s">
        <v>43</v>
      </c>
      <c r="H35" s="362"/>
      <c r="I35" s="230">
        <v>41772</v>
      </c>
      <c r="J35" s="230">
        <v>9</v>
      </c>
      <c r="K35" s="363"/>
      <c r="L35" s="364"/>
      <c r="M35" s="365" t="s">
        <v>174</v>
      </c>
      <c r="N35" s="366" t="s">
        <v>175</v>
      </c>
      <c r="O35" s="443">
        <v>16019615</v>
      </c>
      <c r="P35" s="368" t="s">
        <v>176</v>
      </c>
      <c r="Q35" s="408"/>
      <c r="R35" s="370" t="s">
        <v>129</v>
      </c>
      <c r="S35" s="370" t="s">
        <v>177</v>
      </c>
      <c r="T35" s="371" t="s">
        <v>138</v>
      </c>
      <c r="U35" s="422" t="s">
        <v>66</v>
      </c>
      <c r="V35" s="423">
        <v>100</v>
      </c>
      <c r="W35" s="398" t="s">
        <v>78</v>
      </c>
      <c r="X35" s="424">
        <v>45271</v>
      </c>
      <c r="Y35" s="384" t="s">
        <v>129</v>
      </c>
      <c r="Z35" s="444" t="s">
        <v>114</v>
      </c>
      <c r="AA35" s="402"/>
      <c r="AB35" s="403"/>
      <c r="AC35" s="401"/>
      <c r="AD35" s="402"/>
      <c r="AE35" s="403"/>
      <c r="AF35" s="401"/>
      <c r="AG35" s="402"/>
      <c r="AH35" s="403"/>
      <c r="AI35" s="401"/>
      <c r="AJ35" s="402"/>
      <c r="AK35" s="403"/>
      <c r="AL35" s="401"/>
      <c r="AM35" s="402"/>
      <c r="AN35" s="403"/>
      <c r="AO35" s="401"/>
      <c r="AP35" s="402"/>
      <c r="AQ35" s="403"/>
      <c r="AR35" s="401"/>
      <c r="AS35" s="202"/>
    </row>
    <row r="36" spans="1:45" ht="13.5" hidden="1" customHeight="1">
      <c r="A36" s="12"/>
      <c r="B36" s="358"/>
      <c r="C36" s="359"/>
      <c r="D36" s="359"/>
      <c r="E36" s="360"/>
      <c r="F36" s="230"/>
      <c r="G36" s="378"/>
      <c r="H36" s="362"/>
      <c r="I36" s="230"/>
      <c r="J36" s="230"/>
      <c r="K36" s="230"/>
      <c r="L36" s="364"/>
      <c r="M36" s="365"/>
      <c r="N36" s="366"/>
      <c r="O36" s="368"/>
      <c r="P36" s="368"/>
      <c r="Q36" s="408"/>
      <c r="R36" s="370"/>
      <c r="S36" s="370"/>
      <c r="T36" s="371"/>
      <c r="U36" s="435"/>
      <c r="V36" s="436"/>
      <c r="W36" s="400"/>
      <c r="X36" s="375"/>
      <c r="Y36" s="384"/>
      <c r="Z36" s="444"/>
      <c r="AA36" s="402"/>
      <c r="AB36" s="403"/>
      <c r="AC36" s="401"/>
      <c r="AD36" s="402"/>
      <c r="AE36" s="403"/>
      <c r="AF36" s="401"/>
      <c r="AG36" s="402"/>
      <c r="AH36" s="403"/>
      <c r="AI36" s="401"/>
      <c r="AJ36" s="402"/>
      <c r="AK36" s="403"/>
      <c r="AL36" s="401"/>
      <c r="AM36" s="402"/>
      <c r="AN36" s="403"/>
      <c r="AO36" s="401"/>
      <c r="AP36" s="402"/>
      <c r="AQ36" s="403"/>
      <c r="AR36" s="401"/>
      <c r="AS36" s="202"/>
    </row>
    <row r="37" spans="1:45" ht="13.5" hidden="1" customHeight="1">
      <c r="A37" s="12"/>
      <c r="B37" s="358" t="s">
        <v>40</v>
      </c>
      <c r="C37" s="359">
        <v>16</v>
      </c>
      <c r="D37" s="359">
        <v>16</v>
      </c>
      <c r="E37" s="360" t="s">
        <v>179</v>
      </c>
      <c r="F37" s="230" t="s">
        <v>178</v>
      </c>
      <c r="G37" s="361" t="s">
        <v>43</v>
      </c>
      <c r="H37" s="362"/>
      <c r="I37" s="230">
        <v>42181</v>
      </c>
      <c r="J37" s="230">
        <v>8</v>
      </c>
      <c r="K37" s="363" t="s">
        <v>180</v>
      </c>
      <c r="L37" s="364" t="s">
        <v>181</v>
      </c>
      <c r="M37" s="405" t="s">
        <v>182</v>
      </c>
      <c r="N37" s="366" t="s">
        <v>183</v>
      </c>
      <c r="O37" s="367">
        <v>13909917</v>
      </c>
      <c r="P37" s="368" t="s">
        <v>184</v>
      </c>
      <c r="Q37" s="369" t="s">
        <v>180</v>
      </c>
      <c r="R37" s="370" t="s">
        <v>185</v>
      </c>
      <c r="S37" s="370" t="s">
        <v>146</v>
      </c>
      <c r="T37" s="371" t="s">
        <v>186</v>
      </c>
      <c r="U37" s="422" t="s">
        <v>66</v>
      </c>
      <c r="V37" s="423">
        <v>240</v>
      </c>
      <c r="W37" s="398" t="s">
        <v>54</v>
      </c>
      <c r="X37" s="424">
        <v>45271</v>
      </c>
      <c r="Y37" s="384" t="s">
        <v>185</v>
      </c>
      <c r="Z37" s="444" t="s">
        <v>86</v>
      </c>
      <c r="AA37" s="402"/>
      <c r="AB37" s="403"/>
      <c r="AC37" s="401"/>
      <c r="AD37" s="402"/>
      <c r="AE37" s="403"/>
      <c r="AF37" s="401"/>
      <c r="AG37" s="402"/>
      <c r="AH37" s="403"/>
      <c r="AI37" s="401"/>
      <c r="AJ37" s="402"/>
      <c r="AK37" s="403"/>
      <c r="AL37" s="401"/>
      <c r="AM37" s="402"/>
      <c r="AN37" s="403"/>
      <c r="AO37" s="401"/>
      <c r="AP37" s="402"/>
      <c r="AQ37" s="403"/>
      <c r="AR37" s="401"/>
      <c r="AS37" s="202"/>
    </row>
    <row r="38" spans="1:45" ht="13.5" hidden="1" customHeight="1">
      <c r="A38" s="12"/>
      <c r="B38" s="358"/>
      <c r="C38" s="359"/>
      <c r="D38" s="359"/>
      <c r="E38" s="360"/>
      <c r="F38" s="230"/>
      <c r="G38" s="378"/>
      <c r="H38" s="230"/>
      <c r="I38" s="230"/>
      <c r="J38" s="230"/>
      <c r="K38" s="368"/>
      <c r="L38" s="364"/>
      <c r="M38" s="405"/>
      <c r="N38" s="366"/>
      <c r="O38" s="367"/>
      <c r="P38" s="368"/>
      <c r="Q38" s="391"/>
      <c r="R38" s="370"/>
      <c r="S38" s="370"/>
      <c r="T38" s="371"/>
      <c r="U38" s="435"/>
      <c r="V38" s="436"/>
      <c r="W38" s="400"/>
      <c r="X38" s="375"/>
      <c r="Y38" s="384"/>
      <c r="Z38" s="444"/>
      <c r="AA38" s="402"/>
      <c r="AB38" s="403"/>
      <c r="AC38" s="401"/>
      <c r="AD38" s="402"/>
      <c r="AE38" s="403"/>
      <c r="AF38" s="401"/>
      <c r="AG38" s="402"/>
      <c r="AH38" s="403"/>
      <c r="AI38" s="401"/>
      <c r="AJ38" s="402"/>
      <c r="AK38" s="403"/>
      <c r="AL38" s="401"/>
      <c r="AM38" s="402"/>
      <c r="AN38" s="403"/>
      <c r="AO38" s="401"/>
      <c r="AP38" s="402"/>
      <c r="AQ38" s="403"/>
      <c r="AR38" s="401"/>
      <c r="AS38" s="202"/>
    </row>
    <row r="39" spans="1:45" ht="13.5" hidden="1" customHeight="1">
      <c r="A39" s="12"/>
      <c r="B39" s="358" t="s">
        <v>40</v>
      </c>
      <c r="C39" s="359">
        <v>17</v>
      </c>
      <c r="D39" s="359">
        <v>17</v>
      </c>
      <c r="E39" s="360" t="s">
        <v>188</v>
      </c>
      <c r="F39" s="230" t="s">
        <v>187</v>
      </c>
      <c r="G39" s="361" t="s">
        <v>43</v>
      </c>
      <c r="H39" s="362">
        <v>36059843</v>
      </c>
      <c r="I39" s="230">
        <v>41675</v>
      </c>
      <c r="J39" s="230">
        <v>9</v>
      </c>
      <c r="K39" s="363" t="s">
        <v>189</v>
      </c>
      <c r="L39" s="364"/>
      <c r="M39" s="365" t="s">
        <v>190</v>
      </c>
      <c r="N39" s="366" t="s">
        <v>191</v>
      </c>
      <c r="O39" s="367">
        <v>14675913</v>
      </c>
      <c r="P39" s="368" t="s">
        <v>192</v>
      </c>
      <c r="Q39" s="369" t="s">
        <v>189</v>
      </c>
      <c r="R39" s="370" t="s">
        <v>129</v>
      </c>
      <c r="S39" s="370" t="s">
        <v>64</v>
      </c>
      <c r="T39" s="371" t="s">
        <v>138</v>
      </c>
      <c r="U39" s="372" t="s">
        <v>66</v>
      </c>
      <c r="V39" s="373">
        <v>240</v>
      </c>
      <c r="W39" s="398" t="s">
        <v>78</v>
      </c>
      <c r="X39" s="404">
        <v>45271</v>
      </c>
      <c r="Y39" s="372" t="s">
        <v>129</v>
      </c>
      <c r="Z39" s="381">
        <v>200</v>
      </c>
      <c r="AA39" s="359"/>
      <c r="AB39" s="230"/>
      <c r="AC39" s="381"/>
      <c r="AD39" s="402"/>
      <c r="AE39" s="403"/>
      <c r="AF39" s="401"/>
      <c r="AG39" s="402"/>
      <c r="AH39" s="403"/>
      <c r="AI39" s="401"/>
      <c r="AJ39" s="402"/>
      <c r="AK39" s="403"/>
      <c r="AL39" s="401"/>
      <c r="AM39" s="402"/>
      <c r="AN39" s="403"/>
      <c r="AO39" s="401"/>
      <c r="AP39" s="402"/>
      <c r="AQ39" s="403"/>
      <c r="AR39" s="401"/>
      <c r="AS39" s="202"/>
    </row>
    <row r="40" spans="1:45" ht="13.5" hidden="1" customHeight="1">
      <c r="A40" s="12"/>
      <c r="B40" s="358"/>
      <c r="C40" s="359"/>
      <c r="D40" s="359"/>
      <c r="E40" s="360"/>
      <c r="F40" s="230"/>
      <c r="G40" s="378"/>
      <c r="H40" s="230"/>
      <c r="I40" s="230"/>
      <c r="J40" s="230"/>
      <c r="K40" s="368"/>
      <c r="L40" s="364"/>
      <c r="M40" s="365"/>
      <c r="N40" s="366"/>
      <c r="O40" s="367"/>
      <c r="P40" s="368"/>
      <c r="Q40" s="391"/>
      <c r="R40" s="370"/>
      <c r="S40" s="370"/>
      <c r="T40" s="371"/>
      <c r="U40" s="372"/>
      <c r="V40" s="373"/>
      <c r="W40" s="400"/>
      <c r="X40" s="404"/>
      <c r="Y40" s="372"/>
      <c r="Z40" s="381"/>
      <c r="AA40" s="359"/>
      <c r="AB40" s="230"/>
      <c r="AC40" s="381"/>
      <c r="AD40" s="402"/>
      <c r="AE40" s="403"/>
      <c r="AF40" s="401"/>
      <c r="AG40" s="402"/>
      <c r="AH40" s="403"/>
      <c r="AI40" s="401"/>
      <c r="AJ40" s="402"/>
      <c r="AK40" s="403"/>
      <c r="AL40" s="401"/>
      <c r="AM40" s="402"/>
      <c r="AN40" s="403"/>
      <c r="AO40" s="401"/>
      <c r="AP40" s="402"/>
      <c r="AQ40" s="403"/>
      <c r="AR40" s="401"/>
      <c r="AS40" s="202"/>
    </row>
    <row r="41" spans="1:45" ht="13.5" hidden="1" customHeight="1">
      <c r="A41" s="12"/>
      <c r="B41" s="358" t="s">
        <v>40</v>
      </c>
      <c r="C41" s="359">
        <v>18</v>
      </c>
      <c r="D41" s="359">
        <v>18</v>
      </c>
      <c r="E41" s="360" t="s">
        <v>194</v>
      </c>
      <c r="F41" s="230" t="s">
        <v>193</v>
      </c>
      <c r="G41" s="361" t="s">
        <v>43</v>
      </c>
      <c r="H41" s="362">
        <v>31000390</v>
      </c>
      <c r="I41" s="230">
        <v>38097</v>
      </c>
      <c r="J41" s="230">
        <v>19</v>
      </c>
      <c r="K41" s="363" t="s">
        <v>195</v>
      </c>
      <c r="L41" s="364" t="s">
        <v>196</v>
      </c>
      <c r="M41" s="365" t="s">
        <v>197</v>
      </c>
      <c r="N41" s="366" t="s">
        <v>198</v>
      </c>
      <c r="O41" s="367">
        <v>12877722</v>
      </c>
      <c r="P41" s="368" t="s">
        <v>199</v>
      </c>
      <c r="Q41" s="369" t="s">
        <v>200</v>
      </c>
      <c r="R41" s="370" t="s">
        <v>50</v>
      </c>
      <c r="S41" s="370" t="s">
        <v>171</v>
      </c>
      <c r="T41" s="371" t="s">
        <v>201</v>
      </c>
      <c r="U41" s="384" t="s">
        <v>202</v>
      </c>
      <c r="V41" s="373">
        <v>100</v>
      </c>
      <c r="W41" s="398" t="s">
        <v>54</v>
      </c>
      <c r="X41" s="404">
        <v>45271</v>
      </c>
      <c r="Y41" s="384" t="s">
        <v>50</v>
      </c>
      <c r="Z41" s="444" t="s">
        <v>86</v>
      </c>
      <c r="AA41" s="402"/>
      <c r="AB41" s="403"/>
      <c r="AC41" s="401"/>
      <c r="AD41" s="402"/>
      <c r="AE41" s="403"/>
      <c r="AF41" s="401"/>
      <c r="AG41" s="402"/>
      <c r="AH41" s="403"/>
      <c r="AI41" s="401"/>
      <c r="AJ41" s="402"/>
      <c r="AK41" s="403"/>
      <c r="AL41" s="401"/>
      <c r="AM41" s="402"/>
      <c r="AN41" s="403"/>
      <c r="AO41" s="401"/>
      <c r="AP41" s="402"/>
      <c r="AQ41" s="403"/>
      <c r="AR41" s="401"/>
      <c r="AS41" s="202"/>
    </row>
    <row r="42" spans="1:45" ht="13.5" hidden="1" customHeight="1">
      <c r="A42" s="12"/>
      <c r="B42" s="358"/>
      <c r="C42" s="359"/>
      <c r="D42" s="359"/>
      <c r="E42" s="360"/>
      <c r="F42" s="230"/>
      <c r="G42" s="378"/>
      <c r="H42" s="230"/>
      <c r="I42" s="230"/>
      <c r="J42" s="230"/>
      <c r="K42" s="230"/>
      <c r="L42" s="364"/>
      <c r="M42" s="365"/>
      <c r="N42" s="366"/>
      <c r="O42" s="367"/>
      <c r="P42" s="368"/>
      <c r="Q42" s="382"/>
      <c r="R42" s="370"/>
      <c r="S42" s="370"/>
      <c r="T42" s="371"/>
      <c r="U42" s="384"/>
      <c r="V42" s="373"/>
      <c r="W42" s="400"/>
      <c r="X42" s="404"/>
      <c r="Y42" s="384"/>
      <c r="Z42" s="444"/>
      <c r="AA42" s="402"/>
      <c r="AB42" s="403"/>
      <c r="AC42" s="401"/>
      <c r="AD42" s="402"/>
      <c r="AE42" s="403"/>
      <c r="AF42" s="401"/>
      <c r="AG42" s="402"/>
      <c r="AH42" s="403"/>
      <c r="AI42" s="401"/>
      <c r="AJ42" s="402"/>
      <c r="AK42" s="403"/>
      <c r="AL42" s="401"/>
      <c r="AM42" s="402"/>
      <c r="AN42" s="403"/>
      <c r="AO42" s="401"/>
      <c r="AP42" s="402"/>
      <c r="AQ42" s="403"/>
      <c r="AR42" s="401"/>
      <c r="AS42" s="202"/>
    </row>
    <row r="43" spans="1:45" ht="13.5" hidden="1" customHeight="1">
      <c r="A43" s="12"/>
      <c r="B43" s="358" t="s">
        <v>40</v>
      </c>
      <c r="C43" s="359">
        <v>19</v>
      </c>
      <c r="D43" s="359">
        <v>19</v>
      </c>
      <c r="E43" s="360" t="s">
        <v>204</v>
      </c>
      <c r="F43" s="230" t="s">
        <v>203</v>
      </c>
      <c r="G43" s="361" t="s">
        <v>43</v>
      </c>
      <c r="H43" s="362"/>
      <c r="I43" s="230">
        <v>41871</v>
      </c>
      <c r="J43" s="230">
        <v>9</v>
      </c>
      <c r="K43" s="363" t="s">
        <v>205</v>
      </c>
      <c r="L43" s="364" t="s">
        <v>206</v>
      </c>
      <c r="M43" s="365" t="s">
        <v>207</v>
      </c>
      <c r="N43" s="366" t="s">
        <v>208</v>
      </c>
      <c r="O43" s="367">
        <v>19711074</v>
      </c>
      <c r="P43" s="368" t="s">
        <v>209</v>
      </c>
      <c r="Q43" s="369" t="s">
        <v>205</v>
      </c>
      <c r="R43" s="370" t="s">
        <v>129</v>
      </c>
      <c r="S43" s="370" t="s">
        <v>210</v>
      </c>
      <c r="T43" s="371" t="s">
        <v>138</v>
      </c>
      <c r="U43" s="384" t="s">
        <v>66</v>
      </c>
      <c r="V43" s="373">
        <v>100</v>
      </c>
      <c r="W43" s="398" t="s">
        <v>78</v>
      </c>
      <c r="X43" s="404">
        <v>45271</v>
      </c>
      <c r="Y43" s="384" t="s">
        <v>129</v>
      </c>
      <c r="Z43" s="444" t="s">
        <v>114</v>
      </c>
      <c r="AA43" s="402"/>
      <c r="AB43" s="403"/>
      <c r="AC43" s="401"/>
      <c r="AD43" s="402"/>
      <c r="AE43" s="403"/>
      <c r="AF43" s="401"/>
      <c r="AG43" s="402"/>
      <c r="AH43" s="403"/>
      <c r="AI43" s="401"/>
      <c r="AJ43" s="402"/>
      <c r="AK43" s="403"/>
      <c r="AL43" s="401"/>
      <c r="AM43" s="402"/>
      <c r="AN43" s="403"/>
      <c r="AO43" s="401"/>
      <c r="AP43" s="402"/>
      <c r="AQ43" s="403"/>
      <c r="AR43" s="401"/>
      <c r="AS43" s="202"/>
    </row>
    <row r="44" spans="1:45" ht="13.5" hidden="1" customHeight="1">
      <c r="A44" s="12"/>
      <c r="B44" s="358"/>
      <c r="C44" s="359"/>
      <c r="D44" s="359"/>
      <c r="E44" s="360"/>
      <c r="F44" s="230"/>
      <c r="G44" s="378"/>
      <c r="H44" s="362"/>
      <c r="I44" s="230"/>
      <c r="J44" s="361"/>
      <c r="K44" s="368"/>
      <c r="L44" s="364"/>
      <c r="M44" s="365"/>
      <c r="N44" s="366"/>
      <c r="O44" s="367"/>
      <c r="P44" s="368"/>
      <c r="Q44" s="391"/>
      <c r="R44" s="370"/>
      <c r="S44" s="370"/>
      <c r="T44" s="371"/>
      <c r="U44" s="384"/>
      <c r="V44" s="373"/>
      <c r="W44" s="400"/>
      <c r="X44" s="404"/>
      <c r="Y44" s="384"/>
      <c r="Z44" s="444"/>
      <c r="AA44" s="402"/>
      <c r="AB44" s="403"/>
      <c r="AC44" s="401"/>
      <c r="AD44" s="402"/>
      <c r="AE44" s="403"/>
      <c r="AF44" s="401"/>
      <c r="AG44" s="402"/>
      <c r="AH44" s="403"/>
      <c r="AI44" s="401"/>
      <c r="AJ44" s="402"/>
      <c r="AK44" s="403"/>
      <c r="AL44" s="401"/>
      <c r="AM44" s="402"/>
      <c r="AN44" s="403"/>
      <c r="AO44" s="401"/>
      <c r="AP44" s="402"/>
      <c r="AQ44" s="403"/>
      <c r="AR44" s="401"/>
      <c r="AS44" s="202"/>
    </row>
    <row r="45" spans="1:45" ht="13.5" hidden="1" customHeight="1">
      <c r="A45" s="12"/>
      <c r="B45" s="358" t="s">
        <v>40</v>
      </c>
      <c r="C45" s="359">
        <v>20</v>
      </c>
      <c r="D45" s="359">
        <v>20</v>
      </c>
      <c r="E45" s="360" t="s">
        <v>212</v>
      </c>
      <c r="F45" s="230" t="s">
        <v>211</v>
      </c>
      <c r="G45" s="361" t="s">
        <v>43</v>
      </c>
      <c r="H45" s="362"/>
      <c r="I45" s="445">
        <v>42422</v>
      </c>
      <c r="J45" s="358">
        <v>7</v>
      </c>
      <c r="K45" s="446" t="s">
        <v>213</v>
      </c>
      <c r="L45" s="364"/>
      <c r="M45" s="365" t="s">
        <v>214</v>
      </c>
      <c r="N45" s="366" t="s">
        <v>215</v>
      </c>
      <c r="O45" s="367">
        <v>14481759</v>
      </c>
      <c r="P45" s="368" t="s">
        <v>216</v>
      </c>
      <c r="Q45" s="369" t="s">
        <v>213</v>
      </c>
      <c r="R45" s="370" t="s">
        <v>129</v>
      </c>
      <c r="S45" s="370" t="s">
        <v>64</v>
      </c>
      <c r="T45" s="371" t="s">
        <v>138</v>
      </c>
      <c r="U45" s="372" t="s">
        <v>66</v>
      </c>
      <c r="V45" s="373">
        <v>240</v>
      </c>
      <c r="W45" s="398" t="s">
        <v>78</v>
      </c>
      <c r="X45" s="404">
        <v>45273</v>
      </c>
      <c r="Y45" s="384" t="s">
        <v>129</v>
      </c>
      <c r="Z45" s="444" t="s">
        <v>86</v>
      </c>
      <c r="AA45" s="402"/>
      <c r="AB45" s="403"/>
      <c r="AC45" s="401"/>
      <c r="AD45" s="402"/>
      <c r="AE45" s="403"/>
      <c r="AF45" s="401"/>
      <c r="AG45" s="402"/>
      <c r="AH45" s="403"/>
      <c r="AI45" s="401"/>
      <c r="AJ45" s="402"/>
      <c r="AK45" s="403"/>
      <c r="AL45" s="401"/>
      <c r="AM45" s="402"/>
      <c r="AN45" s="403"/>
      <c r="AO45" s="401"/>
      <c r="AP45" s="402"/>
      <c r="AQ45" s="403"/>
      <c r="AR45" s="401"/>
      <c r="AS45" s="202"/>
    </row>
    <row r="46" spans="1:45" ht="13.5" hidden="1" customHeight="1">
      <c r="A46" s="12"/>
      <c r="B46" s="358"/>
      <c r="C46" s="359"/>
      <c r="D46" s="359"/>
      <c r="E46" s="447"/>
      <c r="F46" s="230"/>
      <c r="G46" s="378"/>
      <c r="H46" s="361"/>
      <c r="I46" s="448"/>
      <c r="J46" s="449"/>
      <c r="K46" s="450"/>
      <c r="L46" s="451"/>
      <c r="M46" s="452"/>
      <c r="N46" s="409"/>
      <c r="O46" s="453"/>
      <c r="P46" s="454"/>
      <c r="Q46" s="455"/>
      <c r="R46" s="420"/>
      <c r="S46" s="420"/>
      <c r="T46" s="421"/>
      <c r="U46" s="387"/>
      <c r="V46" s="456"/>
      <c r="W46" s="400"/>
      <c r="X46" s="424"/>
      <c r="Y46" s="422"/>
      <c r="Z46" s="457"/>
      <c r="AA46" s="402"/>
      <c r="AB46" s="403"/>
      <c r="AC46" s="401"/>
      <c r="AD46" s="402"/>
      <c r="AE46" s="403"/>
      <c r="AF46" s="401"/>
      <c r="AG46" s="402"/>
      <c r="AH46" s="403"/>
      <c r="AI46" s="401"/>
      <c r="AJ46" s="402"/>
      <c r="AK46" s="403"/>
      <c r="AL46" s="401"/>
      <c r="AM46" s="402"/>
      <c r="AN46" s="403"/>
      <c r="AO46" s="401"/>
      <c r="AP46" s="402"/>
      <c r="AQ46" s="403"/>
      <c r="AR46" s="401"/>
      <c r="AS46" s="202"/>
    </row>
    <row r="47" spans="1:45" ht="13.5" hidden="1" customHeight="1">
      <c r="A47" s="12"/>
      <c r="B47" s="358" t="s">
        <v>217</v>
      </c>
      <c r="C47" s="449">
        <v>1</v>
      </c>
      <c r="D47" s="359">
        <v>21</v>
      </c>
      <c r="E47" s="458" t="s">
        <v>219</v>
      </c>
      <c r="F47" s="230" t="s">
        <v>218</v>
      </c>
      <c r="G47" s="361" t="s">
        <v>43</v>
      </c>
      <c r="H47" s="449"/>
      <c r="I47" s="459">
        <v>41944</v>
      </c>
      <c r="J47" s="460">
        <v>9</v>
      </c>
      <c r="K47" s="461" t="s">
        <v>220</v>
      </c>
      <c r="L47" s="462"/>
      <c r="M47" s="463" t="s">
        <v>221</v>
      </c>
      <c r="N47" s="458" t="s">
        <v>222</v>
      </c>
      <c r="O47" s="464">
        <v>17980412</v>
      </c>
      <c r="P47" s="465" t="s">
        <v>223</v>
      </c>
      <c r="Q47" s="461" t="s">
        <v>220</v>
      </c>
      <c r="R47" s="466" t="s">
        <v>129</v>
      </c>
      <c r="S47" s="420" t="s">
        <v>64</v>
      </c>
      <c r="T47" s="420" t="s">
        <v>186</v>
      </c>
      <c r="U47" s="467" t="s">
        <v>66</v>
      </c>
      <c r="V47" s="468">
        <v>240</v>
      </c>
      <c r="W47" s="398" t="s">
        <v>54</v>
      </c>
      <c r="X47" s="469">
        <v>45273</v>
      </c>
      <c r="Y47" s="467" t="s">
        <v>129</v>
      </c>
      <c r="Z47" s="470" t="s">
        <v>86</v>
      </c>
      <c r="AA47" s="471"/>
      <c r="AB47" s="403"/>
      <c r="AC47" s="401"/>
      <c r="AD47" s="402"/>
      <c r="AE47" s="403"/>
      <c r="AF47" s="401"/>
      <c r="AG47" s="402"/>
      <c r="AH47" s="403"/>
      <c r="AI47" s="401"/>
      <c r="AJ47" s="402"/>
      <c r="AK47" s="403"/>
      <c r="AL47" s="401"/>
      <c r="AM47" s="402"/>
      <c r="AN47" s="403"/>
      <c r="AO47" s="401"/>
      <c r="AP47" s="402"/>
      <c r="AQ47" s="403"/>
      <c r="AR47" s="401"/>
      <c r="AS47" s="202"/>
    </row>
    <row r="48" spans="1:45" ht="13.5" hidden="1" customHeight="1">
      <c r="A48" s="12"/>
      <c r="B48" s="358"/>
      <c r="C48" s="472"/>
      <c r="D48" s="359"/>
      <c r="E48" s="473"/>
      <c r="F48" s="230"/>
      <c r="G48" s="378"/>
      <c r="H48" s="472"/>
      <c r="I48" s="474"/>
      <c r="J48" s="475"/>
      <c r="K48" s="476"/>
      <c r="L48" s="477"/>
      <c r="M48" s="478"/>
      <c r="N48" s="479"/>
      <c r="O48" s="476"/>
      <c r="P48" s="476"/>
      <c r="Q48" s="476"/>
      <c r="R48" s="480"/>
      <c r="S48" s="433"/>
      <c r="T48" s="433"/>
      <c r="U48" s="481"/>
      <c r="V48" s="482"/>
      <c r="W48" s="400"/>
      <c r="X48" s="431"/>
      <c r="Y48" s="481"/>
      <c r="Z48" s="483"/>
      <c r="AA48" s="471"/>
      <c r="AB48" s="403"/>
      <c r="AC48" s="401"/>
      <c r="AD48" s="402"/>
      <c r="AE48" s="403"/>
      <c r="AF48" s="401"/>
      <c r="AG48" s="402"/>
      <c r="AH48" s="403"/>
      <c r="AI48" s="401"/>
      <c r="AJ48" s="402"/>
      <c r="AK48" s="403"/>
      <c r="AL48" s="401"/>
      <c r="AM48" s="402"/>
      <c r="AN48" s="403"/>
      <c r="AO48" s="401"/>
      <c r="AP48" s="402"/>
      <c r="AQ48" s="403"/>
      <c r="AR48" s="401"/>
      <c r="AS48" s="202"/>
    </row>
    <row r="49" spans="1:45" ht="12.75" hidden="1" customHeight="1">
      <c r="A49" s="12"/>
      <c r="B49" s="358" t="s">
        <v>217</v>
      </c>
      <c r="C49" s="484">
        <v>2</v>
      </c>
      <c r="D49" s="359">
        <v>22</v>
      </c>
      <c r="E49" s="243" t="s">
        <v>225</v>
      </c>
      <c r="F49" s="485" t="s">
        <v>224</v>
      </c>
      <c r="G49" s="361" t="s">
        <v>43</v>
      </c>
      <c r="H49" s="486">
        <v>30136255</v>
      </c>
      <c r="I49" s="459">
        <v>37977</v>
      </c>
      <c r="J49" s="460">
        <v>19</v>
      </c>
      <c r="K49" s="461" t="s">
        <v>226</v>
      </c>
      <c r="L49" s="462" t="s">
        <v>227</v>
      </c>
      <c r="M49" s="487" t="s">
        <v>228</v>
      </c>
      <c r="N49" s="458" t="s">
        <v>229</v>
      </c>
      <c r="O49" s="464" t="s">
        <v>68</v>
      </c>
      <c r="P49" s="465" t="s">
        <v>230</v>
      </c>
      <c r="Q49" s="488" t="s">
        <v>226</v>
      </c>
      <c r="R49" s="466" t="s">
        <v>50</v>
      </c>
      <c r="S49" s="420" t="s">
        <v>171</v>
      </c>
      <c r="T49" s="420" t="s">
        <v>138</v>
      </c>
      <c r="U49" s="467" t="s">
        <v>66</v>
      </c>
      <c r="V49" s="489">
        <v>240</v>
      </c>
      <c r="W49" s="398" t="s">
        <v>78</v>
      </c>
      <c r="X49" s="469">
        <v>45275</v>
      </c>
      <c r="Y49" s="467" t="s">
        <v>50</v>
      </c>
      <c r="Z49" s="470">
        <v>240</v>
      </c>
      <c r="AA49" s="471"/>
      <c r="AB49" s="230"/>
      <c r="AC49" s="381"/>
      <c r="AD49" s="402"/>
      <c r="AE49" s="403"/>
      <c r="AF49" s="401"/>
      <c r="AG49" s="402"/>
      <c r="AH49" s="403"/>
      <c r="AI49" s="401"/>
      <c r="AJ49" s="402"/>
      <c r="AK49" s="403"/>
      <c r="AL49" s="401"/>
      <c r="AM49" s="402"/>
      <c r="AN49" s="403"/>
      <c r="AO49" s="401"/>
      <c r="AP49" s="402"/>
      <c r="AQ49" s="403"/>
      <c r="AR49" s="401"/>
      <c r="AS49" s="202"/>
    </row>
    <row r="50" spans="1:45" ht="15.75" hidden="1" customHeight="1">
      <c r="A50" s="12"/>
      <c r="B50" s="358"/>
      <c r="C50" s="490"/>
      <c r="D50" s="359"/>
      <c r="E50" s="243"/>
      <c r="F50" s="485"/>
      <c r="G50" s="378"/>
      <c r="H50" s="491"/>
      <c r="I50" s="474"/>
      <c r="J50" s="475"/>
      <c r="K50" s="476"/>
      <c r="L50" s="477"/>
      <c r="M50" s="492"/>
      <c r="N50" s="479"/>
      <c r="O50" s="476"/>
      <c r="P50" s="476"/>
      <c r="Q50" s="475"/>
      <c r="R50" s="480"/>
      <c r="S50" s="433"/>
      <c r="T50" s="433"/>
      <c r="U50" s="481"/>
      <c r="V50" s="493"/>
      <c r="W50" s="400"/>
      <c r="X50" s="431"/>
      <c r="Y50" s="481"/>
      <c r="Z50" s="483"/>
      <c r="AA50" s="471"/>
      <c r="AB50" s="230"/>
      <c r="AC50" s="381"/>
      <c r="AD50" s="402"/>
      <c r="AE50" s="403"/>
      <c r="AF50" s="401"/>
      <c r="AG50" s="402"/>
      <c r="AH50" s="403"/>
      <c r="AI50" s="401"/>
      <c r="AJ50" s="402"/>
      <c r="AK50" s="403"/>
      <c r="AL50" s="401"/>
      <c r="AM50" s="402"/>
      <c r="AN50" s="403"/>
      <c r="AO50" s="401"/>
      <c r="AP50" s="402"/>
      <c r="AQ50" s="403"/>
      <c r="AR50" s="401"/>
      <c r="AS50" s="202"/>
    </row>
    <row r="51" spans="1:45" ht="13.5" hidden="1" customHeight="1">
      <c r="A51" s="12"/>
      <c r="B51" s="358" t="s">
        <v>217</v>
      </c>
      <c r="C51" s="449">
        <v>3</v>
      </c>
      <c r="D51" s="359">
        <v>23</v>
      </c>
      <c r="E51" s="479" t="s">
        <v>232</v>
      </c>
      <c r="F51" s="485" t="s">
        <v>231</v>
      </c>
      <c r="G51" s="361" t="s">
        <v>43</v>
      </c>
      <c r="H51" s="426">
        <v>33145960</v>
      </c>
      <c r="I51" s="459">
        <v>39396</v>
      </c>
      <c r="J51" s="378">
        <v>16</v>
      </c>
      <c r="K51" s="461" t="s">
        <v>233</v>
      </c>
      <c r="L51" s="427"/>
      <c r="M51" s="439" t="s">
        <v>234</v>
      </c>
      <c r="N51" s="458" t="s">
        <v>235</v>
      </c>
      <c r="O51" s="494">
        <v>12415295</v>
      </c>
      <c r="P51" s="424" t="s">
        <v>236</v>
      </c>
      <c r="Q51" s="488" t="s">
        <v>233</v>
      </c>
      <c r="R51" s="433" t="s">
        <v>50</v>
      </c>
      <c r="S51" s="433" t="s">
        <v>237</v>
      </c>
      <c r="T51" s="371" t="s">
        <v>138</v>
      </c>
      <c r="U51" s="467" t="s">
        <v>66</v>
      </c>
      <c r="V51" s="495">
        <v>240</v>
      </c>
      <c r="W51" s="398" t="s">
        <v>54</v>
      </c>
      <c r="X51" s="469">
        <v>45275</v>
      </c>
      <c r="Y51" s="435" t="s">
        <v>50</v>
      </c>
      <c r="Z51" s="470">
        <v>120</v>
      </c>
      <c r="AA51" s="402"/>
      <c r="AB51" s="403"/>
      <c r="AC51" s="401"/>
      <c r="AD51" s="402"/>
      <c r="AE51" s="230"/>
      <c r="AF51" s="381"/>
      <c r="AG51" s="402"/>
      <c r="AH51" s="403"/>
      <c r="AI51" s="401"/>
      <c r="AJ51" s="402"/>
      <c r="AK51" s="403"/>
      <c r="AL51" s="401"/>
      <c r="AM51" s="402"/>
      <c r="AN51" s="403"/>
      <c r="AO51" s="401"/>
      <c r="AP51" s="402"/>
      <c r="AQ51" s="403"/>
      <c r="AR51" s="401"/>
      <c r="AS51" s="202"/>
    </row>
    <row r="52" spans="1:45" ht="13.5" hidden="1" customHeight="1">
      <c r="A52" s="12"/>
      <c r="B52" s="358"/>
      <c r="C52" s="472"/>
      <c r="D52" s="359"/>
      <c r="E52" s="496"/>
      <c r="F52" s="485"/>
      <c r="G52" s="378"/>
      <c r="H52" s="230"/>
      <c r="I52" s="474"/>
      <c r="J52" s="230"/>
      <c r="K52" s="476"/>
      <c r="L52" s="364"/>
      <c r="M52" s="365"/>
      <c r="N52" s="479"/>
      <c r="O52" s="497"/>
      <c r="P52" s="375"/>
      <c r="Q52" s="475"/>
      <c r="R52" s="370"/>
      <c r="S52" s="370"/>
      <c r="T52" s="371"/>
      <c r="U52" s="481"/>
      <c r="V52" s="436"/>
      <c r="W52" s="400"/>
      <c r="X52" s="431"/>
      <c r="Y52" s="384"/>
      <c r="Z52" s="483"/>
      <c r="AA52" s="402"/>
      <c r="AB52" s="403"/>
      <c r="AC52" s="401"/>
      <c r="AD52" s="402"/>
      <c r="AE52" s="230"/>
      <c r="AF52" s="381"/>
      <c r="AG52" s="402"/>
      <c r="AH52" s="403"/>
      <c r="AI52" s="401"/>
      <c r="AJ52" s="402"/>
      <c r="AK52" s="403"/>
      <c r="AL52" s="401"/>
      <c r="AM52" s="402"/>
      <c r="AN52" s="403"/>
      <c r="AO52" s="401"/>
      <c r="AP52" s="402"/>
      <c r="AQ52" s="403"/>
      <c r="AR52" s="401"/>
      <c r="AS52" s="202"/>
    </row>
    <row r="53" spans="1:45" ht="13.5" hidden="1" customHeight="1">
      <c r="A53" s="12"/>
      <c r="B53" s="358" t="s">
        <v>217</v>
      </c>
      <c r="C53" s="449">
        <v>4</v>
      </c>
      <c r="D53" s="359">
        <v>24</v>
      </c>
      <c r="E53" s="437" t="s">
        <v>239</v>
      </c>
      <c r="F53" s="230" t="s">
        <v>238</v>
      </c>
      <c r="G53" s="361" t="s">
        <v>43</v>
      </c>
      <c r="H53" s="362">
        <v>33612303</v>
      </c>
      <c r="I53" s="459">
        <v>40451</v>
      </c>
      <c r="J53" s="230">
        <v>13</v>
      </c>
      <c r="K53" s="461" t="s">
        <v>233</v>
      </c>
      <c r="L53" s="364"/>
      <c r="M53" s="439" t="s">
        <v>234</v>
      </c>
      <c r="N53" s="458" t="s">
        <v>235</v>
      </c>
      <c r="O53" s="494">
        <v>12415295</v>
      </c>
      <c r="P53" s="424" t="s">
        <v>236</v>
      </c>
      <c r="Q53" s="488" t="s">
        <v>233</v>
      </c>
      <c r="R53" s="433" t="s">
        <v>50</v>
      </c>
      <c r="S53" s="433" t="s">
        <v>237</v>
      </c>
      <c r="T53" s="371" t="s">
        <v>138</v>
      </c>
      <c r="U53" s="467" t="s">
        <v>66</v>
      </c>
      <c r="V53" s="495">
        <v>240</v>
      </c>
      <c r="W53" s="398" t="s">
        <v>54</v>
      </c>
      <c r="X53" s="469">
        <v>45275</v>
      </c>
      <c r="Y53" s="435" t="s">
        <v>50</v>
      </c>
      <c r="Z53" s="470">
        <v>120</v>
      </c>
      <c r="AA53" s="359"/>
      <c r="AB53" s="230"/>
      <c r="AC53" s="381"/>
      <c r="AD53" s="402"/>
      <c r="AE53" s="230"/>
      <c r="AF53" s="381"/>
      <c r="AG53" s="498"/>
      <c r="AH53" s="230"/>
      <c r="AI53" s="381"/>
      <c r="AJ53" s="402"/>
      <c r="AK53" s="403"/>
      <c r="AL53" s="401"/>
      <c r="AM53" s="402"/>
      <c r="AN53" s="403"/>
      <c r="AO53" s="401"/>
      <c r="AP53" s="402"/>
      <c r="AQ53" s="403"/>
      <c r="AR53" s="401"/>
      <c r="AS53" s="202"/>
    </row>
    <row r="54" spans="1:45" ht="13.5" hidden="1" customHeight="1">
      <c r="A54" s="12"/>
      <c r="B54" s="358"/>
      <c r="C54" s="472"/>
      <c r="D54" s="359"/>
      <c r="E54" s="360"/>
      <c r="F54" s="230"/>
      <c r="G54" s="378"/>
      <c r="H54" s="230"/>
      <c r="I54" s="474"/>
      <c r="J54" s="230"/>
      <c r="K54" s="476"/>
      <c r="L54" s="364"/>
      <c r="M54" s="365"/>
      <c r="N54" s="479"/>
      <c r="O54" s="497"/>
      <c r="P54" s="375"/>
      <c r="Q54" s="475"/>
      <c r="R54" s="370"/>
      <c r="S54" s="370"/>
      <c r="T54" s="371"/>
      <c r="U54" s="481"/>
      <c r="V54" s="436"/>
      <c r="W54" s="400"/>
      <c r="X54" s="431"/>
      <c r="Y54" s="384"/>
      <c r="Z54" s="483"/>
      <c r="AA54" s="359"/>
      <c r="AB54" s="230"/>
      <c r="AC54" s="381"/>
      <c r="AD54" s="402"/>
      <c r="AE54" s="230"/>
      <c r="AF54" s="381"/>
      <c r="AG54" s="498"/>
      <c r="AH54" s="230"/>
      <c r="AI54" s="381"/>
      <c r="AJ54" s="402"/>
      <c r="AK54" s="403"/>
      <c r="AL54" s="401"/>
      <c r="AM54" s="402"/>
      <c r="AN54" s="403"/>
      <c r="AO54" s="401"/>
      <c r="AP54" s="402"/>
      <c r="AQ54" s="403"/>
      <c r="AR54" s="401"/>
      <c r="AS54" s="202"/>
    </row>
    <row r="55" spans="1:45" ht="13.5" hidden="1" customHeight="1">
      <c r="A55" s="12"/>
      <c r="B55" s="358" t="s">
        <v>217</v>
      </c>
      <c r="C55" s="449">
        <v>5</v>
      </c>
      <c r="D55" s="359">
        <v>25</v>
      </c>
      <c r="E55" s="360" t="s">
        <v>241</v>
      </c>
      <c r="F55" s="230" t="s">
        <v>240</v>
      </c>
      <c r="G55" s="361" t="s">
        <v>43</v>
      </c>
      <c r="H55" s="230"/>
      <c r="I55" s="459">
        <v>41067</v>
      </c>
      <c r="J55" s="230">
        <v>11</v>
      </c>
      <c r="K55" s="461" t="s">
        <v>242</v>
      </c>
      <c r="L55" s="364"/>
      <c r="M55" s="365" t="s">
        <v>243</v>
      </c>
      <c r="N55" s="366" t="s">
        <v>244</v>
      </c>
      <c r="O55" s="440">
        <v>18910015</v>
      </c>
      <c r="P55" s="368" t="s">
        <v>245</v>
      </c>
      <c r="Q55" s="488" t="s">
        <v>242</v>
      </c>
      <c r="R55" s="370" t="s">
        <v>50</v>
      </c>
      <c r="S55" s="370" t="s">
        <v>77</v>
      </c>
      <c r="T55" s="371" t="s">
        <v>138</v>
      </c>
      <c r="U55" s="372" t="s">
        <v>66</v>
      </c>
      <c r="V55" s="373">
        <v>240</v>
      </c>
      <c r="W55" s="398" t="s">
        <v>78</v>
      </c>
      <c r="X55" s="469">
        <v>45281</v>
      </c>
      <c r="Y55" s="372" t="s">
        <v>50</v>
      </c>
      <c r="Z55" s="381">
        <v>100</v>
      </c>
      <c r="AA55" s="359"/>
      <c r="AB55" s="230"/>
      <c r="AC55" s="381"/>
      <c r="AD55" s="359"/>
      <c r="AE55" s="230"/>
      <c r="AF55" s="381"/>
      <c r="AG55" s="498"/>
      <c r="AH55" s="230"/>
      <c r="AI55" s="381"/>
      <c r="AJ55" s="402"/>
      <c r="AK55" s="403"/>
      <c r="AL55" s="401"/>
      <c r="AM55" s="402"/>
      <c r="AN55" s="403"/>
      <c r="AO55" s="401"/>
      <c r="AP55" s="402"/>
      <c r="AQ55" s="403"/>
      <c r="AR55" s="401"/>
      <c r="AS55" s="202"/>
    </row>
    <row r="56" spans="1:45" ht="13.5" hidden="1" customHeight="1">
      <c r="A56" s="12"/>
      <c r="B56" s="358"/>
      <c r="C56" s="472"/>
      <c r="D56" s="359"/>
      <c r="E56" s="360"/>
      <c r="F56" s="230"/>
      <c r="G56" s="378"/>
      <c r="H56" s="230"/>
      <c r="I56" s="474"/>
      <c r="J56" s="230"/>
      <c r="K56" s="476"/>
      <c r="L56" s="364"/>
      <c r="M56" s="365"/>
      <c r="N56" s="366"/>
      <c r="O56" s="367"/>
      <c r="P56" s="368"/>
      <c r="Q56" s="475"/>
      <c r="R56" s="370"/>
      <c r="S56" s="370"/>
      <c r="T56" s="371"/>
      <c r="U56" s="372"/>
      <c r="V56" s="373"/>
      <c r="W56" s="400"/>
      <c r="X56" s="431"/>
      <c r="Y56" s="372"/>
      <c r="Z56" s="381"/>
      <c r="AA56" s="359"/>
      <c r="AB56" s="230"/>
      <c r="AC56" s="381"/>
      <c r="AD56" s="359"/>
      <c r="AE56" s="230"/>
      <c r="AF56" s="381"/>
      <c r="AG56" s="498"/>
      <c r="AH56" s="230"/>
      <c r="AI56" s="381"/>
      <c r="AJ56" s="402"/>
      <c r="AK56" s="403"/>
      <c r="AL56" s="401"/>
      <c r="AM56" s="402"/>
      <c r="AN56" s="403"/>
      <c r="AO56" s="401"/>
      <c r="AP56" s="402"/>
      <c r="AQ56" s="403"/>
      <c r="AR56" s="401"/>
      <c r="AS56" s="202"/>
    </row>
    <row r="57" spans="1:45" ht="13.5" hidden="1" customHeight="1">
      <c r="A57" s="12"/>
      <c r="B57" s="358" t="s">
        <v>217</v>
      </c>
      <c r="C57" s="449">
        <v>6</v>
      </c>
      <c r="D57" s="359">
        <v>26</v>
      </c>
      <c r="E57" s="360" t="s">
        <v>247</v>
      </c>
      <c r="F57" s="230" t="s">
        <v>246</v>
      </c>
      <c r="G57" s="361" t="s">
        <v>43</v>
      </c>
      <c r="H57" s="362"/>
      <c r="I57" s="459">
        <v>42479</v>
      </c>
      <c r="J57" s="230">
        <v>7</v>
      </c>
      <c r="K57" s="461" t="s">
        <v>242</v>
      </c>
      <c r="L57" s="364"/>
      <c r="M57" s="365" t="s">
        <v>243</v>
      </c>
      <c r="N57" s="366" t="s">
        <v>244</v>
      </c>
      <c r="O57" s="440">
        <v>18910015</v>
      </c>
      <c r="P57" s="368" t="s">
        <v>245</v>
      </c>
      <c r="Q57" s="488" t="s">
        <v>242</v>
      </c>
      <c r="R57" s="370" t="s">
        <v>129</v>
      </c>
      <c r="S57" s="370" t="s">
        <v>64</v>
      </c>
      <c r="T57" s="371" t="s">
        <v>138</v>
      </c>
      <c r="U57" s="372" t="s">
        <v>66</v>
      </c>
      <c r="V57" s="373">
        <v>240</v>
      </c>
      <c r="W57" s="398" t="s">
        <v>78</v>
      </c>
      <c r="X57" s="469">
        <v>45281</v>
      </c>
      <c r="Y57" s="372" t="s">
        <v>129</v>
      </c>
      <c r="Z57" s="381">
        <v>100</v>
      </c>
      <c r="AA57" s="359"/>
      <c r="AB57" s="230"/>
      <c r="AC57" s="381"/>
      <c r="AD57" s="402"/>
      <c r="AE57" s="403"/>
      <c r="AF57" s="401"/>
      <c r="AG57" s="402"/>
      <c r="AH57" s="403"/>
      <c r="AI57" s="401"/>
      <c r="AJ57" s="402"/>
      <c r="AK57" s="403"/>
      <c r="AL57" s="401"/>
      <c r="AM57" s="402"/>
      <c r="AN57" s="403"/>
      <c r="AO57" s="401"/>
      <c r="AP57" s="402"/>
      <c r="AQ57" s="403"/>
      <c r="AR57" s="401"/>
      <c r="AS57" s="202"/>
    </row>
    <row r="58" spans="1:45" ht="13.5" hidden="1" customHeight="1">
      <c r="A58" s="12"/>
      <c r="B58" s="358"/>
      <c r="C58" s="472"/>
      <c r="D58" s="359"/>
      <c r="E58" s="360"/>
      <c r="F58" s="230"/>
      <c r="G58" s="378"/>
      <c r="H58" s="362"/>
      <c r="I58" s="474"/>
      <c r="J58" s="230"/>
      <c r="K58" s="476"/>
      <c r="L58" s="364"/>
      <c r="M58" s="365"/>
      <c r="N58" s="366"/>
      <c r="O58" s="367"/>
      <c r="P58" s="368"/>
      <c r="Q58" s="475"/>
      <c r="R58" s="370"/>
      <c r="S58" s="370"/>
      <c r="T58" s="371"/>
      <c r="U58" s="372"/>
      <c r="V58" s="373"/>
      <c r="W58" s="400"/>
      <c r="X58" s="431"/>
      <c r="Y58" s="372"/>
      <c r="Z58" s="381"/>
      <c r="AA58" s="359"/>
      <c r="AB58" s="230"/>
      <c r="AC58" s="381"/>
      <c r="AD58" s="402"/>
      <c r="AE58" s="403"/>
      <c r="AF58" s="401"/>
      <c r="AG58" s="402"/>
      <c r="AH58" s="403"/>
      <c r="AI58" s="401"/>
      <c r="AJ58" s="402"/>
      <c r="AK58" s="403"/>
      <c r="AL58" s="401"/>
      <c r="AM58" s="402"/>
      <c r="AN58" s="403"/>
      <c r="AO58" s="401"/>
      <c r="AP58" s="402"/>
      <c r="AQ58" s="403"/>
      <c r="AR58" s="401"/>
      <c r="AS58" s="202"/>
    </row>
    <row r="59" spans="1:45" ht="13.5" hidden="1" customHeight="1">
      <c r="A59" s="12"/>
      <c r="B59" s="358" t="s">
        <v>217</v>
      </c>
      <c r="C59" s="449">
        <v>7</v>
      </c>
      <c r="D59" s="359">
        <v>27</v>
      </c>
      <c r="E59" s="360" t="s">
        <v>249</v>
      </c>
      <c r="F59" s="230" t="s">
        <v>248</v>
      </c>
      <c r="G59" s="361" t="s">
        <v>43</v>
      </c>
      <c r="H59" s="362">
        <v>31828780</v>
      </c>
      <c r="I59" s="230">
        <v>38975</v>
      </c>
      <c r="J59" s="230">
        <v>17</v>
      </c>
      <c r="K59" s="499" t="s">
        <v>250</v>
      </c>
      <c r="L59" s="462" t="s">
        <v>251</v>
      </c>
      <c r="M59" s="487" t="s">
        <v>252</v>
      </c>
      <c r="N59" s="366" t="s">
        <v>253</v>
      </c>
      <c r="O59" s="367">
        <v>8655834</v>
      </c>
      <c r="P59" s="368" t="s">
        <v>254</v>
      </c>
      <c r="Q59" s="369" t="s">
        <v>255</v>
      </c>
      <c r="R59" s="370" t="s">
        <v>50</v>
      </c>
      <c r="S59" s="370" t="s">
        <v>256</v>
      </c>
      <c r="T59" s="371" t="s">
        <v>138</v>
      </c>
      <c r="U59" s="372" t="s">
        <v>66</v>
      </c>
      <c r="V59" s="373">
        <v>240</v>
      </c>
      <c r="W59" s="398" t="s">
        <v>78</v>
      </c>
      <c r="X59" s="404">
        <v>45290</v>
      </c>
      <c r="Y59" s="372" t="s">
        <v>50</v>
      </c>
      <c r="Z59" s="381">
        <v>240</v>
      </c>
      <c r="AA59" s="359"/>
      <c r="AB59" s="230"/>
      <c r="AC59" s="381"/>
      <c r="AD59" s="402"/>
      <c r="AE59" s="403"/>
      <c r="AF59" s="401"/>
      <c r="AG59" s="402"/>
      <c r="AH59" s="403"/>
      <c r="AI59" s="401"/>
      <c r="AJ59" s="402"/>
      <c r="AK59" s="403"/>
      <c r="AL59" s="401"/>
      <c r="AM59" s="402"/>
      <c r="AN59" s="403"/>
      <c r="AO59" s="401"/>
      <c r="AP59" s="402"/>
      <c r="AQ59" s="403"/>
      <c r="AR59" s="401"/>
      <c r="AS59" s="202"/>
    </row>
    <row r="60" spans="1:45" ht="15.75" hidden="1" customHeight="1">
      <c r="A60" s="12"/>
      <c r="B60" s="358"/>
      <c r="C60" s="472"/>
      <c r="D60" s="359"/>
      <c r="E60" s="360"/>
      <c r="F60" s="230"/>
      <c r="G60" s="378"/>
      <c r="H60" s="362"/>
      <c r="I60" s="230"/>
      <c r="J60" s="230"/>
      <c r="K60" s="500"/>
      <c r="L60" s="477"/>
      <c r="M60" s="492"/>
      <c r="N60" s="366"/>
      <c r="O60" s="367"/>
      <c r="P60" s="368"/>
      <c r="Q60" s="391"/>
      <c r="R60" s="370"/>
      <c r="S60" s="370"/>
      <c r="T60" s="371"/>
      <c r="U60" s="372"/>
      <c r="V60" s="373"/>
      <c r="W60" s="400"/>
      <c r="X60" s="404"/>
      <c r="Y60" s="372"/>
      <c r="Z60" s="381"/>
      <c r="AA60" s="359"/>
      <c r="AB60" s="230"/>
      <c r="AC60" s="381"/>
      <c r="AD60" s="402"/>
      <c r="AE60" s="403"/>
      <c r="AF60" s="401"/>
      <c r="AG60" s="402"/>
      <c r="AH60" s="403"/>
      <c r="AI60" s="401"/>
      <c r="AJ60" s="402"/>
      <c r="AK60" s="403"/>
      <c r="AL60" s="401"/>
      <c r="AM60" s="402"/>
      <c r="AN60" s="403"/>
      <c r="AO60" s="401"/>
      <c r="AP60" s="402"/>
      <c r="AQ60" s="403"/>
      <c r="AR60" s="401"/>
      <c r="AS60" s="202"/>
    </row>
    <row r="61" spans="1:45" ht="13.5" hidden="1" customHeight="1">
      <c r="A61" s="12"/>
      <c r="B61" s="358" t="s">
        <v>217</v>
      </c>
      <c r="C61" s="449">
        <v>8</v>
      </c>
      <c r="D61" s="359">
        <v>28</v>
      </c>
      <c r="E61" s="360" t="s">
        <v>258</v>
      </c>
      <c r="F61" s="230" t="s">
        <v>257</v>
      </c>
      <c r="G61" s="361" t="s">
        <v>43</v>
      </c>
      <c r="H61" s="362">
        <v>33301536</v>
      </c>
      <c r="I61" s="230">
        <v>40030</v>
      </c>
      <c r="J61" s="230">
        <v>14</v>
      </c>
      <c r="K61" s="363" t="s">
        <v>259</v>
      </c>
      <c r="L61" s="451"/>
      <c r="M61" s="463" t="s">
        <v>260</v>
      </c>
      <c r="N61" s="366" t="s">
        <v>261</v>
      </c>
      <c r="O61" s="367">
        <v>19310934</v>
      </c>
      <c r="P61" s="368" t="s">
        <v>262</v>
      </c>
      <c r="Q61" s="406" t="s">
        <v>259</v>
      </c>
      <c r="R61" s="370" t="s">
        <v>50</v>
      </c>
      <c r="S61" s="370" t="s">
        <v>77</v>
      </c>
      <c r="T61" s="371" t="s">
        <v>138</v>
      </c>
      <c r="U61" s="372" t="s">
        <v>66</v>
      </c>
      <c r="V61" s="373">
        <v>240</v>
      </c>
      <c r="W61" s="398" t="s">
        <v>78</v>
      </c>
      <c r="X61" s="404">
        <v>45294</v>
      </c>
      <c r="Y61" s="372" t="s">
        <v>50</v>
      </c>
      <c r="Z61" s="381" t="s">
        <v>263</v>
      </c>
      <c r="AA61" s="359"/>
      <c r="AB61" s="230"/>
      <c r="AC61" s="381"/>
      <c r="AD61" s="402"/>
      <c r="AE61" s="403"/>
      <c r="AF61" s="401"/>
      <c r="AG61" s="402"/>
      <c r="AH61" s="403"/>
      <c r="AI61" s="401"/>
      <c r="AJ61" s="402"/>
      <c r="AK61" s="403"/>
      <c r="AL61" s="401"/>
      <c r="AM61" s="402"/>
      <c r="AN61" s="403"/>
      <c r="AO61" s="401"/>
      <c r="AP61" s="402"/>
      <c r="AQ61" s="403"/>
      <c r="AR61" s="401"/>
      <c r="AS61" s="202"/>
    </row>
    <row r="62" spans="1:45" ht="13.5" hidden="1" customHeight="1">
      <c r="A62" s="12"/>
      <c r="B62" s="358"/>
      <c r="C62" s="472"/>
      <c r="D62" s="359"/>
      <c r="E62" s="360"/>
      <c r="F62" s="230"/>
      <c r="G62" s="378"/>
      <c r="H62" s="362"/>
      <c r="I62" s="230"/>
      <c r="J62" s="230"/>
      <c r="K62" s="368"/>
      <c r="L62" s="427"/>
      <c r="M62" s="478"/>
      <c r="N62" s="366"/>
      <c r="O62" s="367"/>
      <c r="P62" s="368"/>
      <c r="Q62" s="408"/>
      <c r="R62" s="370"/>
      <c r="S62" s="370"/>
      <c r="T62" s="371"/>
      <c r="U62" s="372"/>
      <c r="V62" s="373"/>
      <c r="W62" s="400"/>
      <c r="X62" s="404"/>
      <c r="Y62" s="372"/>
      <c r="Z62" s="381"/>
      <c r="AA62" s="359"/>
      <c r="AB62" s="230"/>
      <c r="AC62" s="381"/>
      <c r="AD62" s="402"/>
      <c r="AE62" s="403"/>
      <c r="AF62" s="401"/>
      <c r="AG62" s="402"/>
      <c r="AH62" s="403"/>
      <c r="AI62" s="401"/>
      <c r="AJ62" s="402"/>
      <c r="AK62" s="403"/>
      <c r="AL62" s="401"/>
      <c r="AM62" s="402"/>
      <c r="AN62" s="403"/>
      <c r="AO62" s="401"/>
      <c r="AP62" s="402"/>
      <c r="AQ62" s="403"/>
      <c r="AR62" s="401"/>
      <c r="AS62" s="202"/>
    </row>
    <row r="63" spans="1:45" ht="13.5" hidden="1" customHeight="1">
      <c r="A63" s="12"/>
      <c r="B63" s="358" t="s">
        <v>217</v>
      </c>
      <c r="C63" s="449">
        <v>9</v>
      </c>
      <c r="D63" s="359">
        <v>29</v>
      </c>
      <c r="E63" s="360" t="s">
        <v>265</v>
      </c>
      <c r="F63" s="230" t="s">
        <v>264</v>
      </c>
      <c r="G63" s="361" t="s">
        <v>43</v>
      </c>
      <c r="H63" s="362">
        <v>33329136</v>
      </c>
      <c r="I63" s="230">
        <v>40516</v>
      </c>
      <c r="J63" s="230">
        <v>13</v>
      </c>
      <c r="K63" s="363" t="s">
        <v>266</v>
      </c>
      <c r="L63" s="364"/>
      <c r="M63" s="365" t="s">
        <v>267</v>
      </c>
      <c r="N63" s="366" t="s">
        <v>268</v>
      </c>
      <c r="O63" s="443">
        <v>15913328</v>
      </c>
      <c r="P63" s="368" t="s">
        <v>269</v>
      </c>
      <c r="Q63" s="406" t="s">
        <v>270</v>
      </c>
      <c r="R63" s="370" t="s">
        <v>271</v>
      </c>
      <c r="S63" s="370" t="s">
        <v>77</v>
      </c>
      <c r="T63" s="371" t="s">
        <v>138</v>
      </c>
      <c r="U63" s="372"/>
      <c r="V63" s="373">
        <v>280</v>
      </c>
      <c r="W63" s="398" t="s">
        <v>78</v>
      </c>
      <c r="X63" s="404">
        <v>45299</v>
      </c>
      <c r="Y63" s="372" t="s">
        <v>50</v>
      </c>
      <c r="Z63" s="381" t="s">
        <v>272</v>
      </c>
      <c r="AA63" s="359"/>
      <c r="AB63" s="230"/>
      <c r="AC63" s="381"/>
      <c r="AD63" s="359"/>
      <c r="AE63" s="230"/>
      <c r="AF63" s="381"/>
      <c r="AG63" s="402"/>
      <c r="AH63" s="403"/>
      <c r="AI63" s="401"/>
      <c r="AJ63" s="402"/>
      <c r="AK63" s="403"/>
      <c r="AL63" s="401"/>
      <c r="AM63" s="402"/>
      <c r="AN63" s="403"/>
      <c r="AO63" s="401"/>
      <c r="AP63" s="402"/>
      <c r="AQ63" s="403"/>
      <c r="AR63" s="401"/>
      <c r="AS63" s="202"/>
    </row>
    <row r="64" spans="1:45" ht="13.5" hidden="1" customHeight="1">
      <c r="A64" s="12"/>
      <c r="B64" s="358"/>
      <c r="C64" s="472"/>
      <c r="D64" s="359"/>
      <c r="E64" s="360"/>
      <c r="F64" s="230"/>
      <c r="G64" s="378"/>
      <c r="H64" s="362"/>
      <c r="I64" s="230"/>
      <c r="J64" s="230"/>
      <c r="K64" s="230"/>
      <c r="L64" s="364"/>
      <c r="M64" s="365"/>
      <c r="N64" s="366"/>
      <c r="O64" s="368"/>
      <c r="P64" s="368"/>
      <c r="Q64" s="408"/>
      <c r="R64" s="370"/>
      <c r="S64" s="370"/>
      <c r="T64" s="371"/>
      <c r="U64" s="372"/>
      <c r="V64" s="373"/>
      <c r="W64" s="400"/>
      <c r="X64" s="404"/>
      <c r="Y64" s="372"/>
      <c r="Z64" s="381"/>
      <c r="AA64" s="359"/>
      <c r="AB64" s="230"/>
      <c r="AC64" s="381"/>
      <c r="AD64" s="359"/>
      <c r="AE64" s="230"/>
      <c r="AF64" s="381"/>
      <c r="AG64" s="402"/>
      <c r="AH64" s="403"/>
      <c r="AI64" s="401"/>
      <c r="AJ64" s="402"/>
      <c r="AK64" s="403"/>
      <c r="AL64" s="401"/>
      <c r="AM64" s="402"/>
      <c r="AN64" s="403"/>
      <c r="AO64" s="401"/>
      <c r="AP64" s="402"/>
      <c r="AQ64" s="403"/>
      <c r="AR64" s="401"/>
      <c r="AS64" s="202"/>
    </row>
    <row r="65" spans="1:45" ht="13.5" hidden="1" customHeight="1">
      <c r="A65" s="12"/>
      <c r="B65" s="358" t="s">
        <v>217</v>
      </c>
      <c r="C65" s="449">
        <v>10</v>
      </c>
      <c r="D65" s="359">
        <v>30</v>
      </c>
      <c r="E65" s="360" t="s">
        <v>274</v>
      </c>
      <c r="F65" s="230" t="s">
        <v>273</v>
      </c>
      <c r="G65" s="361" t="s">
        <v>43</v>
      </c>
      <c r="H65" s="362">
        <v>36068661</v>
      </c>
      <c r="I65" s="230">
        <v>41791</v>
      </c>
      <c r="J65" s="230">
        <v>9</v>
      </c>
      <c r="K65" s="363" t="s">
        <v>275</v>
      </c>
      <c r="L65" s="364"/>
      <c r="M65" s="365" t="s">
        <v>267</v>
      </c>
      <c r="N65" s="366" t="s">
        <v>268</v>
      </c>
      <c r="O65" s="367">
        <v>15913328</v>
      </c>
      <c r="P65" s="368" t="s">
        <v>269</v>
      </c>
      <c r="Q65" s="369" t="s">
        <v>270</v>
      </c>
      <c r="R65" s="370" t="s">
        <v>129</v>
      </c>
      <c r="S65" s="370" t="s">
        <v>146</v>
      </c>
      <c r="T65" s="371" t="s">
        <v>138</v>
      </c>
      <c r="U65" s="372"/>
      <c r="V65" s="373">
        <v>280</v>
      </c>
      <c r="W65" s="398" t="s">
        <v>78</v>
      </c>
      <c r="X65" s="404">
        <v>45299</v>
      </c>
      <c r="Y65" s="384" t="s">
        <v>129</v>
      </c>
      <c r="Z65" s="381" t="s">
        <v>272</v>
      </c>
      <c r="AA65" s="404"/>
      <c r="AB65" s="230"/>
      <c r="AC65" s="381"/>
      <c r="AD65" s="359"/>
      <c r="AE65" s="230"/>
      <c r="AF65" s="381"/>
      <c r="AG65" s="402"/>
      <c r="AH65" s="403"/>
      <c r="AI65" s="401"/>
      <c r="AJ65" s="402"/>
      <c r="AK65" s="403"/>
      <c r="AL65" s="401"/>
      <c r="AM65" s="402"/>
      <c r="AN65" s="403"/>
      <c r="AO65" s="401"/>
      <c r="AP65" s="402"/>
      <c r="AQ65" s="403"/>
      <c r="AR65" s="401"/>
      <c r="AS65" s="202"/>
    </row>
    <row r="66" spans="1:45" ht="13.5" hidden="1" customHeight="1">
      <c r="A66" s="12"/>
      <c r="B66" s="358"/>
      <c r="C66" s="472"/>
      <c r="D66" s="359"/>
      <c r="E66" s="360"/>
      <c r="F66" s="230"/>
      <c r="G66" s="378"/>
      <c r="H66" s="362"/>
      <c r="I66" s="230"/>
      <c r="J66" s="230"/>
      <c r="K66" s="368"/>
      <c r="L66" s="364"/>
      <c r="M66" s="365"/>
      <c r="N66" s="366"/>
      <c r="O66" s="367"/>
      <c r="P66" s="368"/>
      <c r="Q66" s="391"/>
      <c r="R66" s="370"/>
      <c r="S66" s="370"/>
      <c r="T66" s="371"/>
      <c r="U66" s="372"/>
      <c r="V66" s="373"/>
      <c r="W66" s="400"/>
      <c r="X66" s="404"/>
      <c r="Y66" s="384"/>
      <c r="Z66" s="381"/>
      <c r="AA66" s="404"/>
      <c r="AB66" s="230"/>
      <c r="AC66" s="381"/>
      <c r="AD66" s="359"/>
      <c r="AE66" s="230"/>
      <c r="AF66" s="381"/>
      <c r="AG66" s="402"/>
      <c r="AH66" s="403"/>
      <c r="AI66" s="401"/>
      <c r="AJ66" s="402"/>
      <c r="AK66" s="403"/>
      <c r="AL66" s="401"/>
      <c r="AM66" s="402"/>
      <c r="AN66" s="403"/>
      <c r="AO66" s="401"/>
      <c r="AP66" s="402"/>
      <c r="AQ66" s="403"/>
      <c r="AR66" s="401"/>
      <c r="AS66" s="202"/>
    </row>
    <row r="67" spans="1:45" ht="13.5" hidden="1" customHeight="1">
      <c r="A67" s="12"/>
      <c r="B67" s="358" t="s">
        <v>217</v>
      </c>
      <c r="C67" s="449">
        <v>11</v>
      </c>
      <c r="D67" s="359">
        <v>31</v>
      </c>
      <c r="E67" s="360" t="s">
        <v>277</v>
      </c>
      <c r="F67" s="230" t="s">
        <v>276</v>
      </c>
      <c r="G67" s="361" t="s">
        <v>278</v>
      </c>
      <c r="H67" s="362"/>
      <c r="I67" s="230"/>
      <c r="J67" s="230"/>
      <c r="K67" s="368"/>
      <c r="L67" s="364"/>
      <c r="M67" s="365"/>
      <c r="N67" s="366" t="s">
        <v>279</v>
      </c>
      <c r="O67" s="367"/>
      <c r="P67" s="368" t="s">
        <v>280</v>
      </c>
      <c r="Q67" s="391"/>
      <c r="R67" s="370" t="s">
        <v>281</v>
      </c>
      <c r="S67" s="370" t="s">
        <v>77</v>
      </c>
      <c r="T67" s="371"/>
      <c r="U67" s="372"/>
      <c r="V67" s="373"/>
      <c r="W67" s="398" t="s">
        <v>78</v>
      </c>
      <c r="X67" s="404"/>
      <c r="Y67" s="372" t="s">
        <v>50</v>
      </c>
      <c r="Z67" s="381"/>
      <c r="AA67" s="359"/>
      <c r="AB67" s="230"/>
      <c r="AC67" s="381"/>
      <c r="AD67" s="359"/>
      <c r="AE67" s="230"/>
      <c r="AF67" s="381"/>
      <c r="AG67" s="402"/>
      <c r="AH67" s="403"/>
      <c r="AI67" s="401"/>
      <c r="AJ67" s="402"/>
      <c r="AK67" s="403"/>
      <c r="AL67" s="401"/>
      <c r="AM67" s="402"/>
      <c r="AN67" s="403"/>
      <c r="AO67" s="401"/>
      <c r="AP67" s="402"/>
      <c r="AQ67" s="403"/>
      <c r="AR67" s="401"/>
      <c r="AS67" s="202"/>
    </row>
    <row r="68" spans="1:45" ht="13.5" hidden="1" customHeight="1">
      <c r="A68" s="12"/>
      <c r="B68" s="358"/>
      <c r="C68" s="472"/>
      <c r="D68" s="359"/>
      <c r="E68" s="360"/>
      <c r="F68" s="230"/>
      <c r="G68" s="378"/>
      <c r="H68" s="362"/>
      <c r="I68" s="230"/>
      <c r="J68" s="230"/>
      <c r="K68" s="368"/>
      <c r="L68" s="364"/>
      <c r="M68" s="365"/>
      <c r="N68" s="366"/>
      <c r="O68" s="367"/>
      <c r="P68" s="368"/>
      <c r="Q68" s="391"/>
      <c r="R68" s="370"/>
      <c r="S68" s="370"/>
      <c r="T68" s="371"/>
      <c r="U68" s="372"/>
      <c r="V68" s="373"/>
      <c r="W68" s="400"/>
      <c r="X68" s="404"/>
      <c r="Y68" s="372"/>
      <c r="Z68" s="381"/>
      <c r="AA68" s="359"/>
      <c r="AB68" s="230"/>
      <c r="AC68" s="381"/>
      <c r="AD68" s="359"/>
      <c r="AE68" s="230"/>
      <c r="AF68" s="381"/>
      <c r="AG68" s="402"/>
      <c r="AH68" s="403"/>
      <c r="AI68" s="401"/>
      <c r="AJ68" s="402"/>
      <c r="AK68" s="403"/>
      <c r="AL68" s="401"/>
      <c r="AM68" s="402"/>
      <c r="AN68" s="403"/>
      <c r="AO68" s="401"/>
      <c r="AP68" s="402"/>
      <c r="AQ68" s="403"/>
      <c r="AR68" s="401"/>
      <c r="AS68" s="202"/>
    </row>
    <row r="69" spans="1:45" ht="13.5" hidden="1" customHeight="1">
      <c r="A69" s="12"/>
      <c r="B69" s="358" t="s">
        <v>217</v>
      </c>
      <c r="C69" s="449">
        <v>12</v>
      </c>
      <c r="D69" s="359">
        <v>32</v>
      </c>
      <c r="E69" s="360" t="s">
        <v>283</v>
      </c>
      <c r="F69" s="230" t="s">
        <v>2560</v>
      </c>
      <c r="G69" s="361" t="s">
        <v>43</v>
      </c>
      <c r="H69" s="362"/>
      <c r="I69" s="230">
        <v>41124</v>
      </c>
      <c r="J69" s="230">
        <v>11</v>
      </c>
      <c r="K69" s="363" t="s">
        <v>284</v>
      </c>
      <c r="L69" s="364"/>
      <c r="M69" s="365" t="s">
        <v>285</v>
      </c>
      <c r="N69" s="366" t="s">
        <v>286</v>
      </c>
      <c r="O69" s="367">
        <v>19585746</v>
      </c>
      <c r="P69" s="368" t="s">
        <v>287</v>
      </c>
      <c r="Q69" s="369" t="s">
        <v>284</v>
      </c>
      <c r="R69" s="370" t="s">
        <v>50</v>
      </c>
      <c r="S69" s="370" t="s">
        <v>77</v>
      </c>
      <c r="T69" s="371" t="s">
        <v>288</v>
      </c>
      <c r="U69" s="372"/>
      <c r="V69" s="373">
        <v>300</v>
      </c>
      <c r="W69" s="398" t="s">
        <v>54</v>
      </c>
      <c r="X69" s="404">
        <v>45299</v>
      </c>
      <c r="Y69" s="372" t="s">
        <v>50</v>
      </c>
      <c r="Z69" s="381">
        <v>300</v>
      </c>
      <c r="AA69" s="402"/>
      <c r="AB69" s="403"/>
      <c r="AC69" s="401"/>
      <c r="AD69" s="359"/>
      <c r="AE69" s="230"/>
      <c r="AF69" s="381"/>
      <c r="AG69" s="402"/>
      <c r="AH69" s="403"/>
      <c r="AI69" s="401"/>
      <c r="AJ69" s="402"/>
      <c r="AK69" s="403"/>
      <c r="AL69" s="401"/>
      <c r="AM69" s="402"/>
      <c r="AN69" s="403"/>
      <c r="AO69" s="401"/>
      <c r="AP69" s="402"/>
      <c r="AQ69" s="403"/>
      <c r="AR69" s="401"/>
      <c r="AS69" s="202"/>
    </row>
    <row r="70" spans="1:45" ht="13.5" hidden="1" customHeight="1">
      <c r="A70" s="12"/>
      <c r="B70" s="358"/>
      <c r="C70" s="472"/>
      <c r="D70" s="359"/>
      <c r="E70" s="360"/>
      <c r="F70" s="230"/>
      <c r="G70" s="378"/>
      <c r="H70" s="362"/>
      <c r="I70" s="230"/>
      <c r="J70" s="230"/>
      <c r="K70" s="230"/>
      <c r="L70" s="364"/>
      <c r="M70" s="365"/>
      <c r="N70" s="366"/>
      <c r="O70" s="367"/>
      <c r="P70" s="368"/>
      <c r="Q70" s="391"/>
      <c r="R70" s="370"/>
      <c r="S70" s="370"/>
      <c r="T70" s="371"/>
      <c r="U70" s="372"/>
      <c r="V70" s="373"/>
      <c r="W70" s="400"/>
      <c r="X70" s="404"/>
      <c r="Y70" s="372"/>
      <c r="Z70" s="381"/>
      <c r="AA70" s="402"/>
      <c r="AB70" s="403"/>
      <c r="AC70" s="401"/>
      <c r="AD70" s="359"/>
      <c r="AE70" s="230"/>
      <c r="AF70" s="381"/>
      <c r="AG70" s="402"/>
      <c r="AH70" s="403"/>
      <c r="AI70" s="401"/>
      <c r="AJ70" s="402"/>
      <c r="AK70" s="403"/>
      <c r="AL70" s="401"/>
      <c r="AM70" s="402"/>
      <c r="AN70" s="403"/>
      <c r="AO70" s="401"/>
      <c r="AP70" s="402"/>
      <c r="AQ70" s="403"/>
      <c r="AR70" s="401"/>
      <c r="AS70" s="202"/>
    </row>
    <row r="71" spans="1:45" ht="13.5" hidden="1" customHeight="1">
      <c r="A71" s="12"/>
      <c r="B71" s="358" t="s">
        <v>217</v>
      </c>
      <c r="C71" s="449">
        <v>13</v>
      </c>
      <c r="D71" s="359">
        <v>33</v>
      </c>
      <c r="E71" s="360" t="s">
        <v>290</v>
      </c>
      <c r="F71" s="230" t="s">
        <v>289</v>
      </c>
      <c r="G71" s="361" t="s">
        <v>43</v>
      </c>
      <c r="H71" s="362">
        <v>31167524</v>
      </c>
      <c r="I71" s="230">
        <v>44137</v>
      </c>
      <c r="J71" s="230">
        <v>17</v>
      </c>
      <c r="K71" s="363" t="s">
        <v>291</v>
      </c>
      <c r="L71" s="364" t="s">
        <v>292</v>
      </c>
      <c r="M71" s="365" t="s">
        <v>293</v>
      </c>
      <c r="N71" s="366" t="s">
        <v>294</v>
      </c>
      <c r="O71" s="367">
        <v>18234657</v>
      </c>
      <c r="P71" s="368" t="s">
        <v>295</v>
      </c>
      <c r="Q71" s="369" t="s">
        <v>291</v>
      </c>
      <c r="R71" s="370" t="s">
        <v>50</v>
      </c>
      <c r="S71" s="370" t="s">
        <v>107</v>
      </c>
      <c r="T71" s="371" t="s">
        <v>138</v>
      </c>
      <c r="U71" s="372"/>
      <c r="V71" s="373">
        <v>280</v>
      </c>
      <c r="W71" s="398" t="s">
        <v>78</v>
      </c>
      <c r="X71" s="404">
        <v>45299</v>
      </c>
      <c r="Y71" s="372" t="s">
        <v>50</v>
      </c>
      <c r="Z71" s="381">
        <v>280</v>
      </c>
      <c r="AA71" s="359"/>
      <c r="AB71" s="230"/>
      <c r="AC71" s="381"/>
      <c r="AD71" s="402"/>
      <c r="AE71" s="403"/>
      <c r="AF71" s="401"/>
      <c r="AG71" s="402"/>
      <c r="AH71" s="403"/>
      <c r="AI71" s="401"/>
      <c r="AJ71" s="402"/>
      <c r="AK71" s="403"/>
      <c r="AL71" s="401"/>
      <c r="AM71" s="402"/>
      <c r="AN71" s="403"/>
      <c r="AO71" s="401"/>
      <c r="AP71" s="402"/>
      <c r="AQ71" s="403"/>
      <c r="AR71" s="401"/>
      <c r="AS71" s="202"/>
    </row>
    <row r="72" spans="1:45" ht="13.5" hidden="1" customHeight="1">
      <c r="A72" s="12"/>
      <c r="B72" s="358"/>
      <c r="C72" s="472"/>
      <c r="D72" s="359"/>
      <c r="E72" s="360"/>
      <c r="F72" s="230"/>
      <c r="G72" s="378"/>
      <c r="H72" s="362"/>
      <c r="I72" s="230"/>
      <c r="J72" s="230"/>
      <c r="K72" s="230"/>
      <c r="L72" s="364"/>
      <c r="M72" s="365"/>
      <c r="N72" s="366"/>
      <c r="O72" s="367"/>
      <c r="P72" s="368"/>
      <c r="Q72" s="382"/>
      <c r="R72" s="370"/>
      <c r="S72" s="370"/>
      <c r="T72" s="371"/>
      <c r="U72" s="372"/>
      <c r="V72" s="373"/>
      <c r="W72" s="400"/>
      <c r="X72" s="404"/>
      <c r="Y72" s="372"/>
      <c r="Z72" s="381"/>
      <c r="AA72" s="359"/>
      <c r="AB72" s="230"/>
      <c r="AC72" s="381"/>
      <c r="AD72" s="402"/>
      <c r="AE72" s="403"/>
      <c r="AF72" s="401"/>
      <c r="AG72" s="402"/>
      <c r="AH72" s="403"/>
      <c r="AI72" s="401"/>
      <c r="AJ72" s="402"/>
      <c r="AK72" s="403"/>
      <c r="AL72" s="401"/>
      <c r="AM72" s="402"/>
      <c r="AN72" s="403"/>
      <c r="AO72" s="401"/>
      <c r="AP72" s="402"/>
      <c r="AQ72" s="403"/>
      <c r="AR72" s="401"/>
      <c r="AS72" s="202"/>
    </row>
    <row r="73" spans="1:45" ht="13.5" hidden="1" customHeight="1">
      <c r="A73" s="12"/>
      <c r="B73" s="358" t="s">
        <v>217</v>
      </c>
      <c r="C73" s="449">
        <v>14</v>
      </c>
      <c r="D73" s="359">
        <v>34</v>
      </c>
      <c r="E73" s="360" t="s">
        <v>297</v>
      </c>
      <c r="F73" s="230" t="s">
        <v>296</v>
      </c>
      <c r="G73" s="361" t="s">
        <v>43</v>
      </c>
      <c r="H73" s="362">
        <v>33884591</v>
      </c>
      <c r="I73" s="230">
        <v>40605</v>
      </c>
      <c r="J73" s="230">
        <v>12</v>
      </c>
      <c r="K73" s="363" t="s">
        <v>298</v>
      </c>
      <c r="L73" s="364"/>
      <c r="M73" s="365" t="s">
        <v>299</v>
      </c>
      <c r="N73" s="366" t="s">
        <v>300</v>
      </c>
      <c r="O73" s="443">
        <v>16889189</v>
      </c>
      <c r="P73" s="368" t="s">
        <v>301</v>
      </c>
      <c r="Q73" s="406" t="s">
        <v>302</v>
      </c>
      <c r="R73" s="370" t="s">
        <v>63</v>
      </c>
      <c r="S73" s="370" t="s">
        <v>303</v>
      </c>
      <c r="T73" s="371" t="s">
        <v>138</v>
      </c>
      <c r="U73" s="384"/>
      <c r="V73" s="373">
        <v>300</v>
      </c>
      <c r="W73" s="398" t="s">
        <v>78</v>
      </c>
      <c r="X73" s="404">
        <v>45301</v>
      </c>
      <c r="Y73" s="372" t="s">
        <v>63</v>
      </c>
      <c r="Z73" s="381">
        <v>300</v>
      </c>
      <c r="AA73" s="359"/>
      <c r="AB73" s="230"/>
      <c r="AC73" s="381"/>
      <c r="AD73" s="402"/>
      <c r="AE73" s="403"/>
      <c r="AF73" s="401"/>
      <c r="AG73" s="402"/>
      <c r="AH73" s="403"/>
      <c r="AI73" s="401"/>
      <c r="AJ73" s="402"/>
      <c r="AK73" s="403"/>
      <c r="AL73" s="401"/>
      <c r="AM73" s="402"/>
      <c r="AN73" s="403"/>
      <c r="AO73" s="401"/>
      <c r="AP73" s="402"/>
      <c r="AQ73" s="403"/>
      <c r="AR73" s="401"/>
      <c r="AS73" s="202"/>
    </row>
    <row r="74" spans="1:45" ht="13.5" hidden="1" customHeight="1">
      <c r="A74" s="12"/>
      <c r="B74" s="358"/>
      <c r="C74" s="472"/>
      <c r="D74" s="359"/>
      <c r="E74" s="360"/>
      <c r="F74" s="230"/>
      <c r="G74" s="378"/>
      <c r="H74" s="362"/>
      <c r="I74" s="230"/>
      <c r="J74" s="230"/>
      <c r="K74" s="368"/>
      <c r="L74" s="364"/>
      <c r="M74" s="365"/>
      <c r="N74" s="366"/>
      <c r="O74" s="368"/>
      <c r="P74" s="368"/>
      <c r="Q74" s="408"/>
      <c r="R74" s="370"/>
      <c r="S74" s="370"/>
      <c r="T74" s="371"/>
      <c r="U74" s="384"/>
      <c r="V74" s="373"/>
      <c r="W74" s="400"/>
      <c r="X74" s="404"/>
      <c r="Y74" s="372"/>
      <c r="Z74" s="381"/>
      <c r="AA74" s="359"/>
      <c r="AB74" s="230"/>
      <c r="AC74" s="381"/>
      <c r="AD74" s="402"/>
      <c r="AE74" s="403"/>
      <c r="AF74" s="401"/>
      <c r="AG74" s="402"/>
      <c r="AH74" s="403"/>
      <c r="AI74" s="401"/>
      <c r="AJ74" s="402"/>
      <c r="AK74" s="403"/>
      <c r="AL74" s="401"/>
      <c r="AM74" s="402"/>
      <c r="AN74" s="403"/>
      <c r="AO74" s="401"/>
      <c r="AP74" s="402"/>
      <c r="AQ74" s="403"/>
      <c r="AR74" s="401"/>
      <c r="AS74" s="202"/>
    </row>
    <row r="75" spans="1:45" ht="13.5" hidden="1" customHeight="1">
      <c r="A75" s="12"/>
      <c r="B75" s="358" t="s">
        <v>217</v>
      </c>
      <c r="C75" s="449">
        <v>15</v>
      </c>
      <c r="D75" s="359">
        <v>35</v>
      </c>
      <c r="E75" s="360" t="s">
        <v>305</v>
      </c>
      <c r="F75" s="230" t="s">
        <v>304</v>
      </c>
      <c r="G75" s="361" t="s">
        <v>278</v>
      </c>
      <c r="H75" s="362">
        <v>33884725</v>
      </c>
      <c r="I75" s="230">
        <v>40604</v>
      </c>
      <c r="J75" s="230">
        <v>12</v>
      </c>
      <c r="K75" s="363" t="s">
        <v>306</v>
      </c>
      <c r="L75" s="364"/>
      <c r="M75" s="365" t="s">
        <v>307</v>
      </c>
      <c r="N75" s="366" t="s">
        <v>308</v>
      </c>
      <c r="O75" s="443">
        <v>12730066</v>
      </c>
      <c r="P75" s="368" t="s">
        <v>309</v>
      </c>
      <c r="Q75" s="406" t="s">
        <v>306</v>
      </c>
      <c r="R75" s="370" t="s">
        <v>76</v>
      </c>
      <c r="S75" s="370" t="s">
        <v>310</v>
      </c>
      <c r="T75" s="371" t="s">
        <v>138</v>
      </c>
      <c r="U75" s="384"/>
      <c r="V75" s="373">
        <v>300</v>
      </c>
      <c r="W75" s="398" t="s">
        <v>78</v>
      </c>
      <c r="X75" s="404">
        <v>45301</v>
      </c>
      <c r="Y75" s="372" t="s">
        <v>76</v>
      </c>
      <c r="Z75" s="381">
        <v>300</v>
      </c>
      <c r="AA75" s="359"/>
      <c r="AB75" s="230"/>
      <c r="AC75" s="381"/>
      <c r="AD75" s="359"/>
      <c r="AE75" s="230"/>
      <c r="AF75" s="501"/>
      <c r="AG75" s="498"/>
      <c r="AH75" s="230"/>
      <c r="AI75" s="381"/>
      <c r="AJ75" s="402"/>
      <c r="AK75" s="403"/>
      <c r="AL75" s="401"/>
      <c r="AM75" s="402"/>
      <c r="AN75" s="403"/>
      <c r="AO75" s="401"/>
      <c r="AP75" s="402"/>
      <c r="AQ75" s="403"/>
      <c r="AR75" s="401"/>
      <c r="AS75" s="202"/>
    </row>
    <row r="76" spans="1:45" ht="13.5" hidden="1" customHeight="1">
      <c r="A76" s="12"/>
      <c r="B76" s="358"/>
      <c r="C76" s="472"/>
      <c r="D76" s="359"/>
      <c r="E76" s="360"/>
      <c r="F76" s="230"/>
      <c r="G76" s="378"/>
      <c r="H76" s="362"/>
      <c r="I76" s="230"/>
      <c r="J76" s="230"/>
      <c r="K76" s="368"/>
      <c r="L76" s="364"/>
      <c r="M76" s="365"/>
      <c r="N76" s="366"/>
      <c r="O76" s="368"/>
      <c r="P76" s="368"/>
      <c r="Q76" s="408"/>
      <c r="R76" s="370"/>
      <c r="S76" s="370"/>
      <c r="T76" s="371"/>
      <c r="U76" s="384"/>
      <c r="V76" s="373"/>
      <c r="W76" s="400"/>
      <c r="X76" s="404"/>
      <c r="Y76" s="372"/>
      <c r="Z76" s="381"/>
      <c r="AA76" s="359"/>
      <c r="AB76" s="230"/>
      <c r="AC76" s="381"/>
      <c r="AD76" s="359"/>
      <c r="AE76" s="230"/>
      <c r="AF76" s="501"/>
      <c r="AG76" s="498"/>
      <c r="AH76" s="230"/>
      <c r="AI76" s="381"/>
      <c r="AJ76" s="402"/>
      <c r="AK76" s="403"/>
      <c r="AL76" s="401"/>
      <c r="AM76" s="402"/>
      <c r="AN76" s="403"/>
      <c r="AO76" s="401"/>
      <c r="AP76" s="402"/>
      <c r="AQ76" s="403"/>
      <c r="AR76" s="401"/>
      <c r="AS76" s="202"/>
    </row>
    <row r="77" spans="1:45" ht="13.5" hidden="1" customHeight="1">
      <c r="A77" s="12"/>
      <c r="B77" s="358" t="s">
        <v>217</v>
      </c>
      <c r="C77" s="449">
        <v>16</v>
      </c>
      <c r="D77" s="359">
        <v>36</v>
      </c>
      <c r="E77" s="360" t="s">
        <v>312</v>
      </c>
      <c r="F77" s="230" t="s">
        <v>311</v>
      </c>
      <c r="G77" s="361" t="s">
        <v>43</v>
      </c>
      <c r="H77" s="362">
        <v>34110326</v>
      </c>
      <c r="I77" s="230">
        <v>39983</v>
      </c>
      <c r="J77" s="230">
        <v>14</v>
      </c>
      <c r="K77" s="363" t="s">
        <v>313</v>
      </c>
      <c r="L77" s="364"/>
      <c r="M77" s="365" t="s">
        <v>314</v>
      </c>
      <c r="N77" s="366" t="s">
        <v>315</v>
      </c>
      <c r="O77" s="367">
        <v>15199917</v>
      </c>
      <c r="P77" s="368" t="s">
        <v>316</v>
      </c>
      <c r="Q77" s="397" t="s">
        <v>313</v>
      </c>
      <c r="R77" s="370" t="s">
        <v>50</v>
      </c>
      <c r="S77" s="370"/>
      <c r="T77" s="371" t="s">
        <v>138</v>
      </c>
      <c r="U77" s="384"/>
      <c r="V77" s="373">
        <v>240</v>
      </c>
      <c r="W77" s="398" t="s">
        <v>78</v>
      </c>
      <c r="X77" s="404">
        <v>45301</v>
      </c>
      <c r="Y77" s="372"/>
      <c r="Z77" s="381">
        <v>240</v>
      </c>
      <c r="AA77" s="359"/>
      <c r="AB77" s="230"/>
      <c r="AC77" s="381"/>
      <c r="AD77" s="359"/>
      <c r="AE77" s="230"/>
      <c r="AF77" s="501"/>
      <c r="AG77" s="402"/>
      <c r="AH77" s="403"/>
      <c r="AI77" s="401"/>
      <c r="AJ77" s="402"/>
      <c r="AK77" s="403"/>
      <c r="AL77" s="401"/>
      <c r="AM77" s="402"/>
      <c r="AN77" s="403"/>
      <c r="AO77" s="401"/>
      <c r="AP77" s="402"/>
      <c r="AQ77" s="403"/>
      <c r="AR77" s="401"/>
      <c r="AS77" s="202"/>
    </row>
    <row r="78" spans="1:45" ht="13.5" hidden="1" customHeight="1">
      <c r="A78" s="12"/>
      <c r="B78" s="358"/>
      <c r="C78" s="472"/>
      <c r="D78" s="359"/>
      <c r="E78" s="360"/>
      <c r="F78" s="230"/>
      <c r="G78" s="378"/>
      <c r="H78" s="362"/>
      <c r="I78" s="230"/>
      <c r="J78" s="230"/>
      <c r="K78" s="368"/>
      <c r="L78" s="364"/>
      <c r="M78" s="365"/>
      <c r="N78" s="366"/>
      <c r="O78" s="367"/>
      <c r="P78" s="368"/>
      <c r="Q78" s="399"/>
      <c r="R78" s="370"/>
      <c r="S78" s="370"/>
      <c r="T78" s="371"/>
      <c r="U78" s="384"/>
      <c r="V78" s="373"/>
      <c r="W78" s="400"/>
      <c r="X78" s="404"/>
      <c r="Y78" s="372"/>
      <c r="Z78" s="381"/>
      <c r="AA78" s="359"/>
      <c r="AB78" s="230"/>
      <c r="AC78" s="381"/>
      <c r="AD78" s="359"/>
      <c r="AE78" s="230"/>
      <c r="AF78" s="501"/>
      <c r="AG78" s="402"/>
      <c r="AH78" s="403"/>
      <c r="AI78" s="401"/>
      <c r="AJ78" s="402"/>
      <c r="AK78" s="403"/>
      <c r="AL78" s="401"/>
      <c r="AM78" s="402"/>
      <c r="AN78" s="403"/>
      <c r="AO78" s="401"/>
      <c r="AP78" s="402"/>
      <c r="AQ78" s="403"/>
      <c r="AR78" s="401"/>
      <c r="AS78" s="202"/>
    </row>
    <row r="79" spans="1:45" ht="13.5" hidden="1" customHeight="1">
      <c r="A79" s="12"/>
      <c r="B79" s="358" t="s">
        <v>217</v>
      </c>
      <c r="C79" s="449">
        <v>17</v>
      </c>
      <c r="D79" s="359">
        <v>37</v>
      </c>
      <c r="E79" s="360" t="s">
        <v>318</v>
      </c>
      <c r="F79" s="230" t="s">
        <v>317</v>
      </c>
      <c r="G79" s="361" t="s">
        <v>43</v>
      </c>
      <c r="H79" s="362">
        <v>36241373</v>
      </c>
      <c r="I79" s="230">
        <v>41029</v>
      </c>
      <c r="J79" s="230">
        <v>11</v>
      </c>
      <c r="K79" s="363" t="s">
        <v>313</v>
      </c>
      <c r="L79" s="364"/>
      <c r="M79" s="365" t="s">
        <v>319</v>
      </c>
      <c r="N79" s="366" t="s">
        <v>315</v>
      </c>
      <c r="O79" s="367">
        <v>15199918</v>
      </c>
      <c r="P79" s="368" t="s">
        <v>316</v>
      </c>
      <c r="Q79" s="397" t="s">
        <v>313</v>
      </c>
      <c r="R79" s="370" t="s">
        <v>129</v>
      </c>
      <c r="S79" s="370" t="s">
        <v>146</v>
      </c>
      <c r="T79" s="371" t="s">
        <v>138</v>
      </c>
      <c r="U79" s="384"/>
      <c r="V79" s="373">
        <v>240</v>
      </c>
      <c r="W79" s="398" t="s">
        <v>78</v>
      </c>
      <c r="X79" s="404">
        <v>45301</v>
      </c>
      <c r="Y79" s="372" t="s">
        <v>129</v>
      </c>
      <c r="Z79" s="381">
        <v>240</v>
      </c>
      <c r="AA79" s="359"/>
      <c r="AB79" s="230"/>
      <c r="AC79" s="381"/>
      <c r="AD79" s="498"/>
      <c r="AE79" s="230"/>
      <c r="AF79" s="381"/>
      <c r="AG79" s="402"/>
      <c r="AH79" s="403"/>
      <c r="AI79" s="401"/>
      <c r="AJ79" s="402"/>
      <c r="AK79" s="403"/>
      <c r="AL79" s="401"/>
      <c r="AM79" s="402"/>
      <c r="AN79" s="403"/>
      <c r="AO79" s="401"/>
      <c r="AP79" s="402"/>
      <c r="AQ79" s="403"/>
      <c r="AR79" s="401"/>
      <c r="AS79" s="202"/>
    </row>
    <row r="80" spans="1:45" ht="13.5" hidden="1" customHeight="1">
      <c r="A80" s="12"/>
      <c r="B80" s="358"/>
      <c r="C80" s="472"/>
      <c r="D80" s="359"/>
      <c r="E80" s="360"/>
      <c r="F80" s="230"/>
      <c r="G80" s="378"/>
      <c r="H80" s="362"/>
      <c r="I80" s="230"/>
      <c r="J80" s="230"/>
      <c r="K80" s="368"/>
      <c r="L80" s="364"/>
      <c r="M80" s="365"/>
      <c r="N80" s="366"/>
      <c r="O80" s="367"/>
      <c r="P80" s="368"/>
      <c r="Q80" s="399"/>
      <c r="R80" s="370"/>
      <c r="S80" s="370"/>
      <c r="T80" s="371"/>
      <c r="U80" s="384"/>
      <c r="V80" s="373"/>
      <c r="W80" s="400"/>
      <c r="X80" s="404"/>
      <c r="Y80" s="372"/>
      <c r="Z80" s="381"/>
      <c r="AA80" s="359"/>
      <c r="AB80" s="230"/>
      <c r="AC80" s="381"/>
      <c r="AD80" s="498"/>
      <c r="AE80" s="230"/>
      <c r="AF80" s="381"/>
      <c r="AG80" s="402"/>
      <c r="AH80" s="403"/>
      <c r="AI80" s="401"/>
      <c r="AJ80" s="402"/>
      <c r="AK80" s="403"/>
      <c r="AL80" s="401"/>
      <c r="AM80" s="402"/>
      <c r="AN80" s="403"/>
      <c r="AO80" s="401"/>
      <c r="AP80" s="402"/>
      <c r="AQ80" s="403"/>
      <c r="AR80" s="401"/>
      <c r="AS80" s="202"/>
    </row>
    <row r="81" spans="1:45" ht="13.5" hidden="1" customHeight="1">
      <c r="A81" s="12"/>
      <c r="B81" s="358" t="s">
        <v>217</v>
      </c>
      <c r="C81" s="449">
        <v>18</v>
      </c>
      <c r="D81" s="359">
        <v>38</v>
      </c>
      <c r="E81" s="360" t="s">
        <v>321</v>
      </c>
      <c r="F81" s="230" t="s">
        <v>320</v>
      </c>
      <c r="G81" s="361" t="s">
        <v>43</v>
      </c>
      <c r="H81" s="362">
        <v>21436476</v>
      </c>
      <c r="I81" s="230">
        <v>34001</v>
      </c>
      <c r="J81" s="230">
        <v>31</v>
      </c>
      <c r="K81" s="363" t="s">
        <v>322</v>
      </c>
      <c r="L81" s="364" t="s">
        <v>323</v>
      </c>
      <c r="M81" s="365" t="s">
        <v>324</v>
      </c>
      <c r="N81" s="366"/>
      <c r="O81" s="367"/>
      <c r="P81" s="368"/>
      <c r="Q81" s="408"/>
      <c r="R81" s="370" t="s">
        <v>50</v>
      </c>
      <c r="S81" s="370" t="s">
        <v>325</v>
      </c>
      <c r="T81" s="371" t="s">
        <v>288</v>
      </c>
      <c r="U81" s="384"/>
      <c r="V81" s="373">
        <v>480</v>
      </c>
      <c r="W81" s="398" t="s">
        <v>54</v>
      </c>
      <c r="X81" s="404">
        <v>45301</v>
      </c>
      <c r="Y81" s="372" t="s">
        <v>50</v>
      </c>
      <c r="Z81" s="381">
        <v>120</v>
      </c>
      <c r="AA81" s="359"/>
      <c r="AB81" s="230"/>
      <c r="AC81" s="381"/>
      <c r="AD81" s="402"/>
      <c r="AE81" s="403"/>
      <c r="AF81" s="401"/>
      <c r="AG81" s="402"/>
      <c r="AH81" s="403"/>
      <c r="AI81" s="401"/>
      <c r="AJ81" s="402"/>
      <c r="AK81" s="403"/>
      <c r="AL81" s="401"/>
      <c r="AM81" s="402"/>
      <c r="AN81" s="403"/>
      <c r="AO81" s="401"/>
      <c r="AP81" s="402"/>
      <c r="AQ81" s="403"/>
      <c r="AR81" s="401"/>
      <c r="AS81" s="202"/>
    </row>
    <row r="82" spans="1:45" ht="13.5" hidden="1" customHeight="1">
      <c r="A82" s="12"/>
      <c r="B82" s="358"/>
      <c r="C82" s="472"/>
      <c r="D82" s="359"/>
      <c r="E82" s="360"/>
      <c r="F82" s="230"/>
      <c r="G82" s="378"/>
      <c r="H82" s="362"/>
      <c r="I82" s="230"/>
      <c r="J82" s="230"/>
      <c r="K82" s="230"/>
      <c r="L82" s="364"/>
      <c r="M82" s="452"/>
      <c r="N82" s="366"/>
      <c r="O82" s="367"/>
      <c r="P82" s="368"/>
      <c r="Q82" s="408"/>
      <c r="R82" s="370"/>
      <c r="S82" s="370"/>
      <c r="T82" s="371"/>
      <c r="U82" s="384"/>
      <c r="V82" s="373"/>
      <c r="W82" s="383"/>
      <c r="X82" s="404"/>
      <c r="Y82" s="372"/>
      <c r="Z82" s="381"/>
      <c r="AA82" s="359"/>
      <c r="AB82" s="230"/>
      <c r="AC82" s="381"/>
      <c r="AD82" s="402"/>
      <c r="AE82" s="403"/>
      <c r="AF82" s="401"/>
      <c r="AG82" s="402"/>
      <c r="AH82" s="403"/>
      <c r="AI82" s="401"/>
      <c r="AJ82" s="402"/>
      <c r="AK82" s="403"/>
      <c r="AL82" s="401"/>
      <c r="AM82" s="402"/>
      <c r="AN82" s="403"/>
      <c r="AO82" s="401"/>
      <c r="AP82" s="402"/>
      <c r="AQ82" s="403"/>
      <c r="AR82" s="401"/>
      <c r="AS82" s="202"/>
    </row>
    <row r="83" spans="1:45" ht="13.5" hidden="1" customHeight="1">
      <c r="A83" s="12"/>
      <c r="B83" s="358" t="s">
        <v>217</v>
      </c>
      <c r="C83" s="449">
        <v>19</v>
      </c>
      <c r="D83" s="359">
        <v>39</v>
      </c>
      <c r="E83" s="360" t="s">
        <v>327</v>
      </c>
      <c r="F83" s="230" t="s">
        <v>326</v>
      </c>
      <c r="G83" s="361" t="s">
        <v>43</v>
      </c>
      <c r="H83" s="362">
        <v>33351857</v>
      </c>
      <c r="I83" s="230">
        <v>39802</v>
      </c>
      <c r="J83" s="230">
        <v>11</v>
      </c>
      <c r="K83" s="363" t="s">
        <v>157</v>
      </c>
      <c r="L83" s="502" t="s">
        <v>158</v>
      </c>
      <c r="M83" s="269" t="s">
        <v>328</v>
      </c>
      <c r="N83" s="503" t="s">
        <v>160</v>
      </c>
      <c r="O83" s="453">
        <v>14418138</v>
      </c>
      <c r="P83" s="454" t="s">
        <v>329</v>
      </c>
      <c r="Q83" s="504" t="s">
        <v>162</v>
      </c>
      <c r="R83" s="370" t="s">
        <v>330</v>
      </c>
      <c r="S83" s="370"/>
      <c r="T83" s="371" t="s">
        <v>138</v>
      </c>
      <c r="U83" s="372"/>
      <c r="V83" s="373">
        <v>300</v>
      </c>
      <c r="W83" s="374" t="s">
        <v>78</v>
      </c>
      <c r="X83" s="404">
        <v>45302</v>
      </c>
      <c r="Y83" s="372" t="s">
        <v>330</v>
      </c>
      <c r="Z83" s="381">
        <v>140</v>
      </c>
      <c r="AA83" s="359"/>
      <c r="AB83" s="230"/>
      <c r="AC83" s="381"/>
      <c r="AD83" s="359"/>
      <c r="AE83" s="230"/>
      <c r="AF83" s="381"/>
      <c r="AG83" s="402"/>
      <c r="AH83" s="403"/>
      <c r="AI83" s="401"/>
      <c r="AJ83" s="402"/>
      <c r="AK83" s="403"/>
      <c r="AL83" s="401"/>
      <c r="AM83" s="402"/>
      <c r="AN83" s="403"/>
      <c r="AO83" s="401"/>
      <c r="AP83" s="402"/>
      <c r="AQ83" s="403"/>
      <c r="AR83" s="401"/>
      <c r="AS83" s="202"/>
    </row>
    <row r="84" spans="1:45" ht="13.5" hidden="1" customHeight="1">
      <c r="A84" s="12"/>
      <c r="B84" s="358"/>
      <c r="C84" s="472"/>
      <c r="D84" s="359"/>
      <c r="E84" s="360"/>
      <c r="F84" s="230"/>
      <c r="G84" s="378"/>
      <c r="H84" s="230"/>
      <c r="I84" s="230"/>
      <c r="J84" s="230"/>
      <c r="K84" s="368"/>
      <c r="L84" s="502"/>
      <c r="M84" s="505"/>
      <c r="N84" s="506"/>
      <c r="O84" s="440"/>
      <c r="P84" s="429"/>
      <c r="Q84" s="442"/>
      <c r="R84" s="370"/>
      <c r="S84" s="370"/>
      <c r="T84" s="371"/>
      <c r="U84" s="372"/>
      <c r="V84" s="373"/>
      <c r="W84" s="383"/>
      <c r="X84" s="404"/>
      <c r="Y84" s="372"/>
      <c r="Z84" s="381"/>
      <c r="AA84" s="359"/>
      <c r="AB84" s="230"/>
      <c r="AC84" s="381"/>
      <c r="AD84" s="359"/>
      <c r="AE84" s="230"/>
      <c r="AF84" s="381"/>
      <c r="AG84" s="402"/>
      <c r="AH84" s="403"/>
      <c r="AI84" s="401"/>
      <c r="AJ84" s="402"/>
      <c r="AK84" s="403"/>
      <c r="AL84" s="401"/>
      <c r="AM84" s="402"/>
      <c r="AN84" s="403"/>
      <c r="AO84" s="401"/>
      <c r="AP84" s="402"/>
      <c r="AQ84" s="403"/>
      <c r="AR84" s="401"/>
      <c r="AS84" s="202"/>
    </row>
    <row r="85" spans="1:45" ht="13.5" hidden="1" customHeight="1">
      <c r="A85" s="12"/>
      <c r="B85" s="358" t="s">
        <v>217</v>
      </c>
      <c r="C85" s="449">
        <v>20</v>
      </c>
      <c r="D85" s="359">
        <v>40</v>
      </c>
      <c r="E85" s="360" t="s">
        <v>332</v>
      </c>
      <c r="F85" s="230" t="s">
        <v>331</v>
      </c>
      <c r="G85" s="361" t="s">
        <v>43</v>
      </c>
      <c r="H85" s="362">
        <v>33329696</v>
      </c>
      <c r="I85" s="230">
        <v>40862</v>
      </c>
      <c r="J85" s="230">
        <v>12</v>
      </c>
      <c r="K85" s="363" t="s">
        <v>333</v>
      </c>
      <c r="L85" s="502" t="s">
        <v>334</v>
      </c>
      <c r="M85" s="269" t="s">
        <v>335</v>
      </c>
      <c r="N85" s="503" t="s">
        <v>336</v>
      </c>
      <c r="O85" s="453">
        <v>14216581</v>
      </c>
      <c r="P85" s="454" t="s">
        <v>337</v>
      </c>
      <c r="Q85" s="504" t="s">
        <v>338</v>
      </c>
      <c r="R85" s="370" t="s">
        <v>50</v>
      </c>
      <c r="S85" s="370" t="s">
        <v>146</v>
      </c>
      <c r="T85" s="371" t="s">
        <v>138</v>
      </c>
      <c r="U85" s="384"/>
      <c r="V85" s="373">
        <v>300</v>
      </c>
      <c r="W85" s="374" t="s">
        <v>78</v>
      </c>
      <c r="X85" s="404">
        <v>45302</v>
      </c>
      <c r="Y85" s="372" t="s">
        <v>50</v>
      </c>
      <c r="Z85" s="381">
        <v>300</v>
      </c>
      <c r="AA85" s="359"/>
      <c r="AB85" s="230"/>
      <c r="AC85" s="381"/>
      <c r="AD85" s="359"/>
      <c r="AE85" s="230"/>
      <c r="AF85" s="381"/>
      <c r="AG85" s="402"/>
      <c r="AH85" s="403"/>
      <c r="AI85" s="401"/>
      <c r="AJ85" s="402"/>
      <c r="AK85" s="403"/>
      <c r="AL85" s="401"/>
      <c r="AM85" s="402"/>
      <c r="AN85" s="403"/>
      <c r="AO85" s="401"/>
      <c r="AP85" s="402"/>
      <c r="AQ85" s="403"/>
      <c r="AR85" s="401"/>
      <c r="AS85" s="202"/>
    </row>
    <row r="86" spans="1:45" ht="13.5" hidden="1" customHeight="1">
      <c r="A86" s="12"/>
      <c r="B86" s="358"/>
      <c r="C86" s="472"/>
      <c r="D86" s="359"/>
      <c r="E86" s="360"/>
      <c r="F86" s="230"/>
      <c r="G86" s="378"/>
      <c r="H86" s="362"/>
      <c r="I86" s="230"/>
      <c r="J86" s="230"/>
      <c r="K86" s="230"/>
      <c r="L86" s="502"/>
      <c r="M86" s="505"/>
      <c r="N86" s="506"/>
      <c r="O86" s="440"/>
      <c r="P86" s="429"/>
      <c r="Q86" s="430"/>
      <c r="R86" s="370"/>
      <c r="S86" s="370"/>
      <c r="T86" s="371"/>
      <c r="U86" s="384"/>
      <c r="V86" s="373"/>
      <c r="W86" s="383"/>
      <c r="X86" s="404"/>
      <c r="Y86" s="372"/>
      <c r="Z86" s="381"/>
      <c r="AA86" s="359"/>
      <c r="AB86" s="230"/>
      <c r="AC86" s="381"/>
      <c r="AD86" s="359"/>
      <c r="AE86" s="230"/>
      <c r="AF86" s="381"/>
      <c r="AG86" s="402"/>
      <c r="AH86" s="403"/>
      <c r="AI86" s="401"/>
      <c r="AJ86" s="402"/>
      <c r="AK86" s="403"/>
      <c r="AL86" s="401"/>
      <c r="AM86" s="402"/>
      <c r="AN86" s="403"/>
      <c r="AO86" s="401"/>
      <c r="AP86" s="402"/>
      <c r="AQ86" s="403"/>
      <c r="AR86" s="401"/>
      <c r="AS86" s="202"/>
    </row>
    <row r="87" spans="1:45" ht="13.5" hidden="1" customHeight="1">
      <c r="A87" s="12"/>
      <c r="B87" s="358" t="s">
        <v>339</v>
      </c>
      <c r="C87" s="359">
        <v>1</v>
      </c>
      <c r="D87" s="359">
        <v>41</v>
      </c>
      <c r="E87" s="360" t="s">
        <v>341</v>
      </c>
      <c r="F87" s="230" t="s">
        <v>340</v>
      </c>
      <c r="G87" s="361" t="s">
        <v>43</v>
      </c>
      <c r="H87" s="362">
        <v>33519086</v>
      </c>
      <c r="I87" s="230">
        <v>39989</v>
      </c>
      <c r="J87" s="230">
        <v>14</v>
      </c>
      <c r="K87" s="363" t="s">
        <v>342</v>
      </c>
      <c r="L87" s="364" t="s">
        <v>343</v>
      </c>
      <c r="M87" s="405" t="s">
        <v>344</v>
      </c>
      <c r="N87" s="366" t="s">
        <v>345</v>
      </c>
      <c r="O87" s="443">
        <v>12879788</v>
      </c>
      <c r="P87" s="368" t="s">
        <v>346</v>
      </c>
      <c r="Q87" s="406" t="s">
        <v>347</v>
      </c>
      <c r="R87" s="370" t="s">
        <v>50</v>
      </c>
      <c r="S87" s="370" t="s">
        <v>146</v>
      </c>
      <c r="T87" s="371" t="s">
        <v>138</v>
      </c>
      <c r="U87" s="384"/>
      <c r="V87" s="373">
        <v>300</v>
      </c>
      <c r="W87" s="374" t="s">
        <v>78</v>
      </c>
      <c r="X87" s="404">
        <v>45302</v>
      </c>
      <c r="Y87" s="372" t="s">
        <v>50</v>
      </c>
      <c r="Z87" s="381">
        <v>300</v>
      </c>
      <c r="AA87" s="359"/>
      <c r="AB87" s="230"/>
      <c r="AC87" s="381"/>
      <c r="AD87" s="359"/>
      <c r="AE87" s="230"/>
      <c r="AF87" s="381"/>
      <c r="AG87" s="402"/>
      <c r="AH87" s="403"/>
      <c r="AI87" s="401"/>
      <c r="AJ87" s="402"/>
      <c r="AK87" s="403"/>
      <c r="AL87" s="401"/>
      <c r="AM87" s="402"/>
      <c r="AN87" s="403"/>
      <c r="AO87" s="401"/>
      <c r="AP87" s="402"/>
      <c r="AQ87" s="403"/>
      <c r="AR87" s="401"/>
      <c r="AS87" s="202"/>
    </row>
    <row r="88" spans="1:45" ht="15.75" hidden="1" customHeight="1">
      <c r="A88" s="12"/>
      <c r="B88" s="358"/>
      <c r="C88" s="359"/>
      <c r="D88" s="359"/>
      <c r="E88" s="360"/>
      <c r="F88" s="230"/>
      <c r="G88" s="378"/>
      <c r="H88" s="362"/>
      <c r="I88" s="230"/>
      <c r="J88" s="230"/>
      <c r="K88" s="230"/>
      <c r="L88" s="364"/>
      <c r="M88" s="405"/>
      <c r="N88" s="366"/>
      <c r="O88" s="368"/>
      <c r="P88" s="368"/>
      <c r="Q88" s="408"/>
      <c r="R88" s="370"/>
      <c r="S88" s="370"/>
      <c r="T88" s="371"/>
      <c r="U88" s="384"/>
      <c r="V88" s="373"/>
      <c r="W88" s="383"/>
      <c r="X88" s="404"/>
      <c r="Y88" s="372"/>
      <c r="Z88" s="381"/>
      <c r="AA88" s="359"/>
      <c r="AB88" s="230"/>
      <c r="AC88" s="381"/>
      <c r="AD88" s="359"/>
      <c r="AE88" s="230"/>
      <c r="AF88" s="381"/>
      <c r="AG88" s="402"/>
      <c r="AH88" s="403"/>
      <c r="AI88" s="401"/>
      <c r="AJ88" s="402"/>
      <c r="AK88" s="403"/>
      <c r="AL88" s="401"/>
      <c r="AM88" s="402"/>
      <c r="AN88" s="403"/>
      <c r="AO88" s="401"/>
      <c r="AP88" s="402"/>
      <c r="AQ88" s="403"/>
      <c r="AR88" s="401"/>
      <c r="AS88" s="202"/>
    </row>
    <row r="89" spans="1:45" ht="13.5" hidden="1" customHeight="1">
      <c r="A89" s="12"/>
      <c r="B89" s="358" t="s">
        <v>339</v>
      </c>
      <c r="C89" s="359">
        <v>2</v>
      </c>
      <c r="D89" s="359">
        <v>42</v>
      </c>
      <c r="E89" s="360" t="s">
        <v>349</v>
      </c>
      <c r="F89" s="230" t="s">
        <v>348</v>
      </c>
      <c r="G89" s="361" t="s">
        <v>43</v>
      </c>
      <c r="H89" s="230"/>
      <c r="I89" s="230">
        <v>42686</v>
      </c>
      <c r="J89" s="230">
        <v>7</v>
      </c>
      <c r="K89" s="230"/>
      <c r="L89" s="364"/>
      <c r="M89" s="405" t="s">
        <v>350</v>
      </c>
      <c r="N89" s="366" t="s">
        <v>351</v>
      </c>
      <c r="O89" s="367">
        <v>17533081</v>
      </c>
      <c r="P89" s="368">
        <v>4149122618</v>
      </c>
      <c r="Q89" s="504" t="s">
        <v>352</v>
      </c>
      <c r="R89" s="370" t="s">
        <v>353</v>
      </c>
      <c r="S89" s="370" t="s">
        <v>130</v>
      </c>
      <c r="T89" s="371" t="s">
        <v>288</v>
      </c>
      <c r="U89" s="384"/>
      <c r="V89" s="373">
        <v>300</v>
      </c>
      <c r="W89" s="374" t="s">
        <v>78</v>
      </c>
      <c r="X89" s="404">
        <v>45303</v>
      </c>
      <c r="Y89" s="372" t="s">
        <v>353</v>
      </c>
      <c r="Z89" s="381">
        <v>240</v>
      </c>
      <c r="AA89" s="359"/>
      <c r="AB89" s="230"/>
      <c r="AC89" s="381"/>
      <c r="AD89" s="402"/>
      <c r="AE89" s="403"/>
      <c r="AF89" s="401"/>
      <c r="AG89" s="402"/>
      <c r="AH89" s="403"/>
      <c r="AI89" s="401"/>
      <c r="AJ89" s="402"/>
      <c r="AK89" s="403"/>
      <c r="AL89" s="401"/>
      <c r="AM89" s="402"/>
      <c r="AN89" s="403"/>
      <c r="AO89" s="401"/>
      <c r="AP89" s="402"/>
      <c r="AQ89" s="403"/>
      <c r="AR89" s="401"/>
      <c r="AS89" s="202"/>
    </row>
    <row r="90" spans="1:45" ht="15.75" hidden="1" customHeight="1">
      <c r="A90" s="12"/>
      <c r="B90" s="358"/>
      <c r="C90" s="359"/>
      <c r="D90" s="359"/>
      <c r="E90" s="360"/>
      <c r="F90" s="230"/>
      <c r="G90" s="378"/>
      <c r="H90" s="230"/>
      <c r="I90" s="230"/>
      <c r="J90" s="230"/>
      <c r="K90" s="230"/>
      <c r="L90" s="364"/>
      <c r="M90" s="405"/>
      <c r="N90" s="366"/>
      <c r="O90" s="367"/>
      <c r="P90" s="368"/>
      <c r="Q90" s="507"/>
      <c r="R90" s="370"/>
      <c r="S90" s="370"/>
      <c r="T90" s="371"/>
      <c r="U90" s="384"/>
      <c r="V90" s="373"/>
      <c r="W90" s="383"/>
      <c r="X90" s="404"/>
      <c r="Y90" s="372"/>
      <c r="Z90" s="381"/>
      <c r="AA90" s="359"/>
      <c r="AB90" s="230"/>
      <c r="AC90" s="381"/>
      <c r="AD90" s="402"/>
      <c r="AE90" s="403"/>
      <c r="AF90" s="401"/>
      <c r="AG90" s="402"/>
      <c r="AH90" s="403"/>
      <c r="AI90" s="401"/>
      <c r="AJ90" s="402"/>
      <c r="AK90" s="403"/>
      <c r="AL90" s="401"/>
      <c r="AM90" s="402"/>
      <c r="AN90" s="403"/>
      <c r="AO90" s="401"/>
      <c r="AP90" s="402"/>
      <c r="AQ90" s="403"/>
      <c r="AR90" s="401"/>
      <c r="AS90" s="202"/>
    </row>
    <row r="91" spans="1:45" ht="13.5" hidden="1" customHeight="1">
      <c r="A91" s="12"/>
      <c r="B91" s="358" t="s">
        <v>339</v>
      </c>
      <c r="C91" s="359">
        <v>3</v>
      </c>
      <c r="D91" s="359">
        <v>43</v>
      </c>
      <c r="E91" s="360" t="s">
        <v>355</v>
      </c>
      <c r="F91" s="230" t="s">
        <v>354</v>
      </c>
      <c r="G91" s="361" t="s">
        <v>43</v>
      </c>
      <c r="H91" s="230" t="s">
        <v>356</v>
      </c>
      <c r="I91" s="230">
        <v>40100</v>
      </c>
      <c r="J91" s="230">
        <v>14</v>
      </c>
      <c r="K91" s="363" t="s">
        <v>357</v>
      </c>
      <c r="L91" s="364">
        <v>4141105035</v>
      </c>
      <c r="M91" s="452" t="s">
        <v>358</v>
      </c>
      <c r="N91" s="409" t="s">
        <v>359</v>
      </c>
      <c r="O91" s="453" t="s">
        <v>360</v>
      </c>
      <c r="P91" s="454" t="s">
        <v>361</v>
      </c>
      <c r="Q91" s="508" t="s">
        <v>362</v>
      </c>
      <c r="R91" s="370" t="s">
        <v>50</v>
      </c>
      <c r="S91" s="370" t="s">
        <v>146</v>
      </c>
      <c r="T91" s="371" t="s">
        <v>288</v>
      </c>
      <c r="U91" s="384"/>
      <c r="V91" s="373">
        <v>300</v>
      </c>
      <c r="W91" s="374" t="s">
        <v>78</v>
      </c>
      <c r="X91" s="404">
        <v>45306</v>
      </c>
      <c r="Y91" s="372" t="s">
        <v>50</v>
      </c>
      <c r="Z91" s="381">
        <v>90</v>
      </c>
      <c r="AA91" s="359"/>
      <c r="AB91" s="399"/>
      <c r="AC91" s="381"/>
      <c r="AD91" s="402"/>
      <c r="AE91" s="403"/>
      <c r="AF91" s="401"/>
      <c r="AG91" s="402"/>
      <c r="AH91" s="403"/>
      <c r="AI91" s="401"/>
      <c r="AJ91" s="402"/>
      <c r="AK91" s="403"/>
      <c r="AL91" s="401"/>
      <c r="AM91" s="402"/>
      <c r="AN91" s="403"/>
      <c r="AO91" s="401"/>
      <c r="AP91" s="402"/>
      <c r="AQ91" s="403"/>
      <c r="AR91" s="401"/>
      <c r="AS91" s="202"/>
    </row>
    <row r="92" spans="1:45" ht="13.5" hidden="1" customHeight="1">
      <c r="A92" s="12"/>
      <c r="B92" s="358"/>
      <c r="C92" s="359"/>
      <c r="D92" s="359"/>
      <c r="E92" s="360"/>
      <c r="F92" s="230"/>
      <c r="G92" s="378"/>
      <c r="H92" s="230"/>
      <c r="I92" s="230"/>
      <c r="J92" s="230"/>
      <c r="K92" s="368"/>
      <c r="L92" s="364"/>
      <c r="M92" s="439"/>
      <c r="N92" s="425"/>
      <c r="O92" s="440"/>
      <c r="P92" s="429"/>
      <c r="Q92" s="430"/>
      <c r="R92" s="370"/>
      <c r="S92" s="370"/>
      <c r="T92" s="371"/>
      <c r="U92" s="384"/>
      <c r="V92" s="373"/>
      <c r="W92" s="383"/>
      <c r="X92" s="404"/>
      <c r="Y92" s="372"/>
      <c r="Z92" s="381"/>
      <c r="AA92" s="359"/>
      <c r="AB92" s="399"/>
      <c r="AC92" s="381"/>
      <c r="AD92" s="402"/>
      <c r="AE92" s="403"/>
      <c r="AF92" s="401"/>
      <c r="AG92" s="402"/>
      <c r="AH92" s="403"/>
      <c r="AI92" s="401"/>
      <c r="AJ92" s="402"/>
      <c r="AK92" s="403"/>
      <c r="AL92" s="401"/>
      <c r="AM92" s="402"/>
      <c r="AN92" s="403"/>
      <c r="AO92" s="401"/>
      <c r="AP92" s="402"/>
      <c r="AQ92" s="403"/>
      <c r="AR92" s="401"/>
      <c r="AS92" s="202"/>
    </row>
    <row r="93" spans="1:45" ht="13.5" hidden="1" customHeight="1">
      <c r="A93" s="12"/>
      <c r="B93" s="358" t="s">
        <v>339</v>
      </c>
      <c r="C93" s="359">
        <v>4</v>
      </c>
      <c r="D93" s="359">
        <v>44</v>
      </c>
      <c r="E93" s="360" t="s">
        <v>364</v>
      </c>
      <c r="F93" s="230" t="s">
        <v>363</v>
      </c>
      <c r="G93" s="361" t="s">
        <v>278</v>
      </c>
      <c r="H93" s="362">
        <v>34428906</v>
      </c>
      <c r="I93" s="230">
        <v>41423</v>
      </c>
      <c r="J93" s="230">
        <v>9</v>
      </c>
      <c r="K93" s="368"/>
      <c r="L93" s="364"/>
      <c r="M93" s="452" t="s">
        <v>365</v>
      </c>
      <c r="N93" s="409" t="s">
        <v>366</v>
      </c>
      <c r="O93" s="453">
        <v>16394794</v>
      </c>
      <c r="P93" s="454" t="s">
        <v>367</v>
      </c>
      <c r="Q93" s="504" t="s">
        <v>368</v>
      </c>
      <c r="R93" s="370" t="s">
        <v>369</v>
      </c>
      <c r="S93" s="370" t="s">
        <v>130</v>
      </c>
      <c r="T93" s="371" t="s">
        <v>85</v>
      </c>
      <c r="U93" s="384"/>
      <c r="V93" s="373">
        <v>240</v>
      </c>
      <c r="W93" s="374" t="s">
        <v>54</v>
      </c>
      <c r="X93" s="404">
        <v>45230</v>
      </c>
      <c r="Y93" s="372" t="s">
        <v>370</v>
      </c>
      <c r="Z93" s="381"/>
      <c r="AA93" s="359"/>
      <c r="AB93" s="230"/>
      <c r="AC93" s="381"/>
      <c r="AD93" s="402"/>
      <c r="AE93" s="403"/>
      <c r="AF93" s="401"/>
      <c r="AG93" s="402"/>
      <c r="AH93" s="403"/>
      <c r="AI93" s="401"/>
      <c r="AJ93" s="402"/>
      <c r="AK93" s="403"/>
      <c r="AL93" s="401"/>
      <c r="AM93" s="402"/>
      <c r="AN93" s="403"/>
      <c r="AO93" s="401"/>
      <c r="AP93" s="402"/>
      <c r="AQ93" s="403"/>
      <c r="AR93" s="401"/>
      <c r="AS93" s="202"/>
    </row>
    <row r="94" spans="1:45" ht="13.5" hidden="1" customHeight="1">
      <c r="A94" s="12"/>
      <c r="B94" s="358"/>
      <c r="C94" s="359"/>
      <c r="D94" s="359"/>
      <c r="E94" s="360"/>
      <c r="F94" s="230"/>
      <c r="G94" s="378"/>
      <c r="H94" s="230"/>
      <c r="I94" s="230"/>
      <c r="J94" s="230"/>
      <c r="K94" s="368"/>
      <c r="L94" s="364"/>
      <c r="M94" s="439"/>
      <c r="N94" s="425"/>
      <c r="O94" s="440"/>
      <c r="P94" s="429"/>
      <c r="Q94" s="430"/>
      <c r="R94" s="370"/>
      <c r="S94" s="370"/>
      <c r="T94" s="371"/>
      <c r="U94" s="384"/>
      <c r="V94" s="373"/>
      <c r="W94" s="383"/>
      <c r="X94" s="404"/>
      <c r="Y94" s="372"/>
      <c r="Z94" s="381"/>
      <c r="AA94" s="359"/>
      <c r="AB94" s="230"/>
      <c r="AC94" s="381"/>
      <c r="AD94" s="402"/>
      <c r="AE94" s="403"/>
      <c r="AF94" s="401"/>
      <c r="AG94" s="402"/>
      <c r="AH94" s="403"/>
      <c r="AI94" s="401"/>
      <c r="AJ94" s="402"/>
      <c r="AK94" s="403"/>
      <c r="AL94" s="401"/>
      <c r="AM94" s="402"/>
      <c r="AN94" s="403"/>
      <c r="AO94" s="401"/>
      <c r="AP94" s="402"/>
      <c r="AQ94" s="403"/>
      <c r="AR94" s="401"/>
      <c r="AS94" s="202"/>
    </row>
    <row r="95" spans="1:45" ht="13.5" hidden="1" customHeight="1">
      <c r="A95" s="12"/>
      <c r="B95" s="358" t="s">
        <v>339</v>
      </c>
      <c r="C95" s="359">
        <v>5</v>
      </c>
      <c r="D95" s="359">
        <v>45</v>
      </c>
      <c r="E95" s="360" t="s">
        <v>372</v>
      </c>
      <c r="F95" s="230" t="s">
        <v>371</v>
      </c>
      <c r="G95" s="361" t="s">
        <v>43</v>
      </c>
      <c r="H95" s="362"/>
      <c r="I95" s="230">
        <v>41501</v>
      </c>
      <c r="J95" s="230">
        <v>10</v>
      </c>
      <c r="K95" s="363" t="s">
        <v>373</v>
      </c>
      <c r="L95" s="364"/>
      <c r="M95" s="452" t="s">
        <v>374</v>
      </c>
      <c r="N95" s="366" t="s">
        <v>375</v>
      </c>
      <c r="O95" s="443">
        <v>17978648</v>
      </c>
      <c r="P95" s="368" t="s">
        <v>376</v>
      </c>
      <c r="Q95" s="406" t="s">
        <v>373</v>
      </c>
      <c r="R95" s="370" t="s">
        <v>129</v>
      </c>
      <c r="S95" s="370" t="s">
        <v>130</v>
      </c>
      <c r="T95" s="371" t="s">
        <v>138</v>
      </c>
      <c r="U95" s="384"/>
      <c r="V95" s="373">
        <v>300</v>
      </c>
      <c r="W95" s="374" t="s">
        <v>78</v>
      </c>
      <c r="X95" s="404">
        <v>45307</v>
      </c>
      <c r="Y95" s="372" t="s">
        <v>129</v>
      </c>
      <c r="Z95" s="381">
        <v>300</v>
      </c>
      <c r="AA95" s="359"/>
      <c r="AB95" s="230"/>
      <c r="AC95" s="381"/>
      <c r="AD95" s="402"/>
      <c r="AE95" s="403"/>
      <c r="AF95" s="401"/>
      <c r="AG95" s="402"/>
      <c r="AH95" s="403"/>
      <c r="AI95" s="401"/>
      <c r="AJ95" s="402"/>
      <c r="AK95" s="403"/>
      <c r="AL95" s="401"/>
      <c r="AM95" s="402"/>
      <c r="AN95" s="403"/>
      <c r="AO95" s="401"/>
      <c r="AP95" s="402"/>
      <c r="AQ95" s="403"/>
      <c r="AR95" s="401"/>
      <c r="AS95" s="202"/>
    </row>
    <row r="96" spans="1:45" ht="13.5" hidden="1" customHeight="1">
      <c r="A96" s="12"/>
      <c r="B96" s="358"/>
      <c r="C96" s="359"/>
      <c r="D96" s="359"/>
      <c r="E96" s="360"/>
      <c r="F96" s="230"/>
      <c r="G96" s="378"/>
      <c r="H96" s="362"/>
      <c r="I96" s="230"/>
      <c r="J96" s="230"/>
      <c r="K96" s="230"/>
      <c r="L96" s="364"/>
      <c r="M96" s="439"/>
      <c r="N96" s="366"/>
      <c r="O96" s="368"/>
      <c r="P96" s="368"/>
      <c r="Q96" s="408"/>
      <c r="R96" s="370"/>
      <c r="S96" s="370"/>
      <c r="T96" s="371"/>
      <c r="U96" s="384"/>
      <c r="V96" s="373"/>
      <c r="W96" s="383"/>
      <c r="X96" s="404"/>
      <c r="Y96" s="372"/>
      <c r="Z96" s="381"/>
      <c r="AA96" s="359"/>
      <c r="AB96" s="230"/>
      <c r="AC96" s="381"/>
      <c r="AD96" s="402"/>
      <c r="AE96" s="403"/>
      <c r="AF96" s="401"/>
      <c r="AG96" s="402"/>
      <c r="AH96" s="403"/>
      <c r="AI96" s="401"/>
      <c r="AJ96" s="402"/>
      <c r="AK96" s="403"/>
      <c r="AL96" s="401"/>
      <c r="AM96" s="402"/>
      <c r="AN96" s="403"/>
      <c r="AO96" s="401"/>
      <c r="AP96" s="402"/>
      <c r="AQ96" s="403"/>
      <c r="AR96" s="401"/>
      <c r="AS96" s="202"/>
    </row>
    <row r="97" spans="1:45" ht="13.5" hidden="1" customHeight="1">
      <c r="A97" s="12"/>
      <c r="B97" s="358" t="s">
        <v>339</v>
      </c>
      <c r="C97" s="359">
        <v>6</v>
      </c>
      <c r="D97" s="359">
        <v>46</v>
      </c>
      <c r="E97" s="360" t="s">
        <v>378</v>
      </c>
      <c r="F97" s="230" t="s">
        <v>377</v>
      </c>
      <c r="G97" s="361" t="s">
        <v>43</v>
      </c>
      <c r="H97" s="230"/>
      <c r="I97" s="230">
        <v>41039</v>
      </c>
      <c r="J97" s="230">
        <v>11</v>
      </c>
      <c r="K97" s="363" t="s">
        <v>110</v>
      </c>
      <c r="L97" s="364" t="s">
        <v>113</v>
      </c>
      <c r="M97" s="365" t="s">
        <v>379</v>
      </c>
      <c r="N97" s="366" t="s">
        <v>380</v>
      </c>
      <c r="O97" s="367" t="s">
        <v>381</v>
      </c>
      <c r="P97" s="368">
        <v>4123856987</v>
      </c>
      <c r="Q97" s="406" t="s">
        <v>373</v>
      </c>
      <c r="R97" s="370" t="s">
        <v>271</v>
      </c>
      <c r="S97" s="370" t="s">
        <v>146</v>
      </c>
      <c r="T97" s="371" t="s">
        <v>138</v>
      </c>
      <c r="U97" s="372"/>
      <c r="V97" s="373">
        <v>300</v>
      </c>
      <c r="W97" s="374" t="s">
        <v>78</v>
      </c>
      <c r="X97" s="404">
        <v>45307</v>
      </c>
      <c r="Y97" s="372" t="s">
        <v>50</v>
      </c>
      <c r="Z97" s="381">
        <v>150</v>
      </c>
      <c r="AA97" s="359"/>
      <c r="AB97" s="230"/>
      <c r="AC97" s="381"/>
      <c r="AD97" s="359"/>
      <c r="AE97" s="230"/>
      <c r="AF97" s="381"/>
      <c r="AG97" s="402"/>
      <c r="AH97" s="403"/>
      <c r="AI97" s="401"/>
      <c r="AJ97" s="402"/>
      <c r="AK97" s="403"/>
      <c r="AL97" s="401"/>
      <c r="AM97" s="402"/>
      <c r="AN97" s="403"/>
      <c r="AO97" s="401"/>
      <c r="AP97" s="402"/>
      <c r="AQ97" s="403"/>
      <c r="AR97" s="401"/>
      <c r="AS97" s="202"/>
    </row>
    <row r="98" spans="1:45" ht="13.5" hidden="1" customHeight="1">
      <c r="A98" s="12"/>
      <c r="B98" s="358"/>
      <c r="C98" s="359"/>
      <c r="D98" s="359"/>
      <c r="E98" s="360"/>
      <c r="F98" s="230"/>
      <c r="G98" s="378"/>
      <c r="H98" s="230"/>
      <c r="I98" s="230"/>
      <c r="J98" s="230"/>
      <c r="K98" s="368"/>
      <c r="L98" s="364"/>
      <c r="M98" s="365"/>
      <c r="N98" s="366"/>
      <c r="O98" s="367"/>
      <c r="P98" s="368"/>
      <c r="Q98" s="408"/>
      <c r="R98" s="370"/>
      <c r="S98" s="370"/>
      <c r="T98" s="371"/>
      <c r="U98" s="372"/>
      <c r="V98" s="373"/>
      <c r="W98" s="383"/>
      <c r="X98" s="404"/>
      <c r="Y98" s="372"/>
      <c r="Z98" s="381"/>
      <c r="AA98" s="359"/>
      <c r="AB98" s="230"/>
      <c r="AC98" s="381"/>
      <c r="AD98" s="359"/>
      <c r="AE98" s="230"/>
      <c r="AF98" s="381"/>
      <c r="AG98" s="402"/>
      <c r="AH98" s="403"/>
      <c r="AI98" s="401"/>
      <c r="AJ98" s="402"/>
      <c r="AK98" s="403"/>
      <c r="AL98" s="401"/>
      <c r="AM98" s="402"/>
      <c r="AN98" s="403"/>
      <c r="AO98" s="401"/>
      <c r="AP98" s="402"/>
      <c r="AQ98" s="403"/>
      <c r="AR98" s="401"/>
      <c r="AS98" s="202"/>
    </row>
    <row r="99" spans="1:45" ht="13.5" hidden="1" customHeight="1">
      <c r="A99" s="12"/>
      <c r="B99" s="358" t="s">
        <v>339</v>
      </c>
      <c r="C99" s="359">
        <v>7</v>
      </c>
      <c r="D99" s="359">
        <v>47</v>
      </c>
      <c r="E99" s="360" t="s">
        <v>383</v>
      </c>
      <c r="F99" s="230" t="s">
        <v>382</v>
      </c>
      <c r="G99" s="361" t="s">
        <v>43</v>
      </c>
      <c r="H99" s="362"/>
      <c r="I99" s="230">
        <v>42280</v>
      </c>
      <c r="J99" s="230">
        <v>8</v>
      </c>
      <c r="K99" s="363" t="s">
        <v>384</v>
      </c>
      <c r="L99" s="364"/>
      <c r="M99" s="365" t="s">
        <v>385</v>
      </c>
      <c r="N99" s="366" t="s">
        <v>386</v>
      </c>
      <c r="O99" s="368" t="s">
        <v>387</v>
      </c>
      <c r="P99" s="368" t="s">
        <v>388</v>
      </c>
      <c r="Q99" s="406" t="s">
        <v>384</v>
      </c>
      <c r="R99" s="370" t="s">
        <v>129</v>
      </c>
      <c r="S99" s="370" t="s">
        <v>146</v>
      </c>
      <c r="T99" s="371" t="s">
        <v>138</v>
      </c>
      <c r="U99" s="372"/>
      <c r="V99" s="373">
        <v>300</v>
      </c>
      <c r="W99" s="374" t="s">
        <v>78</v>
      </c>
      <c r="X99" s="404">
        <v>45307</v>
      </c>
      <c r="Y99" s="372" t="s">
        <v>129</v>
      </c>
      <c r="Z99" s="381">
        <v>300</v>
      </c>
      <c r="AA99" s="359"/>
      <c r="AB99" s="230"/>
      <c r="AC99" s="381"/>
      <c r="AD99" s="402"/>
      <c r="AE99" s="403"/>
      <c r="AF99" s="401"/>
      <c r="AG99" s="402"/>
      <c r="AH99" s="403"/>
      <c r="AI99" s="401"/>
      <c r="AJ99" s="402"/>
      <c r="AK99" s="403"/>
      <c r="AL99" s="401"/>
      <c r="AM99" s="402"/>
      <c r="AN99" s="403"/>
      <c r="AO99" s="401"/>
      <c r="AP99" s="402"/>
      <c r="AQ99" s="403"/>
      <c r="AR99" s="401"/>
      <c r="AS99" s="202"/>
    </row>
    <row r="100" spans="1:45" ht="13.5" hidden="1" customHeight="1">
      <c r="A100" s="12"/>
      <c r="B100" s="358"/>
      <c r="C100" s="359"/>
      <c r="D100" s="359"/>
      <c r="E100" s="360"/>
      <c r="F100" s="230"/>
      <c r="G100" s="378"/>
      <c r="H100" s="362"/>
      <c r="I100" s="230"/>
      <c r="J100" s="230"/>
      <c r="K100" s="230"/>
      <c r="L100" s="364"/>
      <c r="M100" s="365"/>
      <c r="N100" s="366"/>
      <c r="O100" s="368"/>
      <c r="P100" s="368"/>
      <c r="Q100" s="408"/>
      <c r="R100" s="370"/>
      <c r="S100" s="370"/>
      <c r="T100" s="371"/>
      <c r="U100" s="372"/>
      <c r="V100" s="373"/>
      <c r="W100" s="383"/>
      <c r="X100" s="404"/>
      <c r="Y100" s="372"/>
      <c r="Z100" s="381"/>
      <c r="AA100" s="359"/>
      <c r="AB100" s="230"/>
      <c r="AC100" s="381"/>
      <c r="AD100" s="402"/>
      <c r="AE100" s="403"/>
      <c r="AF100" s="401"/>
      <c r="AG100" s="402"/>
      <c r="AH100" s="403"/>
      <c r="AI100" s="401"/>
      <c r="AJ100" s="402"/>
      <c r="AK100" s="403"/>
      <c r="AL100" s="401"/>
      <c r="AM100" s="402"/>
      <c r="AN100" s="403"/>
      <c r="AO100" s="401"/>
      <c r="AP100" s="402"/>
      <c r="AQ100" s="403"/>
      <c r="AR100" s="401"/>
      <c r="AS100" s="202"/>
    </row>
    <row r="101" spans="1:45" ht="45" customHeight="1">
      <c r="A101" s="12"/>
      <c r="B101" s="358" t="s">
        <v>339</v>
      </c>
      <c r="C101" s="359">
        <v>8</v>
      </c>
      <c r="D101" s="359">
        <v>1</v>
      </c>
      <c r="E101" s="360" t="s">
        <v>390</v>
      </c>
      <c r="F101" s="230" t="s">
        <v>389</v>
      </c>
      <c r="G101" s="361" t="s">
        <v>43</v>
      </c>
      <c r="H101" s="362">
        <v>30411645</v>
      </c>
      <c r="I101" s="230">
        <v>37555</v>
      </c>
      <c r="J101" s="230">
        <v>21</v>
      </c>
      <c r="K101" s="363" t="s">
        <v>391</v>
      </c>
      <c r="L101" s="364" t="s">
        <v>392</v>
      </c>
      <c r="M101" s="365" t="s">
        <v>393</v>
      </c>
      <c r="N101" s="366" t="s">
        <v>394</v>
      </c>
      <c r="O101" s="367">
        <v>8677462</v>
      </c>
      <c r="P101" s="368" t="s">
        <v>395</v>
      </c>
      <c r="Q101" s="509"/>
      <c r="R101" s="370" t="s">
        <v>76</v>
      </c>
      <c r="S101" s="370" t="s">
        <v>310</v>
      </c>
      <c r="T101" s="371" t="s">
        <v>396</v>
      </c>
      <c r="U101" s="372"/>
      <c r="V101" s="373" t="s">
        <v>397</v>
      </c>
      <c r="W101" s="374" t="s">
        <v>54</v>
      </c>
      <c r="X101" s="404">
        <v>45308</v>
      </c>
      <c r="Y101" s="372" t="s">
        <v>76</v>
      </c>
      <c r="Z101" s="381" t="s">
        <v>396</v>
      </c>
      <c r="AA101" s="359"/>
      <c r="AB101" s="230"/>
      <c r="AC101" s="381"/>
      <c r="AD101" s="359"/>
      <c r="AE101" s="381"/>
      <c r="AF101" s="230"/>
      <c r="AG101" s="402"/>
      <c r="AH101" s="403"/>
      <c r="AI101" s="401"/>
      <c r="AJ101" s="402"/>
      <c r="AK101" s="403"/>
      <c r="AL101" s="401"/>
      <c r="AM101" s="402"/>
      <c r="AN101" s="403"/>
      <c r="AO101" s="401"/>
      <c r="AP101" s="402"/>
      <c r="AQ101" s="403"/>
      <c r="AR101" s="401"/>
      <c r="AS101" s="202"/>
    </row>
    <row r="102" spans="1:45" ht="13.5" hidden="1" customHeight="1">
      <c r="A102" s="12"/>
      <c r="B102" s="358"/>
      <c r="C102" s="359"/>
      <c r="D102" s="359"/>
      <c r="E102" s="360"/>
      <c r="F102" s="230"/>
      <c r="G102" s="378"/>
      <c r="H102" s="362"/>
      <c r="I102" s="230"/>
      <c r="J102" s="230"/>
      <c r="K102" s="368"/>
      <c r="L102" s="364"/>
      <c r="M102" s="365"/>
      <c r="N102" s="366"/>
      <c r="O102" s="367"/>
      <c r="P102" s="368"/>
      <c r="Q102" s="430"/>
      <c r="R102" s="370"/>
      <c r="S102" s="370"/>
      <c r="T102" s="371"/>
      <c r="U102" s="372"/>
      <c r="V102" s="373"/>
      <c r="W102" s="383"/>
      <c r="X102" s="404"/>
      <c r="Y102" s="372"/>
      <c r="Z102" s="381"/>
      <c r="AA102" s="359"/>
      <c r="AB102" s="230"/>
      <c r="AC102" s="381"/>
      <c r="AD102" s="359"/>
      <c r="AE102" s="381"/>
      <c r="AF102" s="230"/>
      <c r="AG102" s="402"/>
      <c r="AH102" s="403"/>
      <c r="AI102" s="401"/>
      <c r="AJ102" s="402"/>
      <c r="AK102" s="403"/>
      <c r="AL102" s="401"/>
      <c r="AM102" s="402"/>
      <c r="AN102" s="403"/>
      <c r="AO102" s="401"/>
      <c r="AP102" s="402"/>
      <c r="AQ102" s="403"/>
      <c r="AR102" s="401"/>
      <c r="AS102" s="202"/>
    </row>
    <row r="103" spans="1:45" ht="13.5" hidden="1" customHeight="1">
      <c r="A103" s="12"/>
      <c r="B103" s="358" t="s">
        <v>339</v>
      </c>
      <c r="C103" s="359">
        <v>9</v>
      </c>
      <c r="D103" s="359">
        <v>49</v>
      </c>
      <c r="E103" s="360" t="s">
        <v>399</v>
      </c>
      <c r="F103" s="230" t="s">
        <v>398</v>
      </c>
      <c r="G103" s="361" t="s">
        <v>278</v>
      </c>
      <c r="H103" s="362">
        <v>33993093</v>
      </c>
      <c r="I103" s="230">
        <v>40749</v>
      </c>
      <c r="J103" s="230">
        <v>12</v>
      </c>
      <c r="K103" s="368"/>
      <c r="L103" s="364" t="s">
        <v>400</v>
      </c>
      <c r="M103" s="405" t="s">
        <v>401</v>
      </c>
      <c r="N103" s="366" t="s">
        <v>402</v>
      </c>
      <c r="O103" s="443">
        <v>19587074</v>
      </c>
      <c r="P103" s="368" t="s">
        <v>403</v>
      </c>
      <c r="Q103" s="408"/>
      <c r="R103" s="370" t="s">
        <v>404</v>
      </c>
      <c r="S103" s="370" t="s">
        <v>77</v>
      </c>
      <c r="T103" s="371"/>
      <c r="U103" s="372"/>
      <c r="V103" s="373"/>
      <c r="W103" s="374" t="s">
        <v>54</v>
      </c>
      <c r="X103" s="404"/>
      <c r="Y103" s="372" t="s">
        <v>50</v>
      </c>
      <c r="Z103" s="381"/>
      <c r="AA103" s="359"/>
      <c r="AB103" s="230"/>
      <c r="AC103" s="381"/>
      <c r="AD103" s="402"/>
      <c r="AE103" s="403"/>
      <c r="AF103" s="401"/>
      <c r="AG103" s="402"/>
      <c r="AH103" s="403"/>
      <c r="AI103" s="401"/>
      <c r="AJ103" s="402"/>
      <c r="AK103" s="403"/>
      <c r="AL103" s="401"/>
      <c r="AM103" s="402"/>
      <c r="AN103" s="403"/>
      <c r="AO103" s="401"/>
      <c r="AP103" s="402"/>
      <c r="AQ103" s="403"/>
      <c r="AR103" s="401"/>
      <c r="AS103" s="202"/>
    </row>
    <row r="104" spans="1:45" ht="13.5" hidden="1" customHeight="1">
      <c r="A104" s="12"/>
      <c r="B104" s="358"/>
      <c r="C104" s="359"/>
      <c r="D104" s="359"/>
      <c r="E104" s="360"/>
      <c r="F104" s="230"/>
      <c r="G104" s="378"/>
      <c r="H104" s="362"/>
      <c r="I104" s="230"/>
      <c r="J104" s="230"/>
      <c r="K104" s="368"/>
      <c r="L104" s="364"/>
      <c r="M104" s="405"/>
      <c r="N104" s="366"/>
      <c r="O104" s="368"/>
      <c r="P104" s="368"/>
      <c r="Q104" s="408"/>
      <c r="R104" s="370"/>
      <c r="S104" s="370"/>
      <c r="T104" s="371"/>
      <c r="U104" s="372"/>
      <c r="V104" s="373"/>
      <c r="W104" s="383"/>
      <c r="X104" s="404"/>
      <c r="Y104" s="372"/>
      <c r="Z104" s="381"/>
      <c r="AA104" s="359"/>
      <c r="AB104" s="230"/>
      <c r="AC104" s="381"/>
      <c r="AD104" s="402"/>
      <c r="AE104" s="403"/>
      <c r="AF104" s="401"/>
      <c r="AG104" s="402"/>
      <c r="AH104" s="403"/>
      <c r="AI104" s="401"/>
      <c r="AJ104" s="402"/>
      <c r="AK104" s="403"/>
      <c r="AL104" s="401"/>
      <c r="AM104" s="402"/>
      <c r="AN104" s="403"/>
      <c r="AO104" s="401"/>
      <c r="AP104" s="402"/>
      <c r="AQ104" s="403"/>
      <c r="AR104" s="401"/>
      <c r="AS104" s="202"/>
    </row>
    <row r="105" spans="1:45" ht="13.5" hidden="1" customHeight="1">
      <c r="A105" s="12"/>
      <c r="B105" s="358" t="s">
        <v>339</v>
      </c>
      <c r="C105" s="359">
        <v>10</v>
      </c>
      <c r="D105" s="359">
        <v>50</v>
      </c>
      <c r="E105" s="360" t="s">
        <v>406</v>
      </c>
      <c r="F105" s="230" t="s">
        <v>405</v>
      </c>
      <c r="G105" s="361" t="s">
        <v>278</v>
      </c>
      <c r="H105" s="230"/>
      <c r="I105" s="510">
        <v>47058</v>
      </c>
      <c r="J105" s="230">
        <v>5</v>
      </c>
      <c r="K105" s="368"/>
      <c r="L105" s="364"/>
      <c r="M105" s="365" t="s">
        <v>407</v>
      </c>
      <c r="N105" s="366" t="s">
        <v>408</v>
      </c>
      <c r="O105" s="367">
        <v>19528260</v>
      </c>
      <c r="P105" s="368" t="s">
        <v>409</v>
      </c>
      <c r="Q105" s="369" t="s">
        <v>410</v>
      </c>
      <c r="R105" s="370" t="s">
        <v>411</v>
      </c>
      <c r="S105" s="370" t="s">
        <v>130</v>
      </c>
      <c r="T105" s="371"/>
      <c r="U105" s="384"/>
      <c r="V105" s="373"/>
      <c r="W105" s="374" t="s">
        <v>54</v>
      </c>
      <c r="X105" s="404">
        <v>44981</v>
      </c>
      <c r="Y105" s="372" t="s">
        <v>412</v>
      </c>
      <c r="Z105" s="381"/>
      <c r="AA105" s="359"/>
      <c r="AB105" s="230"/>
      <c r="AC105" s="381"/>
      <c r="AD105" s="402"/>
      <c r="AE105" s="403"/>
      <c r="AF105" s="401"/>
      <c r="AG105" s="402"/>
      <c r="AH105" s="403"/>
      <c r="AI105" s="401"/>
      <c r="AJ105" s="402"/>
      <c r="AK105" s="403"/>
      <c r="AL105" s="401"/>
      <c r="AM105" s="402"/>
      <c r="AN105" s="403"/>
      <c r="AO105" s="401"/>
      <c r="AP105" s="402"/>
      <c r="AQ105" s="403"/>
      <c r="AR105" s="401"/>
      <c r="AS105" s="202"/>
    </row>
    <row r="106" spans="1:45" ht="13.5" hidden="1" customHeight="1">
      <c r="A106" s="12"/>
      <c r="B106" s="358"/>
      <c r="C106" s="359"/>
      <c r="D106" s="359"/>
      <c r="E106" s="360"/>
      <c r="F106" s="230"/>
      <c r="G106" s="378"/>
      <c r="H106" s="230"/>
      <c r="I106" s="510"/>
      <c r="J106" s="230"/>
      <c r="K106" s="368"/>
      <c r="L106" s="364"/>
      <c r="M106" s="365"/>
      <c r="N106" s="366"/>
      <c r="O106" s="367"/>
      <c r="P106" s="368"/>
      <c r="Q106" s="391"/>
      <c r="R106" s="370"/>
      <c r="S106" s="370"/>
      <c r="T106" s="371"/>
      <c r="U106" s="384"/>
      <c r="V106" s="373"/>
      <c r="W106" s="383"/>
      <c r="X106" s="404"/>
      <c r="Y106" s="372"/>
      <c r="Z106" s="381"/>
      <c r="AA106" s="359"/>
      <c r="AB106" s="230"/>
      <c r="AC106" s="381"/>
      <c r="AD106" s="402"/>
      <c r="AE106" s="403"/>
      <c r="AF106" s="401"/>
      <c r="AG106" s="402"/>
      <c r="AH106" s="403"/>
      <c r="AI106" s="401"/>
      <c r="AJ106" s="402"/>
      <c r="AK106" s="403"/>
      <c r="AL106" s="401"/>
      <c r="AM106" s="402"/>
      <c r="AN106" s="403"/>
      <c r="AO106" s="401"/>
      <c r="AP106" s="402"/>
      <c r="AQ106" s="403"/>
      <c r="AR106" s="401"/>
      <c r="AS106" s="202"/>
    </row>
    <row r="107" spans="1:45" ht="13.5" hidden="1" customHeight="1">
      <c r="A107" s="12"/>
      <c r="B107" s="358" t="s">
        <v>339</v>
      </c>
      <c r="C107" s="359">
        <v>11</v>
      </c>
      <c r="D107" s="359">
        <v>51</v>
      </c>
      <c r="E107" s="360" t="s">
        <v>414</v>
      </c>
      <c r="F107" s="230" t="s">
        <v>413</v>
      </c>
      <c r="G107" s="361" t="s">
        <v>278</v>
      </c>
      <c r="H107" s="230"/>
      <c r="I107" s="230">
        <v>42002</v>
      </c>
      <c r="J107" s="230">
        <v>10</v>
      </c>
      <c r="K107" s="363" t="s">
        <v>415</v>
      </c>
      <c r="L107" s="364"/>
      <c r="M107" s="365" t="s">
        <v>416</v>
      </c>
      <c r="N107" s="366" t="s">
        <v>417</v>
      </c>
      <c r="O107" s="367">
        <v>17534484</v>
      </c>
      <c r="P107" s="368" t="s">
        <v>418</v>
      </c>
      <c r="Q107" s="504" t="s">
        <v>415</v>
      </c>
      <c r="R107" s="370" t="s">
        <v>419</v>
      </c>
      <c r="S107" s="370" t="s">
        <v>77</v>
      </c>
      <c r="T107" s="371"/>
      <c r="U107" s="384"/>
      <c r="V107" s="373"/>
      <c r="W107" s="374" t="s">
        <v>54</v>
      </c>
      <c r="X107" s="404">
        <v>44985</v>
      </c>
      <c r="Y107" s="372" t="s">
        <v>420</v>
      </c>
      <c r="Z107" s="381"/>
      <c r="AA107" s="359"/>
      <c r="AB107" s="230"/>
      <c r="AC107" s="381"/>
      <c r="AD107" s="359"/>
      <c r="AE107" s="230"/>
      <c r="AF107" s="381"/>
      <c r="AG107" s="359"/>
      <c r="AH107" s="230"/>
      <c r="AI107" s="381"/>
      <c r="AJ107" s="402"/>
      <c r="AK107" s="403"/>
      <c r="AL107" s="401"/>
      <c r="AM107" s="402"/>
      <c r="AN107" s="403"/>
      <c r="AO107" s="401"/>
      <c r="AP107" s="402"/>
      <c r="AQ107" s="403"/>
      <c r="AR107" s="401"/>
      <c r="AS107" s="202"/>
    </row>
    <row r="108" spans="1:45" ht="13.5" hidden="1" customHeight="1">
      <c r="A108" s="12"/>
      <c r="B108" s="358"/>
      <c r="C108" s="359"/>
      <c r="D108" s="359"/>
      <c r="E108" s="360"/>
      <c r="F108" s="230"/>
      <c r="G108" s="378"/>
      <c r="H108" s="230"/>
      <c r="I108" s="230"/>
      <c r="J108" s="230"/>
      <c r="K108" s="368"/>
      <c r="L108" s="364"/>
      <c r="M108" s="365"/>
      <c r="N108" s="366"/>
      <c r="O108" s="367"/>
      <c r="P108" s="368"/>
      <c r="Q108" s="511"/>
      <c r="R108" s="370"/>
      <c r="S108" s="370"/>
      <c r="T108" s="371"/>
      <c r="U108" s="384"/>
      <c r="V108" s="373"/>
      <c r="W108" s="383"/>
      <c r="X108" s="404"/>
      <c r="Y108" s="372"/>
      <c r="Z108" s="381"/>
      <c r="AA108" s="359"/>
      <c r="AB108" s="230"/>
      <c r="AC108" s="381"/>
      <c r="AD108" s="359"/>
      <c r="AE108" s="230"/>
      <c r="AF108" s="381"/>
      <c r="AG108" s="359"/>
      <c r="AH108" s="230"/>
      <c r="AI108" s="381"/>
      <c r="AJ108" s="402"/>
      <c r="AK108" s="403"/>
      <c r="AL108" s="401"/>
      <c r="AM108" s="402"/>
      <c r="AN108" s="403"/>
      <c r="AO108" s="401"/>
      <c r="AP108" s="402"/>
      <c r="AQ108" s="403"/>
      <c r="AR108" s="401"/>
      <c r="AS108" s="202"/>
    </row>
    <row r="109" spans="1:45" ht="13.5" hidden="1" customHeight="1">
      <c r="A109" s="12"/>
      <c r="B109" s="358" t="s">
        <v>339</v>
      </c>
      <c r="C109" s="359">
        <v>12</v>
      </c>
      <c r="D109" s="359">
        <v>52</v>
      </c>
      <c r="E109" s="360" t="s">
        <v>422</v>
      </c>
      <c r="F109" s="230" t="s">
        <v>421</v>
      </c>
      <c r="G109" s="361" t="s">
        <v>278</v>
      </c>
      <c r="H109" s="362"/>
      <c r="I109" s="230">
        <v>42535</v>
      </c>
      <c r="J109" s="230">
        <v>6</v>
      </c>
      <c r="K109" s="363" t="s">
        <v>423</v>
      </c>
      <c r="L109" s="364"/>
      <c r="M109" s="365" t="s">
        <v>416</v>
      </c>
      <c r="N109" s="366" t="s">
        <v>417</v>
      </c>
      <c r="O109" s="367">
        <v>17534484</v>
      </c>
      <c r="P109" s="368" t="s">
        <v>424</v>
      </c>
      <c r="Q109" s="442" t="s">
        <v>425</v>
      </c>
      <c r="R109" s="370" t="s">
        <v>369</v>
      </c>
      <c r="S109" s="370" t="s">
        <v>146</v>
      </c>
      <c r="T109" s="371"/>
      <c r="U109" s="372"/>
      <c r="V109" s="373">
        <v>320</v>
      </c>
      <c r="W109" s="374" t="s">
        <v>54</v>
      </c>
      <c r="X109" s="404">
        <v>44985</v>
      </c>
      <c r="Y109" s="372" t="s">
        <v>420</v>
      </c>
      <c r="Z109" s="381"/>
      <c r="AA109" s="359"/>
      <c r="AB109" s="230"/>
      <c r="AC109" s="381"/>
      <c r="AD109" s="402"/>
      <c r="AE109" s="403"/>
      <c r="AF109" s="401"/>
      <c r="AG109" s="402"/>
      <c r="AH109" s="403"/>
      <c r="AI109" s="401"/>
      <c r="AJ109" s="402"/>
      <c r="AK109" s="403"/>
      <c r="AL109" s="401"/>
      <c r="AM109" s="402"/>
      <c r="AN109" s="403"/>
      <c r="AO109" s="401"/>
      <c r="AP109" s="402"/>
      <c r="AQ109" s="403"/>
      <c r="AR109" s="401"/>
      <c r="AS109" s="202"/>
    </row>
    <row r="110" spans="1:45" ht="13.5" hidden="1" customHeight="1">
      <c r="A110" s="12"/>
      <c r="B110" s="358"/>
      <c r="C110" s="359"/>
      <c r="D110" s="359"/>
      <c r="E110" s="360"/>
      <c r="F110" s="230"/>
      <c r="G110" s="378"/>
      <c r="H110" s="362"/>
      <c r="I110" s="230"/>
      <c r="J110" s="230"/>
      <c r="K110" s="368"/>
      <c r="L110" s="364"/>
      <c r="M110" s="365"/>
      <c r="N110" s="366"/>
      <c r="O110" s="367"/>
      <c r="P110" s="368"/>
      <c r="Q110" s="430"/>
      <c r="R110" s="370"/>
      <c r="S110" s="370"/>
      <c r="T110" s="371"/>
      <c r="U110" s="372"/>
      <c r="V110" s="373"/>
      <c r="W110" s="383"/>
      <c r="X110" s="404"/>
      <c r="Y110" s="372"/>
      <c r="Z110" s="381"/>
      <c r="AA110" s="359"/>
      <c r="AB110" s="230"/>
      <c r="AC110" s="381"/>
      <c r="AD110" s="402"/>
      <c r="AE110" s="403"/>
      <c r="AF110" s="401"/>
      <c r="AG110" s="402"/>
      <c r="AH110" s="403"/>
      <c r="AI110" s="401"/>
      <c r="AJ110" s="402"/>
      <c r="AK110" s="403"/>
      <c r="AL110" s="401"/>
      <c r="AM110" s="402"/>
      <c r="AN110" s="403"/>
      <c r="AO110" s="401"/>
      <c r="AP110" s="402"/>
      <c r="AQ110" s="403"/>
      <c r="AR110" s="401"/>
      <c r="AS110" s="202"/>
    </row>
    <row r="111" spans="1:45" ht="13.5" hidden="1" customHeight="1">
      <c r="A111" s="12"/>
      <c r="B111" s="358" t="s">
        <v>339</v>
      </c>
      <c r="C111" s="359">
        <v>13</v>
      </c>
      <c r="D111" s="359">
        <v>53</v>
      </c>
      <c r="E111" s="360" t="s">
        <v>427</v>
      </c>
      <c r="F111" s="230" t="s">
        <v>426</v>
      </c>
      <c r="G111" s="361" t="s">
        <v>278</v>
      </c>
      <c r="H111" s="362">
        <v>33884872</v>
      </c>
      <c r="I111" s="230">
        <v>40889</v>
      </c>
      <c r="J111" s="230">
        <v>11</v>
      </c>
      <c r="K111" s="363" t="s">
        <v>428</v>
      </c>
      <c r="L111" s="364">
        <v>4122522273</v>
      </c>
      <c r="M111" s="365" t="s">
        <v>429</v>
      </c>
      <c r="N111" s="366" t="s">
        <v>430</v>
      </c>
      <c r="O111" s="367">
        <v>13551625</v>
      </c>
      <c r="P111" s="368" t="s">
        <v>431</v>
      </c>
      <c r="Q111" s="406" t="s">
        <v>432</v>
      </c>
      <c r="R111" s="370" t="s">
        <v>404</v>
      </c>
      <c r="S111" s="370" t="s">
        <v>77</v>
      </c>
      <c r="T111" s="371"/>
      <c r="U111" s="384"/>
      <c r="V111" s="373"/>
      <c r="W111" s="374" t="s">
        <v>54</v>
      </c>
      <c r="X111" s="404"/>
      <c r="Y111" s="372" t="s">
        <v>433</v>
      </c>
      <c r="Z111" s="381"/>
      <c r="AA111" s="402"/>
      <c r="AB111" s="403"/>
      <c r="AC111" s="401"/>
      <c r="AD111" s="402"/>
      <c r="AE111" s="403"/>
      <c r="AF111" s="401"/>
      <c r="AG111" s="402"/>
      <c r="AH111" s="403"/>
      <c r="AI111" s="401"/>
      <c r="AJ111" s="402"/>
      <c r="AK111" s="403"/>
      <c r="AL111" s="401"/>
      <c r="AM111" s="402"/>
      <c r="AN111" s="403"/>
      <c r="AO111" s="401"/>
      <c r="AP111" s="402"/>
      <c r="AQ111" s="403"/>
      <c r="AR111" s="401"/>
      <c r="AS111" s="202"/>
    </row>
    <row r="112" spans="1:45" ht="13.5" hidden="1" customHeight="1">
      <c r="A112" s="12"/>
      <c r="B112" s="358"/>
      <c r="C112" s="359"/>
      <c r="D112" s="359"/>
      <c r="E112" s="360"/>
      <c r="F112" s="230"/>
      <c r="G112" s="378"/>
      <c r="H112" s="362"/>
      <c r="I112" s="230"/>
      <c r="J112" s="230"/>
      <c r="K112" s="368"/>
      <c r="L112" s="364"/>
      <c r="M112" s="365"/>
      <c r="N112" s="366"/>
      <c r="O112" s="367"/>
      <c r="P112" s="368"/>
      <c r="Q112" s="408"/>
      <c r="R112" s="370"/>
      <c r="S112" s="370"/>
      <c r="T112" s="371"/>
      <c r="U112" s="384"/>
      <c r="V112" s="373"/>
      <c r="W112" s="383"/>
      <c r="X112" s="404"/>
      <c r="Y112" s="372"/>
      <c r="Z112" s="381"/>
      <c r="AA112" s="402"/>
      <c r="AB112" s="403"/>
      <c r="AC112" s="401"/>
      <c r="AD112" s="402"/>
      <c r="AE112" s="403"/>
      <c r="AF112" s="401"/>
      <c r="AG112" s="402"/>
      <c r="AH112" s="403"/>
      <c r="AI112" s="401"/>
      <c r="AJ112" s="402"/>
      <c r="AK112" s="403"/>
      <c r="AL112" s="401"/>
      <c r="AM112" s="402"/>
      <c r="AN112" s="403"/>
      <c r="AO112" s="401"/>
      <c r="AP112" s="402"/>
      <c r="AQ112" s="403"/>
      <c r="AR112" s="401"/>
      <c r="AS112" s="202"/>
    </row>
    <row r="113" spans="1:45" ht="13.5" hidden="1" customHeight="1">
      <c r="A113" s="12"/>
      <c r="B113" s="358" t="s">
        <v>339</v>
      </c>
      <c r="C113" s="359">
        <v>14</v>
      </c>
      <c r="D113" s="359">
        <v>54</v>
      </c>
      <c r="E113" s="360" t="s">
        <v>435</v>
      </c>
      <c r="F113" s="230" t="s">
        <v>434</v>
      </c>
      <c r="G113" s="361" t="s">
        <v>43</v>
      </c>
      <c r="H113" s="362">
        <v>24143761</v>
      </c>
      <c r="I113" s="230">
        <v>34254</v>
      </c>
      <c r="J113" s="230">
        <v>30</v>
      </c>
      <c r="K113" s="363" t="s">
        <v>436</v>
      </c>
      <c r="L113" s="364" t="s">
        <v>437</v>
      </c>
      <c r="M113" s="365" t="s">
        <v>438</v>
      </c>
      <c r="N113" s="366"/>
      <c r="O113" s="368"/>
      <c r="P113" s="368"/>
      <c r="Q113" s="408"/>
      <c r="R113" s="370" t="s">
        <v>281</v>
      </c>
      <c r="S113" s="370" t="s">
        <v>77</v>
      </c>
      <c r="T113" s="371"/>
      <c r="U113" s="384"/>
      <c r="V113" s="373">
        <v>300</v>
      </c>
      <c r="W113" s="374" t="s">
        <v>78</v>
      </c>
      <c r="X113" s="404">
        <v>45309</v>
      </c>
      <c r="Y113" s="372" t="s">
        <v>281</v>
      </c>
      <c r="Z113" s="381">
        <v>300</v>
      </c>
      <c r="AA113" s="359"/>
      <c r="AB113" s="230"/>
      <c r="AC113" s="381"/>
      <c r="AD113" s="402"/>
      <c r="AE113" s="403"/>
      <c r="AF113" s="401"/>
      <c r="AG113" s="402"/>
      <c r="AH113" s="403"/>
      <c r="AI113" s="401"/>
      <c r="AJ113" s="402"/>
      <c r="AK113" s="403"/>
      <c r="AL113" s="401"/>
      <c r="AM113" s="402"/>
      <c r="AN113" s="403"/>
      <c r="AO113" s="401"/>
      <c r="AP113" s="402"/>
      <c r="AQ113" s="403"/>
      <c r="AR113" s="401"/>
      <c r="AS113" s="202"/>
    </row>
    <row r="114" spans="1:45" ht="13.5" hidden="1" customHeight="1">
      <c r="A114" s="12"/>
      <c r="B114" s="358"/>
      <c r="C114" s="359"/>
      <c r="D114" s="359"/>
      <c r="E114" s="360"/>
      <c r="F114" s="230"/>
      <c r="G114" s="378"/>
      <c r="H114" s="362"/>
      <c r="I114" s="230"/>
      <c r="J114" s="230"/>
      <c r="K114" s="368"/>
      <c r="L114" s="364"/>
      <c r="M114" s="365"/>
      <c r="N114" s="366"/>
      <c r="O114" s="368"/>
      <c r="P114" s="368"/>
      <c r="Q114" s="408"/>
      <c r="R114" s="370"/>
      <c r="S114" s="370"/>
      <c r="T114" s="371"/>
      <c r="U114" s="384"/>
      <c r="V114" s="373"/>
      <c r="W114" s="383"/>
      <c r="X114" s="404"/>
      <c r="Y114" s="372"/>
      <c r="Z114" s="381"/>
      <c r="AA114" s="359"/>
      <c r="AB114" s="230"/>
      <c r="AC114" s="381"/>
      <c r="AD114" s="402"/>
      <c r="AE114" s="403"/>
      <c r="AF114" s="401"/>
      <c r="AG114" s="402"/>
      <c r="AH114" s="403"/>
      <c r="AI114" s="401"/>
      <c r="AJ114" s="402"/>
      <c r="AK114" s="403"/>
      <c r="AL114" s="401"/>
      <c r="AM114" s="402"/>
      <c r="AN114" s="403"/>
      <c r="AO114" s="401"/>
      <c r="AP114" s="402"/>
      <c r="AQ114" s="403"/>
      <c r="AR114" s="401"/>
      <c r="AS114" s="202"/>
    </row>
    <row r="115" spans="1:45" ht="13.5" hidden="1" customHeight="1">
      <c r="A115" s="12"/>
      <c r="B115" s="358" t="s">
        <v>339</v>
      </c>
      <c r="C115" s="359">
        <v>15</v>
      </c>
      <c r="D115" s="359">
        <v>55</v>
      </c>
      <c r="E115" s="360" t="s">
        <v>440</v>
      </c>
      <c r="F115" s="230" t="s">
        <v>439</v>
      </c>
      <c r="G115" s="361" t="s">
        <v>278</v>
      </c>
      <c r="H115" s="362">
        <v>33328935</v>
      </c>
      <c r="I115" s="230">
        <v>40810</v>
      </c>
      <c r="J115" s="230">
        <v>13</v>
      </c>
      <c r="K115" s="363" t="s">
        <v>441</v>
      </c>
      <c r="L115" s="364" t="s">
        <v>442</v>
      </c>
      <c r="M115" s="365" t="s">
        <v>443</v>
      </c>
      <c r="N115" s="366" t="s">
        <v>444</v>
      </c>
      <c r="O115" s="443">
        <v>18536818</v>
      </c>
      <c r="P115" s="368" t="s">
        <v>445</v>
      </c>
      <c r="Q115" s="406" t="s">
        <v>441</v>
      </c>
      <c r="R115" s="370" t="s">
        <v>404</v>
      </c>
      <c r="S115" s="370" t="s">
        <v>77</v>
      </c>
      <c r="T115" s="371"/>
      <c r="U115" s="372"/>
      <c r="V115" s="373"/>
      <c r="W115" s="374" t="s">
        <v>54</v>
      </c>
      <c r="X115" s="404">
        <v>45063</v>
      </c>
      <c r="Y115" s="372"/>
      <c r="Z115" s="381"/>
      <c r="AA115" s="402"/>
      <c r="AB115" s="403"/>
      <c r="AC115" s="401"/>
      <c r="AD115" s="359"/>
      <c r="AE115" s="230"/>
      <c r="AF115" s="381"/>
      <c r="AG115" s="402"/>
      <c r="AH115" s="403"/>
      <c r="AI115" s="401"/>
      <c r="AJ115" s="402"/>
      <c r="AK115" s="403"/>
      <c r="AL115" s="401"/>
      <c r="AM115" s="402"/>
      <c r="AN115" s="403"/>
      <c r="AO115" s="401"/>
      <c r="AP115" s="402"/>
      <c r="AQ115" s="403"/>
      <c r="AR115" s="401"/>
      <c r="AS115" s="202"/>
    </row>
    <row r="116" spans="1:45" ht="13.5" hidden="1" customHeight="1">
      <c r="A116" s="12"/>
      <c r="B116" s="358"/>
      <c r="C116" s="359"/>
      <c r="D116" s="359"/>
      <c r="E116" s="360"/>
      <c r="F116" s="230"/>
      <c r="G116" s="378"/>
      <c r="H116" s="362"/>
      <c r="I116" s="230"/>
      <c r="J116" s="230"/>
      <c r="K116" s="368"/>
      <c r="L116" s="364"/>
      <c r="M116" s="365"/>
      <c r="N116" s="366"/>
      <c r="O116" s="368"/>
      <c r="P116" s="368"/>
      <c r="Q116" s="408"/>
      <c r="R116" s="370"/>
      <c r="S116" s="370"/>
      <c r="T116" s="371"/>
      <c r="U116" s="372"/>
      <c r="V116" s="373"/>
      <c r="W116" s="383"/>
      <c r="X116" s="404"/>
      <c r="Y116" s="372"/>
      <c r="Z116" s="381"/>
      <c r="AA116" s="402"/>
      <c r="AB116" s="403"/>
      <c r="AC116" s="401"/>
      <c r="AD116" s="359"/>
      <c r="AE116" s="230"/>
      <c r="AF116" s="381"/>
      <c r="AG116" s="402"/>
      <c r="AH116" s="403"/>
      <c r="AI116" s="401"/>
      <c r="AJ116" s="402"/>
      <c r="AK116" s="403"/>
      <c r="AL116" s="401"/>
      <c r="AM116" s="402"/>
      <c r="AN116" s="403"/>
      <c r="AO116" s="401"/>
      <c r="AP116" s="402"/>
      <c r="AQ116" s="403"/>
      <c r="AR116" s="401"/>
      <c r="AS116" s="202"/>
    </row>
    <row r="117" spans="1:45" ht="13.5" hidden="1" customHeight="1">
      <c r="A117" s="12"/>
      <c r="B117" s="358" t="s">
        <v>339</v>
      </c>
      <c r="C117" s="359">
        <v>16</v>
      </c>
      <c r="D117" s="359">
        <v>56</v>
      </c>
      <c r="E117" s="360" t="s">
        <v>447</v>
      </c>
      <c r="F117" s="230" t="s">
        <v>446</v>
      </c>
      <c r="G117" s="361" t="s">
        <v>278</v>
      </c>
      <c r="H117" s="230"/>
      <c r="I117" s="510">
        <v>41906</v>
      </c>
      <c r="J117" s="230">
        <v>9</v>
      </c>
      <c r="K117" s="363" t="s">
        <v>441</v>
      </c>
      <c r="L117" s="364" t="s">
        <v>448</v>
      </c>
      <c r="M117" s="365" t="s">
        <v>449</v>
      </c>
      <c r="N117" s="366" t="s">
        <v>444</v>
      </c>
      <c r="O117" s="367">
        <v>18536818</v>
      </c>
      <c r="P117" s="368" t="s">
        <v>448</v>
      </c>
      <c r="Q117" s="406" t="s">
        <v>441</v>
      </c>
      <c r="R117" s="370" t="s">
        <v>419</v>
      </c>
      <c r="S117" s="370" t="s">
        <v>77</v>
      </c>
      <c r="T117" s="371"/>
      <c r="U117" s="384"/>
      <c r="V117" s="373"/>
      <c r="W117" s="374" t="s">
        <v>54</v>
      </c>
      <c r="X117" s="404">
        <v>45063</v>
      </c>
      <c r="Y117" s="372"/>
      <c r="Z117" s="381"/>
      <c r="AA117" s="402"/>
      <c r="AB117" s="230"/>
      <c r="AC117" s="381"/>
      <c r="AD117" s="402"/>
      <c r="AE117" s="403"/>
      <c r="AF117" s="381"/>
      <c r="AG117" s="402"/>
      <c r="AH117" s="403"/>
      <c r="AI117" s="401"/>
      <c r="AJ117" s="402"/>
      <c r="AK117" s="403"/>
      <c r="AL117" s="401"/>
      <c r="AM117" s="402"/>
      <c r="AN117" s="403"/>
      <c r="AO117" s="401"/>
      <c r="AP117" s="402"/>
      <c r="AQ117" s="403"/>
      <c r="AR117" s="401"/>
      <c r="AS117" s="202"/>
    </row>
    <row r="118" spans="1:45" ht="15.75" hidden="1" customHeight="1">
      <c r="A118" s="12"/>
      <c r="B118" s="358"/>
      <c r="C118" s="359"/>
      <c r="D118" s="359"/>
      <c r="E118" s="360"/>
      <c r="F118" s="230"/>
      <c r="G118" s="378"/>
      <c r="H118" s="230"/>
      <c r="I118" s="510"/>
      <c r="J118" s="230"/>
      <c r="K118" s="368"/>
      <c r="L118" s="364"/>
      <c r="M118" s="365"/>
      <c r="N118" s="366"/>
      <c r="O118" s="367"/>
      <c r="P118" s="368"/>
      <c r="Q118" s="408"/>
      <c r="R118" s="370"/>
      <c r="S118" s="370"/>
      <c r="T118" s="371"/>
      <c r="U118" s="384"/>
      <c r="V118" s="373"/>
      <c r="W118" s="383"/>
      <c r="X118" s="404"/>
      <c r="Y118" s="372"/>
      <c r="Z118" s="381"/>
      <c r="AA118" s="402"/>
      <c r="AB118" s="230"/>
      <c r="AC118" s="381"/>
      <c r="AD118" s="402"/>
      <c r="AE118" s="403"/>
      <c r="AF118" s="381"/>
      <c r="AG118" s="402"/>
      <c r="AH118" s="403"/>
      <c r="AI118" s="401"/>
      <c r="AJ118" s="402"/>
      <c r="AK118" s="403"/>
      <c r="AL118" s="401"/>
      <c r="AM118" s="402"/>
      <c r="AN118" s="403"/>
      <c r="AO118" s="401"/>
      <c r="AP118" s="402"/>
      <c r="AQ118" s="403"/>
      <c r="AR118" s="401"/>
      <c r="AS118" s="202"/>
    </row>
    <row r="119" spans="1:45" ht="15.75" hidden="1" customHeight="1">
      <c r="A119" s="12"/>
      <c r="B119" s="358" t="s">
        <v>339</v>
      </c>
      <c r="C119" s="359">
        <v>17</v>
      </c>
      <c r="D119" s="359">
        <v>57</v>
      </c>
      <c r="E119" s="360" t="s">
        <v>451</v>
      </c>
      <c r="F119" s="230" t="s">
        <v>450</v>
      </c>
      <c r="G119" s="361" t="s">
        <v>278</v>
      </c>
      <c r="H119" s="362"/>
      <c r="I119" s="230">
        <v>43481</v>
      </c>
      <c r="J119" s="230">
        <v>5</v>
      </c>
      <c r="K119" s="368"/>
      <c r="L119" s="364"/>
      <c r="M119" s="365" t="s">
        <v>452</v>
      </c>
      <c r="N119" s="366" t="s">
        <v>453</v>
      </c>
      <c r="O119" s="367">
        <v>17743056</v>
      </c>
      <c r="P119" s="368" t="s">
        <v>454</v>
      </c>
      <c r="Q119" s="369" t="s">
        <v>455</v>
      </c>
      <c r="R119" s="370" t="s">
        <v>456</v>
      </c>
      <c r="S119" s="370" t="s">
        <v>130</v>
      </c>
      <c r="T119" s="371"/>
      <c r="U119" s="384"/>
      <c r="V119" s="373"/>
      <c r="W119" s="374" t="s">
        <v>54</v>
      </c>
      <c r="X119" s="404">
        <v>45434</v>
      </c>
      <c r="Y119" s="372"/>
      <c r="Z119" s="381"/>
      <c r="AA119" s="359"/>
      <c r="AB119" s="230"/>
      <c r="AC119" s="381"/>
      <c r="AD119" s="402"/>
      <c r="AE119" s="403"/>
      <c r="AF119" s="401"/>
      <c r="AG119" s="402"/>
      <c r="AH119" s="403"/>
      <c r="AI119" s="401"/>
      <c r="AJ119" s="402"/>
      <c r="AK119" s="403"/>
      <c r="AL119" s="401"/>
      <c r="AM119" s="402"/>
      <c r="AN119" s="403"/>
      <c r="AO119" s="401"/>
      <c r="AP119" s="402"/>
      <c r="AQ119" s="403"/>
      <c r="AR119" s="401"/>
      <c r="AS119" s="202"/>
    </row>
    <row r="120" spans="1:45" ht="13.5" hidden="1" customHeight="1">
      <c r="A120" s="12"/>
      <c r="B120" s="358"/>
      <c r="C120" s="359"/>
      <c r="D120" s="359"/>
      <c r="E120" s="360"/>
      <c r="F120" s="230"/>
      <c r="G120" s="378"/>
      <c r="H120" s="362"/>
      <c r="I120" s="230"/>
      <c r="J120" s="230"/>
      <c r="K120" s="368"/>
      <c r="L120" s="364"/>
      <c r="M120" s="365"/>
      <c r="N120" s="366"/>
      <c r="O120" s="367"/>
      <c r="P120" s="368"/>
      <c r="Q120" s="382"/>
      <c r="R120" s="370"/>
      <c r="S120" s="370"/>
      <c r="T120" s="371"/>
      <c r="U120" s="384"/>
      <c r="V120" s="373"/>
      <c r="W120" s="383"/>
      <c r="X120" s="404"/>
      <c r="Y120" s="372"/>
      <c r="Z120" s="381"/>
      <c r="AA120" s="359"/>
      <c r="AB120" s="230"/>
      <c r="AC120" s="381"/>
      <c r="AD120" s="402"/>
      <c r="AE120" s="403"/>
      <c r="AF120" s="401"/>
      <c r="AG120" s="402"/>
      <c r="AH120" s="403"/>
      <c r="AI120" s="401"/>
      <c r="AJ120" s="402"/>
      <c r="AK120" s="403"/>
      <c r="AL120" s="401"/>
      <c r="AM120" s="402"/>
      <c r="AN120" s="403"/>
      <c r="AO120" s="401"/>
      <c r="AP120" s="402"/>
      <c r="AQ120" s="403"/>
      <c r="AR120" s="401"/>
      <c r="AS120" s="202"/>
    </row>
    <row r="121" spans="1:45" ht="13.5" hidden="1" customHeight="1">
      <c r="A121" s="12"/>
      <c r="B121" s="358" t="s">
        <v>339</v>
      </c>
      <c r="C121" s="359">
        <v>18</v>
      </c>
      <c r="D121" s="359">
        <v>58</v>
      </c>
      <c r="E121" s="360" t="s">
        <v>458</v>
      </c>
      <c r="F121" s="230" t="s">
        <v>457</v>
      </c>
      <c r="G121" s="361" t="s">
        <v>278</v>
      </c>
      <c r="H121" s="362"/>
      <c r="I121" s="230"/>
      <c r="J121" s="230">
        <v>5</v>
      </c>
      <c r="K121" s="368"/>
      <c r="L121" s="364"/>
      <c r="M121" s="365"/>
      <c r="N121" s="366" t="s">
        <v>459</v>
      </c>
      <c r="O121" s="367">
        <v>17199811</v>
      </c>
      <c r="P121" s="368" t="s">
        <v>460</v>
      </c>
      <c r="Q121" s="369" t="s">
        <v>461</v>
      </c>
      <c r="R121" s="370" t="s">
        <v>456</v>
      </c>
      <c r="S121" s="370" t="s">
        <v>130</v>
      </c>
      <c r="T121" s="371"/>
      <c r="U121" s="384"/>
      <c r="V121" s="373"/>
      <c r="W121" s="374" t="s">
        <v>54</v>
      </c>
      <c r="X121" s="404">
        <v>45069</v>
      </c>
      <c r="Y121" s="372"/>
      <c r="Z121" s="381"/>
      <c r="AA121" s="359"/>
      <c r="AB121" s="230"/>
      <c r="AC121" s="381"/>
      <c r="AD121" s="359"/>
      <c r="AE121" s="230"/>
      <c r="AF121" s="381"/>
      <c r="AG121" s="359"/>
      <c r="AH121" s="230"/>
      <c r="AI121" s="381"/>
      <c r="AJ121" s="402"/>
      <c r="AK121" s="403"/>
      <c r="AL121" s="381"/>
      <c r="AM121" s="402"/>
      <c r="AN121" s="403"/>
      <c r="AO121" s="381"/>
      <c r="AP121" s="402"/>
      <c r="AQ121" s="403"/>
      <c r="AR121" s="401"/>
      <c r="AS121" s="202"/>
    </row>
    <row r="122" spans="1:45" ht="14.25" hidden="1" customHeight="1">
      <c r="A122" s="12"/>
      <c r="B122" s="358"/>
      <c r="C122" s="359"/>
      <c r="D122" s="359"/>
      <c r="E122" s="360"/>
      <c r="F122" s="230"/>
      <c r="G122" s="378"/>
      <c r="H122" s="362"/>
      <c r="I122" s="230"/>
      <c r="J122" s="230"/>
      <c r="K122" s="368"/>
      <c r="L122" s="364"/>
      <c r="M122" s="365"/>
      <c r="N122" s="366"/>
      <c r="O122" s="367"/>
      <c r="P122" s="368"/>
      <c r="Q122" s="391"/>
      <c r="R122" s="370"/>
      <c r="S122" s="370"/>
      <c r="T122" s="371"/>
      <c r="U122" s="384"/>
      <c r="V122" s="373"/>
      <c r="W122" s="400"/>
      <c r="X122" s="404"/>
      <c r="Y122" s="372"/>
      <c r="Z122" s="381"/>
      <c r="AA122" s="359"/>
      <c r="AB122" s="230"/>
      <c r="AC122" s="381"/>
      <c r="AD122" s="359"/>
      <c r="AE122" s="230"/>
      <c r="AF122" s="381"/>
      <c r="AG122" s="359"/>
      <c r="AH122" s="230"/>
      <c r="AI122" s="381"/>
      <c r="AJ122" s="402"/>
      <c r="AK122" s="403"/>
      <c r="AL122" s="381"/>
      <c r="AM122" s="402"/>
      <c r="AN122" s="403"/>
      <c r="AO122" s="381"/>
      <c r="AP122" s="402"/>
      <c r="AQ122" s="403"/>
      <c r="AR122" s="401"/>
      <c r="AS122" s="202"/>
    </row>
    <row r="123" spans="1:45" ht="13.5" hidden="1" customHeight="1">
      <c r="A123" s="12"/>
      <c r="B123" s="358" t="s">
        <v>339</v>
      </c>
      <c r="C123" s="359">
        <v>19</v>
      </c>
      <c r="D123" s="359">
        <v>59</v>
      </c>
      <c r="E123" s="360" t="s">
        <v>463</v>
      </c>
      <c r="F123" s="230" t="s">
        <v>462</v>
      </c>
      <c r="G123" s="361" t="s">
        <v>278</v>
      </c>
      <c r="H123" s="230"/>
      <c r="I123" s="230">
        <v>42692</v>
      </c>
      <c r="J123" s="230">
        <v>6</v>
      </c>
      <c r="K123" s="368"/>
      <c r="L123" s="364"/>
      <c r="M123" s="365" t="s">
        <v>464</v>
      </c>
      <c r="N123" s="366" t="s">
        <v>465</v>
      </c>
      <c r="O123" s="367">
        <v>17743181</v>
      </c>
      <c r="P123" s="368" t="s">
        <v>466</v>
      </c>
      <c r="Q123" s="369" t="s">
        <v>467</v>
      </c>
      <c r="R123" s="370" t="s">
        <v>369</v>
      </c>
      <c r="S123" s="370" t="s">
        <v>130</v>
      </c>
      <c r="T123" s="371"/>
      <c r="U123" s="384"/>
      <c r="V123" s="373"/>
      <c r="W123" s="398" t="s">
        <v>54</v>
      </c>
      <c r="X123" s="404">
        <v>45078</v>
      </c>
      <c r="Y123" s="372"/>
      <c r="Z123" s="381"/>
      <c r="AA123" s="359"/>
      <c r="AB123" s="230"/>
      <c r="AC123" s="381"/>
      <c r="AD123" s="359"/>
      <c r="AE123" s="230"/>
      <c r="AF123" s="381"/>
      <c r="AG123" s="359"/>
      <c r="AH123" s="230"/>
      <c r="AI123" s="381"/>
      <c r="AJ123" s="402"/>
      <c r="AK123" s="403"/>
      <c r="AL123" s="381"/>
      <c r="AM123" s="402"/>
      <c r="AN123" s="403"/>
      <c r="AO123" s="401"/>
      <c r="AP123" s="402"/>
      <c r="AQ123" s="403"/>
      <c r="AR123" s="401"/>
      <c r="AS123" s="202"/>
    </row>
    <row r="124" spans="1:45" ht="14.25" hidden="1" customHeight="1">
      <c r="A124" s="12"/>
      <c r="B124" s="358"/>
      <c r="C124" s="359"/>
      <c r="D124" s="359"/>
      <c r="E124" s="360"/>
      <c r="F124" s="230"/>
      <c r="G124" s="378"/>
      <c r="H124" s="230"/>
      <c r="I124" s="230"/>
      <c r="J124" s="230"/>
      <c r="K124" s="368"/>
      <c r="L124" s="364"/>
      <c r="M124" s="365"/>
      <c r="N124" s="366"/>
      <c r="O124" s="367"/>
      <c r="P124" s="368"/>
      <c r="Q124" s="391"/>
      <c r="R124" s="370"/>
      <c r="S124" s="370"/>
      <c r="T124" s="371"/>
      <c r="U124" s="384"/>
      <c r="V124" s="373"/>
      <c r="W124" s="400"/>
      <c r="X124" s="404"/>
      <c r="Y124" s="372"/>
      <c r="Z124" s="381"/>
      <c r="AA124" s="359"/>
      <c r="AB124" s="230"/>
      <c r="AC124" s="381"/>
      <c r="AD124" s="359"/>
      <c r="AE124" s="230"/>
      <c r="AF124" s="381"/>
      <c r="AG124" s="359"/>
      <c r="AH124" s="230"/>
      <c r="AI124" s="381"/>
      <c r="AJ124" s="402"/>
      <c r="AK124" s="403"/>
      <c r="AL124" s="381"/>
      <c r="AM124" s="402"/>
      <c r="AN124" s="403"/>
      <c r="AO124" s="401"/>
      <c r="AP124" s="402"/>
      <c r="AQ124" s="403"/>
      <c r="AR124" s="401"/>
      <c r="AS124" s="202"/>
    </row>
    <row r="125" spans="1:45" ht="13.5" hidden="1" customHeight="1">
      <c r="A125" s="12"/>
      <c r="B125" s="358" t="s">
        <v>339</v>
      </c>
      <c r="C125" s="359">
        <v>20</v>
      </c>
      <c r="D125" s="359">
        <v>60</v>
      </c>
      <c r="E125" s="360" t="s">
        <v>469</v>
      </c>
      <c r="F125" s="230" t="s">
        <v>468</v>
      </c>
      <c r="G125" s="361" t="s">
        <v>278</v>
      </c>
      <c r="H125" s="230"/>
      <c r="I125" s="230">
        <v>43228</v>
      </c>
      <c r="J125" s="230">
        <v>5</v>
      </c>
      <c r="K125" s="368"/>
      <c r="L125" s="364"/>
      <c r="M125" s="365" t="s">
        <v>464</v>
      </c>
      <c r="N125" s="366" t="s">
        <v>465</v>
      </c>
      <c r="O125" s="367">
        <v>17743181</v>
      </c>
      <c r="P125" s="368" t="s">
        <v>466</v>
      </c>
      <c r="Q125" s="369" t="s">
        <v>467</v>
      </c>
      <c r="R125" s="370" t="s">
        <v>456</v>
      </c>
      <c r="S125" s="370" t="s">
        <v>130</v>
      </c>
      <c r="T125" s="371"/>
      <c r="U125" s="384"/>
      <c r="V125" s="373"/>
      <c r="W125" s="398" t="s">
        <v>54</v>
      </c>
      <c r="X125" s="512">
        <v>45337</v>
      </c>
      <c r="Y125" s="384"/>
      <c r="Z125" s="513"/>
      <c r="AA125" s="402"/>
      <c r="AB125" s="403"/>
      <c r="AC125" s="401"/>
      <c r="AD125" s="359"/>
      <c r="AE125" s="230"/>
      <c r="AF125" s="381"/>
      <c r="AG125" s="359"/>
      <c r="AH125" s="230"/>
      <c r="AI125" s="381"/>
      <c r="AJ125" s="402"/>
      <c r="AK125" s="403"/>
      <c r="AL125" s="401"/>
      <c r="AM125" s="402"/>
      <c r="AN125" s="403"/>
      <c r="AO125" s="401"/>
      <c r="AP125" s="402"/>
      <c r="AQ125" s="403"/>
      <c r="AR125" s="401"/>
      <c r="AS125" s="202"/>
    </row>
    <row r="126" spans="1:45" ht="13.5" hidden="1" customHeight="1">
      <c r="A126" s="12"/>
      <c r="B126" s="358"/>
      <c r="C126" s="359"/>
      <c r="D126" s="359"/>
      <c r="E126" s="360"/>
      <c r="F126" s="230"/>
      <c r="G126" s="378"/>
      <c r="H126" s="230"/>
      <c r="I126" s="230"/>
      <c r="J126" s="230"/>
      <c r="K126" s="368"/>
      <c r="L126" s="364"/>
      <c r="M126" s="365"/>
      <c r="N126" s="366"/>
      <c r="O126" s="367"/>
      <c r="P126" s="368"/>
      <c r="Q126" s="382"/>
      <c r="R126" s="370"/>
      <c r="S126" s="370"/>
      <c r="T126" s="371"/>
      <c r="U126" s="384"/>
      <c r="V126" s="373"/>
      <c r="W126" s="400"/>
      <c r="X126" s="512"/>
      <c r="Y126" s="384"/>
      <c r="Z126" s="513"/>
      <c r="AA126" s="402"/>
      <c r="AB126" s="403"/>
      <c r="AC126" s="401"/>
      <c r="AD126" s="359"/>
      <c r="AE126" s="230"/>
      <c r="AF126" s="381"/>
      <c r="AG126" s="359"/>
      <c r="AH126" s="230"/>
      <c r="AI126" s="381"/>
      <c r="AJ126" s="402"/>
      <c r="AK126" s="403"/>
      <c r="AL126" s="401"/>
      <c r="AM126" s="402"/>
      <c r="AN126" s="403"/>
      <c r="AO126" s="401"/>
      <c r="AP126" s="402"/>
      <c r="AQ126" s="403"/>
      <c r="AR126" s="401"/>
      <c r="AS126" s="202"/>
    </row>
    <row r="127" spans="1:45" ht="13.5" hidden="1" customHeight="1">
      <c r="A127" s="12"/>
      <c r="B127" s="358" t="s">
        <v>470</v>
      </c>
      <c r="C127" s="359">
        <v>1</v>
      </c>
      <c r="D127" s="359">
        <v>61</v>
      </c>
      <c r="E127" s="360" t="s">
        <v>472</v>
      </c>
      <c r="F127" s="230" t="s">
        <v>471</v>
      </c>
      <c r="G127" s="361" t="s">
        <v>278</v>
      </c>
      <c r="H127" s="362">
        <v>31404186</v>
      </c>
      <c r="I127" s="230">
        <v>38876</v>
      </c>
      <c r="J127" s="230">
        <v>17</v>
      </c>
      <c r="K127" s="363" t="s">
        <v>473</v>
      </c>
      <c r="L127" s="364" t="s">
        <v>474</v>
      </c>
      <c r="M127" s="365" t="s">
        <v>475</v>
      </c>
      <c r="N127" s="366" t="s">
        <v>476</v>
      </c>
      <c r="O127" s="367">
        <v>15119858</v>
      </c>
      <c r="P127" s="368" t="s">
        <v>477</v>
      </c>
      <c r="Q127" s="369" t="s">
        <v>478</v>
      </c>
      <c r="R127" s="370" t="s">
        <v>479</v>
      </c>
      <c r="S127" s="370" t="s">
        <v>480</v>
      </c>
      <c r="T127" s="371"/>
      <c r="U127" s="384"/>
      <c r="V127" s="373"/>
      <c r="W127" s="398" t="s">
        <v>54</v>
      </c>
      <c r="X127" s="512">
        <v>45104</v>
      </c>
      <c r="Y127" s="384"/>
      <c r="Z127" s="514"/>
      <c r="AA127" s="359"/>
      <c r="AB127" s="230"/>
      <c r="AC127" s="381"/>
      <c r="AD127" s="359"/>
      <c r="AE127" s="230"/>
      <c r="AF127" s="381"/>
      <c r="AG127" s="359"/>
      <c r="AH127" s="230"/>
      <c r="AI127" s="381"/>
      <c r="AJ127" s="402"/>
      <c r="AK127" s="403"/>
      <c r="AL127" s="401"/>
      <c r="AM127" s="402"/>
      <c r="AN127" s="403"/>
      <c r="AO127" s="401"/>
      <c r="AP127" s="402"/>
      <c r="AQ127" s="403"/>
      <c r="AR127" s="401"/>
      <c r="AS127" s="202"/>
    </row>
    <row r="128" spans="1:45" ht="13.5" hidden="1" customHeight="1">
      <c r="A128" s="12"/>
      <c r="B128" s="358"/>
      <c r="C128" s="359"/>
      <c r="D128" s="359"/>
      <c r="E128" s="360"/>
      <c r="F128" s="230"/>
      <c r="G128" s="378"/>
      <c r="H128" s="230"/>
      <c r="I128" s="230"/>
      <c r="J128" s="230"/>
      <c r="K128" s="363"/>
      <c r="L128" s="364"/>
      <c r="M128" s="365"/>
      <c r="N128" s="366"/>
      <c r="O128" s="367"/>
      <c r="P128" s="368"/>
      <c r="Q128" s="382"/>
      <c r="R128" s="370"/>
      <c r="S128" s="370"/>
      <c r="T128" s="371"/>
      <c r="U128" s="384"/>
      <c r="V128" s="373"/>
      <c r="W128" s="400"/>
      <c r="X128" s="512"/>
      <c r="Y128" s="384"/>
      <c r="Z128" s="514"/>
      <c r="AA128" s="359"/>
      <c r="AB128" s="230"/>
      <c r="AC128" s="381"/>
      <c r="AD128" s="359"/>
      <c r="AE128" s="230"/>
      <c r="AF128" s="381"/>
      <c r="AG128" s="359"/>
      <c r="AH128" s="230"/>
      <c r="AI128" s="381"/>
      <c r="AJ128" s="402"/>
      <c r="AK128" s="403"/>
      <c r="AL128" s="401"/>
      <c r="AM128" s="402"/>
      <c r="AN128" s="403"/>
      <c r="AO128" s="401"/>
      <c r="AP128" s="402"/>
      <c r="AQ128" s="403"/>
      <c r="AR128" s="401"/>
      <c r="AS128" s="202"/>
    </row>
    <row r="129" spans="1:45" ht="13.5" hidden="1" customHeight="1">
      <c r="A129" s="12"/>
      <c r="B129" s="358" t="s">
        <v>470</v>
      </c>
      <c r="C129" s="359">
        <v>2</v>
      </c>
      <c r="D129" s="359">
        <v>62</v>
      </c>
      <c r="E129" s="360" t="s">
        <v>482</v>
      </c>
      <c r="F129" s="230" t="s">
        <v>481</v>
      </c>
      <c r="G129" s="361" t="s">
        <v>278</v>
      </c>
      <c r="H129" s="362"/>
      <c r="I129" s="230">
        <v>43194</v>
      </c>
      <c r="J129" s="230">
        <v>5</v>
      </c>
      <c r="K129" s="368"/>
      <c r="L129" s="364"/>
      <c r="M129" s="365" t="s">
        <v>483</v>
      </c>
      <c r="N129" s="366" t="s">
        <v>484</v>
      </c>
      <c r="O129" s="443">
        <v>14363252</v>
      </c>
      <c r="P129" s="368" t="s">
        <v>485</v>
      </c>
      <c r="Q129" s="406" t="s">
        <v>486</v>
      </c>
      <c r="R129" s="370" t="s">
        <v>411</v>
      </c>
      <c r="S129" s="370" t="s">
        <v>130</v>
      </c>
      <c r="T129" s="371"/>
      <c r="U129" s="384"/>
      <c r="V129" s="373"/>
      <c r="W129" s="398" t="s">
        <v>54</v>
      </c>
      <c r="X129" s="404"/>
      <c r="Y129" s="372"/>
      <c r="Z129" s="381"/>
      <c r="AA129" s="359"/>
      <c r="AB129" s="230"/>
      <c r="AC129" s="381"/>
      <c r="AD129" s="359"/>
      <c r="AE129" s="230"/>
      <c r="AF129" s="381"/>
      <c r="AG129" s="402"/>
      <c r="AH129" s="230"/>
      <c r="AI129" s="381"/>
      <c r="AJ129" s="402"/>
      <c r="AK129" s="403"/>
      <c r="AL129" s="401"/>
      <c r="AM129" s="402"/>
      <c r="AN129" s="403"/>
      <c r="AO129" s="401"/>
      <c r="AP129" s="402"/>
      <c r="AQ129" s="403"/>
      <c r="AR129" s="401"/>
      <c r="AS129" s="202"/>
    </row>
    <row r="130" spans="1:45" ht="13.5" hidden="1" customHeight="1">
      <c r="A130" s="12"/>
      <c r="B130" s="358"/>
      <c r="C130" s="359"/>
      <c r="D130" s="359"/>
      <c r="E130" s="360"/>
      <c r="F130" s="230"/>
      <c r="G130" s="378"/>
      <c r="H130" s="362"/>
      <c r="I130" s="230"/>
      <c r="J130" s="230"/>
      <c r="K130" s="368"/>
      <c r="L130" s="364"/>
      <c r="M130" s="365"/>
      <c r="N130" s="366"/>
      <c r="O130" s="368"/>
      <c r="P130" s="368"/>
      <c r="Q130" s="408"/>
      <c r="R130" s="370"/>
      <c r="S130" s="370"/>
      <c r="T130" s="371"/>
      <c r="U130" s="384"/>
      <c r="V130" s="373"/>
      <c r="W130" s="400"/>
      <c r="X130" s="404"/>
      <c r="Y130" s="372"/>
      <c r="Z130" s="381"/>
      <c r="AA130" s="359"/>
      <c r="AB130" s="230"/>
      <c r="AC130" s="381"/>
      <c r="AD130" s="359"/>
      <c r="AE130" s="230"/>
      <c r="AF130" s="381"/>
      <c r="AG130" s="402"/>
      <c r="AH130" s="230"/>
      <c r="AI130" s="381"/>
      <c r="AJ130" s="402"/>
      <c r="AK130" s="403"/>
      <c r="AL130" s="401"/>
      <c r="AM130" s="402"/>
      <c r="AN130" s="403"/>
      <c r="AO130" s="401"/>
      <c r="AP130" s="402"/>
      <c r="AQ130" s="403"/>
      <c r="AR130" s="401"/>
      <c r="AS130" s="202"/>
    </row>
    <row r="131" spans="1:45" ht="13.5" hidden="1" customHeight="1">
      <c r="A131" s="12"/>
      <c r="B131" s="358" t="s">
        <v>470</v>
      </c>
      <c r="C131" s="359">
        <v>3</v>
      </c>
      <c r="D131" s="359">
        <v>63</v>
      </c>
      <c r="E131" s="360" t="s">
        <v>488</v>
      </c>
      <c r="F131" s="230" t="s">
        <v>487</v>
      </c>
      <c r="G131" s="361" t="s">
        <v>278</v>
      </c>
      <c r="H131" s="362"/>
      <c r="I131" s="230">
        <v>42565</v>
      </c>
      <c r="J131" s="230">
        <v>7</v>
      </c>
      <c r="K131" s="363"/>
      <c r="L131" s="364"/>
      <c r="M131" s="365" t="s">
        <v>483</v>
      </c>
      <c r="N131" s="366" t="s">
        <v>484</v>
      </c>
      <c r="O131" s="443">
        <v>14363252</v>
      </c>
      <c r="P131" s="368" t="s">
        <v>485</v>
      </c>
      <c r="Q131" s="406" t="s">
        <v>486</v>
      </c>
      <c r="R131" s="370" t="s">
        <v>370</v>
      </c>
      <c r="S131" s="370" t="s">
        <v>130</v>
      </c>
      <c r="T131" s="371"/>
      <c r="U131" s="384"/>
      <c r="V131" s="373"/>
      <c r="W131" s="398" t="s">
        <v>54</v>
      </c>
      <c r="X131" s="512"/>
      <c r="Y131" s="384"/>
      <c r="Z131" s="513"/>
      <c r="AA131" s="402"/>
      <c r="AB131" s="403"/>
      <c r="AC131" s="401"/>
      <c r="AD131" s="359"/>
      <c r="AE131" s="230"/>
      <c r="AF131" s="381"/>
      <c r="AG131" s="359"/>
      <c r="AH131" s="230"/>
      <c r="AI131" s="381"/>
      <c r="AJ131" s="359"/>
      <c r="AK131" s="230"/>
      <c r="AL131" s="381"/>
      <c r="AM131" s="402"/>
      <c r="AN131" s="403"/>
      <c r="AO131" s="401"/>
      <c r="AP131" s="402"/>
      <c r="AQ131" s="403"/>
      <c r="AR131" s="401"/>
      <c r="AS131" s="202"/>
    </row>
    <row r="132" spans="1:45" ht="13.5" hidden="1" customHeight="1">
      <c r="A132" s="12"/>
      <c r="B132" s="358"/>
      <c r="C132" s="359"/>
      <c r="D132" s="359"/>
      <c r="E132" s="360"/>
      <c r="F132" s="230"/>
      <c r="G132" s="378"/>
      <c r="H132" s="362"/>
      <c r="I132" s="230"/>
      <c r="J132" s="230"/>
      <c r="K132" s="230"/>
      <c r="L132" s="364"/>
      <c r="M132" s="365"/>
      <c r="N132" s="366"/>
      <c r="O132" s="368"/>
      <c r="P132" s="368"/>
      <c r="Q132" s="408"/>
      <c r="R132" s="370"/>
      <c r="S132" s="370"/>
      <c r="T132" s="371"/>
      <c r="U132" s="384"/>
      <c r="V132" s="373"/>
      <c r="W132" s="400"/>
      <c r="X132" s="512"/>
      <c r="Y132" s="384"/>
      <c r="Z132" s="513"/>
      <c r="AA132" s="402"/>
      <c r="AB132" s="403"/>
      <c r="AC132" s="401"/>
      <c r="AD132" s="359"/>
      <c r="AE132" s="230"/>
      <c r="AF132" s="381"/>
      <c r="AG132" s="359"/>
      <c r="AH132" s="230"/>
      <c r="AI132" s="381"/>
      <c r="AJ132" s="359"/>
      <c r="AK132" s="230"/>
      <c r="AL132" s="381"/>
      <c r="AM132" s="402"/>
      <c r="AN132" s="403"/>
      <c r="AO132" s="401"/>
      <c r="AP132" s="402"/>
      <c r="AQ132" s="403"/>
      <c r="AR132" s="401"/>
      <c r="AS132" s="202"/>
    </row>
    <row r="133" spans="1:45" ht="13.5" hidden="1" customHeight="1">
      <c r="A133" s="12"/>
      <c r="B133" s="358" t="s">
        <v>470</v>
      </c>
      <c r="C133" s="359">
        <v>4</v>
      </c>
      <c r="D133" s="359">
        <v>64</v>
      </c>
      <c r="E133" s="360" t="s">
        <v>490</v>
      </c>
      <c r="F133" s="230" t="s">
        <v>489</v>
      </c>
      <c r="G133" s="361" t="s">
        <v>278</v>
      </c>
      <c r="H133" s="362"/>
      <c r="I133" s="230">
        <v>41849</v>
      </c>
      <c r="J133" s="230">
        <v>9</v>
      </c>
      <c r="K133" s="368"/>
      <c r="L133" s="364"/>
      <c r="M133" s="365" t="s">
        <v>491</v>
      </c>
      <c r="N133" s="366" t="s">
        <v>492</v>
      </c>
      <c r="O133" s="367">
        <v>14351705</v>
      </c>
      <c r="P133" s="368" t="s">
        <v>493</v>
      </c>
      <c r="Q133" s="369" t="s">
        <v>494</v>
      </c>
      <c r="R133" s="370" t="s">
        <v>370</v>
      </c>
      <c r="S133" s="370" t="s">
        <v>130</v>
      </c>
      <c r="T133" s="371"/>
      <c r="U133" s="384"/>
      <c r="V133" s="373"/>
      <c r="W133" s="398" t="s">
        <v>54</v>
      </c>
      <c r="X133" s="404">
        <v>45157</v>
      </c>
      <c r="Y133" s="384"/>
      <c r="Z133" s="513"/>
      <c r="AA133" s="359"/>
      <c r="AB133" s="230"/>
      <c r="AC133" s="381"/>
      <c r="AD133" s="359"/>
      <c r="AE133" s="230"/>
      <c r="AF133" s="381"/>
      <c r="AG133" s="402"/>
      <c r="AH133" s="403"/>
      <c r="AI133" s="401"/>
      <c r="AJ133" s="402"/>
      <c r="AK133" s="403"/>
      <c r="AL133" s="401"/>
      <c r="AM133" s="402"/>
      <c r="AN133" s="403"/>
      <c r="AO133" s="401"/>
      <c r="AP133" s="402"/>
      <c r="AQ133" s="403"/>
      <c r="AR133" s="401"/>
      <c r="AS133" s="202"/>
    </row>
    <row r="134" spans="1:45" ht="13.5" hidden="1" customHeight="1">
      <c r="A134" s="12"/>
      <c r="B134" s="358"/>
      <c r="C134" s="359"/>
      <c r="D134" s="359"/>
      <c r="E134" s="360"/>
      <c r="F134" s="230"/>
      <c r="G134" s="378"/>
      <c r="H134" s="362"/>
      <c r="I134" s="230"/>
      <c r="J134" s="230"/>
      <c r="K134" s="368"/>
      <c r="L134" s="364"/>
      <c r="M134" s="365"/>
      <c r="N134" s="366"/>
      <c r="O134" s="367"/>
      <c r="P134" s="368"/>
      <c r="Q134" s="382"/>
      <c r="R134" s="370"/>
      <c r="S134" s="370"/>
      <c r="T134" s="371"/>
      <c r="U134" s="384"/>
      <c r="V134" s="373"/>
      <c r="W134" s="400"/>
      <c r="X134" s="404"/>
      <c r="Y134" s="384"/>
      <c r="Z134" s="513"/>
      <c r="AA134" s="359"/>
      <c r="AB134" s="230"/>
      <c r="AC134" s="381"/>
      <c r="AD134" s="359"/>
      <c r="AE134" s="230"/>
      <c r="AF134" s="381"/>
      <c r="AG134" s="402"/>
      <c r="AH134" s="403"/>
      <c r="AI134" s="401"/>
      <c r="AJ134" s="402"/>
      <c r="AK134" s="403"/>
      <c r="AL134" s="401"/>
      <c r="AM134" s="402"/>
      <c r="AN134" s="403"/>
      <c r="AO134" s="401"/>
      <c r="AP134" s="402"/>
      <c r="AQ134" s="403"/>
      <c r="AR134" s="401"/>
      <c r="AS134" s="202"/>
    </row>
    <row r="135" spans="1:45" ht="13.5" hidden="1" customHeight="1">
      <c r="A135" s="12"/>
      <c r="B135" s="358" t="s">
        <v>470</v>
      </c>
      <c r="C135" s="359">
        <v>5</v>
      </c>
      <c r="D135" s="359">
        <v>65</v>
      </c>
      <c r="E135" s="360" t="s">
        <v>496</v>
      </c>
      <c r="F135" s="230" t="s">
        <v>495</v>
      </c>
      <c r="G135" s="361" t="s">
        <v>278</v>
      </c>
      <c r="H135" s="362"/>
      <c r="I135" s="230">
        <v>41726</v>
      </c>
      <c r="J135" s="230">
        <v>9</v>
      </c>
      <c r="K135" s="363"/>
      <c r="L135" s="364"/>
      <c r="M135" s="365" t="s">
        <v>497</v>
      </c>
      <c r="N135" s="366" t="s">
        <v>498</v>
      </c>
      <c r="O135" s="443">
        <v>18440643</v>
      </c>
      <c r="P135" s="368" t="s">
        <v>499</v>
      </c>
      <c r="Q135" s="406" t="s">
        <v>500</v>
      </c>
      <c r="R135" s="370" t="s">
        <v>501</v>
      </c>
      <c r="S135" s="370" t="s">
        <v>146</v>
      </c>
      <c r="T135" s="371"/>
      <c r="U135" s="384"/>
      <c r="V135" s="373"/>
      <c r="W135" s="374" t="s">
        <v>78</v>
      </c>
      <c r="X135" s="384">
        <v>45159</v>
      </c>
      <c r="Y135" s="202"/>
      <c r="Z135" s="513"/>
      <c r="AA135" s="402"/>
      <c r="AB135" s="403"/>
      <c r="AC135" s="401"/>
      <c r="AD135" s="359"/>
      <c r="AE135" s="230"/>
      <c r="AF135" s="381"/>
      <c r="AG135" s="402"/>
      <c r="AH135" s="403"/>
      <c r="AI135" s="401"/>
      <c r="AJ135" s="402"/>
      <c r="AK135" s="403"/>
      <c r="AL135" s="401"/>
      <c r="AM135" s="402"/>
      <c r="AN135" s="403"/>
      <c r="AO135" s="401"/>
      <c r="AP135" s="402"/>
      <c r="AQ135" s="403"/>
      <c r="AR135" s="401"/>
      <c r="AS135" s="202"/>
    </row>
    <row r="136" spans="1:45" ht="13.5" hidden="1" customHeight="1">
      <c r="A136" s="12"/>
      <c r="B136" s="358"/>
      <c r="C136" s="359"/>
      <c r="D136" s="359"/>
      <c r="E136" s="360"/>
      <c r="F136" s="230"/>
      <c r="G136" s="378"/>
      <c r="H136" s="362"/>
      <c r="I136" s="230"/>
      <c r="J136" s="230"/>
      <c r="K136" s="230"/>
      <c r="L136" s="364"/>
      <c r="M136" s="365"/>
      <c r="N136" s="366"/>
      <c r="O136" s="368"/>
      <c r="P136" s="368"/>
      <c r="Q136" s="408"/>
      <c r="R136" s="370"/>
      <c r="S136" s="370"/>
      <c r="T136" s="371"/>
      <c r="U136" s="384"/>
      <c r="V136" s="373"/>
      <c r="W136" s="383"/>
      <c r="X136" s="384"/>
      <c r="Y136" s="202"/>
      <c r="Z136" s="513"/>
      <c r="AA136" s="402"/>
      <c r="AB136" s="403"/>
      <c r="AC136" s="401"/>
      <c r="AD136" s="359"/>
      <c r="AE136" s="230"/>
      <c r="AF136" s="381"/>
      <c r="AG136" s="402"/>
      <c r="AH136" s="403"/>
      <c r="AI136" s="401"/>
      <c r="AJ136" s="402"/>
      <c r="AK136" s="403"/>
      <c r="AL136" s="401"/>
      <c r="AM136" s="402"/>
      <c r="AN136" s="403"/>
      <c r="AO136" s="401"/>
      <c r="AP136" s="402"/>
      <c r="AQ136" s="403"/>
      <c r="AR136" s="401"/>
      <c r="AS136" s="202"/>
    </row>
    <row r="137" spans="1:45" ht="13.5" hidden="1" customHeight="1">
      <c r="A137" s="12"/>
      <c r="B137" s="358" t="s">
        <v>470</v>
      </c>
      <c r="C137" s="359">
        <v>6</v>
      </c>
      <c r="D137" s="359">
        <v>66</v>
      </c>
      <c r="E137" s="360" t="s">
        <v>503</v>
      </c>
      <c r="F137" s="230" t="s">
        <v>502</v>
      </c>
      <c r="G137" s="361" t="s">
        <v>278</v>
      </c>
      <c r="H137" s="362"/>
      <c r="I137" s="230">
        <v>42516</v>
      </c>
      <c r="J137" s="230">
        <v>7</v>
      </c>
      <c r="K137" s="230"/>
      <c r="L137" s="364"/>
      <c r="M137" s="365" t="s">
        <v>504</v>
      </c>
      <c r="N137" s="366" t="s">
        <v>505</v>
      </c>
      <c r="O137" s="443">
        <v>16888252</v>
      </c>
      <c r="P137" s="368" t="s">
        <v>506</v>
      </c>
      <c r="Q137" s="406" t="s">
        <v>507</v>
      </c>
      <c r="R137" s="370" t="s">
        <v>370</v>
      </c>
      <c r="S137" s="370" t="s">
        <v>130</v>
      </c>
      <c r="T137" s="371"/>
      <c r="U137" s="384"/>
      <c r="V137" s="373"/>
      <c r="W137" s="374" t="s">
        <v>78</v>
      </c>
      <c r="X137" s="404">
        <v>45162</v>
      </c>
      <c r="Y137" s="384"/>
      <c r="Z137" s="513"/>
      <c r="AA137" s="359"/>
      <c r="AB137" s="230"/>
      <c r="AC137" s="381"/>
      <c r="AD137" s="359"/>
      <c r="AE137" s="230"/>
      <c r="AF137" s="381"/>
      <c r="AG137" s="402"/>
      <c r="AH137" s="403"/>
      <c r="AI137" s="401"/>
      <c r="AJ137" s="402"/>
      <c r="AK137" s="403"/>
      <c r="AL137" s="401"/>
      <c r="AM137" s="402"/>
      <c r="AN137" s="403"/>
      <c r="AO137" s="401"/>
      <c r="AP137" s="402"/>
      <c r="AQ137" s="403"/>
      <c r="AR137" s="401"/>
      <c r="AS137" s="202"/>
    </row>
    <row r="138" spans="1:45" ht="13.5" hidden="1" customHeight="1">
      <c r="A138" s="12"/>
      <c r="B138" s="358"/>
      <c r="C138" s="359"/>
      <c r="D138" s="359"/>
      <c r="E138" s="360"/>
      <c r="F138" s="230"/>
      <c r="G138" s="378"/>
      <c r="H138" s="362"/>
      <c r="I138" s="230"/>
      <c r="J138" s="230"/>
      <c r="K138" s="230"/>
      <c r="L138" s="364"/>
      <c r="M138" s="365"/>
      <c r="N138" s="366"/>
      <c r="O138" s="368"/>
      <c r="P138" s="368"/>
      <c r="Q138" s="408"/>
      <c r="R138" s="370"/>
      <c r="S138" s="370"/>
      <c r="T138" s="371"/>
      <c r="U138" s="384"/>
      <c r="V138" s="373"/>
      <c r="W138" s="383"/>
      <c r="X138" s="404"/>
      <c r="Y138" s="384"/>
      <c r="Z138" s="513"/>
      <c r="AA138" s="359"/>
      <c r="AB138" s="230"/>
      <c r="AC138" s="381"/>
      <c r="AD138" s="359"/>
      <c r="AE138" s="230"/>
      <c r="AF138" s="381"/>
      <c r="AG138" s="402"/>
      <c r="AH138" s="403"/>
      <c r="AI138" s="401"/>
      <c r="AJ138" s="402"/>
      <c r="AK138" s="403"/>
      <c r="AL138" s="401"/>
      <c r="AM138" s="402"/>
      <c r="AN138" s="403"/>
      <c r="AO138" s="401"/>
      <c r="AP138" s="402"/>
      <c r="AQ138" s="403"/>
      <c r="AR138" s="401"/>
      <c r="AS138" s="202"/>
    </row>
    <row r="139" spans="1:45" ht="13.5" hidden="1" customHeight="1">
      <c r="A139" s="12"/>
      <c r="B139" s="358" t="s">
        <v>470</v>
      </c>
      <c r="C139" s="359">
        <v>7</v>
      </c>
      <c r="D139" s="359">
        <v>67</v>
      </c>
      <c r="E139" s="360" t="s">
        <v>509</v>
      </c>
      <c r="F139" s="230" t="s">
        <v>508</v>
      </c>
      <c r="G139" s="361" t="s">
        <v>278</v>
      </c>
      <c r="H139" s="230"/>
      <c r="I139" s="230">
        <v>31820</v>
      </c>
      <c r="J139" s="230">
        <v>36</v>
      </c>
      <c r="K139" s="363" t="s">
        <v>510</v>
      </c>
      <c r="L139" s="364" t="s">
        <v>511</v>
      </c>
      <c r="M139" s="365" t="s">
        <v>504</v>
      </c>
      <c r="N139" s="366"/>
      <c r="O139" s="367"/>
      <c r="P139" s="368"/>
      <c r="Q139" s="391"/>
      <c r="R139" s="370" t="s">
        <v>281</v>
      </c>
      <c r="S139" s="370" t="s">
        <v>77</v>
      </c>
      <c r="T139" s="371"/>
      <c r="U139" s="384"/>
      <c r="V139" s="373"/>
      <c r="W139" s="374" t="s">
        <v>512</v>
      </c>
      <c r="X139" s="512">
        <v>45164</v>
      </c>
      <c r="Y139" s="384"/>
      <c r="Z139" s="513"/>
      <c r="AA139" s="359"/>
      <c r="AB139" s="230"/>
      <c r="AC139" s="381"/>
      <c r="AD139" s="359"/>
      <c r="AE139" s="230"/>
      <c r="AF139" s="381"/>
      <c r="AG139" s="359"/>
      <c r="AH139" s="230"/>
      <c r="AI139" s="381"/>
      <c r="AJ139" s="402"/>
      <c r="AK139" s="403"/>
      <c r="AL139" s="401"/>
      <c r="AM139" s="402"/>
      <c r="AN139" s="403"/>
      <c r="AO139" s="401"/>
      <c r="AP139" s="402"/>
      <c r="AQ139" s="403"/>
      <c r="AR139" s="401"/>
      <c r="AS139" s="202"/>
    </row>
    <row r="140" spans="1:45" ht="13.5" hidden="1" customHeight="1">
      <c r="A140" s="12"/>
      <c r="B140" s="358"/>
      <c r="C140" s="359"/>
      <c r="D140" s="359"/>
      <c r="E140" s="360"/>
      <c r="F140" s="230"/>
      <c r="G140" s="378"/>
      <c r="H140" s="230"/>
      <c r="I140" s="230"/>
      <c r="J140" s="230"/>
      <c r="K140" s="368"/>
      <c r="L140" s="364"/>
      <c r="M140" s="365"/>
      <c r="N140" s="366"/>
      <c r="O140" s="367"/>
      <c r="P140" s="368"/>
      <c r="Q140" s="391"/>
      <c r="R140" s="370"/>
      <c r="S140" s="370"/>
      <c r="T140" s="371"/>
      <c r="U140" s="384"/>
      <c r="V140" s="373"/>
      <c r="W140" s="400"/>
      <c r="X140" s="512"/>
      <c r="Y140" s="384"/>
      <c r="Z140" s="513"/>
      <c r="AA140" s="359"/>
      <c r="AB140" s="230"/>
      <c r="AC140" s="381"/>
      <c r="AD140" s="359"/>
      <c r="AE140" s="230"/>
      <c r="AF140" s="381"/>
      <c r="AG140" s="359"/>
      <c r="AH140" s="230"/>
      <c r="AI140" s="381"/>
      <c r="AJ140" s="402"/>
      <c r="AK140" s="403"/>
      <c r="AL140" s="401"/>
      <c r="AM140" s="402"/>
      <c r="AN140" s="403"/>
      <c r="AO140" s="401"/>
      <c r="AP140" s="402"/>
      <c r="AQ140" s="403"/>
      <c r="AR140" s="401"/>
      <c r="AS140" s="202"/>
    </row>
    <row r="141" spans="1:45" ht="13.5" hidden="1" customHeight="1">
      <c r="A141" s="12"/>
      <c r="B141" s="358" t="s">
        <v>470</v>
      </c>
      <c r="C141" s="359">
        <v>8</v>
      </c>
      <c r="D141" s="359">
        <v>68</v>
      </c>
      <c r="E141" s="360" t="s">
        <v>514</v>
      </c>
      <c r="F141" s="230" t="s">
        <v>513</v>
      </c>
      <c r="G141" s="361" t="s">
        <v>278</v>
      </c>
      <c r="H141" s="362"/>
      <c r="I141" s="230">
        <v>41634</v>
      </c>
      <c r="J141" s="230">
        <v>10</v>
      </c>
      <c r="K141" s="368"/>
      <c r="L141" s="451"/>
      <c r="M141" s="452" t="s">
        <v>515</v>
      </c>
      <c r="N141" s="409" t="s">
        <v>516</v>
      </c>
      <c r="O141" s="453">
        <v>13086280</v>
      </c>
      <c r="P141" s="454" t="s">
        <v>517</v>
      </c>
      <c r="Q141" s="504" t="s">
        <v>518</v>
      </c>
      <c r="R141" s="370" t="s">
        <v>370</v>
      </c>
      <c r="S141" s="370" t="s">
        <v>130</v>
      </c>
      <c r="T141" s="371"/>
      <c r="U141" s="384"/>
      <c r="V141" s="373"/>
      <c r="W141" s="398" t="s">
        <v>54</v>
      </c>
      <c r="X141" s="404">
        <v>45173</v>
      </c>
      <c r="Y141" s="384"/>
      <c r="Z141" s="513"/>
      <c r="AA141" s="402"/>
      <c r="AB141" s="403"/>
      <c r="AC141" s="401"/>
      <c r="AD141" s="402"/>
      <c r="AE141" s="403"/>
      <c r="AF141" s="401"/>
      <c r="AG141" s="402"/>
      <c r="AH141" s="403"/>
      <c r="AI141" s="401"/>
      <c r="AJ141" s="402"/>
      <c r="AK141" s="403"/>
      <c r="AL141" s="401"/>
      <c r="AM141" s="402"/>
      <c r="AN141" s="403"/>
      <c r="AO141" s="401"/>
      <c r="AP141" s="402"/>
      <c r="AQ141" s="403"/>
      <c r="AR141" s="401"/>
      <c r="AS141" s="202"/>
    </row>
    <row r="142" spans="1:45" ht="13.5" hidden="1" customHeight="1">
      <c r="A142" s="12"/>
      <c r="B142" s="358"/>
      <c r="C142" s="359"/>
      <c r="D142" s="359"/>
      <c r="E142" s="360"/>
      <c r="F142" s="230"/>
      <c r="G142" s="378"/>
      <c r="H142" s="362"/>
      <c r="I142" s="230"/>
      <c r="J142" s="230"/>
      <c r="K142" s="368"/>
      <c r="L142" s="427"/>
      <c r="M142" s="439"/>
      <c r="N142" s="425"/>
      <c r="O142" s="440"/>
      <c r="P142" s="429"/>
      <c r="Q142" s="430"/>
      <c r="R142" s="370"/>
      <c r="S142" s="370"/>
      <c r="T142" s="371"/>
      <c r="U142" s="384"/>
      <c r="V142" s="373"/>
      <c r="W142" s="400"/>
      <c r="X142" s="404"/>
      <c r="Y142" s="384"/>
      <c r="Z142" s="513"/>
      <c r="AA142" s="402"/>
      <c r="AB142" s="403"/>
      <c r="AC142" s="401"/>
      <c r="AD142" s="402"/>
      <c r="AE142" s="403"/>
      <c r="AF142" s="401"/>
      <c r="AG142" s="402"/>
      <c r="AH142" s="403"/>
      <c r="AI142" s="401"/>
      <c r="AJ142" s="402"/>
      <c r="AK142" s="403"/>
      <c r="AL142" s="401"/>
      <c r="AM142" s="402"/>
      <c r="AN142" s="403"/>
      <c r="AO142" s="401"/>
      <c r="AP142" s="402"/>
      <c r="AQ142" s="403"/>
      <c r="AR142" s="401"/>
      <c r="AS142" s="202"/>
    </row>
    <row r="143" spans="1:45" ht="13.5" hidden="1" customHeight="1">
      <c r="A143" s="12"/>
      <c r="B143" s="358" t="s">
        <v>470</v>
      </c>
      <c r="C143" s="359">
        <v>9</v>
      </c>
      <c r="D143" s="359">
        <v>69</v>
      </c>
      <c r="E143" s="360" t="s">
        <v>520</v>
      </c>
      <c r="F143" s="230" t="s">
        <v>519</v>
      </c>
      <c r="G143" s="361" t="s">
        <v>278</v>
      </c>
      <c r="H143" s="362"/>
      <c r="I143" s="230">
        <v>45523</v>
      </c>
      <c r="J143" s="230">
        <v>9</v>
      </c>
      <c r="K143" s="363" t="s">
        <v>521</v>
      </c>
      <c r="L143" s="451" t="s">
        <v>522</v>
      </c>
      <c r="M143" s="452" t="s">
        <v>523</v>
      </c>
      <c r="N143" s="409" t="s">
        <v>524</v>
      </c>
      <c r="O143" s="453">
        <v>4483451</v>
      </c>
      <c r="P143" s="454" t="s">
        <v>522</v>
      </c>
      <c r="Q143" s="504" t="s">
        <v>525</v>
      </c>
      <c r="R143" s="370" t="s">
        <v>370</v>
      </c>
      <c r="S143" s="370" t="s">
        <v>130</v>
      </c>
      <c r="T143" s="371"/>
      <c r="U143" s="384"/>
      <c r="V143" s="373"/>
      <c r="W143" s="398" t="s">
        <v>54</v>
      </c>
      <c r="X143" s="512">
        <v>45177</v>
      </c>
      <c r="Y143" s="384"/>
      <c r="Z143" s="513"/>
      <c r="AA143" s="402"/>
      <c r="AB143" s="403"/>
      <c r="AC143" s="401"/>
      <c r="AD143" s="402"/>
      <c r="AE143" s="403"/>
      <c r="AF143" s="401"/>
      <c r="AG143" s="402"/>
      <c r="AH143" s="403"/>
      <c r="AI143" s="401"/>
      <c r="AJ143" s="402"/>
      <c r="AK143" s="403"/>
      <c r="AL143" s="401"/>
      <c r="AM143" s="402"/>
      <c r="AN143" s="403"/>
      <c r="AO143" s="401"/>
      <c r="AP143" s="402"/>
      <c r="AQ143" s="403"/>
      <c r="AR143" s="401"/>
      <c r="AS143" s="202"/>
    </row>
    <row r="144" spans="1:45" ht="13.5" hidden="1" customHeight="1">
      <c r="A144" s="12"/>
      <c r="B144" s="358"/>
      <c r="C144" s="359"/>
      <c r="D144" s="359"/>
      <c r="E144" s="360"/>
      <c r="F144" s="230"/>
      <c r="G144" s="378"/>
      <c r="H144" s="362"/>
      <c r="I144" s="230"/>
      <c r="J144" s="230"/>
      <c r="K144" s="368"/>
      <c r="L144" s="427"/>
      <c r="M144" s="439"/>
      <c r="N144" s="425"/>
      <c r="O144" s="440"/>
      <c r="P144" s="429"/>
      <c r="Q144" s="430"/>
      <c r="R144" s="370"/>
      <c r="S144" s="370"/>
      <c r="T144" s="371"/>
      <c r="U144" s="384"/>
      <c r="V144" s="373"/>
      <c r="W144" s="400"/>
      <c r="X144" s="512"/>
      <c r="Y144" s="384"/>
      <c r="Z144" s="513"/>
      <c r="AA144" s="402"/>
      <c r="AB144" s="403"/>
      <c r="AC144" s="401"/>
      <c r="AD144" s="402"/>
      <c r="AE144" s="403"/>
      <c r="AF144" s="401"/>
      <c r="AG144" s="402"/>
      <c r="AH144" s="403"/>
      <c r="AI144" s="401"/>
      <c r="AJ144" s="402"/>
      <c r="AK144" s="403"/>
      <c r="AL144" s="401"/>
      <c r="AM144" s="402"/>
      <c r="AN144" s="403"/>
      <c r="AO144" s="401"/>
      <c r="AP144" s="402"/>
      <c r="AQ144" s="403"/>
      <c r="AR144" s="401"/>
      <c r="AS144" s="202"/>
    </row>
    <row r="145" spans="1:45" ht="13.5" hidden="1" customHeight="1">
      <c r="A145" s="12"/>
      <c r="B145" s="358" t="s">
        <v>470</v>
      </c>
      <c r="C145" s="359">
        <v>10</v>
      </c>
      <c r="D145" s="359">
        <v>70</v>
      </c>
      <c r="E145" s="360" t="s">
        <v>2561</v>
      </c>
      <c r="F145" s="230" t="s">
        <v>526</v>
      </c>
      <c r="G145" s="361" t="s">
        <v>278</v>
      </c>
      <c r="H145" s="362">
        <v>27322267</v>
      </c>
      <c r="I145" s="510">
        <v>36448</v>
      </c>
      <c r="J145" s="230">
        <v>23</v>
      </c>
      <c r="K145" s="363" t="s">
        <v>528</v>
      </c>
      <c r="L145" s="364" t="s">
        <v>529</v>
      </c>
      <c r="M145" s="405" t="s">
        <v>530</v>
      </c>
      <c r="N145" s="366" t="s">
        <v>531</v>
      </c>
      <c r="O145" s="443">
        <v>11820753</v>
      </c>
      <c r="P145" s="368" t="s">
        <v>529</v>
      </c>
      <c r="Q145" s="406" t="s">
        <v>532</v>
      </c>
      <c r="R145" s="370" t="s">
        <v>479</v>
      </c>
      <c r="S145" s="370" t="s">
        <v>310</v>
      </c>
      <c r="T145" s="371"/>
      <c r="U145" s="384"/>
      <c r="V145" s="515"/>
      <c r="W145" s="398" t="s">
        <v>54</v>
      </c>
      <c r="X145" s="512">
        <v>45177</v>
      </c>
      <c r="Y145" s="384"/>
      <c r="Z145" s="513"/>
      <c r="AA145" s="402"/>
      <c r="AB145" s="403"/>
      <c r="AC145" s="401"/>
      <c r="AD145" s="402"/>
      <c r="AE145" s="403"/>
      <c r="AF145" s="401"/>
      <c r="AG145" s="402"/>
      <c r="AH145" s="403"/>
      <c r="AI145" s="401"/>
      <c r="AJ145" s="402"/>
      <c r="AK145" s="403"/>
      <c r="AL145" s="401"/>
      <c r="AM145" s="402"/>
      <c r="AN145" s="403"/>
      <c r="AO145" s="401"/>
      <c r="AP145" s="402"/>
      <c r="AQ145" s="403"/>
      <c r="AR145" s="401"/>
      <c r="AS145" s="202"/>
    </row>
    <row r="146" spans="1:45" ht="13.5" hidden="1" customHeight="1">
      <c r="A146" s="12"/>
      <c r="B146" s="358"/>
      <c r="C146" s="359"/>
      <c r="D146" s="359"/>
      <c r="E146" s="360"/>
      <c r="F146" s="230"/>
      <c r="G146" s="378"/>
      <c r="H146" s="230"/>
      <c r="I146" s="510"/>
      <c r="J146" s="230"/>
      <c r="K146" s="368"/>
      <c r="L146" s="364"/>
      <c r="M146" s="405"/>
      <c r="N146" s="366"/>
      <c r="O146" s="368"/>
      <c r="P146" s="368"/>
      <c r="Q146" s="408"/>
      <c r="R146" s="370"/>
      <c r="S146" s="370"/>
      <c r="T146" s="371"/>
      <c r="U146" s="384"/>
      <c r="V146" s="515"/>
      <c r="W146" s="400"/>
      <c r="X146" s="512"/>
      <c r="Y146" s="384"/>
      <c r="Z146" s="513"/>
      <c r="AA146" s="402"/>
      <c r="AB146" s="403"/>
      <c r="AC146" s="401"/>
      <c r="AD146" s="402"/>
      <c r="AE146" s="403"/>
      <c r="AF146" s="401"/>
      <c r="AG146" s="402"/>
      <c r="AH146" s="403"/>
      <c r="AI146" s="401"/>
      <c r="AJ146" s="402"/>
      <c r="AK146" s="403"/>
      <c r="AL146" s="401"/>
      <c r="AM146" s="402"/>
      <c r="AN146" s="403"/>
      <c r="AO146" s="401"/>
      <c r="AP146" s="402"/>
      <c r="AQ146" s="403"/>
      <c r="AR146" s="401"/>
      <c r="AS146" s="202"/>
    </row>
    <row r="147" spans="1:45" ht="13.5" hidden="1" customHeight="1">
      <c r="A147" s="12"/>
      <c r="B147" s="358" t="s">
        <v>470</v>
      </c>
      <c r="C147" s="359">
        <v>11</v>
      </c>
      <c r="D147" s="359">
        <v>71</v>
      </c>
      <c r="E147" s="360" t="s">
        <v>534</v>
      </c>
      <c r="F147" s="230" t="s">
        <v>533</v>
      </c>
      <c r="G147" s="361" t="s">
        <v>278</v>
      </c>
      <c r="H147" s="362">
        <v>36034348</v>
      </c>
      <c r="I147" s="510">
        <v>42215</v>
      </c>
      <c r="J147" s="230">
        <v>10</v>
      </c>
      <c r="K147" s="368"/>
      <c r="L147" s="364" t="s">
        <v>535</v>
      </c>
      <c r="M147" s="405" t="s">
        <v>536</v>
      </c>
      <c r="N147" s="366" t="s">
        <v>537</v>
      </c>
      <c r="O147" s="443">
        <v>18109178</v>
      </c>
      <c r="P147" s="368" t="s">
        <v>538</v>
      </c>
      <c r="Q147" s="406" t="s">
        <v>539</v>
      </c>
      <c r="R147" s="370" t="s">
        <v>369</v>
      </c>
      <c r="S147" s="370" t="s">
        <v>146</v>
      </c>
      <c r="T147" s="371"/>
      <c r="U147" s="384"/>
      <c r="V147" s="515"/>
      <c r="W147" s="374" t="s">
        <v>78</v>
      </c>
      <c r="X147" s="512">
        <v>45238</v>
      </c>
      <c r="Y147" s="384"/>
      <c r="Z147" s="513"/>
      <c r="AA147" s="402"/>
      <c r="AB147" s="403"/>
      <c r="AC147" s="401"/>
      <c r="AD147" s="402"/>
      <c r="AE147" s="403"/>
      <c r="AF147" s="401"/>
      <c r="AG147" s="402"/>
      <c r="AH147" s="403"/>
      <c r="AI147" s="401"/>
      <c r="AJ147" s="402"/>
      <c r="AK147" s="403"/>
      <c r="AL147" s="401"/>
      <c r="AM147" s="402"/>
      <c r="AN147" s="403"/>
      <c r="AO147" s="401"/>
      <c r="AP147" s="402"/>
      <c r="AQ147" s="403"/>
      <c r="AR147" s="401"/>
      <c r="AS147" s="202"/>
    </row>
    <row r="148" spans="1:45" ht="13.5" hidden="1" customHeight="1">
      <c r="A148" s="12"/>
      <c r="B148" s="358"/>
      <c r="C148" s="359"/>
      <c r="D148" s="359"/>
      <c r="E148" s="360"/>
      <c r="F148" s="230"/>
      <c r="G148" s="378"/>
      <c r="H148" s="230"/>
      <c r="I148" s="510"/>
      <c r="J148" s="230"/>
      <c r="K148" s="368"/>
      <c r="L148" s="364"/>
      <c r="M148" s="405"/>
      <c r="N148" s="366"/>
      <c r="O148" s="368"/>
      <c r="P148" s="368"/>
      <c r="Q148" s="408"/>
      <c r="R148" s="370"/>
      <c r="S148" s="370"/>
      <c r="T148" s="371"/>
      <c r="U148" s="384"/>
      <c r="V148" s="515"/>
      <c r="W148" s="383"/>
      <c r="X148" s="512"/>
      <c r="Y148" s="384"/>
      <c r="Z148" s="513"/>
      <c r="AA148" s="402"/>
      <c r="AB148" s="403"/>
      <c r="AC148" s="401"/>
      <c r="AD148" s="402"/>
      <c r="AE148" s="403"/>
      <c r="AF148" s="401"/>
      <c r="AG148" s="402"/>
      <c r="AH148" s="403"/>
      <c r="AI148" s="401"/>
      <c r="AJ148" s="402"/>
      <c r="AK148" s="403"/>
      <c r="AL148" s="401"/>
      <c r="AM148" s="402"/>
      <c r="AN148" s="403"/>
      <c r="AO148" s="401"/>
      <c r="AP148" s="402"/>
      <c r="AQ148" s="403"/>
      <c r="AR148" s="401"/>
      <c r="AS148" s="202"/>
    </row>
    <row r="149" spans="1:45" ht="13.5" hidden="1" customHeight="1">
      <c r="A149" s="12"/>
      <c r="B149" s="358" t="s">
        <v>470</v>
      </c>
      <c r="C149" s="359">
        <v>12</v>
      </c>
      <c r="D149" s="359">
        <v>72</v>
      </c>
      <c r="E149" s="360" t="s">
        <v>541</v>
      </c>
      <c r="F149" s="230" t="s">
        <v>540</v>
      </c>
      <c r="G149" s="361" t="s">
        <v>43</v>
      </c>
      <c r="H149" s="362">
        <v>24462857</v>
      </c>
      <c r="I149" s="230">
        <v>20690</v>
      </c>
      <c r="J149" s="230">
        <v>27</v>
      </c>
      <c r="K149" s="368"/>
      <c r="L149" s="364" t="s">
        <v>542</v>
      </c>
      <c r="M149" s="365" t="s">
        <v>543</v>
      </c>
      <c r="N149" s="366"/>
      <c r="O149" s="367"/>
      <c r="P149" s="368"/>
      <c r="Q149" s="455"/>
      <c r="R149" s="370" t="s">
        <v>544</v>
      </c>
      <c r="S149" s="370" t="s">
        <v>310</v>
      </c>
      <c r="T149" s="371"/>
      <c r="U149" s="384"/>
      <c r="V149" s="373"/>
      <c r="W149" s="374" t="s">
        <v>78</v>
      </c>
      <c r="X149" s="512">
        <v>45310</v>
      </c>
      <c r="Y149" s="384"/>
      <c r="Z149" s="513"/>
      <c r="AA149" s="359"/>
      <c r="AB149" s="230"/>
      <c r="AC149" s="501"/>
      <c r="AD149" s="359"/>
      <c r="AE149" s="230"/>
      <c r="AF149" s="501"/>
      <c r="AG149" s="402"/>
      <c r="AH149" s="403"/>
      <c r="AI149" s="401"/>
      <c r="AJ149" s="402"/>
      <c r="AK149" s="403"/>
      <c r="AL149" s="401"/>
      <c r="AM149" s="402"/>
      <c r="AN149" s="403"/>
      <c r="AO149" s="401"/>
      <c r="AP149" s="402"/>
      <c r="AQ149" s="403"/>
      <c r="AR149" s="401"/>
      <c r="AS149" s="202"/>
    </row>
    <row r="150" spans="1:45" ht="13.5" hidden="1" customHeight="1">
      <c r="A150" s="12"/>
      <c r="B150" s="358"/>
      <c r="C150" s="359"/>
      <c r="D150" s="359"/>
      <c r="E150" s="360"/>
      <c r="F150" s="230"/>
      <c r="G150" s="378"/>
      <c r="H150" s="362"/>
      <c r="I150" s="230"/>
      <c r="J150" s="230"/>
      <c r="K150" s="368"/>
      <c r="L150" s="364"/>
      <c r="M150" s="365"/>
      <c r="N150" s="366"/>
      <c r="O150" s="367"/>
      <c r="P150" s="368"/>
      <c r="Q150" s="455"/>
      <c r="R150" s="370"/>
      <c r="S150" s="370"/>
      <c r="T150" s="371"/>
      <c r="U150" s="384"/>
      <c r="V150" s="373"/>
      <c r="W150" s="383"/>
      <c r="X150" s="512"/>
      <c r="Y150" s="384"/>
      <c r="Z150" s="513"/>
      <c r="AA150" s="359"/>
      <c r="AB150" s="230"/>
      <c r="AC150" s="501"/>
      <c r="AD150" s="359"/>
      <c r="AE150" s="230"/>
      <c r="AF150" s="501"/>
      <c r="AG150" s="402"/>
      <c r="AH150" s="403"/>
      <c r="AI150" s="401"/>
      <c r="AJ150" s="402"/>
      <c r="AK150" s="403"/>
      <c r="AL150" s="401"/>
      <c r="AM150" s="402"/>
      <c r="AN150" s="403"/>
      <c r="AO150" s="401"/>
      <c r="AP150" s="402"/>
      <c r="AQ150" s="403"/>
      <c r="AR150" s="401"/>
      <c r="AS150" s="202"/>
    </row>
    <row r="151" spans="1:45" ht="13.5" hidden="1" customHeight="1">
      <c r="A151" s="12"/>
      <c r="B151" s="358" t="s">
        <v>470</v>
      </c>
      <c r="C151" s="359">
        <v>13</v>
      </c>
      <c r="D151" s="359">
        <v>73</v>
      </c>
      <c r="E151" s="360" t="s">
        <v>546</v>
      </c>
      <c r="F151" s="230" t="s">
        <v>545</v>
      </c>
      <c r="G151" s="361" t="s">
        <v>43</v>
      </c>
      <c r="H151" s="230"/>
      <c r="I151" s="230">
        <v>40461</v>
      </c>
      <c r="J151" s="230">
        <v>13</v>
      </c>
      <c r="K151" s="363" t="s">
        <v>547</v>
      </c>
      <c r="L151" s="364" t="s">
        <v>548</v>
      </c>
      <c r="M151" s="452" t="s">
        <v>549</v>
      </c>
      <c r="N151" s="409" t="s">
        <v>550</v>
      </c>
      <c r="O151" s="453" t="s">
        <v>551</v>
      </c>
      <c r="P151" s="454">
        <v>4143004467</v>
      </c>
      <c r="Q151" s="397" t="s">
        <v>547</v>
      </c>
      <c r="R151" s="370" t="s">
        <v>552</v>
      </c>
      <c r="S151" s="370" t="s">
        <v>553</v>
      </c>
      <c r="T151" s="371"/>
      <c r="U151" s="384"/>
      <c r="V151" s="515">
        <v>300</v>
      </c>
      <c r="W151" s="374" t="s">
        <v>78</v>
      </c>
      <c r="X151" s="512">
        <v>45310</v>
      </c>
      <c r="Y151" s="384" t="s">
        <v>552</v>
      </c>
      <c r="Z151" s="513">
        <v>300</v>
      </c>
      <c r="AA151" s="359"/>
      <c r="AB151" s="230"/>
      <c r="AC151" s="501"/>
      <c r="AD151" s="402"/>
      <c r="AE151" s="403"/>
      <c r="AF151" s="401"/>
      <c r="AG151" s="402"/>
      <c r="AH151" s="403"/>
      <c r="AI151" s="401"/>
      <c r="AJ151" s="402"/>
      <c r="AK151" s="403"/>
      <c r="AL151" s="401"/>
      <c r="AM151" s="402"/>
      <c r="AN151" s="403"/>
      <c r="AO151" s="401"/>
      <c r="AP151" s="402"/>
      <c r="AQ151" s="403"/>
      <c r="AR151" s="401"/>
      <c r="AS151" s="202"/>
    </row>
    <row r="152" spans="1:45" ht="13.5" hidden="1" customHeight="1">
      <c r="A152" s="12"/>
      <c r="B152" s="358"/>
      <c r="C152" s="359"/>
      <c r="D152" s="359"/>
      <c r="E152" s="360"/>
      <c r="F152" s="230"/>
      <c r="G152" s="378"/>
      <c r="H152" s="230"/>
      <c r="I152" s="230"/>
      <c r="J152" s="230"/>
      <c r="K152" s="368"/>
      <c r="L152" s="364"/>
      <c r="M152" s="439"/>
      <c r="N152" s="425"/>
      <c r="O152" s="440"/>
      <c r="P152" s="429"/>
      <c r="Q152" s="399"/>
      <c r="R152" s="370"/>
      <c r="S152" s="370"/>
      <c r="T152" s="371"/>
      <c r="U152" s="384"/>
      <c r="V152" s="515"/>
      <c r="W152" s="383"/>
      <c r="X152" s="512"/>
      <c r="Y152" s="384"/>
      <c r="Z152" s="513"/>
      <c r="AA152" s="359"/>
      <c r="AB152" s="230"/>
      <c r="AC152" s="501"/>
      <c r="AD152" s="402"/>
      <c r="AE152" s="403"/>
      <c r="AF152" s="401"/>
      <c r="AG152" s="402"/>
      <c r="AH152" s="403"/>
      <c r="AI152" s="401"/>
      <c r="AJ152" s="402"/>
      <c r="AK152" s="403"/>
      <c r="AL152" s="401"/>
      <c r="AM152" s="402"/>
      <c r="AN152" s="403"/>
      <c r="AO152" s="401"/>
      <c r="AP152" s="402"/>
      <c r="AQ152" s="403"/>
      <c r="AR152" s="401"/>
      <c r="AS152" s="202"/>
    </row>
    <row r="153" spans="1:45" ht="13.5" hidden="1" customHeight="1">
      <c r="A153" s="12"/>
      <c r="B153" s="358" t="s">
        <v>470</v>
      </c>
      <c r="C153" s="359">
        <v>14</v>
      </c>
      <c r="D153" s="359">
        <v>74</v>
      </c>
      <c r="E153" s="360" t="s">
        <v>555</v>
      </c>
      <c r="F153" s="230" t="s">
        <v>554</v>
      </c>
      <c r="G153" s="361" t="s">
        <v>43</v>
      </c>
      <c r="H153" s="362" t="s">
        <v>556</v>
      </c>
      <c r="I153" s="230">
        <v>40009</v>
      </c>
      <c r="J153" s="230">
        <v>14</v>
      </c>
      <c r="K153" s="363" t="s">
        <v>557</v>
      </c>
      <c r="L153" s="364" t="s">
        <v>558</v>
      </c>
      <c r="M153" s="452" t="s">
        <v>559</v>
      </c>
      <c r="N153" s="409" t="s">
        <v>560</v>
      </c>
      <c r="O153" s="453" t="s">
        <v>561</v>
      </c>
      <c r="P153" s="454" t="s">
        <v>562</v>
      </c>
      <c r="Q153" s="504" t="s">
        <v>563</v>
      </c>
      <c r="R153" s="370" t="s">
        <v>50</v>
      </c>
      <c r="S153" s="370" t="s">
        <v>146</v>
      </c>
      <c r="T153" s="371"/>
      <c r="U153" s="384"/>
      <c r="V153" s="515">
        <v>300</v>
      </c>
      <c r="W153" s="374" t="s">
        <v>78</v>
      </c>
      <c r="X153" s="512">
        <v>45310</v>
      </c>
      <c r="Y153" s="384" t="s">
        <v>50</v>
      </c>
      <c r="Z153" s="513">
        <v>300</v>
      </c>
      <c r="AA153" s="359"/>
      <c r="AB153" s="230"/>
      <c r="AC153" s="501"/>
      <c r="AD153" s="402"/>
      <c r="AE153" s="403"/>
      <c r="AF153" s="401"/>
      <c r="AG153" s="402"/>
      <c r="AH153" s="403"/>
      <c r="AI153" s="401"/>
      <c r="AJ153" s="402"/>
      <c r="AK153" s="403"/>
      <c r="AL153" s="401"/>
      <c r="AM153" s="402"/>
      <c r="AN153" s="403"/>
      <c r="AO153" s="401"/>
      <c r="AP153" s="402"/>
      <c r="AQ153" s="403"/>
      <c r="AR153" s="401"/>
      <c r="AS153" s="202"/>
    </row>
    <row r="154" spans="1:45" ht="13.5" hidden="1" customHeight="1">
      <c r="A154" s="12"/>
      <c r="B154" s="358"/>
      <c r="C154" s="359"/>
      <c r="D154" s="359"/>
      <c r="E154" s="360"/>
      <c r="F154" s="230"/>
      <c r="G154" s="378"/>
      <c r="H154" s="362"/>
      <c r="I154" s="230"/>
      <c r="J154" s="230"/>
      <c r="K154" s="368"/>
      <c r="L154" s="364"/>
      <c r="M154" s="439"/>
      <c r="N154" s="425"/>
      <c r="O154" s="440"/>
      <c r="P154" s="429"/>
      <c r="Q154" s="430"/>
      <c r="R154" s="370"/>
      <c r="S154" s="370"/>
      <c r="T154" s="371"/>
      <c r="U154" s="384"/>
      <c r="V154" s="515"/>
      <c r="W154" s="400"/>
      <c r="X154" s="512"/>
      <c r="Y154" s="384"/>
      <c r="Z154" s="513"/>
      <c r="AA154" s="359"/>
      <c r="AB154" s="230"/>
      <c r="AC154" s="501"/>
      <c r="AD154" s="402"/>
      <c r="AE154" s="403"/>
      <c r="AF154" s="401"/>
      <c r="AG154" s="402"/>
      <c r="AH154" s="403"/>
      <c r="AI154" s="401"/>
      <c r="AJ154" s="402"/>
      <c r="AK154" s="403"/>
      <c r="AL154" s="401"/>
      <c r="AM154" s="402"/>
      <c r="AN154" s="403"/>
      <c r="AO154" s="401"/>
      <c r="AP154" s="402"/>
      <c r="AQ154" s="403"/>
      <c r="AR154" s="401"/>
      <c r="AS154" s="202"/>
    </row>
    <row r="155" spans="1:45" ht="13.5" hidden="1" customHeight="1">
      <c r="A155" s="12"/>
      <c r="B155" s="358" t="s">
        <v>470</v>
      </c>
      <c r="C155" s="359">
        <v>15</v>
      </c>
      <c r="D155" s="359">
        <v>75</v>
      </c>
      <c r="E155" s="360" t="s">
        <v>565</v>
      </c>
      <c r="F155" s="230" t="s">
        <v>564</v>
      </c>
      <c r="G155" s="361" t="s">
        <v>43</v>
      </c>
      <c r="H155" s="362">
        <v>33510356</v>
      </c>
      <c r="I155" s="510">
        <v>39923</v>
      </c>
      <c r="J155" s="230">
        <v>14</v>
      </c>
      <c r="K155" s="363" t="s">
        <v>566</v>
      </c>
      <c r="L155" s="364" t="s">
        <v>567</v>
      </c>
      <c r="M155" s="405" t="s">
        <v>568</v>
      </c>
      <c r="N155" s="366" t="s">
        <v>569</v>
      </c>
      <c r="O155" s="367" t="s">
        <v>570</v>
      </c>
      <c r="P155" s="368" t="s">
        <v>571</v>
      </c>
      <c r="Q155" s="406" t="s">
        <v>572</v>
      </c>
      <c r="R155" s="370" t="s">
        <v>50</v>
      </c>
      <c r="S155" s="370" t="s">
        <v>146</v>
      </c>
      <c r="T155" s="371"/>
      <c r="U155" s="384"/>
      <c r="V155" s="373">
        <v>390</v>
      </c>
      <c r="W155" s="374" t="s">
        <v>78</v>
      </c>
      <c r="X155" s="512">
        <v>45313</v>
      </c>
      <c r="Y155" s="384" t="s">
        <v>50</v>
      </c>
      <c r="Z155" s="513">
        <v>130</v>
      </c>
      <c r="AA155" s="402"/>
      <c r="AB155" s="403"/>
      <c r="AC155" s="401"/>
      <c r="AD155" s="359"/>
      <c r="AE155" s="230"/>
      <c r="AF155" s="381"/>
      <c r="AG155" s="402"/>
      <c r="AH155" s="403"/>
      <c r="AI155" s="401"/>
      <c r="AJ155" s="402"/>
      <c r="AK155" s="403"/>
      <c r="AL155" s="401"/>
      <c r="AM155" s="402"/>
      <c r="AN155" s="403"/>
      <c r="AO155" s="401"/>
      <c r="AP155" s="402"/>
      <c r="AQ155" s="403"/>
      <c r="AR155" s="401"/>
      <c r="AS155" s="202"/>
    </row>
    <row r="156" spans="1:45" ht="13.5" hidden="1" customHeight="1">
      <c r="A156" s="12"/>
      <c r="B156" s="358"/>
      <c r="C156" s="359"/>
      <c r="D156" s="359"/>
      <c r="E156" s="360"/>
      <c r="F156" s="230"/>
      <c r="G156" s="378"/>
      <c r="H156" s="230"/>
      <c r="I156" s="510"/>
      <c r="J156" s="230"/>
      <c r="K156" s="368"/>
      <c r="L156" s="364"/>
      <c r="M156" s="405"/>
      <c r="N156" s="366"/>
      <c r="O156" s="367"/>
      <c r="P156" s="368"/>
      <c r="Q156" s="408"/>
      <c r="R156" s="370"/>
      <c r="S156" s="370"/>
      <c r="T156" s="371"/>
      <c r="U156" s="384"/>
      <c r="V156" s="373"/>
      <c r="W156" s="400"/>
      <c r="X156" s="512"/>
      <c r="Y156" s="384"/>
      <c r="Z156" s="513"/>
      <c r="AA156" s="402"/>
      <c r="AB156" s="403"/>
      <c r="AC156" s="401"/>
      <c r="AD156" s="359"/>
      <c r="AE156" s="230"/>
      <c r="AF156" s="381"/>
      <c r="AG156" s="402"/>
      <c r="AH156" s="403"/>
      <c r="AI156" s="401"/>
      <c r="AJ156" s="402"/>
      <c r="AK156" s="403"/>
      <c r="AL156" s="401"/>
      <c r="AM156" s="402"/>
      <c r="AN156" s="403"/>
      <c r="AO156" s="401"/>
      <c r="AP156" s="402"/>
      <c r="AQ156" s="403"/>
      <c r="AR156" s="401"/>
      <c r="AS156" s="202"/>
    </row>
    <row r="157" spans="1:45" ht="13.5" hidden="1" customHeight="1">
      <c r="A157" s="12"/>
      <c r="B157" s="358" t="s">
        <v>470</v>
      </c>
      <c r="C157" s="359">
        <v>16</v>
      </c>
      <c r="D157" s="359">
        <v>76</v>
      </c>
      <c r="E157" s="360" t="s">
        <v>574</v>
      </c>
      <c r="F157" s="230" t="s">
        <v>573</v>
      </c>
      <c r="G157" s="361" t="s">
        <v>43</v>
      </c>
      <c r="H157" s="362">
        <v>36235519</v>
      </c>
      <c r="I157" s="230">
        <v>41411</v>
      </c>
      <c r="J157" s="230">
        <v>10</v>
      </c>
      <c r="K157" s="368"/>
      <c r="L157" s="364"/>
      <c r="M157" s="365" t="s">
        <v>575</v>
      </c>
      <c r="N157" s="366" t="s">
        <v>576</v>
      </c>
      <c r="O157" s="367">
        <v>14674498</v>
      </c>
      <c r="P157" s="368" t="s">
        <v>577</v>
      </c>
      <c r="Q157" s="369" t="s">
        <v>578</v>
      </c>
      <c r="R157" s="370" t="s">
        <v>579</v>
      </c>
      <c r="S157" s="370" t="s">
        <v>580</v>
      </c>
      <c r="T157" s="371"/>
      <c r="U157" s="384"/>
      <c r="V157" s="373">
        <v>300</v>
      </c>
      <c r="W157" s="398" t="s">
        <v>78</v>
      </c>
      <c r="X157" s="512">
        <v>45313</v>
      </c>
      <c r="Y157" s="384" t="s">
        <v>369</v>
      </c>
      <c r="Z157" s="513">
        <v>300</v>
      </c>
      <c r="AA157" s="359"/>
      <c r="AB157" s="230"/>
      <c r="AC157" s="381"/>
      <c r="AD157" s="402"/>
      <c r="AE157" s="403"/>
      <c r="AF157" s="401"/>
      <c r="AG157" s="402"/>
      <c r="AH157" s="403"/>
      <c r="AI157" s="401"/>
      <c r="AJ157" s="402"/>
      <c r="AK157" s="403"/>
      <c r="AL157" s="401"/>
      <c r="AM157" s="402"/>
      <c r="AN157" s="403"/>
      <c r="AO157" s="401"/>
      <c r="AP157" s="402"/>
      <c r="AQ157" s="403"/>
      <c r="AR157" s="401"/>
      <c r="AS157" s="202"/>
    </row>
    <row r="158" spans="1:45" ht="13.5" hidden="1" customHeight="1">
      <c r="A158" s="12"/>
      <c r="B158" s="358"/>
      <c r="C158" s="359"/>
      <c r="D158" s="359"/>
      <c r="E158" s="360"/>
      <c r="F158" s="230"/>
      <c r="G158" s="378"/>
      <c r="H158" s="362"/>
      <c r="I158" s="230"/>
      <c r="J158" s="230"/>
      <c r="K158" s="368"/>
      <c r="L158" s="364"/>
      <c r="M158" s="365"/>
      <c r="N158" s="366"/>
      <c r="O158" s="367"/>
      <c r="P158" s="368"/>
      <c r="Q158" s="382"/>
      <c r="R158" s="370"/>
      <c r="S158" s="370"/>
      <c r="T158" s="371"/>
      <c r="U158" s="384"/>
      <c r="V158" s="373"/>
      <c r="W158" s="400"/>
      <c r="X158" s="512"/>
      <c r="Y158" s="384"/>
      <c r="Z158" s="513"/>
      <c r="AA158" s="359"/>
      <c r="AB158" s="230"/>
      <c r="AC158" s="381"/>
      <c r="AD158" s="402"/>
      <c r="AE158" s="403"/>
      <c r="AF158" s="401"/>
      <c r="AG158" s="402"/>
      <c r="AH158" s="403"/>
      <c r="AI158" s="401"/>
      <c r="AJ158" s="402"/>
      <c r="AK158" s="403"/>
      <c r="AL158" s="401"/>
      <c r="AM158" s="402"/>
      <c r="AN158" s="403"/>
      <c r="AO158" s="401"/>
      <c r="AP158" s="402"/>
      <c r="AQ158" s="403"/>
      <c r="AR158" s="401"/>
      <c r="AS158" s="202"/>
    </row>
    <row r="159" spans="1:45" ht="13.5" hidden="1" customHeight="1">
      <c r="A159" s="12"/>
      <c r="B159" s="358" t="s">
        <v>470</v>
      </c>
      <c r="C159" s="359">
        <v>17</v>
      </c>
      <c r="D159" s="359">
        <v>77</v>
      </c>
      <c r="E159" s="360" t="s">
        <v>582</v>
      </c>
      <c r="F159" s="230" t="s">
        <v>581</v>
      </c>
      <c r="G159" s="361" t="s">
        <v>43</v>
      </c>
      <c r="H159" s="362">
        <v>35121040</v>
      </c>
      <c r="I159" s="230">
        <v>41510</v>
      </c>
      <c r="J159" s="230">
        <v>10</v>
      </c>
      <c r="K159" s="368"/>
      <c r="L159" s="364"/>
      <c r="M159" s="365" t="s">
        <v>583</v>
      </c>
      <c r="N159" s="366" t="s">
        <v>584</v>
      </c>
      <c r="O159" s="367">
        <v>14574474</v>
      </c>
      <c r="P159" s="368" t="s">
        <v>585</v>
      </c>
      <c r="Q159" s="369" t="s">
        <v>586</v>
      </c>
      <c r="R159" s="370" t="s">
        <v>579</v>
      </c>
      <c r="S159" s="370" t="s">
        <v>146</v>
      </c>
      <c r="T159" s="371"/>
      <c r="U159" s="384"/>
      <c r="V159" s="515">
        <v>300</v>
      </c>
      <c r="W159" s="398" t="s">
        <v>78</v>
      </c>
      <c r="X159" s="512">
        <v>45313</v>
      </c>
      <c r="Y159" s="384" t="s">
        <v>369</v>
      </c>
      <c r="Z159" s="513">
        <v>300</v>
      </c>
      <c r="AA159" s="402"/>
      <c r="AB159" s="403"/>
      <c r="AC159" s="401"/>
      <c r="AD159" s="402"/>
      <c r="AE159" s="403"/>
      <c r="AF159" s="401"/>
      <c r="AG159" s="402"/>
      <c r="AH159" s="403"/>
      <c r="AI159" s="401"/>
      <c r="AJ159" s="402"/>
      <c r="AK159" s="403"/>
      <c r="AL159" s="401"/>
      <c r="AM159" s="402"/>
      <c r="AN159" s="403"/>
      <c r="AO159" s="401"/>
      <c r="AP159" s="402"/>
      <c r="AQ159" s="403"/>
      <c r="AR159" s="401"/>
      <c r="AS159" s="202"/>
    </row>
    <row r="160" spans="1:45" ht="13.5" hidden="1" customHeight="1">
      <c r="A160" s="12"/>
      <c r="B160" s="358"/>
      <c r="C160" s="359"/>
      <c r="D160" s="359"/>
      <c r="E160" s="360"/>
      <c r="F160" s="230"/>
      <c r="G160" s="378"/>
      <c r="H160" s="230"/>
      <c r="I160" s="230"/>
      <c r="J160" s="230"/>
      <c r="K160" s="368"/>
      <c r="L160" s="364"/>
      <c r="M160" s="365"/>
      <c r="N160" s="366"/>
      <c r="O160" s="367"/>
      <c r="P160" s="368"/>
      <c r="Q160" s="382"/>
      <c r="R160" s="370"/>
      <c r="S160" s="370"/>
      <c r="T160" s="371"/>
      <c r="U160" s="384"/>
      <c r="V160" s="515"/>
      <c r="W160" s="400"/>
      <c r="X160" s="512"/>
      <c r="Y160" s="384"/>
      <c r="Z160" s="513"/>
      <c r="AA160" s="402"/>
      <c r="AB160" s="403"/>
      <c r="AC160" s="401"/>
      <c r="AD160" s="402"/>
      <c r="AE160" s="403"/>
      <c r="AF160" s="401"/>
      <c r="AG160" s="402"/>
      <c r="AH160" s="403"/>
      <c r="AI160" s="401"/>
      <c r="AJ160" s="402"/>
      <c r="AK160" s="403"/>
      <c r="AL160" s="401"/>
      <c r="AM160" s="402"/>
      <c r="AN160" s="403"/>
      <c r="AO160" s="401"/>
      <c r="AP160" s="402"/>
      <c r="AQ160" s="403"/>
      <c r="AR160" s="401"/>
      <c r="AS160" s="202"/>
    </row>
    <row r="161" spans="1:45" ht="13.5" hidden="1" customHeight="1">
      <c r="A161" s="12" t="s">
        <v>587</v>
      </c>
      <c r="B161" s="358" t="s">
        <v>470</v>
      </c>
      <c r="C161" s="359">
        <v>18</v>
      </c>
      <c r="D161" s="359">
        <v>78</v>
      </c>
      <c r="E161" s="360" t="s">
        <v>589</v>
      </c>
      <c r="F161" s="230" t="s">
        <v>588</v>
      </c>
      <c r="G161" s="361" t="s">
        <v>43</v>
      </c>
      <c r="H161" s="362"/>
      <c r="I161" s="230"/>
      <c r="J161" s="230"/>
      <c r="K161" s="368"/>
      <c r="L161" s="364"/>
      <c r="M161" s="365"/>
      <c r="N161" s="366"/>
      <c r="O161" s="367"/>
      <c r="P161" s="368"/>
      <c r="Q161" s="455"/>
      <c r="R161" s="370" t="s">
        <v>281</v>
      </c>
      <c r="S161" s="370" t="s">
        <v>146</v>
      </c>
      <c r="T161" s="371"/>
      <c r="U161" s="384"/>
      <c r="V161" s="373">
        <v>300</v>
      </c>
      <c r="W161" s="398" t="s">
        <v>78</v>
      </c>
      <c r="X161" s="512">
        <v>45302</v>
      </c>
      <c r="Y161" s="384" t="s">
        <v>590</v>
      </c>
      <c r="Z161" s="513"/>
      <c r="AA161" s="402"/>
      <c r="AB161" s="403"/>
      <c r="AC161" s="401"/>
      <c r="AD161" s="359"/>
      <c r="AE161" s="230"/>
      <c r="AF161" s="381"/>
      <c r="AG161" s="402"/>
      <c r="AH161" s="403"/>
      <c r="AI161" s="401"/>
      <c r="AJ161" s="402"/>
      <c r="AK161" s="403"/>
      <c r="AL161" s="401"/>
      <c r="AM161" s="402"/>
      <c r="AN161" s="403"/>
      <c r="AO161" s="401"/>
      <c r="AP161" s="402"/>
      <c r="AQ161" s="403"/>
      <c r="AR161" s="401"/>
      <c r="AS161" s="202"/>
    </row>
    <row r="162" spans="1:45" ht="13.5" hidden="1" customHeight="1">
      <c r="A162" s="12"/>
      <c r="B162" s="358"/>
      <c r="C162" s="359"/>
      <c r="D162" s="359"/>
      <c r="E162" s="516"/>
      <c r="F162" s="230"/>
      <c r="G162" s="378"/>
      <c r="H162" s="362"/>
      <c r="I162" s="230"/>
      <c r="J162" s="230"/>
      <c r="K162" s="368"/>
      <c r="L162" s="364"/>
      <c r="M162" s="365"/>
      <c r="N162" s="366"/>
      <c r="O162" s="367"/>
      <c r="P162" s="368"/>
      <c r="Q162" s="455"/>
      <c r="R162" s="370"/>
      <c r="S162" s="370"/>
      <c r="T162" s="371"/>
      <c r="U162" s="384"/>
      <c r="V162" s="373"/>
      <c r="W162" s="400"/>
      <c r="X162" s="512"/>
      <c r="Y162" s="384"/>
      <c r="Z162" s="513"/>
      <c r="AA162" s="402"/>
      <c r="AB162" s="403"/>
      <c r="AC162" s="401"/>
      <c r="AD162" s="359"/>
      <c r="AE162" s="230"/>
      <c r="AF162" s="381"/>
      <c r="AG162" s="402"/>
      <c r="AH162" s="403"/>
      <c r="AI162" s="401"/>
      <c r="AJ162" s="402"/>
      <c r="AK162" s="403"/>
      <c r="AL162" s="401"/>
      <c r="AM162" s="402"/>
      <c r="AN162" s="403"/>
      <c r="AO162" s="401"/>
      <c r="AP162" s="402"/>
      <c r="AQ162" s="403"/>
      <c r="AR162" s="401"/>
      <c r="AS162" s="202"/>
    </row>
    <row r="163" spans="1:45" ht="13.5" hidden="1" customHeight="1">
      <c r="A163" s="12"/>
      <c r="B163" s="358" t="s">
        <v>470</v>
      </c>
      <c r="C163" s="359">
        <v>19</v>
      </c>
      <c r="D163" s="359">
        <v>79</v>
      </c>
      <c r="E163" s="360" t="s">
        <v>592</v>
      </c>
      <c r="F163" s="230" t="s">
        <v>591</v>
      </c>
      <c r="G163" s="361" t="s">
        <v>43</v>
      </c>
      <c r="H163" s="362">
        <v>36057718</v>
      </c>
      <c r="I163" s="230">
        <v>41768</v>
      </c>
      <c r="J163" s="230">
        <v>9</v>
      </c>
      <c r="K163" s="230"/>
      <c r="L163" s="364" t="s">
        <v>593</v>
      </c>
      <c r="M163" s="365" t="s">
        <v>594</v>
      </c>
      <c r="N163" s="366" t="s">
        <v>595</v>
      </c>
      <c r="O163" s="443">
        <v>13980047</v>
      </c>
      <c r="P163" s="368" t="s">
        <v>596</v>
      </c>
      <c r="Q163" s="406" t="s">
        <v>597</v>
      </c>
      <c r="R163" s="370" t="s">
        <v>579</v>
      </c>
      <c r="S163" s="370" t="s">
        <v>130</v>
      </c>
      <c r="T163" s="371"/>
      <c r="U163" s="384"/>
      <c r="V163" s="373">
        <v>300</v>
      </c>
      <c r="W163" s="398" t="s">
        <v>78</v>
      </c>
      <c r="X163" s="512">
        <v>45315</v>
      </c>
      <c r="Y163" s="384" t="s">
        <v>369</v>
      </c>
      <c r="Z163" s="513">
        <v>300</v>
      </c>
      <c r="AA163" s="402"/>
      <c r="AB163" s="403"/>
      <c r="AC163" s="401"/>
      <c r="AD163" s="359"/>
      <c r="AE163" s="230"/>
      <c r="AF163" s="381"/>
      <c r="AG163" s="402"/>
      <c r="AH163" s="403"/>
      <c r="AI163" s="401"/>
      <c r="AJ163" s="402"/>
      <c r="AK163" s="403"/>
      <c r="AL163" s="401"/>
      <c r="AM163" s="402"/>
      <c r="AN163" s="403"/>
      <c r="AO163" s="401"/>
      <c r="AP163" s="402"/>
      <c r="AQ163" s="403"/>
      <c r="AR163" s="401"/>
      <c r="AS163" s="202"/>
    </row>
    <row r="164" spans="1:45" ht="13.5" hidden="1" customHeight="1">
      <c r="A164" s="12"/>
      <c r="B164" s="358"/>
      <c r="C164" s="359"/>
      <c r="D164" s="359"/>
      <c r="E164" s="360"/>
      <c r="F164" s="230"/>
      <c r="G164" s="378"/>
      <c r="H164" s="362"/>
      <c r="I164" s="230"/>
      <c r="J164" s="230"/>
      <c r="K164" s="230"/>
      <c r="L164" s="364"/>
      <c r="M164" s="365"/>
      <c r="N164" s="366"/>
      <c r="O164" s="368"/>
      <c r="P164" s="368"/>
      <c r="Q164" s="408"/>
      <c r="R164" s="370"/>
      <c r="S164" s="370"/>
      <c r="T164" s="371"/>
      <c r="U164" s="384"/>
      <c r="V164" s="373"/>
      <c r="W164" s="400"/>
      <c r="X164" s="512"/>
      <c r="Y164" s="384"/>
      <c r="Z164" s="513"/>
      <c r="AA164" s="402"/>
      <c r="AB164" s="403"/>
      <c r="AC164" s="401"/>
      <c r="AD164" s="359"/>
      <c r="AE164" s="230"/>
      <c r="AF164" s="381"/>
      <c r="AG164" s="402"/>
      <c r="AH164" s="403"/>
      <c r="AI164" s="401"/>
      <c r="AJ164" s="402"/>
      <c r="AK164" s="403"/>
      <c r="AL164" s="401"/>
      <c r="AM164" s="402"/>
      <c r="AN164" s="403"/>
      <c r="AO164" s="401"/>
      <c r="AP164" s="402"/>
      <c r="AQ164" s="403"/>
      <c r="AR164" s="401"/>
      <c r="AS164" s="202"/>
    </row>
    <row r="165" spans="1:45" ht="13.5" hidden="1" customHeight="1">
      <c r="A165" s="12"/>
      <c r="B165" s="358" t="s">
        <v>470</v>
      </c>
      <c r="C165" s="359">
        <v>20</v>
      </c>
      <c r="D165" s="359">
        <v>80</v>
      </c>
      <c r="E165" s="360" t="s">
        <v>599</v>
      </c>
      <c r="F165" s="230" t="s">
        <v>598</v>
      </c>
      <c r="G165" s="361" t="s">
        <v>43</v>
      </c>
      <c r="H165" s="362">
        <v>33884397</v>
      </c>
      <c r="I165" s="230"/>
      <c r="J165" s="230"/>
      <c r="K165" s="363" t="s">
        <v>600</v>
      </c>
      <c r="L165" s="364" t="s">
        <v>601</v>
      </c>
      <c r="M165" s="365" t="s">
        <v>602</v>
      </c>
      <c r="N165" s="366" t="s">
        <v>603</v>
      </c>
      <c r="O165" s="367">
        <v>12729203</v>
      </c>
      <c r="P165" s="368" t="s">
        <v>604</v>
      </c>
      <c r="Q165" s="369" t="s">
        <v>605</v>
      </c>
      <c r="R165" s="370" t="s">
        <v>281</v>
      </c>
      <c r="S165" s="370" t="s">
        <v>146</v>
      </c>
      <c r="T165" s="371"/>
      <c r="U165" s="384"/>
      <c r="V165" s="373">
        <v>280</v>
      </c>
      <c r="W165" s="398" t="s">
        <v>78</v>
      </c>
      <c r="X165" s="404">
        <v>45315</v>
      </c>
      <c r="Y165" s="384" t="s">
        <v>281</v>
      </c>
      <c r="Z165" s="513">
        <v>280</v>
      </c>
      <c r="AA165" s="359"/>
      <c r="AB165" s="230"/>
      <c r="AC165" s="381"/>
      <c r="AD165" s="359"/>
      <c r="AE165" s="230"/>
      <c r="AF165" s="381"/>
      <c r="AG165" s="402"/>
      <c r="AH165" s="403"/>
      <c r="AI165" s="401"/>
      <c r="AJ165" s="402"/>
      <c r="AK165" s="403"/>
      <c r="AL165" s="401"/>
      <c r="AM165" s="402"/>
      <c r="AN165" s="403"/>
      <c r="AO165" s="401"/>
      <c r="AP165" s="402"/>
      <c r="AQ165" s="403"/>
      <c r="AR165" s="401"/>
      <c r="AS165" s="202"/>
    </row>
    <row r="166" spans="1:45" ht="13.5" hidden="1" customHeight="1">
      <c r="A166" s="12"/>
      <c r="B166" s="358"/>
      <c r="C166" s="359"/>
      <c r="D166" s="359"/>
      <c r="E166" s="360"/>
      <c r="F166" s="230"/>
      <c r="G166" s="378"/>
      <c r="H166" s="362"/>
      <c r="I166" s="230"/>
      <c r="J166" s="230"/>
      <c r="K166" s="368"/>
      <c r="L166" s="364"/>
      <c r="M166" s="365"/>
      <c r="N166" s="366"/>
      <c r="O166" s="367"/>
      <c r="P166" s="368"/>
      <c r="Q166" s="382"/>
      <c r="R166" s="370"/>
      <c r="S166" s="370"/>
      <c r="T166" s="371"/>
      <c r="U166" s="384"/>
      <c r="V166" s="373"/>
      <c r="W166" s="400"/>
      <c r="X166" s="404"/>
      <c r="Y166" s="384"/>
      <c r="Z166" s="513"/>
      <c r="AA166" s="359"/>
      <c r="AB166" s="230"/>
      <c r="AC166" s="381"/>
      <c r="AD166" s="359"/>
      <c r="AE166" s="230"/>
      <c r="AF166" s="381"/>
      <c r="AG166" s="402"/>
      <c r="AH166" s="403"/>
      <c r="AI166" s="401"/>
      <c r="AJ166" s="402"/>
      <c r="AK166" s="403"/>
      <c r="AL166" s="401"/>
      <c r="AM166" s="402"/>
      <c r="AN166" s="403"/>
      <c r="AO166" s="401"/>
      <c r="AP166" s="402"/>
      <c r="AQ166" s="403"/>
      <c r="AR166" s="401"/>
      <c r="AS166" s="202"/>
    </row>
    <row r="167" spans="1:45" ht="13.5" hidden="1" customHeight="1">
      <c r="A167" s="12"/>
      <c r="B167" s="358" t="s">
        <v>606</v>
      </c>
      <c r="C167" s="359">
        <v>1</v>
      </c>
      <c r="D167" s="359">
        <v>81</v>
      </c>
      <c r="E167" s="360" t="s">
        <v>608</v>
      </c>
      <c r="F167" s="230" t="s">
        <v>607</v>
      </c>
      <c r="G167" s="361" t="s">
        <v>43</v>
      </c>
      <c r="H167" s="230"/>
      <c r="I167" s="230"/>
      <c r="J167" s="230">
        <v>15</v>
      </c>
      <c r="K167" s="368"/>
      <c r="L167" s="364" t="s">
        <v>609</v>
      </c>
      <c r="M167" s="365" t="s">
        <v>610</v>
      </c>
      <c r="N167" s="366" t="s">
        <v>611</v>
      </c>
      <c r="O167" s="367">
        <v>15519023</v>
      </c>
      <c r="P167" s="368"/>
      <c r="Q167" s="442" t="s">
        <v>612</v>
      </c>
      <c r="R167" s="370" t="s">
        <v>281</v>
      </c>
      <c r="S167" s="370"/>
      <c r="T167" s="371"/>
      <c r="U167" s="384"/>
      <c r="V167" s="373">
        <v>280</v>
      </c>
      <c r="W167" s="398" t="s">
        <v>78</v>
      </c>
      <c r="X167" s="512">
        <v>45320</v>
      </c>
      <c r="Y167" s="384" t="s">
        <v>281</v>
      </c>
      <c r="Z167" s="513">
        <v>280</v>
      </c>
      <c r="AA167" s="359"/>
      <c r="AB167" s="230"/>
      <c r="AC167" s="381"/>
      <c r="AD167" s="402"/>
      <c r="AE167" s="230"/>
      <c r="AF167" s="381"/>
      <c r="AG167" s="402"/>
      <c r="AH167" s="403"/>
      <c r="AI167" s="401"/>
      <c r="AJ167" s="402"/>
      <c r="AK167" s="403"/>
      <c r="AL167" s="401"/>
      <c r="AM167" s="402"/>
      <c r="AN167" s="403"/>
      <c r="AO167" s="401"/>
      <c r="AP167" s="402"/>
      <c r="AQ167" s="403"/>
      <c r="AR167" s="401"/>
      <c r="AS167" s="202"/>
    </row>
    <row r="168" spans="1:45" ht="13.5" hidden="1" customHeight="1">
      <c r="A168" s="12"/>
      <c r="B168" s="358"/>
      <c r="C168" s="359"/>
      <c r="D168" s="359"/>
      <c r="E168" s="360"/>
      <c r="F168" s="230"/>
      <c r="G168" s="378"/>
      <c r="H168" s="230"/>
      <c r="I168" s="230"/>
      <c r="J168" s="230"/>
      <c r="K168" s="368"/>
      <c r="L168" s="364"/>
      <c r="M168" s="365"/>
      <c r="N168" s="366"/>
      <c r="O168" s="367"/>
      <c r="P168" s="368"/>
      <c r="Q168" s="430"/>
      <c r="R168" s="370"/>
      <c r="S168" s="370"/>
      <c r="T168" s="371"/>
      <c r="U168" s="384"/>
      <c r="V168" s="373"/>
      <c r="W168" s="400"/>
      <c r="X168" s="512"/>
      <c r="Y168" s="384"/>
      <c r="Z168" s="513"/>
      <c r="AA168" s="359"/>
      <c r="AB168" s="230"/>
      <c r="AC168" s="381"/>
      <c r="AD168" s="402"/>
      <c r="AE168" s="230"/>
      <c r="AF168" s="381"/>
      <c r="AG168" s="402"/>
      <c r="AH168" s="403"/>
      <c r="AI168" s="401"/>
      <c r="AJ168" s="402"/>
      <c r="AK168" s="403"/>
      <c r="AL168" s="401"/>
      <c r="AM168" s="402"/>
      <c r="AN168" s="403"/>
      <c r="AO168" s="401"/>
      <c r="AP168" s="402"/>
      <c r="AQ168" s="403"/>
      <c r="AR168" s="401"/>
      <c r="AS168" s="202"/>
    </row>
    <row r="169" spans="1:45" ht="13.5" hidden="1" customHeight="1">
      <c r="A169" s="12"/>
      <c r="B169" s="358" t="s">
        <v>606</v>
      </c>
      <c r="C169" s="359">
        <v>2</v>
      </c>
      <c r="D169" s="359">
        <v>82</v>
      </c>
      <c r="E169" s="360" t="s">
        <v>614</v>
      </c>
      <c r="F169" s="230" t="s">
        <v>613</v>
      </c>
      <c r="G169" s="361" t="s">
        <v>43</v>
      </c>
      <c r="H169" s="362"/>
      <c r="I169" s="230">
        <v>41810</v>
      </c>
      <c r="J169" s="230">
        <v>9</v>
      </c>
      <c r="K169" s="363" t="s">
        <v>615</v>
      </c>
      <c r="L169" s="364" t="s">
        <v>616</v>
      </c>
      <c r="M169" s="365" t="s">
        <v>617</v>
      </c>
      <c r="N169" s="366" t="s">
        <v>618</v>
      </c>
      <c r="O169" s="367">
        <v>17056273</v>
      </c>
      <c r="P169" s="368">
        <v>4123786366</v>
      </c>
      <c r="Q169" s="369" t="s">
        <v>615</v>
      </c>
      <c r="R169" s="370" t="s">
        <v>552</v>
      </c>
      <c r="S169" s="370" t="s">
        <v>619</v>
      </c>
      <c r="T169" s="371"/>
      <c r="U169" s="384"/>
      <c r="V169" s="373">
        <v>300</v>
      </c>
      <c r="W169" s="398" t="s">
        <v>620</v>
      </c>
      <c r="X169" s="404">
        <v>45320</v>
      </c>
      <c r="Y169" s="384" t="s">
        <v>552</v>
      </c>
      <c r="Z169" s="513">
        <v>100</v>
      </c>
      <c r="AA169" s="359"/>
      <c r="AB169" s="230"/>
      <c r="AC169" s="381"/>
      <c r="AD169" s="359"/>
      <c r="AE169" s="230"/>
      <c r="AF169" s="381"/>
      <c r="AG169" s="359"/>
      <c r="AH169" s="230"/>
      <c r="AI169" s="381"/>
      <c r="AJ169" s="402"/>
      <c r="AK169" s="403"/>
      <c r="AL169" s="401"/>
      <c r="AM169" s="402"/>
      <c r="AN169" s="403"/>
      <c r="AO169" s="401"/>
      <c r="AP169" s="402"/>
      <c r="AQ169" s="403"/>
      <c r="AR169" s="401"/>
      <c r="AS169" s="202"/>
    </row>
    <row r="170" spans="1:45" ht="13.5" hidden="1" customHeight="1">
      <c r="A170" s="12"/>
      <c r="B170" s="358"/>
      <c r="C170" s="359"/>
      <c r="D170" s="359"/>
      <c r="E170" s="360"/>
      <c r="F170" s="230"/>
      <c r="G170" s="378"/>
      <c r="H170" s="362"/>
      <c r="I170" s="230"/>
      <c r="J170" s="230"/>
      <c r="K170" s="368"/>
      <c r="L170" s="364"/>
      <c r="M170" s="365"/>
      <c r="N170" s="366"/>
      <c r="O170" s="367"/>
      <c r="P170" s="368"/>
      <c r="Q170" s="391"/>
      <c r="R170" s="370"/>
      <c r="S170" s="370"/>
      <c r="T170" s="371"/>
      <c r="U170" s="384"/>
      <c r="V170" s="373"/>
      <c r="W170" s="400"/>
      <c r="X170" s="404"/>
      <c r="Y170" s="384"/>
      <c r="Z170" s="513"/>
      <c r="AA170" s="359"/>
      <c r="AB170" s="230"/>
      <c r="AC170" s="381"/>
      <c r="AD170" s="359"/>
      <c r="AE170" s="230"/>
      <c r="AF170" s="381"/>
      <c r="AG170" s="359"/>
      <c r="AH170" s="230"/>
      <c r="AI170" s="381"/>
      <c r="AJ170" s="402"/>
      <c r="AK170" s="403"/>
      <c r="AL170" s="401"/>
      <c r="AM170" s="402"/>
      <c r="AN170" s="403"/>
      <c r="AO170" s="401"/>
      <c r="AP170" s="402"/>
      <c r="AQ170" s="403"/>
      <c r="AR170" s="401"/>
      <c r="AS170" s="202"/>
    </row>
    <row r="171" spans="1:45" ht="13.5" hidden="1" customHeight="1">
      <c r="A171" s="12"/>
      <c r="B171" s="358" t="s">
        <v>606</v>
      </c>
      <c r="C171" s="359">
        <v>3</v>
      </c>
      <c r="D171" s="359">
        <v>83</v>
      </c>
      <c r="E171" s="360" t="s">
        <v>622</v>
      </c>
      <c r="F171" s="230" t="s">
        <v>621</v>
      </c>
      <c r="G171" s="361" t="s">
        <v>43</v>
      </c>
      <c r="H171" s="362">
        <v>25702379</v>
      </c>
      <c r="I171" s="230">
        <v>35006</v>
      </c>
      <c r="J171" s="230">
        <v>28</v>
      </c>
      <c r="K171" s="517" t="s">
        <v>623</v>
      </c>
      <c r="L171" s="364" t="s">
        <v>624</v>
      </c>
      <c r="M171" s="365" t="s">
        <v>625</v>
      </c>
      <c r="N171" s="366"/>
      <c r="O171" s="367"/>
      <c r="P171" s="368"/>
      <c r="Q171" s="369"/>
      <c r="R171" s="370" t="s">
        <v>281</v>
      </c>
      <c r="S171" s="370" t="s">
        <v>626</v>
      </c>
      <c r="T171" s="371"/>
      <c r="U171" s="384"/>
      <c r="V171" s="373">
        <v>280</v>
      </c>
      <c r="W171" s="398" t="s">
        <v>78</v>
      </c>
      <c r="X171" s="512">
        <v>45320</v>
      </c>
      <c r="Y171" s="372" t="s">
        <v>627</v>
      </c>
      <c r="Z171" s="513">
        <v>280</v>
      </c>
      <c r="AA171" s="359"/>
      <c r="AB171" s="230"/>
      <c r="AC171" s="401"/>
      <c r="AD171" s="359"/>
      <c r="AE171" s="230"/>
      <c r="AF171" s="381"/>
      <c r="AG171" s="402"/>
      <c r="AH171" s="403"/>
      <c r="AI171" s="401"/>
      <c r="AJ171" s="359"/>
      <c r="AK171" s="230"/>
      <c r="AL171" s="381"/>
      <c r="AM171" s="402"/>
      <c r="AN171" s="403"/>
      <c r="AO171" s="401"/>
      <c r="AP171" s="402"/>
      <c r="AQ171" s="403"/>
      <c r="AR171" s="401"/>
      <c r="AS171" s="202"/>
    </row>
    <row r="172" spans="1:45" ht="13.5" hidden="1" customHeight="1">
      <c r="A172" s="12"/>
      <c r="B172" s="358"/>
      <c r="C172" s="359"/>
      <c r="D172" s="359"/>
      <c r="E172" s="360"/>
      <c r="F172" s="230"/>
      <c r="G172" s="378"/>
      <c r="H172" s="362"/>
      <c r="I172" s="230"/>
      <c r="J172" s="230"/>
      <c r="K172" s="230"/>
      <c r="L172" s="364"/>
      <c r="M172" s="365"/>
      <c r="N172" s="366"/>
      <c r="O172" s="367"/>
      <c r="P172" s="368"/>
      <c r="Q172" s="382"/>
      <c r="R172" s="370"/>
      <c r="S172" s="370"/>
      <c r="T172" s="371"/>
      <c r="U172" s="384"/>
      <c r="V172" s="373"/>
      <c r="W172" s="400"/>
      <c r="X172" s="512"/>
      <c r="Y172" s="372"/>
      <c r="Z172" s="513"/>
      <c r="AA172" s="359"/>
      <c r="AB172" s="230"/>
      <c r="AC172" s="401"/>
      <c r="AD172" s="359"/>
      <c r="AE172" s="230"/>
      <c r="AF172" s="381"/>
      <c r="AG172" s="402"/>
      <c r="AH172" s="403"/>
      <c r="AI172" s="401"/>
      <c r="AJ172" s="359"/>
      <c r="AK172" s="230"/>
      <c r="AL172" s="381"/>
      <c r="AM172" s="402"/>
      <c r="AN172" s="403"/>
      <c r="AO172" s="401"/>
      <c r="AP172" s="402"/>
      <c r="AQ172" s="403"/>
      <c r="AR172" s="401"/>
      <c r="AS172" s="202"/>
    </row>
    <row r="173" spans="1:45" ht="13.5" hidden="1" customHeight="1">
      <c r="A173" s="12"/>
      <c r="B173" s="358" t="s">
        <v>606</v>
      </c>
      <c r="C173" s="359">
        <v>4</v>
      </c>
      <c r="D173" s="359">
        <v>84</v>
      </c>
      <c r="E173" s="360" t="s">
        <v>629</v>
      </c>
      <c r="F173" s="230" t="s">
        <v>628</v>
      </c>
      <c r="G173" s="361" t="s">
        <v>43</v>
      </c>
      <c r="H173" s="362">
        <v>36190356</v>
      </c>
      <c r="I173" s="230">
        <v>41672</v>
      </c>
      <c r="J173" s="230">
        <v>10</v>
      </c>
      <c r="K173" s="363" t="s">
        <v>630</v>
      </c>
      <c r="L173" s="364" t="s">
        <v>631</v>
      </c>
      <c r="M173" s="365" t="s">
        <v>632</v>
      </c>
      <c r="N173" s="366" t="s">
        <v>633</v>
      </c>
      <c r="O173" s="443">
        <v>18738222</v>
      </c>
      <c r="P173" s="368">
        <v>4241503683</v>
      </c>
      <c r="Q173" s="397" t="s">
        <v>630</v>
      </c>
      <c r="R173" s="370" t="s">
        <v>50</v>
      </c>
      <c r="S173" s="370" t="s">
        <v>634</v>
      </c>
      <c r="T173" s="371"/>
      <c r="U173" s="384"/>
      <c r="V173" s="515">
        <v>300</v>
      </c>
      <c r="W173" s="398" t="s">
        <v>78</v>
      </c>
      <c r="X173" s="512">
        <v>45322</v>
      </c>
      <c r="Y173" s="384" t="s">
        <v>50</v>
      </c>
      <c r="Z173" s="513">
        <v>100</v>
      </c>
      <c r="AA173" s="404"/>
      <c r="AB173" s="368"/>
      <c r="AC173" s="381"/>
      <c r="AD173" s="402"/>
      <c r="AE173" s="403"/>
      <c r="AF173" s="401"/>
      <c r="AG173" s="402"/>
      <c r="AH173" s="403"/>
      <c r="AI173" s="401"/>
      <c r="AJ173" s="402"/>
      <c r="AK173" s="403"/>
      <c r="AL173" s="401"/>
      <c r="AM173" s="402"/>
      <c r="AN173" s="403"/>
      <c r="AO173" s="401"/>
      <c r="AP173" s="402"/>
      <c r="AQ173" s="403"/>
      <c r="AR173" s="401"/>
      <c r="AS173" s="202"/>
    </row>
    <row r="174" spans="1:45" ht="13.5" hidden="1" customHeight="1">
      <c r="A174" s="12"/>
      <c r="B174" s="358"/>
      <c r="C174" s="359"/>
      <c r="D174" s="359"/>
      <c r="E174" s="360"/>
      <c r="F174" s="230"/>
      <c r="G174" s="378"/>
      <c r="H174" s="230"/>
      <c r="I174" s="230"/>
      <c r="J174" s="230"/>
      <c r="K174" s="230"/>
      <c r="L174" s="364"/>
      <c r="M174" s="365"/>
      <c r="N174" s="366"/>
      <c r="O174" s="368"/>
      <c r="P174" s="368"/>
      <c r="Q174" s="510"/>
      <c r="R174" s="370"/>
      <c r="S174" s="370"/>
      <c r="T174" s="371"/>
      <c r="U174" s="384"/>
      <c r="V174" s="515"/>
      <c r="W174" s="400"/>
      <c r="X174" s="512"/>
      <c r="Y174" s="384"/>
      <c r="Z174" s="513"/>
      <c r="AA174" s="404"/>
      <c r="AB174" s="368"/>
      <c r="AC174" s="381"/>
      <c r="AD174" s="402"/>
      <c r="AE174" s="403"/>
      <c r="AF174" s="401"/>
      <c r="AG174" s="402"/>
      <c r="AH174" s="403"/>
      <c r="AI174" s="401"/>
      <c r="AJ174" s="402"/>
      <c r="AK174" s="403"/>
      <c r="AL174" s="401"/>
      <c r="AM174" s="402"/>
      <c r="AN174" s="403"/>
      <c r="AO174" s="401"/>
      <c r="AP174" s="402"/>
      <c r="AQ174" s="403"/>
      <c r="AR174" s="401"/>
      <c r="AS174" s="202"/>
    </row>
    <row r="175" spans="1:45" ht="13.5" hidden="1" customHeight="1">
      <c r="A175" s="12"/>
      <c r="B175" s="358" t="s">
        <v>606</v>
      </c>
      <c r="C175" s="359">
        <v>5</v>
      </c>
      <c r="D175" s="359">
        <v>85</v>
      </c>
      <c r="E175" s="360" t="s">
        <v>636</v>
      </c>
      <c r="F175" s="230" t="s">
        <v>635</v>
      </c>
      <c r="G175" s="361" t="s">
        <v>43</v>
      </c>
      <c r="H175" s="230"/>
      <c r="I175" s="230">
        <v>43369</v>
      </c>
      <c r="J175" s="230">
        <v>5</v>
      </c>
      <c r="K175" s="363" t="s">
        <v>637</v>
      </c>
      <c r="L175" s="364">
        <v>4241050545</v>
      </c>
      <c r="M175" s="365" t="s">
        <v>638</v>
      </c>
      <c r="N175" s="366" t="s">
        <v>639</v>
      </c>
      <c r="O175" s="367">
        <v>19228704</v>
      </c>
      <c r="P175" s="368" t="s">
        <v>640</v>
      </c>
      <c r="Q175" s="406" t="s">
        <v>637</v>
      </c>
      <c r="R175" s="370" t="s">
        <v>641</v>
      </c>
      <c r="S175" s="370" t="s">
        <v>642</v>
      </c>
      <c r="T175" s="371"/>
      <c r="U175" s="372"/>
      <c r="V175" s="373">
        <v>300</v>
      </c>
      <c r="W175" s="398" t="s">
        <v>78</v>
      </c>
      <c r="X175" s="512">
        <v>45327</v>
      </c>
      <c r="Y175" s="384" t="s">
        <v>641</v>
      </c>
      <c r="Z175" s="513">
        <v>300</v>
      </c>
      <c r="AA175" s="359"/>
      <c r="AB175" s="230"/>
      <c r="AC175" s="381"/>
      <c r="AD175" s="359"/>
      <c r="AE175" s="230"/>
      <c r="AF175" s="381"/>
      <c r="AG175" s="359"/>
      <c r="AH175" s="230"/>
      <c r="AI175" s="381"/>
      <c r="AJ175" s="402"/>
      <c r="AK175" s="403"/>
      <c r="AL175" s="401"/>
      <c r="AM175" s="402"/>
      <c r="AN175" s="403"/>
      <c r="AO175" s="401"/>
      <c r="AP175" s="402"/>
      <c r="AQ175" s="403"/>
      <c r="AR175" s="401"/>
      <c r="AS175" s="202"/>
    </row>
    <row r="176" spans="1:45" ht="13.5" hidden="1" customHeight="1">
      <c r="A176" s="12"/>
      <c r="B176" s="358"/>
      <c r="C176" s="359"/>
      <c r="D176" s="359"/>
      <c r="E176" s="360"/>
      <c r="F176" s="230"/>
      <c r="G176" s="378"/>
      <c r="H176" s="230"/>
      <c r="I176" s="230"/>
      <c r="J176" s="230"/>
      <c r="K176" s="368"/>
      <c r="L176" s="364"/>
      <c r="M176" s="365"/>
      <c r="N176" s="366"/>
      <c r="O176" s="367"/>
      <c r="P176" s="368"/>
      <c r="Q176" s="408"/>
      <c r="R176" s="370"/>
      <c r="S176" s="370"/>
      <c r="T176" s="371"/>
      <c r="U176" s="372"/>
      <c r="V176" s="373"/>
      <c r="W176" s="400"/>
      <c r="X176" s="512"/>
      <c r="Y176" s="384"/>
      <c r="Z176" s="513"/>
      <c r="AA176" s="359"/>
      <c r="AB176" s="230"/>
      <c r="AC176" s="381"/>
      <c r="AD176" s="359"/>
      <c r="AE176" s="230"/>
      <c r="AF176" s="381"/>
      <c r="AG176" s="359"/>
      <c r="AH176" s="230"/>
      <c r="AI176" s="381"/>
      <c r="AJ176" s="402"/>
      <c r="AK176" s="403"/>
      <c r="AL176" s="401"/>
      <c r="AM176" s="402"/>
      <c r="AN176" s="403"/>
      <c r="AO176" s="401"/>
      <c r="AP176" s="402"/>
      <c r="AQ176" s="403"/>
      <c r="AR176" s="401"/>
      <c r="AS176" s="202"/>
    </row>
    <row r="177" spans="1:45" ht="13.5" hidden="1" customHeight="1">
      <c r="A177" s="12"/>
      <c r="B177" s="358" t="s">
        <v>606</v>
      </c>
      <c r="C177" s="359">
        <v>6</v>
      </c>
      <c r="D177" s="359">
        <v>86</v>
      </c>
      <c r="E177" s="360" t="s">
        <v>644</v>
      </c>
      <c r="F177" s="230" t="s">
        <v>643</v>
      </c>
      <c r="G177" s="361" t="s">
        <v>43</v>
      </c>
      <c r="H177" s="362">
        <v>29765783</v>
      </c>
      <c r="I177" s="230">
        <v>36762</v>
      </c>
      <c r="J177" s="230">
        <v>23</v>
      </c>
      <c r="K177" s="368"/>
      <c r="L177" s="364">
        <v>4125930704</v>
      </c>
      <c r="M177" s="365" t="s">
        <v>645</v>
      </c>
      <c r="N177" s="366" t="s">
        <v>646</v>
      </c>
      <c r="O177" s="367">
        <v>22906241</v>
      </c>
      <c r="P177" s="368" t="s">
        <v>647</v>
      </c>
      <c r="Q177" s="518" t="s">
        <v>648</v>
      </c>
      <c r="R177" s="370"/>
      <c r="S177" s="370"/>
      <c r="T177" s="371"/>
      <c r="U177" s="384"/>
      <c r="V177" s="373">
        <v>280</v>
      </c>
      <c r="W177" s="398" t="s">
        <v>649</v>
      </c>
      <c r="X177" s="512">
        <v>45327</v>
      </c>
      <c r="Y177" s="372"/>
      <c r="Z177" s="513">
        <v>150</v>
      </c>
      <c r="AA177" s="402"/>
      <c r="AB177" s="230"/>
      <c r="AC177" s="401"/>
      <c r="AD177" s="402"/>
      <c r="AE177" s="230"/>
      <c r="AF177" s="401"/>
      <c r="AG177" s="359"/>
      <c r="AH177" s="230"/>
      <c r="AI177" s="381"/>
      <c r="AJ177" s="359"/>
      <c r="AK177" s="230"/>
      <c r="AL177" s="381"/>
      <c r="AM177" s="402"/>
      <c r="AN177" s="403"/>
      <c r="AO177" s="401"/>
      <c r="AP177" s="402"/>
      <c r="AQ177" s="403"/>
      <c r="AR177" s="401"/>
      <c r="AS177" s="202"/>
    </row>
    <row r="178" spans="1:45" ht="13.5" hidden="1" customHeight="1">
      <c r="A178" s="12"/>
      <c r="B178" s="358"/>
      <c r="C178" s="359"/>
      <c r="D178" s="359"/>
      <c r="E178" s="360"/>
      <c r="F178" s="230"/>
      <c r="G178" s="378"/>
      <c r="H178" s="362"/>
      <c r="I178" s="230"/>
      <c r="J178" s="230"/>
      <c r="K178" s="368"/>
      <c r="L178" s="364"/>
      <c r="M178" s="365"/>
      <c r="N178" s="409"/>
      <c r="O178" s="367"/>
      <c r="P178" s="368"/>
      <c r="Q178" s="382"/>
      <c r="R178" s="370"/>
      <c r="S178" s="370"/>
      <c r="T178" s="371"/>
      <c r="U178" s="384"/>
      <c r="V178" s="373"/>
      <c r="W178" s="400"/>
      <c r="X178" s="512"/>
      <c r="Y178" s="372"/>
      <c r="Z178" s="513"/>
      <c r="AA178" s="402"/>
      <c r="AB178" s="230"/>
      <c r="AC178" s="401"/>
      <c r="AD178" s="402"/>
      <c r="AE178" s="230"/>
      <c r="AF178" s="401"/>
      <c r="AG178" s="359"/>
      <c r="AH178" s="230"/>
      <c r="AI178" s="381"/>
      <c r="AJ178" s="359"/>
      <c r="AK178" s="230"/>
      <c r="AL178" s="381"/>
      <c r="AM178" s="402"/>
      <c r="AN178" s="403"/>
      <c r="AO178" s="401"/>
      <c r="AP178" s="402"/>
      <c r="AQ178" s="403"/>
      <c r="AR178" s="401"/>
      <c r="AS178" s="202"/>
    </row>
    <row r="179" spans="1:45" ht="13.5" hidden="1" customHeight="1">
      <c r="A179" s="12"/>
      <c r="B179" s="358" t="s">
        <v>606</v>
      </c>
      <c r="C179" s="359">
        <v>7</v>
      </c>
      <c r="D179" s="359">
        <v>87</v>
      </c>
      <c r="E179" s="360" t="s">
        <v>2562</v>
      </c>
      <c r="F179" s="230" t="s">
        <v>650</v>
      </c>
      <c r="G179" s="361" t="s">
        <v>43</v>
      </c>
      <c r="H179" s="362">
        <v>36158232</v>
      </c>
      <c r="I179" s="230">
        <v>41231</v>
      </c>
      <c r="J179" s="230">
        <v>11</v>
      </c>
      <c r="K179" s="363" t="s">
        <v>652</v>
      </c>
      <c r="L179" s="364">
        <v>4125930704</v>
      </c>
      <c r="M179" s="519" t="s">
        <v>645</v>
      </c>
      <c r="N179" s="366" t="s">
        <v>646</v>
      </c>
      <c r="O179" s="367">
        <v>22906241</v>
      </c>
      <c r="P179" s="368" t="s">
        <v>647</v>
      </c>
      <c r="Q179" s="518" t="s">
        <v>648</v>
      </c>
      <c r="R179" s="370" t="s">
        <v>653</v>
      </c>
      <c r="S179" s="370" t="s">
        <v>634</v>
      </c>
      <c r="T179" s="371"/>
      <c r="U179" s="372"/>
      <c r="V179" s="373">
        <v>280</v>
      </c>
      <c r="W179" s="398" t="s">
        <v>649</v>
      </c>
      <c r="X179" s="512">
        <v>45327</v>
      </c>
      <c r="Y179" s="384" t="s">
        <v>654</v>
      </c>
      <c r="Z179" s="513">
        <v>100</v>
      </c>
      <c r="AA179" s="402"/>
      <c r="AB179" s="403"/>
      <c r="AC179" s="401"/>
      <c r="AD179" s="402"/>
      <c r="AE179" s="403"/>
      <c r="AF179" s="401"/>
      <c r="AG179" s="402"/>
      <c r="AH179" s="403"/>
      <c r="AI179" s="401"/>
      <c r="AJ179" s="402"/>
      <c r="AK179" s="403"/>
      <c r="AL179" s="401"/>
      <c r="AM179" s="402"/>
      <c r="AN179" s="403"/>
      <c r="AO179" s="401"/>
      <c r="AP179" s="402"/>
      <c r="AQ179" s="403"/>
      <c r="AR179" s="401"/>
      <c r="AS179" s="202"/>
    </row>
    <row r="180" spans="1:45" ht="13.5" hidden="1" customHeight="1">
      <c r="A180" s="12"/>
      <c r="B180" s="358"/>
      <c r="C180" s="359"/>
      <c r="D180" s="359"/>
      <c r="E180" s="360"/>
      <c r="F180" s="230"/>
      <c r="G180" s="378"/>
      <c r="H180" s="362"/>
      <c r="I180" s="230"/>
      <c r="J180" s="230"/>
      <c r="K180" s="368"/>
      <c r="L180" s="364"/>
      <c r="M180" s="519"/>
      <c r="N180" s="409"/>
      <c r="O180" s="367"/>
      <c r="P180" s="368"/>
      <c r="Q180" s="382"/>
      <c r="R180" s="370"/>
      <c r="S180" s="370"/>
      <c r="T180" s="371"/>
      <c r="U180" s="372"/>
      <c r="V180" s="373"/>
      <c r="W180" s="400"/>
      <c r="X180" s="512"/>
      <c r="Y180" s="384"/>
      <c r="Z180" s="513"/>
      <c r="AA180" s="402"/>
      <c r="AB180" s="403"/>
      <c r="AC180" s="401"/>
      <c r="AD180" s="402"/>
      <c r="AE180" s="403"/>
      <c r="AF180" s="401"/>
      <c r="AG180" s="402"/>
      <c r="AH180" s="403"/>
      <c r="AI180" s="401"/>
      <c r="AJ180" s="402"/>
      <c r="AK180" s="403"/>
      <c r="AL180" s="401"/>
      <c r="AM180" s="402"/>
      <c r="AN180" s="403"/>
      <c r="AO180" s="401"/>
      <c r="AP180" s="402"/>
      <c r="AQ180" s="403"/>
      <c r="AR180" s="401"/>
      <c r="AS180" s="202"/>
    </row>
    <row r="181" spans="1:45" ht="13.5" hidden="1" customHeight="1">
      <c r="A181" s="12"/>
      <c r="B181" s="358" t="s">
        <v>606</v>
      </c>
      <c r="C181" s="359">
        <v>8</v>
      </c>
      <c r="D181" s="359">
        <v>88</v>
      </c>
      <c r="E181" s="360" t="s">
        <v>656</v>
      </c>
      <c r="F181" s="230" t="s">
        <v>655</v>
      </c>
      <c r="G181" s="361" t="s">
        <v>43</v>
      </c>
      <c r="H181" s="362">
        <v>30411302</v>
      </c>
      <c r="I181" s="230">
        <v>37672</v>
      </c>
      <c r="J181" s="230">
        <v>20</v>
      </c>
      <c r="K181" s="368"/>
      <c r="L181" s="364">
        <v>4125930704</v>
      </c>
      <c r="M181" s="519" t="s">
        <v>645</v>
      </c>
      <c r="N181" s="366" t="s">
        <v>646</v>
      </c>
      <c r="O181" s="367">
        <v>22906241</v>
      </c>
      <c r="P181" s="368" t="s">
        <v>647</v>
      </c>
      <c r="Q181" s="518" t="s">
        <v>648</v>
      </c>
      <c r="R181" s="370" t="s">
        <v>657</v>
      </c>
      <c r="S181" s="370" t="s">
        <v>658</v>
      </c>
      <c r="T181" s="371"/>
      <c r="U181" s="372"/>
      <c r="V181" s="373">
        <v>280</v>
      </c>
      <c r="W181" s="398" t="s">
        <v>649</v>
      </c>
      <c r="X181" s="512">
        <v>45327</v>
      </c>
      <c r="Y181" s="384"/>
      <c r="Z181" s="513">
        <v>200</v>
      </c>
      <c r="AA181" s="402"/>
      <c r="AB181" s="403"/>
      <c r="AC181" s="401"/>
      <c r="AD181" s="402"/>
      <c r="AE181" s="403"/>
      <c r="AF181" s="401"/>
      <c r="AG181" s="402"/>
      <c r="AH181" s="403"/>
      <c r="AI181" s="401"/>
      <c r="AJ181" s="402"/>
      <c r="AK181" s="403"/>
      <c r="AL181" s="401"/>
      <c r="AM181" s="402"/>
      <c r="AN181" s="403"/>
      <c r="AO181" s="401"/>
      <c r="AP181" s="402"/>
      <c r="AQ181" s="403"/>
      <c r="AR181" s="401"/>
      <c r="AS181" s="202"/>
    </row>
    <row r="182" spans="1:45" ht="13.5" hidden="1" customHeight="1">
      <c r="A182" s="12"/>
      <c r="B182" s="358"/>
      <c r="C182" s="359"/>
      <c r="D182" s="359"/>
      <c r="E182" s="360"/>
      <c r="F182" s="230"/>
      <c r="G182" s="378"/>
      <c r="H182" s="362"/>
      <c r="I182" s="230"/>
      <c r="J182" s="230"/>
      <c r="K182" s="368"/>
      <c r="L182" s="364"/>
      <c r="M182" s="519"/>
      <c r="N182" s="409"/>
      <c r="O182" s="367"/>
      <c r="P182" s="368"/>
      <c r="Q182" s="382"/>
      <c r="R182" s="370"/>
      <c r="S182" s="370"/>
      <c r="T182" s="371"/>
      <c r="U182" s="372"/>
      <c r="V182" s="373"/>
      <c r="W182" s="400"/>
      <c r="X182" s="512"/>
      <c r="Y182" s="384"/>
      <c r="Z182" s="513"/>
      <c r="AA182" s="402"/>
      <c r="AB182" s="403"/>
      <c r="AC182" s="401"/>
      <c r="AD182" s="402"/>
      <c r="AE182" s="403"/>
      <c r="AF182" s="401"/>
      <c r="AG182" s="402"/>
      <c r="AH182" s="403"/>
      <c r="AI182" s="401"/>
      <c r="AJ182" s="402"/>
      <c r="AK182" s="403"/>
      <c r="AL182" s="401"/>
      <c r="AM182" s="402"/>
      <c r="AN182" s="403"/>
      <c r="AO182" s="401"/>
      <c r="AP182" s="402"/>
      <c r="AQ182" s="403"/>
      <c r="AR182" s="401"/>
      <c r="AS182" s="202"/>
    </row>
    <row r="183" spans="1:45" ht="28.5" customHeight="1">
      <c r="A183" s="12"/>
      <c r="B183" s="358" t="s">
        <v>606</v>
      </c>
      <c r="C183" s="359">
        <v>9</v>
      </c>
      <c r="D183" s="359">
        <v>2</v>
      </c>
      <c r="E183" s="360" t="s">
        <v>660</v>
      </c>
      <c r="F183" s="230" t="s">
        <v>659</v>
      </c>
      <c r="G183" s="361" t="s">
        <v>43</v>
      </c>
      <c r="H183" s="362">
        <v>27448331</v>
      </c>
      <c r="I183" s="230">
        <v>36535</v>
      </c>
      <c r="J183" s="230">
        <v>24</v>
      </c>
      <c r="K183" s="363" t="s">
        <v>661</v>
      </c>
      <c r="L183" s="364">
        <v>4122556366</v>
      </c>
      <c r="M183" s="365" t="s">
        <v>662</v>
      </c>
      <c r="N183" s="425"/>
      <c r="O183" s="368"/>
      <c r="P183" s="368"/>
      <c r="Q183" s="520"/>
      <c r="R183" s="370" t="s">
        <v>50</v>
      </c>
      <c r="S183" s="370" t="s">
        <v>663</v>
      </c>
      <c r="T183" s="371" t="s">
        <v>664</v>
      </c>
      <c r="U183" s="384"/>
      <c r="V183" s="515" t="s">
        <v>396</v>
      </c>
      <c r="W183" s="398" t="s">
        <v>78</v>
      </c>
      <c r="X183" s="512">
        <v>45327</v>
      </c>
      <c r="Y183" s="384" t="s">
        <v>50</v>
      </c>
      <c r="Z183" s="513" t="s">
        <v>396</v>
      </c>
      <c r="AA183" s="402"/>
      <c r="AB183" s="403"/>
      <c r="AC183" s="401"/>
      <c r="AD183" s="402"/>
      <c r="AE183" s="403"/>
      <c r="AF183" s="401"/>
      <c r="AG183" s="402"/>
      <c r="AH183" s="403"/>
      <c r="AI183" s="401"/>
      <c r="AJ183" s="402"/>
      <c r="AK183" s="403"/>
      <c r="AL183" s="401"/>
      <c r="AM183" s="402"/>
      <c r="AN183" s="403"/>
      <c r="AO183" s="401"/>
      <c r="AP183" s="402"/>
      <c r="AQ183" s="403"/>
      <c r="AR183" s="401"/>
      <c r="AS183" s="202"/>
    </row>
    <row r="184" spans="1:45" ht="13.5" hidden="1" customHeight="1">
      <c r="A184" s="12"/>
      <c r="B184" s="358"/>
      <c r="C184" s="359"/>
      <c r="D184" s="359"/>
      <c r="E184" s="360"/>
      <c r="F184" s="230"/>
      <c r="G184" s="378"/>
      <c r="H184" s="230"/>
      <c r="I184" s="230"/>
      <c r="J184" s="230"/>
      <c r="K184" s="368"/>
      <c r="L184" s="364"/>
      <c r="M184" s="365"/>
      <c r="N184" s="366"/>
      <c r="O184" s="368"/>
      <c r="P184" s="368"/>
      <c r="Q184" s="408"/>
      <c r="R184" s="370"/>
      <c r="S184" s="370"/>
      <c r="T184" s="371"/>
      <c r="U184" s="384"/>
      <c r="V184" s="515"/>
      <c r="W184" s="400"/>
      <c r="X184" s="512"/>
      <c r="Y184" s="384"/>
      <c r="Z184" s="513"/>
      <c r="AA184" s="402"/>
      <c r="AB184" s="403"/>
      <c r="AC184" s="401"/>
      <c r="AD184" s="402"/>
      <c r="AE184" s="403"/>
      <c r="AF184" s="401"/>
      <c r="AG184" s="402"/>
      <c r="AH184" s="403"/>
      <c r="AI184" s="401"/>
      <c r="AJ184" s="402"/>
      <c r="AK184" s="403"/>
      <c r="AL184" s="401"/>
      <c r="AM184" s="402"/>
      <c r="AN184" s="403"/>
      <c r="AO184" s="401"/>
      <c r="AP184" s="402"/>
      <c r="AQ184" s="403"/>
      <c r="AR184" s="401"/>
      <c r="AS184" s="202"/>
    </row>
    <row r="185" spans="1:45" ht="13.5" hidden="1" customHeight="1">
      <c r="A185" s="12"/>
      <c r="B185" s="358" t="s">
        <v>606</v>
      </c>
      <c r="C185" s="359">
        <v>10</v>
      </c>
      <c r="D185" s="359">
        <v>90</v>
      </c>
      <c r="E185" s="360" t="s">
        <v>666</v>
      </c>
      <c r="F185" s="230" t="s">
        <v>665</v>
      </c>
      <c r="G185" s="361" t="s">
        <v>43</v>
      </c>
      <c r="H185" s="230"/>
      <c r="I185" s="230">
        <v>42229</v>
      </c>
      <c r="J185" s="230">
        <v>8</v>
      </c>
      <c r="K185" s="363" t="s">
        <v>667</v>
      </c>
      <c r="L185" s="364">
        <v>4142357496</v>
      </c>
      <c r="M185" s="405" t="s">
        <v>668</v>
      </c>
      <c r="N185" s="366" t="s">
        <v>669</v>
      </c>
      <c r="O185" s="367">
        <v>11817664</v>
      </c>
      <c r="P185" s="368">
        <f>-F1</f>
        <v>0</v>
      </c>
      <c r="Q185" s="369" t="s">
        <v>670</v>
      </c>
      <c r="R185" s="370"/>
      <c r="S185" s="370" t="s">
        <v>671</v>
      </c>
      <c r="T185" s="371"/>
      <c r="U185" s="372"/>
      <c r="V185" s="373">
        <v>300</v>
      </c>
      <c r="W185" s="398" t="s">
        <v>649</v>
      </c>
      <c r="X185" s="512">
        <v>45327</v>
      </c>
      <c r="Y185" s="372"/>
      <c r="Z185" s="513">
        <v>150</v>
      </c>
      <c r="AA185" s="359"/>
      <c r="AB185" s="230"/>
      <c r="AC185" s="381"/>
      <c r="AD185" s="359"/>
      <c r="AE185" s="230"/>
      <c r="AF185" s="381"/>
      <c r="AG185" s="359"/>
      <c r="AH185" s="230"/>
      <c r="AI185" s="381"/>
      <c r="AJ185" s="402"/>
      <c r="AK185" s="403"/>
      <c r="AL185" s="401"/>
      <c r="AM185" s="402"/>
      <c r="AN185" s="403"/>
      <c r="AO185" s="401"/>
      <c r="AP185" s="402"/>
      <c r="AQ185" s="403"/>
      <c r="AR185" s="401"/>
      <c r="AS185" s="202"/>
    </row>
    <row r="186" spans="1:45" ht="15.75" hidden="1" customHeight="1">
      <c r="A186" s="12"/>
      <c r="B186" s="358"/>
      <c r="C186" s="359"/>
      <c r="D186" s="359"/>
      <c r="E186" s="360"/>
      <c r="F186" s="230"/>
      <c r="G186" s="378"/>
      <c r="H186" s="230"/>
      <c r="I186" s="230"/>
      <c r="J186" s="230"/>
      <c r="K186" s="368"/>
      <c r="L186" s="364"/>
      <c r="M186" s="405"/>
      <c r="N186" s="366"/>
      <c r="O186" s="367"/>
      <c r="P186" s="368"/>
      <c r="Q186" s="382"/>
      <c r="R186" s="370"/>
      <c r="S186" s="370"/>
      <c r="T186" s="371"/>
      <c r="U186" s="372"/>
      <c r="V186" s="373"/>
      <c r="W186" s="400"/>
      <c r="X186" s="512"/>
      <c r="Y186" s="372"/>
      <c r="Z186" s="513"/>
      <c r="AA186" s="359"/>
      <c r="AB186" s="230"/>
      <c r="AC186" s="381"/>
      <c r="AD186" s="359"/>
      <c r="AE186" s="230"/>
      <c r="AF186" s="381"/>
      <c r="AG186" s="359"/>
      <c r="AH186" s="230"/>
      <c r="AI186" s="381"/>
      <c r="AJ186" s="402"/>
      <c r="AK186" s="403"/>
      <c r="AL186" s="401"/>
      <c r="AM186" s="402"/>
      <c r="AN186" s="403"/>
      <c r="AO186" s="401"/>
      <c r="AP186" s="402"/>
      <c r="AQ186" s="403"/>
      <c r="AR186" s="401"/>
      <c r="AS186" s="202"/>
    </row>
    <row r="187" spans="1:45" ht="13.5" hidden="1" customHeight="1">
      <c r="A187" s="12"/>
      <c r="B187" s="358" t="s">
        <v>606</v>
      </c>
      <c r="C187" s="359">
        <v>11</v>
      </c>
      <c r="D187" s="359">
        <v>91</v>
      </c>
      <c r="E187" s="360" t="s">
        <v>673</v>
      </c>
      <c r="F187" s="230" t="s">
        <v>672</v>
      </c>
      <c r="G187" s="361" t="s">
        <v>43</v>
      </c>
      <c r="H187" s="362">
        <v>17199811</v>
      </c>
      <c r="I187" s="510">
        <v>31572</v>
      </c>
      <c r="J187" s="230">
        <v>37</v>
      </c>
      <c r="K187" s="363" t="s">
        <v>461</v>
      </c>
      <c r="L187" s="364" t="s">
        <v>674</v>
      </c>
      <c r="M187" s="405" t="s">
        <v>675</v>
      </c>
      <c r="N187" s="366"/>
      <c r="O187" s="368"/>
      <c r="P187" s="368"/>
      <c r="Q187" s="408"/>
      <c r="R187" s="370" t="s">
        <v>479</v>
      </c>
      <c r="S187" s="370" t="s">
        <v>663</v>
      </c>
      <c r="T187" s="371"/>
      <c r="U187" s="384"/>
      <c r="V187" s="373">
        <v>300</v>
      </c>
      <c r="W187" s="398" t="s">
        <v>78</v>
      </c>
      <c r="X187" s="512">
        <v>45327</v>
      </c>
      <c r="Y187" s="387" t="s">
        <v>657</v>
      </c>
      <c r="Z187" s="381">
        <v>300</v>
      </c>
      <c r="AA187" s="359"/>
      <c r="AB187" s="230"/>
      <c r="AC187" s="381"/>
      <c r="AD187" s="402"/>
      <c r="AE187" s="403"/>
      <c r="AF187" s="401"/>
      <c r="AG187" s="359"/>
      <c r="AH187" s="230"/>
      <c r="AI187" s="381"/>
      <c r="AJ187" s="402"/>
      <c r="AK187" s="403"/>
      <c r="AL187" s="401"/>
      <c r="AM187" s="402"/>
      <c r="AN187" s="403"/>
      <c r="AO187" s="401"/>
      <c r="AP187" s="402"/>
      <c r="AQ187" s="403"/>
      <c r="AR187" s="401"/>
      <c r="AS187" s="202"/>
    </row>
    <row r="188" spans="1:45" ht="13.5" hidden="1" customHeight="1">
      <c r="A188" s="12"/>
      <c r="B188" s="358"/>
      <c r="C188" s="359"/>
      <c r="D188" s="359"/>
      <c r="E188" s="360"/>
      <c r="F188" s="230"/>
      <c r="G188" s="378"/>
      <c r="H188" s="230"/>
      <c r="I188" s="510"/>
      <c r="J188" s="230"/>
      <c r="K188" s="368"/>
      <c r="L188" s="364"/>
      <c r="M188" s="405"/>
      <c r="N188" s="366"/>
      <c r="O188" s="368"/>
      <c r="P188" s="368"/>
      <c r="Q188" s="408"/>
      <c r="R188" s="370"/>
      <c r="S188" s="370"/>
      <c r="T188" s="371"/>
      <c r="U188" s="384"/>
      <c r="V188" s="373"/>
      <c r="W188" s="400"/>
      <c r="X188" s="512"/>
      <c r="Y188" s="376"/>
      <c r="Z188" s="381"/>
      <c r="AA188" s="359"/>
      <c r="AB188" s="230"/>
      <c r="AC188" s="381"/>
      <c r="AD188" s="402"/>
      <c r="AE188" s="403"/>
      <c r="AF188" s="401"/>
      <c r="AG188" s="359"/>
      <c r="AH188" s="230"/>
      <c r="AI188" s="381"/>
      <c r="AJ188" s="402"/>
      <c r="AK188" s="403"/>
      <c r="AL188" s="401"/>
      <c r="AM188" s="402"/>
      <c r="AN188" s="403"/>
      <c r="AO188" s="401"/>
      <c r="AP188" s="402"/>
      <c r="AQ188" s="403"/>
      <c r="AR188" s="401"/>
      <c r="AS188" s="202"/>
    </row>
    <row r="189" spans="1:45" ht="13.5" hidden="1" customHeight="1">
      <c r="A189" s="12"/>
      <c r="B189" s="358" t="s">
        <v>606</v>
      </c>
      <c r="C189" s="359">
        <v>12</v>
      </c>
      <c r="D189" s="359">
        <v>92</v>
      </c>
      <c r="E189" s="360" t="s">
        <v>677</v>
      </c>
      <c r="F189" s="230" t="s">
        <v>676</v>
      </c>
      <c r="G189" s="361" t="s">
        <v>43</v>
      </c>
      <c r="H189" s="362">
        <v>19061035</v>
      </c>
      <c r="I189" s="510">
        <v>32520</v>
      </c>
      <c r="J189" s="230">
        <v>35</v>
      </c>
      <c r="K189" s="363" t="s">
        <v>678</v>
      </c>
      <c r="L189" s="364" t="s">
        <v>679</v>
      </c>
      <c r="M189" s="405" t="s">
        <v>675</v>
      </c>
      <c r="N189" s="366"/>
      <c r="O189" s="368"/>
      <c r="P189" s="368"/>
      <c r="Q189" s="408"/>
      <c r="R189" s="370" t="s">
        <v>479</v>
      </c>
      <c r="S189" s="370" t="s">
        <v>663</v>
      </c>
      <c r="T189" s="371"/>
      <c r="U189" s="384"/>
      <c r="V189" s="515">
        <v>300</v>
      </c>
      <c r="W189" s="398" t="s">
        <v>78</v>
      </c>
      <c r="X189" s="512">
        <v>45327</v>
      </c>
      <c r="Y189" s="387" t="s">
        <v>657</v>
      </c>
      <c r="Z189" s="513">
        <v>300</v>
      </c>
      <c r="AA189" s="402"/>
      <c r="AB189" s="403"/>
      <c r="AC189" s="401"/>
      <c r="AD189" s="402"/>
      <c r="AE189" s="403"/>
      <c r="AF189" s="401"/>
      <c r="AG189" s="402"/>
      <c r="AH189" s="403"/>
      <c r="AI189" s="401"/>
      <c r="AJ189" s="402"/>
      <c r="AK189" s="403"/>
      <c r="AL189" s="401"/>
      <c r="AM189" s="402"/>
      <c r="AN189" s="403"/>
      <c r="AO189" s="401"/>
      <c r="AP189" s="402"/>
      <c r="AQ189" s="403"/>
      <c r="AR189" s="401"/>
      <c r="AS189" s="202"/>
    </row>
    <row r="190" spans="1:45" ht="13.5" hidden="1" customHeight="1">
      <c r="A190" s="12"/>
      <c r="B190" s="358"/>
      <c r="C190" s="359"/>
      <c r="D190" s="359"/>
      <c r="E190" s="360"/>
      <c r="F190" s="230"/>
      <c r="G190" s="378"/>
      <c r="H190" s="230"/>
      <c r="I190" s="510"/>
      <c r="J190" s="230"/>
      <c r="K190" s="368"/>
      <c r="L190" s="364"/>
      <c r="M190" s="405"/>
      <c r="N190" s="366"/>
      <c r="O190" s="368"/>
      <c r="P190" s="368"/>
      <c r="Q190" s="408"/>
      <c r="R190" s="370"/>
      <c r="S190" s="370"/>
      <c r="T190" s="371"/>
      <c r="U190" s="384"/>
      <c r="V190" s="515"/>
      <c r="W190" s="400"/>
      <c r="X190" s="512"/>
      <c r="Y190" s="376"/>
      <c r="Z190" s="513"/>
      <c r="AA190" s="402"/>
      <c r="AB190" s="403"/>
      <c r="AC190" s="401"/>
      <c r="AD190" s="402"/>
      <c r="AE190" s="403"/>
      <c r="AF190" s="401"/>
      <c r="AG190" s="402"/>
      <c r="AH190" s="403"/>
      <c r="AI190" s="401"/>
      <c r="AJ190" s="402"/>
      <c r="AK190" s="403"/>
      <c r="AL190" s="401"/>
      <c r="AM190" s="402"/>
      <c r="AN190" s="403"/>
      <c r="AO190" s="401"/>
      <c r="AP190" s="402"/>
      <c r="AQ190" s="403"/>
      <c r="AR190" s="401"/>
      <c r="AS190" s="202"/>
    </row>
    <row r="191" spans="1:45" ht="13.5" hidden="1" customHeight="1">
      <c r="A191" s="12"/>
      <c r="B191" s="358" t="s">
        <v>606</v>
      </c>
      <c r="C191" s="359">
        <v>13</v>
      </c>
      <c r="D191" s="359">
        <v>93</v>
      </c>
      <c r="E191" s="360" t="s">
        <v>681</v>
      </c>
      <c r="F191" s="230" t="s">
        <v>680</v>
      </c>
      <c r="G191" s="361" t="s">
        <v>43</v>
      </c>
      <c r="H191" s="362">
        <v>24461140</v>
      </c>
      <c r="I191" s="510">
        <v>35012</v>
      </c>
      <c r="J191" s="230">
        <v>28</v>
      </c>
      <c r="K191" s="363" t="s">
        <v>682</v>
      </c>
      <c r="L191" s="364" t="s">
        <v>683</v>
      </c>
      <c r="M191" s="365"/>
      <c r="N191" s="366"/>
      <c r="O191" s="367"/>
      <c r="P191" s="368"/>
      <c r="Q191" s="382"/>
      <c r="R191" s="370" t="s">
        <v>684</v>
      </c>
      <c r="S191" s="370" t="s">
        <v>663</v>
      </c>
      <c r="T191" s="371"/>
      <c r="U191" s="384"/>
      <c r="V191" s="373">
        <v>300</v>
      </c>
      <c r="W191" s="398" t="s">
        <v>649</v>
      </c>
      <c r="X191" s="512">
        <v>45329</v>
      </c>
      <c r="Y191" s="387" t="s">
        <v>657</v>
      </c>
      <c r="Z191" s="513">
        <v>300</v>
      </c>
      <c r="AA191" s="402"/>
      <c r="AB191" s="403"/>
      <c r="AC191" s="401"/>
      <c r="AD191" s="359"/>
      <c r="AE191" s="230"/>
      <c r="AF191" s="381"/>
      <c r="AG191" s="402"/>
      <c r="AH191" s="403"/>
      <c r="AI191" s="401"/>
      <c r="AJ191" s="402"/>
      <c r="AK191" s="403"/>
      <c r="AL191" s="401"/>
      <c r="AM191" s="402"/>
      <c r="AN191" s="403"/>
      <c r="AO191" s="401"/>
      <c r="AP191" s="402"/>
      <c r="AQ191" s="403"/>
      <c r="AR191" s="401"/>
      <c r="AS191" s="202"/>
    </row>
    <row r="192" spans="1:45" ht="13.5" hidden="1" customHeight="1">
      <c r="A192" s="12"/>
      <c r="B192" s="358"/>
      <c r="C192" s="359"/>
      <c r="D192" s="359"/>
      <c r="E192" s="360"/>
      <c r="F192" s="230"/>
      <c r="G192" s="521"/>
      <c r="H192" s="230"/>
      <c r="I192" s="510"/>
      <c r="J192" s="230"/>
      <c r="K192" s="368"/>
      <c r="L192" s="364"/>
      <c r="M192" s="365"/>
      <c r="N192" s="366"/>
      <c r="O192" s="367"/>
      <c r="P192" s="368"/>
      <c r="Q192" s="382"/>
      <c r="R192" s="370"/>
      <c r="S192" s="370"/>
      <c r="T192" s="371"/>
      <c r="U192" s="384"/>
      <c r="V192" s="373"/>
      <c r="W192" s="400"/>
      <c r="X192" s="512"/>
      <c r="Y192" s="376"/>
      <c r="Z192" s="513"/>
      <c r="AA192" s="402"/>
      <c r="AB192" s="403"/>
      <c r="AC192" s="401"/>
      <c r="AD192" s="359"/>
      <c r="AE192" s="230"/>
      <c r="AF192" s="381"/>
      <c r="AG192" s="402"/>
      <c r="AH192" s="403"/>
      <c r="AI192" s="401"/>
      <c r="AJ192" s="402"/>
      <c r="AK192" s="403"/>
      <c r="AL192" s="401"/>
      <c r="AM192" s="402"/>
      <c r="AN192" s="403"/>
      <c r="AO192" s="401"/>
      <c r="AP192" s="402"/>
      <c r="AQ192" s="403"/>
      <c r="AR192" s="401"/>
      <c r="AS192" s="202"/>
    </row>
    <row r="193" spans="1:45" ht="28.5" customHeight="1">
      <c r="A193" s="12"/>
      <c r="B193" s="358" t="s">
        <v>606</v>
      </c>
      <c r="C193" s="359">
        <v>14</v>
      </c>
      <c r="D193" s="359">
        <v>3</v>
      </c>
      <c r="E193" s="360" t="s">
        <v>686</v>
      </c>
      <c r="F193" s="230" t="s">
        <v>685</v>
      </c>
      <c r="G193" s="361" t="s">
        <v>43</v>
      </c>
      <c r="H193" s="230"/>
      <c r="I193" s="230">
        <v>36613</v>
      </c>
      <c r="J193" s="230">
        <v>17</v>
      </c>
      <c r="K193" s="368"/>
      <c r="L193" s="364" t="s">
        <v>687</v>
      </c>
      <c r="M193" s="365" t="s">
        <v>688</v>
      </c>
      <c r="N193" s="366" t="s">
        <v>689</v>
      </c>
      <c r="O193" s="367">
        <v>15403317</v>
      </c>
      <c r="P193" s="368" t="s">
        <v>687</v>
      </c>
      <c r="Q193" s="522"/>
      <c r="R193" s="370" t="s">
        <v>657</v>
      </c>
      <c r="S193" s="370" t="s">
        <v>690</v>
      </c>
      <c r="T193" s="371" t="s">
        <v>664</v>
      </c>
      <c r="U193" s="384"/>
      <c r="V193" s="373"/>
      <c r="W193" s="398" t="s">
        <v>691</v>
      </c>
      <c r="X193" s="512">
        <v>45331</v>
      </c>
      <c r="Y193" s="387" t="s">
        <v>657</v>
      </c>
      <c r="Z193" s="513"/>
      <c r="AA193" s="402"/>
      <c r="AB193" s="403"/>
      <c r="AC193" s="401"/>
      <c r="AD193" s="359"/>
      <c r="AE193" s="230"/>
      <c r="AF193" s="381"/>
      <c r="AG193" s="402"/>
      <c r="AH193" s="403"/>
      <c r="AI193" s="401"/>
      <c r="AJ193" s="402"/>
      <c r="AK193" s="403"/>
      <c r="AL193" s="401"/>
      <c r="AM193" s="402"/>
      <c r="AN193" s="403"/>
      <c r="AO193" s="401"/>
      <c r="AP193" s="402"/>
      <c r="AQ193" s="403"/>
      <c r="AR193" s="401"/>
      <c r="AS193" s="202"/>
    </row>
    <row r="194" spans="1:45" ht="13.5" hidden="1" customHeight="1">
      <c r="A194" s="12"/>
      <c r="B194" s="358"/>
      <c r="C194" s="359"/>
      <c r="D194" s="359"/>
      <c r="E194" s="360"/>
      <c r="F194" s="230"/>
      <c r="G194" s="521"/>
      <c r="H194" s="230"/>
      <c r="I194" s="230"/>
      <c r="J194" s="230"/>
      <c r="K194" s="368"/>
      <c r="L194" s="364"/>
      <c r="M194" s="365"/>
      <c r="N194" s="366"/>
      <c r="O194" s="367"/>
      <c r="P194" s="368"/>
      <c r="Q194" s="382"/>
      <c r="R194" s="370"/>
      <c r="S194" s="370"/>
      <c r="T194" s="371"/>
      <c r="U194" s="384"/>
      <c r="V194" s="373"/>
      <c r="W194" s="400"/>
      <c r="X194" s="512"/>
      <c r="Y194" s="376"/>
      <c r="Z194" s="513"/>
      <c r="AA194" s="402"/>
      <c r="AB194" s="403"/>
      <c r="AC194" s="401"/>
      <c r="AD194" s="359"/>
      <c r="AE194" s="230"/>
      <c r="AF194" s="381"/>
      <c r="AG194" s="402"/>
      <c r="AH194" s="403"/>
      <c r="AI194" s="401"/>
      <c r="AJ194" s="402"/>
      <c r="AK194" s="403"/>
      <c r="AL194" s="401"/>
      <c r="AM194" s="402"/>
      <c r="AN194" s="403"/>
      <c r="AO194" s="401"/>
      <c r="AP194" s="402"/>
      <c r="AQ194" s="403"/>
      <c r="AR194" s="401"/>
      <c r="AS194" s="202"/>
    </row>
    <row r="195" spans="1:45" ht="28.5" customHeight="1">
      <c r="A195" s="12"/>
      <c r="B195" s="358" t="s">
        <v>606</v>
      </c>
      <c r="C195" s="359">
        <v>15</v>
      </c>
      <c r="D195" s="359">
        <v>4</v>
      </c>
      <c r="E195" s="360" t="s">
        <v>693</v>
      </c>
      <c r="F195" s="230" t="s">
        <v>692</v>
      </c>
      <c r="G195" s="361" t="s">
        <v>43</v>
      </c>
      <c r="H195" s="362">
        <v>22034284</v>
      </c>
      <c r="I195" s="230">
        <v>34758</v>
      </c>
      <c r="J195" s="230">
        <v>28</v>
      </c>
      <c r="K195" s="363" t="s">
        <v>694</v>
      </c>
      <c r="L195" s="364" t="s">
        <v>687</v>
      </c>
      <c r="M195" s="405" t="s">
        <v>688</v>
      </c>
      <c r="N195" s="365" t="s">
        <v>695</v>
      </c>
      <c r="O195" s="443">
        <v>15403318</v>
      </c>
      <c r="P195" s="368" t="s">
        <v>687</v>
      </c>
      <c r="Q195" s="520"/>
      <c r="R195" s="370" t="s">
        <v>479</v>
      </c>
      <c r="S195" s="370" t="s">
        <v>696</v>
      </c>
      <c r="T195" s="371" t="s">
        <v>664</v>
      </c>
      <c r="U195" s="384"/>
      <c r="V195" s="515"/>
      <c r="W195" s="398" t="s">
        <v>691</v>
      </c>
      <c r="X195" s="512">
        <v>45331</v>
      </c>
      <c r="Y195" s="387" t="s">
        <v>479</v>
      </c>
      <c r="Z195" s="513"/>
      <c r="AA195" s="402"/>
      <c r="AB195" s="403"/>
      <c r="AC195" s="401"/>
      <c r="AD195" s="402"/>
      <c r="AE195" s="403"/>
      <c r="AF195" s="401"/>
      <c r="AG195" s="402"/>
      <c r="AH195" s="403"/>
      <c r="AI195" s="401"/>
      <c r="AJ195" s="402"/>
      <c r="AK195" s="403"/>
      <c r="AL195" s="401"/>
      <c r="AM195" s="402"/>
      <c r="AN195" s="403"/>
      <c r="AO195" s="401"/>
      <c r="AP195" s="402"/>
      <c r="AQ195" s="403"/>
      <c r="AR195" s="401"/>
      <c r="AS195" s="202"/>
    </row>
    <row r="196" spans="1:45" ht="13.5" hidden="1" customHeight="1">
      <c r="A196" s="12"/>
      <c r="B196" s="358"/>
      <c r="C196" s="359"/>
      <c r="D196" s="359"/>
      <c r="E196" s="360"/>
      <c r="F196" s="230"/>
      <c r="G196" s="521"/>
      <c r="H196" s="230"/>
      <c r="I196" s="230"/>
      <c r="J196" s="230"/>
      <c r="K196" s="368"/>
      <c r="L196" s="364"/>
      <c r="M196" s="405"/>
      <c r="N196" s="365"/>
      <c r="O196" s="368"/>
      <c r="P196" s="368"/>
      <c r="Q196" s="408"/>
      <c r="R196" s="370"/>
      <c r="S196" s="370"/>
      <c r="T196" s="371"/>
      <c r="U196" s="384"/>
      <c r="V196" s="515"/>
      <c r="W196" s="400"/>
      <c r="X196" s="512"/>
      <c r="Y196" s="376"/>
      <c r="Z196" s="513"/>
      <c r="AA196" s="402"/>
      <c r="AB196" s="403"/>
      <c r="AC196" s="401"/>
      <c r="AD196" s="402"/>
      <c r="AE196" s="403"/>
      <c r="AF196" s="401"/>
      <c r="AG196" s="402"/>
      <c r="AH196" s="403"/>
      <c r="AI196" s="401"/>
      <c r="AJ196" s="402"/>
      <c r="AK196" s="403"/>
      <c r="AL196" s="401"/>
      <c r="AM196" s="402"/>
      <c r="AN196" s="403"/>
      <c r="AO196" s="401"/>
      <c r="AP196" s="402"/>
      <c r="AQ196" s="403"/>
      <c r="AR196" s="401"/>
      <c r="AS196" s="202"/>
    </row>
    <row r="197" spans="1:45" ht="13.5" hidden="1" customHeight="1">
      <c r="A197" s="12"/>
      <c r="B197" s="358" t="s">
        <v>606</v>
      </c>
      <c r="C197" s="359">
        <v>16</v>
      </c>
      <c r="D197" s="359">
        <v>96</v>
      </c>
      <c r="E197" s="360" t="s">
        <v>698</v>
      </c>
      <c r="F197" s="230" t="s">
        <v>697</v>
      </c>
      <c r="G197" s="361" t="s">
        <v>43</v>
      </c>
      <c r="H197" s="362">
        <v>34815830</v>
      </c>
      <c r="I197" s="230">
        <v>41434</v>
      </c>
      <c r="J197" s="230">
        <v>10</v>
      </c>
      <c r="K197" s="363" t="s">
        <v>699</v>
      </c>
      <c r="L197" s="364" t="s">
        <v>700</v>
      </c>
      <c r="M197" s="365" t="s">
        <v>701</v>
      </c>
      <c r="N197" s="366" t="s">
        <v>702</v>
      </c>
      <c r="O197" s="443">
        <v>15913016</v>
      </c>
      <c r="P197" s="368" t="s">
        <v>703</v>
      </c>
      <c r="Q197" s="408"/>
      <c r="R197" s="370" t="s">
        <v>704</v>
      </c>
      <c r="S197" s="370" t="s">
        <v>705</v>
      </c>
      <c r="T197" s="371" t="s">
        <v>706</v>
      </c>
      <c r="U197" s="384"/>
      <c r="V197" s="515">
        <v>480</v>
      </c>
      <c r="W197" s="398" t="s">
        <v>78</v>
      </c>
      <c r="X197" s="512">
        <v>45331</v>
      </c>
      <c r="Y197" s="384" t="s">
        <v>704</v>
      </c>
      <c r="Z197" s="513">
        <v>120</v>
      </c>
      <c r="AA197" s="402"/>
      <c r="AB197" s="403"/>
      <c r="AC197" s="401"/>
      <c r="AD197" s="402"/>
      <c r="AE197" s="403"/>
      <c r="AF197" s="401"/>
      <c r="AG197" s="402"/>
      <c r="AH197" s="403"/>
      <c r="AI197" s="401"/>
      <c r="AJ197" s="402"/>
      <c r="AK197" s="403"/>
      <c r="AL197" s="401"/>
      <c r="AM197" s="402"/>
      <c r="AN197" s="403"/>
      <c r="AO197" s="401"/>
      <c r="AP197" s="402"/>
      <c r="AQ197" s="403"/>
      <c r="AR197" s="401"/>
      <c r="AS197" s="202"/>
    </row>
    <row r="198" spans="1:45" ht="13.5" hidden="1" customHeight="1">
      <c r="A198" s="12"/>
      <c r="B198" s="358"/>
      <c r="C198" s="359"/>
      <c r="D198" s="359"/>
      <c r="E198" s="360"/>
      <c r="F198" s="230"/>
      <c r="G198" s="521"/>
      <c r="H198" s="362"/>
      <c r="I198" s="230"/>
      <c r="J198" s="230"/>
      <c r="K198" s="368"/>
      <c r="L198" s="364"/>
      <c r="M198" s="365"/>
      <c r="N198" s="366"/>
      <c r="O198" s="368"/>
      <c r="P198" s="368"/>
      <c r="Q198" s="408"/>
      <c r="R198" s="370"/>
      <c r="S198" s="370"/>
      <c r="T198" s="371"/>
      <c r="U198" s="384"/>
      <c r="V198" s="515"/>
      <c r="W198" s="400"/>
      <c r="X198" s="512"/>
      <c r="Y198" s="384"/>
      <c r="Z198" s="513"/>
      <c r="AA198" s="402"/>
      <c r="AB198" s="403"/>
      <c r="AC198" s="401"/>
      <c r="AD198" s="402"/>
      <c r="AE198" s="403"/>
      <c r="AF198" s="401"/>
      <c r="AG198" s="402"/>
      <c r="AH198" s="403"/>
      <c r="AI198" s="401"/>
      <c r="AJ198" s="402"/>
      <c r="AK198" s="403"/>
      <c r="AL198" s="401"/>
      <c r="AM198" s="402"/>
      <c r="AN198" s="403"/>
      <c r="AO198" s="401"/>
      <c r="AP198" s="402"/>
      <c r="AQ198" s="403"/>
      <c r="AR198" s="401"/>
      <c r="AS198" s="202"/>
    </row>
    <row r="199" spans="1:45" ht="13.5" hidden="1" customHeight="1">
      <c r="A199" s="12"/>
      <c r="B199" s="358" t="s">
        <v>606</v>
      </c>
      <c r="C199" s="359">
        <v>17</v>
      </c>
      <c r="D199" s="359">
        <v>97</v>
      </c>
      <c r="E199" s="360" t="s">
        <v>708</v>
      </c>
      <c r="F199" s="230" t="s">
        <v>707</v>
      </c>
      <c r="G199" s="361" t="s">
        <v>43</v>
      </c>
      <c r="H199" s="362">
        <v>29751428</v>
      </c>
      <c r="I199" s="510">
        <v>41408</v>
      </c>
      <c r="J199" s="230">
        <v>10</v>
      </c>
      <c r="K199" s="363" t="s">
        <v>709</v>
      </c>
      <c r="L199" s="364" t="s">
        <v>710</v>
      </c>
      <c r="M199" s="365" t="s">
        <v>701</v>
      </c>
      <c r="N199" s="366" t="s">
        <v>702</v>
      </c>
      <c r="O199" s="443">
        <v>15913016</v>
      </c>
      <c r="P199" s="368" t="s">
        <v>703</v>
      </c>
      <c r="Q199" s="408"/>
      <c r="R199" s="370" t="s">
        <v>704</v>
      </c>
      <c r="S199" s="370" t="s">
        <v>705</v>
      </c>
      <c r="T199" s="371" t="s">
        <v>706</v>
      </c>
      <c r="U199" s="384"/>
      <c r="V199" s="515">
        <v>480</v>
      </c>
      <c r="W199" s="398" t="s">
        <v>78</v>
      </c>
      <c r="X199" s="512">
        <v>45331</v>
      </c>
      <c r="Y199" s="384" t="s">
        <v>704</v>
      </c>
      <c r="Z199" s="513">
        <v>120</v>
      </c>
      <c r="AA199" s="402"/>
      <c r="AB199" s="403"/>
      <c r="AC199" s="401"/>
      <c r="AD199" s="402"/>
      <c r="AE199" s="403"/>
      <c r="AF199" s="401"/>
      <c r="AG199" s="402"/>
      <c r="AH199" s="403"/>
      <c r="AI199" s="401"/>
      <c r="AJ199" s="402"/>
      <c r="AK199" s="403"/>
      <c r="AL199" s="401"/>
      <c r="AM199" s="402"/>
      <c r="AN199" s="403"/>
      <c r="AO199" s="401"/>
      <c r="AP199" s="402"/>
      <c r="AQ199" s="403"/>
      <c r="AR199" s="401"/>
      <c r="AS199" s="202"/>
    </row>
    <row r="200" spans="1:45" ht="13.5" hidden="1" customHeight="1">
      <c r="A200" s="12"/>
      <c r="B200" s="358"/>
      <c r="C200" s="359"/>
      <c r="D200" s="359"/>
      <c r="E200" s="360"/>
      <c r="F200" s="230"/>
      <c r="G200" s="521"/>
      <c r="H200" s="230"/>
      <c r="I200" s="510"/>
      <c r="J200" s="230"/>
      <c r="K200" s="368"/>
      <c r="L200" s="364"/>
      <c r="M200" s="365"/>
      <c r="N200" s="366"/>
      <c r="O200" s="368"/>
      <c r="P200" s="368"/>
      <c r="Q200" s="408"/>
      <c r="R200" s="370"/>
      <c r="S200" s="370"/>
      <c r="T200" s="371"/>
      <c r="U200" s="384"/>
      <c r="V200" s="515"/>
      <c r="W200" s="400"/>
      <c r="X200" s="512"/>
      <c r="Y200" s="384"/>
      <c r="Z200" s="513"/>
      <c r="AA200" s="402"/>
      <c r="AB200" s="403"/>
      <c r="AC200" s="401"/>
      <c r="AD200" s="402"/>
      <c r="AE200" s="403"/>
      <c r="AF200" s="401"/>
      <c r="AG200" s="402"/>
      <c r="AH200" s="403"/>
      <c r="AI200" s="401"/>
      <c r="AJ200" s="402"/>
      <c r="AK200" s="403"/>
      <c r="AL200" s="401"/>
      <c r="AM200" s="402"/>
      <c r="AN200" s="403"/>
      <c r="AO200" s="401"/>
      <c r="AP200" s="402"/>
      <c r="AQ200" s="403"/>
      <c r="AR200" s="401"/>
      <c r="AS200" s="202"/>
    </row>
    <row r="201" spans="1:45" ht="13.5" hidden="1" customHeight="1">
      <c r="A201" s="12"/>
      <c r="B201" s="358" t="s">
        <v>606</v>
      </c>
      <c r="C201" s="359">
        <v>18</v>
      </c>
      <c r="D201" s="359">
        <v>98</v>
      </c>
      <c r="E201" s="360" t="s">
        <v>712</v>
      </c>
      <c r="F201" s="230" t="s">
        <v>711</v>
      </c>
      <c r="G201" s="361" t="s">
        <v>43</v>
      </c>
      <c r="H201" s="362">
        <v>17533068</v>
      </c>
      <c r="I201" s="230">
        <v>86</v>
      </c>
      <c r="J201" s="230">
        <v>38</v>
      </c>
      <c r="K201" s="363" t="s">
        <v>713</v>
      </c>
      <c r="L201" s="364">
        <v>4241472552</v>
      </c>
      <c r="M201" s="365" t="s">
        <v>2563</v>
      </c>
      <c r="N201" s="366"/>
      <c r="O201" s="367"/>
      <c r="P201" s="368"/>
      <c r="Q201" s="382"/>
      <c r="R201" s="370" t="s">
        <v>657</v>
      </c>
      <c r="S201" s="370" t="s">
        <v>690</v>
      </c>
      <c r="T201" s="371" t="s">
        <v>715</v>
      </c>
      <c r="U201" s="384" t="s">
        <v>716</v>
      </c>
      <c r="V201" s="373">
        <v>300</v>
      </c>
      <c r="W201" s="398" t="s">
        <v>78</v>
      </c>
      <c r="X201" s="512">
        <v>45331</v>
      </c>
      <c r="Y201" s="387" t="s">
        <v>657</v>
      </c>
      <c r="Z201" s="513">
        <v>300</v>
      </c>
      <c r="AA201" s="402"/>
      <c r="AB201" s="403"/>
      <c r="AC201" s="401"/>
      <c r="AD201" s="402"/>
      <c r="AE201" s="403"/>
      <c r="AF201" s="401"/>
      <c r="AG201" s="402"/>
      <c r="AH201" s="403"/>
      <c r="AI201" s="401"/>
      <c r="AJ201" s="402"/>
      <c r="AK201" s="403"/>
      <c r="AL201" s="401"/>
      <c r="AM201" s="402"/>
      <c r="AN201" s="403"/>
      <c r="AO201" s="401"/>
      <c r="AP201" s="402"/>
      <c r="AQ201" s="403"/>
      <c r="AR201" s="401"/>
      <c r="AS201" s="202"/>
    </row>
    <row r="202" spans="1:45" ht="11.25" hidden="1" customHeight="1">
      <c r="A202" s="12"/>
      <c r="B202" s="358"/>
      <c r="C202" s="359"/>
      <c r="D202" s="359"/>
      <c r="E202" s="360"/>
      <c r="F202" s="230"/>
      <c r="G202" s="521"/>
      <c r="H202" s="362"/>
      <c r="I202" s="230"/>
      <c r="J202" s="230"/>
      <c r="K202" s="230"/>
      <c r="L202" s="364"/>
      <c r="M202" s="365"/>
      <c r="N202" s="366"/>
      <c r="O202" s="367"/>
      <c r="P202" s="368"/>
      <c r="Q202" s="382"/>
      <c r="R202" s="370"/>
      <c r="S202" s="370"/>
      <c r="T202" s="371"/>
      <c r="U202" s="384"/>
      <c r="V202" s="373"/>
      <c r="W202" s="400"/>
      <c r="X202" s="512"/>
      <c r="Y202" s="376"/>
      <c r="Z202" s="513"/>
      <c r="AA202" s="402"/>
      <c r="AB202" s="403"/>
      <c r="AC202" s="401"/>
      <c r="AD202" s="402"/>
      <c r="AE202" s="403"/>
      <c r="AF202" s="401"/>
      <c r="AG202" s="402"/>
      <c r="AH202" s="403"/>
      <c r="AI202" s="401"/>
      <c r="AJ202" s="402"/>
      <c r="AK202" s="403"/>
      <c r="AL202" s="401"/>
      <c r="AM202" s="402"/>
      <c r="AN202" s="403"/>
      <c r="AO202" s="401"/>
      <c r="AP202" s="402"/>
      <c r="AQ202" s="403"/>
      <c r="AR202" s="401"/>
      <c r="AS202" s="202"/>
    </row>
    <row r="203" spans="1:45" ht="13.5" hidden="1" customHeight="1">
      <c r="A203" s="12"/>
      <c r="B203" s="358" t="s">
        <v>606</v>
      </c>
      <c r="C203" s="359">
        <v>19</v>
      </c>
      <c r="D203" s="359">
        <v>99</v>
      </c>
      <c r="E203" s="360" t="s">
        <v>718</v>
      </c>
      <c r="F203" s="230" t="s">
        <v>717</v>
      </c>
      <c r="G203" s="361" t="s">
        <v>43</v>
      </c>
      <c r="H203" s="362">
        <v>36038273</v>
      </c>
      <c r="I203" s="230">
        <v>41761</v>
      </c>
      <c r="J203" s="230">
        <v>9</v>
      </c>
      <c r="K203" s="368"/>
      <c r="L203" s="364"/>
      <c r="M203" s="365" t="s">
        <v>719</v>
      </c>
      <c r="N203" s="366" t="s">
        <v>720</v>
      </c>
      <c r="O203" s="367">
        <v>16286872</v>
      </c>
      <c r="P203" s="368">
        <v>4140250526</v>
      </c>
      <c r="Q203" s="382"/>
      <c r="R203" s="370" t="s">
        <v>369</v>
      </c>
      <c r="S203" s="370" t="s">
        <v>721</v>
      </c>
      <c r="T203" s="371" t="s">
        <v>715</v>
      </c>
      <c r="U203" s="384"/>
      <c r="V203" s="373">
        <v>300</v>
      </c>
      <c r="W203" s="398" t="s">
        <v>649</v>
      </c>
      <c r="X203" s="512">
        <v>45331</v>
      </c>
      <c r="Y203" s="372" t="s">
        <v>369</v>
      </c>
      <c r="Z203" s="381">
        <v>300</v>
      </c>
      <c r="AA203" s="359"/>
      <c r="AB203" s="230"/>
      <c r="AC203" s="381"/>
      <c r="AD203" s="359"/>
      <c r="AE203" s="230"/>
      <c r="AF203" s="381"/>
      <c r="AG203" s="359"/>
      <c r="AH203" s="230"/>
      <c r="AI203" s="381"/>
      <c r="AJ203" s="402"/>
      <c r="AK203" s="403"/>
      <c r="AL203" s="401"/>
      <c r="AM203" s="402"/>
      <c r="AN203" s="403"/>
      <c r="AO203" s="401"/>
      <c r="AP203" s="402"/>
      <c r="AQ203" s="403"/>
      <c r="AR203" s="401"/>
      <c r="AS203" s="202"/>
    </row>
    <row r="204" spans="1:45" ht="13.5" hidden="1" customHeight="1">
      <c r="A204" s="12"/>
      <c r="B204" s="358"/>
      <c r="C204" s="359"/>
      <c r="D204" s="359"/>
      <c r="E204" s="360"/>
      <c r="F204" s="230"/>
      <c r="G204" s="521"/>
      <c r="H204" s="362"/>
      <c r="I204" s="230"/>
      <c r="J204" s="230"/>
      <c r="K204" s="368"/>
      <c r="L204" s="364"/>
      <c r="M204" s="365"/>
      <c r="N204" s="366"/>
      <c r="O204" s="367"/>
      <c r="P204" s="368"/>
      <c r="Q204" s="382"/>
      <c r="R204" s="370"/>
      <c r="S204" s="370"/>
      <c r="T204" s="371"/>
      <c r="U204" s="384"/>
      <c r="V204" s="373"/>
      <c r="W204" s="400"/>
      <c r="X204" s="512"/>
      <c r="Y204" s="372"/>
      <c r="Z204" s="381"/>
      <c r="AA204" s="359"/>
      <c r="AB204" s="230"/>
      <c r="AC204" s="381"/>
      <c r="AD204" s="359"/>
      <c r="AE204" s="230"/>
      <c r="AF204" s="381"/>
      <c r="AG204" s="359"/>
      <c r="AH204" s="230"/>
      <c r="AI204" s="381"/>
      <c r="AJ204" s="402"/>
      <c r="AK204" s="403"/>
      <c r="AL204" s="401"/>
      <c r="AM204" s="402"/>
      <c r="AN204" s="403"/>
      <c r="AO204" s="401"/>
      <c r="AP204" s="402"/>
      <c r="AQ204" s="403"/>
      <c r="AR204" s="401"/>
      <c r="AS204" s="202"/>
    </row>
    <row r="205" spans="1:45" ht="13.5" hidden="1" customHeight="1">
      <c r="A205" s="12"/>
      <c r="B205" s="358" t="s">
        <v>606</v>
      </c>
      <c r="C205" s="359">
        <v>20</v>
      </c>
      <c r="D205" s="359">
        <v>100</v>
      </c>
      <c r="E205" s="360" t="s">
        <v>723</v>
      </c>
      <c r="F205" s="230" t="s">
        <v>722</v>
      </c>
      <c r="G205" s="361" t="s">
        <v>43</v>
      </c>
      <c r="H205" s="362">
        <v>30936611</v>
      </c>
      <c r="I205" s="230">
        <v>38430</v>
      </c>
      <c r="J205" s="230">
        <v>18</v>
      </c>
      <c r="K205" s="363" t="s">
        <v>724</v>
      </c>
      <c r="L205" s="364">
        <v>4120193934</v>
      </c>
      <c r="M205" s="365" t="s">
        <v>725</v>
      </c>
      <c r="N205" s="366"/>
      <c r="O205" s="367"/>
      <c r="P205" s="368"/>
      <c r="Q205" s="382"/>
      <c r="R205" s="370" t="s">
        <v>544</v>
      </c>
      <c r="S205" s="370" t="s">
        <v>726</v>
      </c>
      <c r="T205" s="371"/>
      <c r="U205" s="384"/>
      <c r="V205" s="373">
        <v>300</v>
      </c>
      <c r="W205" s="398" t="s">
        <v>649</v>
      </c>
      <c r="X205" s="512">
        <v>45332</v>
      </c>
      <c r="Y205" s="384" t="s">
        <v>76</v>
      </c>
      <c r="Z205" s="513">
        <v>300</v>
      </c>
      <c r="AA205" s="402"/>
      <c r="AB205" s="403"/>
      <c r="AC205" s="401"/>
      <c r="AD205" s="359"/>
      <c r="AE205" s="230"/>
      <c r="AF205" s="381"/>
      <c r="AG205" s="402"/>
      <c r="AH205" s="403"/>
      <c r="AI205" s="401"/>
      <c r="AJ205" s="402"/>
      <c r="AK205" s="403"/>
      <c r="AL205" s="401"/>
      <c r="AM205" s="402"/>
      <c r="AN205" s="403"/>
      <c r="AO205" s="401"/>
      <c r="AP205" s="402"/>
      <c r="AQ205" s="403"/>
      <c r="AR205" s="401"/>
      <c r="AS205" s="202"/>
    </row>
    <row r="206" spans="1:45" ht="13.5" hidden="1" customHeight="1">
      <c r="A206" s="12"/>
      <c r="B206" s="358"/>
      <c r="C206" s="359"/>
      <c r="D206" s="359"/>
      <c r="E206" s="360"/>
      <c r="F206" s="230"/>
      <c r="G206" s="521"/>
      <c r="H206" s="362"/>
      <c r="I206" s="230"/>
      <c r="J206" s="230"/>
      <c r="K206" s="368"/>
      <c r="L206" s="364"/>
      <c r="M206" s="365"/>
      <c r="N206" s="366"/>
      <c r="O206" s="367"/>
      <c r="P206" s="368"/>
      <c r="Q206" s="382"/>
      <c r="R206" s="370"/>
      <c r="S206" s="370"/>
      <c r="T206" s="371"/>
      <c r="U206" s="384"/>
      <c r="V206" s="373"/>
      <c r="W206" s="400"/>
      <c r="X206" s="512"/>
      <c r="Y206" s="384"/>
      <c r="Z206" s="513"/>
      <c r="AA206" s="402"/>
      <c r="AB206" s="403"/>
      <c r="AC206" s="401"/>
      <c r="AD206" s="359"/>
      <c r="AE206" s="230"/>
      <c r="AF206" s="381"/>
      <c r="AG206" s="402"/>
      <c r="AH206" s="403"/>
      <c r="AI206" s="401"/>
      <c r="AJ206" s="402"/>
      <c r="AK206" s="403"/>
      <c r="AL206" s="401"/>
      <c r="AM206" s="402"/>
      <c r="AN206" s="403"/>
      <c r="AO206" s="401"/>
      <c r="AP206" s="402"/>
      <c r="AQ206" s="403"/>
      <c r="AR206" s="401"/>
      <c r="AS206" s="202"/>
    </row>
    <row r="207" spans="1:45" ht="13.5" hidden="1" customHeight="1">
      <c r="A207" s="12"/>
      <c r="B207" s="358" t="s">
        <v>727</v>
      </c>
      <c r="C207" s="359">
        <v>1</v>
      </c>
      <c r="D207" s="359">
        <v>101</v>
      </c>
      <c r="E207" s="360" t="s">
        <v>729</v>
      </c>
      <c r="F207" s="445"/>
      <c r="G207" s="264" t="s">
        <v>43</v>
      </c>
      <c r="H207" s="523">
        <v>32453106</v>
      </c>
      <c r="I207" s="230">
        <v>39748</v>
      </c>
      <c r="J207" s="230">
        <v>16</v>
      </c>
      <c r="K207" s="363" t="s">
        <v>730</v>
      </c>
      <c r="L207" s="364" t="s">
        <v>731</v>
      </c>
      <c r="M207" s="452" t="s">
        <v>732</v>
      </c>
      <c r="N207" s="409" t="s">
        <v>733</v>
      </c>
      <c r="O207" s="453">
        <v>18740602</v>
      </c>
      <c r="P207" s="454" t="s">
        <v>731</v>
      </c>
      <c r="Q207" s="504" t="s">
        <v>730</v>
      </c>
      <c r="R207" s="370"/>
      <c r="S207" s="370" t="s">
        <v>696</v>
      </c>
      <c r="T207" s="371"/>
      <c r="U207" s="384"/>
      <c r="V207" s="515">
        <v>300</v>
      </c>
      <c r="W207" s="398" t="s">
        <v>78</v>
      </c>
      <c r="X207" s="404">
        <v>45337</v>
      </c>
      <c r="Y207" s="384"/>
      <c r="Z207" s="513">
        <v>300</v>
      </c>
      <c r="AA207" s="359"/>
      <c r="AB207" s="230"/>
      <c r="AC207" s="381"/>
      <c r="AD207" s="359"/>
      <c r="AE207" s="230"/>
      <c r="AF207" s="381"/>
      <c r="AG207" s="402"/>
      <c r="AH207" s="403"/>
      <c r="AI207" s="401"/>
      <c r="AJ207" s="402"/>
      <c r="AK207" s="403"/>
      <c r="AL207" s="401"/>
      <c r="AM207" s="402"/>
      <c r="AN207" s="403"/>
      <c r="AO207" s="401"/>
      <c r="AP207" s="402"/>
      <c r="AQ207" s="403"/>
      <c r="AR207" s="401"/>
      <c r="AS207" s="202"/>
    </row>
    <row r="208" spans="1:45" ht="13.5" hidden="1" customHeight="1">
      <c r="A208" s="12"/>
      <c r="B208" s="358"/>
      <c r="C208" s="359"/>
      <c r="D208" s="359"/>
      <c r="E208" s="360"/>
      <c r="F208" s="445"/>
      <c r="G208" s="521"/>
      <c r="H208" s="485"/>
      <c r="I208" s="230"/>
      <c r="J208" s="230"/>
      <c r="K208" s="363"/>
      <c r="L208" s="364"/>
      <c r="M208" s="439"/>
      <c r="N208" s="425"/>
      <c r="O208" s="440"/>
      <c r="P208" s="429"/>
      <c r="Q208" s="442"/>
      <c r="R208" s="370"/>
      <c r="S208" s="370"/>
      <c r="T208" s="371"/>
      <c r="U208" s="384"/>
      <c r="V208" s="515"/>
      <c r="W208" s="400"/>
      <c r="X208" s="404"/>
      <c r="Y208" s="384"/>
      <c r="Z208" s="513"/>
      <c r="AA208" s="359"/>
      <c r="AB208" s="230"/>
      <c r="AC208" s="381"/>
      <c r="AD208" s="359"/>
      <c r="AE208" s="230"/>
      <c r="AF208" s="381"/>
      <c r="AG208" s="402"/>
      <c r="AH208" s="403"/>
      <c r="AI208" s="401"/>
      <c r="AJ208" s="402"/>
      <c r="AK208" s="403"/>
      <c r="AL208" s="401"/>
      <c r="AM208" s="402"/>
      <c r="AN208" s="403"/>
      <c r="AO208" s="401"/>
      <c r="AP208" s="402"/>
      <c r="AQ208" s="403"/>
      <c r="AR208" s="401"/>
      <c r="AS208" s="202"/>
    </row>
    <row r="209" spans="1:45" ht="13.5" hidden="1" customHeight="1">
      <c r="A209" s="12"/>
      <c r="B209" s="358" t="s">
        <v>727</v>
      </c>
      <c r="C209" s="359">
        <v>2</v>
      </c>
      <c r="D209" s="359">
        <v>102</v>
      </c>
      <c r="E209" s="360" t="s">
        <v>735</v>
      </c>
      <c r="F209" s="524"/>
      <c r="G209" s="264" t="s">
        <v>43</v>
      </c>
      <c r="H209" s="362"/>
      <c r="I209" s="230">
        <v>43130</v>
      </c>
      <c r="J209" s="230">
        <v>6</v>
      </c>
      <c r="K209" s="363" t="s">
        <v>736</v>
      </c>
      <c r="L209" s="364">
        <v>4123685620</v>
      </c>
      <c r="M209" s="452" t="s">
        <v>737</v>
      </c>
      <c r="N209" s="409" t="s">
        <v>738</v>
      </c>
      <c r="O209" s="453">
        <v>16394794</v>
      </c>
      <c r="P209" s="454">
        <v>4123685620</v>
      </c>
      <c r="Q209" s="504" t="s">
        <v>739</v>
      </c>
      <c r="R209" s="370" t="s">
        <v>740</v>
      </c>
      <c r="S209" s="370" t="s">
        <v>741</v>
      </c>
      <c r="T209" s="371" t="s">
        <v>706</v>
      </c>
      <c r="U209" s="384"/>
      <c r="V209" s="515">
        <v>300</v>
      </c>
      <c r="W209" s="398" t="s">
        <v>78</v>
      </c>
      <c r="X209" s="512">
        <v>45339</v>
      </c>
      <c r="Y209" s="384" t="s">
        <v>2564</v>
      </c>
      <c r="Z209" s="513">
        <v>50</v>
      </c>
      <c r="AA209" s="359"/>
      <c r="AB209" s="230"/>
      <c r="AC209" s="381"/>
      <c r="AD209" s="359"/>
      <c r="AE209" s="230"/>
      <c r="AF209" s="381"/>
      <c r="AG209" s="402"/>
      <c r="AH209" s="403"/>
      <c r="AI209" s="401"/>
      <c r="AJ209" s="402"/>
      <c r="AK209" s="403"/>
      <c r="AL209" s="401"/>
      <c r="AM209" s="402"/>
      <c r="AN209" s="403"/>
      <c r="AO209" s="401"/>
      <c r="AP209" s="402"/>
      <c r="AQ209" s="403"/>
      <c r="AR209" s="401"/>
      <c r="AS209" s="202"/>
    </row>
    <row r="210" spans="1:45" ht="13.5" hidden="1" customHeight="1">
      <c r="A210" s="12"/>
      <c r="B210" s="358"/>
      <c r="C210" s="359"/>
      <c r="D210" s="359"/>
      <c r="E210" s="360"/>
      <c r="F210" s="524"/>
      <c r="G210" s="378"/>
      <c r="H210" s="362"/>
      <c r="I210" s="230"/>
      <c r="J210" s="230"/>
      <c r="K210" s="363"/>
      <c r="L210" s="364"/>
      <c r="M210" s="439"/>
      <c r="N210" s="425"/>
      <c r="O210" s="440"/>
      <c r="P210" s="429"/>
      <c r="Q210" s="430"/>
      <c r="R210" s="370"/>
      <c r="S210" s="370"/>
      <c r="T210" s="371"/>
      <c r="U210" s="384"/>
      <c r="V210" s="515"/>
      <c r="W210" s="400"/>
      <c r="X210" s="512"/>
      <c r="Y210" s="384"/>
      <c r="Z210" s="513"/>
      <c r="AA210" s="359"/>
      <c r="AB210" s="230"/>
      <c r="AC210" s="381"/>
      <c r="AD210" s="359"/>
      <c r="AE210" s="230"/>
      <c r="AF210" s="381"/>
      <c r="AG210" s="402"/>
      <c r="AH210" s="403"/>
      <c r="AI210" s="401"/>
      <c r="AJ210" s="402"/>
      <c r="AK210" s="403"/>
      <c r="AL210" s="401"/>
      <c r="AM210" s="402"/>
      <c r="AN210" s="403"/>
      <c r="AO210" s="401"/>
      <c r="AP210" s="402"/>
      <c r="AQ210" s="403"/>
      <c r="AR210" s="401"/>
      <c r="AS210" s="202"/>
    </row>
    <row r="211" spans="1:45" ht="13.5" hidden="1" customHeight="1">
      <c r="A211" s="12"/>
      <c r="B211" s="358" t="s">
        <v>727</v>
      </c>
      <c r="C211" s="359">
        <v>3</v>
      </c>
      <c r="D211" s="359">
        <v>103</v>
      </c>
      <c r="E211" s="360" t="s">
        <v>744</v>
      </c>
      <c r="F211" s="524"/>
      <c r="G211" s="361" t="s">
        <v>43</v>
      </c>
      <c r="H211" s="362">
        <v>29622244</v>
      </c>
      <c r="I211" s="230">
        <v>37223</v>
      </c>
      <c r="J211" s="230">
        <v>22</v>
      </c>
      <c r="K211" s="311"/>
      <c r="L211" s="364" t="s">
        <v>745</v>
      </c>
      <c r="M211" s="365" t="s">
        <v>746</v>
      </c>
      <c r="N211" s="366" t="s">
        <v>747</v>
      </c>
      <c r="O211" s="367">
        <v>13726233</v>
      </c>
      <c r="P211" s="368" t="s">
        <v>745</v>
      </c>
      <c r="Q211" s="369" t="s">
        <v>748</v>
      </c>
      <c r="R211" s="370" t="s">
        <v>657</v>
      </c>
      <c r="S211" s="370" t="s">
        <v>749</v>
      </c>
      <c r="T211" s="371" t="s">
        <v>706</v>
      </c>
      <c r="U211" s="384"/>
      <c r="V211" s="515">
        <v>480</v>
      </c>
      <c r="W211" s="398" t="s">
        <v>78</v>
      </c>
      <c r="X211" s="512">
        <v>45341</v>
      </c>
      <c r="Y211" s="384" t="s">
        <v>750</v>
      </c>
      <c r="Z211" s="513">
        <v>120</v>
      </c>
      <c r="AA211" s="402"/>
      <c r="AB211" s="403"/>
      <c r="AC211" s="401"/>
      <c r="AD211" s="402"/>
      <c r="AE211" s="403"/>
      <c r="AF211" s="401"/>
      <c r="AG211" s="402"/>
      <c r="AH211" s="403"/>
      <c r="AI211" s="401"/>
      <c r="AJ211" s="402"/>
      <c r="AK211" s="403"/>
      <c r="AL211" s="401"/>
      <c r="AM211" s="402"/>
      <c r="AN211" s="403"/>
      <c r="AO211" s="401"/>
      <c r="AP211" s="402"/>
      <c r="AQ211" s="403"/>
      <c r="AR211" s="401"/>
      <c r="AS211" s="202"/>
    </row>
    <row r="212" spans="1:45" ht="13.5" hidden="1" customHeight="1">
      <c r="A212" s="12"/>
      <c r="B212" s="358"/>
      <c r="C212" s="359"/>
      <c r="D212" s="359"/>
      <c r="E212" s="360"/>
      <c r="F212" s="524"/>
      <c r="G212" s="378"/>
      <c r="H212" s="362"/>
      <c r="I212" s="230"/>
      <c r="J212" s="230"/>
      <c r="K212" s="525" t="s">
        <v>2565</v>
      </c>
      <c r="L212" s="364"/>
      <c r="M212" s="365"/>
      <c r="N212" s="366"/>
      <c r="O212" s="367"/>
      <c r="P212" s="368"/>
      <c r="Q212" s="382"/>
      <c r="R212" s="370"/>
      <c r="S212" s="370"/>
      <c r="T212" s="371"/>
      <c r="U212" s="384"/>
      <c r="V212" s="515"/>
      <c r="W212" s="400"/>
      <c r="X212" s="512"/>
      <c r="Y212" s="384"/>
      <c r="Z212" s="513"/>
      <c r="AA212" s="402"/>
      <c r="AB212" s="403"/>
      <c r="AC212" s="401"/>
      <c r="AD212" s="402"/>
      <c r="AE212" s="403"/>
      <c r="AF212" s="401"/>
      <c r="AG212" s="402"/>
      <c r="AH212" s="403"/>
      <c r="AI212" s="401"/>
      <c r="AJ212" s="402"/>
      <c r="AK212" s="403"/>
      <c r="AL212" s="401"/>
      <c r="AM212" s="402"/>
      <c r="AN212" s="403"/>
      <c r="AO212" s="401"/>
      <c r="AP212" s="402"/>
      <c r="AQ212" s="403"/>
      <c r="AR212" s="401"/>
      <c r="AS212" s="202"/>
    </row>
    <row r="213" spans="1:45" ht="13.5" hidden="1" customHeight="1">
      <c r="A213" s="12"/>
      <c r="B213" s="358" t="s">
        <v>727</v>
      </c>
      <c r="C213" s="359">
        <v>4</v>
      </c>
      <c r="D213" s="359">
        <v>104</v>
      </c>
      <c r="E213" s="360" t="s">
        <v>752</v>
      </c>
      <c r="F213" s="524"/>
      <c r="G213" s="361" t="s">
        <v>43</v>
      </c>
      <c r="H213" s="362">
        <v>30318533</v>
      </c>
      <c r="I213" s="230">
        <v>38350</v>
      </c>
      <c r="J213" s="230">
        <v>20</v>
      </c>
      <c r="K213" s="363" t="s">
        <v>753</v>
      </c>
      <c r="L213" s="364" t="s">
        <v>754</v>
      </c>
      <c r="M213" s="365" t="s">
        <v>746</v>
      </c>
      <c r="N213" s="366" t="s">
        <v>747</v>
      </c>
      <c r="O213" s="367">
        <v>13726233</v>
      </c>
      <c r="P213" s="368" t="s">
        <v>745</v>
      </c>
      <c r="Q213" s="369" t="s">
        <v>748</v>
      </c>
      <c r="R213" s="370" t="s">
        <v>657</v>
      </c>
      <c r="S213" s="370" t="s">
        <v>749</v>
      </c>
      <c r="T213" s="371" t="s">
        <v>706</v>
      </c>
      <c r="U213" s="384"/>
      <c r="V213" s="373">
        <v>480</v>
      </c>
      <c r="W213" s="398" t="s">
        <v>78</v>
      </c>
      <c r="X213" s="512">
        <v>45341</v>
      </c>
      <c r="Y213" s="384" t="s">
        <v>750</v>
      </c>
      <c r="Z213" s="381">
        <v>120</v>
      </c>
      <c r="AA213" s="402"/>
      <c r="AB213" s="403"/>
      <c r="AC213" s="401"/>
      <c r="AD213" s="359"/>
      <c r="AE213" s="230"/>
      <c r="AF213" s="381"/>
      <c r="AG213" s="402"/>
      <c r="AH213" s="403"/>
      <c r="AI213" s="401"/>
      <c r="AJ213" s="402"/>
      <c r="AK213" s="403"/>
      <c r="AL213" s="401"/>
      <c r="AM213" s="402"/>
      <c r="AN213" s="403"/>
      <c r="AO213" s="401"/>
      <c r="AP213" s="402"/>
      <c r="AQ213" s="403"/>
      <c r="AR213" s="401"/>
      <c r="AS213" s="202"/>
    </row>
    <row r="214" spans="1:45" ht="13.5" hidden="1" customHeight="1">
      <c r="A214" s="12"/>
      <c r="B214" s="358"/>
      <c r="C214" s="359"/>
      <c r="D214" s="359"/>
      <c r="E214" s="360"/>
      <c r="F214" s="524"/>
      <c r="G214" s="378"/>
      <c r="H214" s="362"/>
      <c r="I214" s="230"/>
      <c r="J214" s="230"/>
      <c r="K214" s="230"/>
      <c r="L214" s="364"/>
      <c r="M214" s="365"/>
      <c r="N214" s="366"/>
      <c r="O214" s="367"/>
      <c r="P214" s="368"/>
      <c r="Q214" s="382"/>
      <c r="R214" s="370"/>
      <c r="S214" s="370"/>
      <c r="T214" s="371"/>
      <c r="U214" s="384"/>
      <c r="V214" s="373"/>
      <c r="W214" s="400"/>
      <c r="X214" s="512"/>
      <c r="Y214" s="384"/>
      <c r="Z214" s="381"/>
      <c r="AA214" s="402"/>
      <c r="AB214" s="403"/>
      <c r="AC214" s="401"/>
      <c r="AD214" s="359"/>
      <c r="AE214" s="230"/>
      <c r="AF214" s="381"/>
      <c r="AG214" s="402"/>
      <c r="AH214" s="403"/>
      <c r="AI214" s="401"/>
      <c r="AJ214" s="402"/>
      <c r="AK214" s="403"/>
      <c r="AL214" s="401"/>
      <c r="AM214" s="402"/>
      <c r="AN214" s="403"/>
      <c r="AO214" s="401"/>
      <c r="AP214" s="402"/>
      <c r="AQ214" s="403"/>
      <c r="AR214" s="401"/>
      <c r="AS214" s="202"/>
    </row>
    <row r="215" spans="1:45" ht="13.5" hidden="1" customHeight="1">
      <c r="A215" s="12"/>
      <c r="B215" s="358" t="s">
        <v>727</v>
      </c>
      <c r="C215" s="359">
        <v>5</v>
      </c>
      <c r="D215" s="359">
        <v>105</v>
      </c>
      <c r="E215" s="360" t="s">
        <v>756</v>
      </c>
      <c r="F215" s="524"/>
      <c r="G215" s="361" t="s">
        <v>43</v>
      </c>
      <c r="H215" s="362">
        <v>36023617</v>
      </c>
      <c r="I215" s="230">
        <v>41614</v>
      </c>
      <c r="J215" s="230">
        <v>10</v>
      </c>
      <c r="K215" s="363" t="s">
        <v>757</v>
      </c>
      <c r="L215" s="364" t="s">
        <v>758</v>
      </c>
      <c r="M215" s="365" t="s">
        <v>759</v>
      </c>
      <c r="N215" s="366" t="s">
        <v>760</v>
      </c>
      <c r="O215" s="367">
        <v>16370424</v>
      </c>
      <c r="P215" s="368" t="s">
        <v>758</v>
      </c>
      <c r="Q215" s="369" t="s">
        <v>757</v>
      </c>
      <c r="R215" s="370" t="s">
        <v>369</v>
      </c>
      <c r="S215" s="370" t="s">
        <v>761</v>
      </c>
      <c r="T215" s="371"/>
      <c r="U215" s="384"/>
      <c r="V215" s="373">
        <v>280</v>
      </c>
      <c r="W215" s="398" t="s">
        <v>78</v>
      </c>
      <c r="X215" s="404">
        <v>45342</v>
      </c>
      <c r="Y215" s="372" t="s">
        <v>369</v>
      </c>
      <c r="Z215" s="381">
        <v>280</v>
      </c>
      <c r="AA215" s="359"/>
      <c r="AB215" s="230"/>
      <c r="AC215" s="381"/>
      <c r="AD215" s="359"/>
      <c r="AE215" s="230"/>
      <c r="AF215" s="381"/>
      <c r="AG215" s="402"/>
      <c r="AH215" s="403"/>
      <c r="AI215" s="401"/>
      <c r="AJ215" s="402"/>
      <c r="AK215" s="403"/>
      <c r="AL215" s="401"/>
      <c r="AM215" s="402"/>
      <c r="AN215" s="403"/>
      <c r="AO215" s="401"/>
      <c r="AP215" s="402"/>
      <c r="AQ215" s="403"/>
      <c r="AR215" s="401"/>
      <c r="AS215" s="202"/>
    </row>
    <row r="216" spans="1:45" ht="13.5" hidden="1" customHeight="1">
      <c r="A216" s="12"/>
      <c r="B216" s="358"/>
      <c r="C216" s="359"/>
      <c r="D216" s="359"/>
      <c r="E216" s="360"/>
      <c r="F216" s="524"/>
      <c r="G216" s="378"/>
      <c r="H216" s="230"/>
      <c r="I216" s="230"/>
      <c r="J216" s="230"/>
      <c r="K216" s="368"/>
      <c r="L216" s="364"/>
      <c r="M216" s="365"/>
      <c r="N216" s="366"/>
      <c r="O216" s="367"/>
      <c r="P216" s="368"/>
      <c r="Q216" s="382"/>
      <c r="R216" s="370"/>
      <c r="S216" s="370"/>
      <c r="T216" s="371"/>
      <c r="U216" s="384"/>
      <c r="V216" s="373"/>
      <c r="W216" s="400"/>
      <c r="X216" s="404"/>
      <c r="Y216" s="372"/>
      <c r="Z216" s="381"/>
      <c r="AA216" s="359"/>
      <c r="AB216" s="230"/>
      <c r="AC216" s="381"/>
      <c r="AD216" s="359"/>
      <c r="AE216" s="230"/>
      <c r="AF216" s="381"/>
      <c r="AG216" s="402"/>
      <c r="AH216" s="403"/>
      <c r="AI216" s="401"/>
      <c r="AJ216" s="402"/>
      <c r="AK216" s="403"/>
      <c r="AL216" s="401"/>
      <c r="AM216" s="402"/>
      <c r="AN216" s="403"/>
      <c r="AO216" s="401"/>
      <c r="AP216" s="402"/>
      <c r="AQ216" s="403"/>
      <c r="AR216" s="401"/>
      <c r="AS216" s="202"/>
    </row>
    <row r="217" spans="1:45" ht="13.5" hidden="1" customHeight="1">
      <c r="A217" s="12"/>
      <c r="B217" s="358" t="s">
        <v>727</v>
      </c>
      <c r="C217" s="359">
        <v>6</v>
      </c>
      <c r="D217" s="359">
        <v>106</v>
      </c>
      <c r="E217" s="360" t="s">
        <v>763</v>
      </c>
      <c r="F217" s="524"/>
      <c r="G217" s="361" t="s">
        <v>43</v>
      </c>
      <c r="H217" s="362">
        <v>36023618</v>
      </c>
      <c r="I217" s="230">
        <v>41124</v>
      </c>
      <c r="J217" s="230">
        <v>11</v>
      </c>
      <c r="K217" s="363" t="s">
        <v>757</v>
      </c>
      <c r="L217" s="364" t="s">
        <v>758</v>
      </c>
      <c r="M217" s="365" t="s">
        <v>759</v>
      </c>
      <c r="N217" s="366" t="s">
        <v>760</v>
      </c>
      <c r="O217" s="367">
        <v>16370424</v>
      </c>
      <c r="P217" s="368" t="s">
        <v>758</v>
      </c>
      <c r="Q217" s="369" t="s">
        <v>757</v>
      </c>
      <c r="R217" s="370" t="s">
        <v>764</v>
      </c>
      <c r="S217" s="370" t="s">
        <v>761</v>
      </c>
      <c r="T217" s="371"/>
      <c r="U217" s="384"/>
      <c r="V217" s="373">
        <v>280</v>
      </c>
      <c r="W217" s="398" t="s">
        <v>78</v>
      </c>
      <c r="X217" s="404">
        <v>45342</v>
      </c>
      <c r="Y217" s="372" t="s">
        <v>369</v>
      </c>
      <c r="Z217" s="381">
        <v>280</v>
      </c>
      <c r="AA217" s="402"/>
      <c r="AB217" s="403"/>
      <c r="AC217" s="401"/>
      <c r="AD217" s="526"/>
      <c r="AE217" s="527"/>
      <c r="AF217" s="528"/>
      <c r="AG217" s="402"/>
      <c r="AH217" s="403"/>
      <c r="AI217" s="401"/>
      <c r="AJ217" s="402"/>
      <c r="AK217" s="403"/>
      <c r="AL217" s="401"/>
      <c r="AM217" s="402"/>
      <c r="AN217" s="403"/>
      <c r="AO217" s="401"/>
      <c r="AP217" s="402"/>
      <c r="AQ217" s="403"/>
      <c r="AR217" s="401"/>
      <c r="AS217" s="202"/>
    </row>
    <row r="218" spans="1:45" ht="13.5" hidden="1" customHeight="1">
      <c r="A218" s="12"/>
      <c r="B218" s="358"/>
      <c r="C218" s="359"/>
      <c r="D218" s="359"/>
      <c r="E218" s="360"/>
      <c r="F218" s="524"/>
      <c r="G218" s="378"/>
      <c r="H218" s="230"/>
      <c r="I218" s="230"/>
      <c r="J218" s="230"/>
      <c r="K218" s="368"/>
      <c r="L218" s="364"/>
      <c r="M218" s="365"/>
      <c r="N218" s="366"/>
      <c r="O218" s="367"/>
      <c r="P218" s="368"/>
      <c r="Q218" s="382"/>
      <c r="R218" s="370"/>
      <c r="S218" s="420"/>
      <c r="T218" s="371"/>
      <c r="U218" s="384"/>
      <c r="V218" s="373"/>
      <c r="W218" s="400"/>
      <c r="X218" s="404"/>
      <c r="Y218" s="372"/>
      <c r="Z218" s="381"/>
      <c r="AA218" s="402"/>
      <c r="AB218" s="403"/>
      <c r="AC218" s="401"/>
      <c r="AD218" s="529"/>
      <c r="AE218" s="379"/>
      <c r="AF218" s="380"/>
      <c r="AG218" s="402"/>
      <c r="AH218" s="403"/>
      <c r="AI218" s="401"/>
      <c r="AJ218" s="402"/>
      <c r="AK218" s="403"/>
      <c r="AL218" s="401"/>
      <c r="AM218" s="402"/>
      <c r="AN218" s="403"/>
      <c r="AO218" s="401"/>
      <c r="AP218" s="402"/>
      <c r="AQ218" s="403"/>
      <c r="AR218" s="401"/>
      <c r="AS218" s="202"/>
    </row>
    <row r="219" spans="1:45" ht="13.5" hidden="1" customHeight="1">
      <c r="A219" s="12"/>
      <c r="B219" s="358" t="s">
        <v>727</v>
      </c>
      <c r="C219" s="359">
        <v>7</v>
      </c>
      <c r="D219" s="359">
        <v>107</v>
      </c>
      <c r="E219" s="360" t="s">
        <v>766</v>
      </c>
      <c r="F219" s="230"/>
      <c r="G219" s="361" t="s">
        <v>43</v>
      </c>
      <c r="H219" s="362">
        <v>19274524</v>
      </c>
      <c r="I219" s="230">
        <v>32520</v>
      </c>
      <c r="J219" s="230">
        <v>35</v>
      </c>
      <c r="K219" s="363" t="s">
        <v>767</v>
      </c>
      <c r="L219" s="364" t="s">
        <v>768</v>
      </c>
      <c r="M219" s="365" t="s">
        <v>769</v>
      </c>
      <c r="N219" s="366"/>
      <c r="O219" s="367"/>
      <c r="P219" s="368"/>
      <c r="Q219" s="391"/>
      <c r="R219" s="530" t="s">
        <v>657</v>
      </c>
      <c r="S219" s="271" t="s">
        <v>770</v>
      </c>
      <c r="T219" s="531" t="s">
        <v>715</v>
      </c>
      <c r="U219" s="384"/>
      <c r="V219" s="373">
        <v>300</v>
      </c>
      <c r="W219" s="398" t="s">
        <v>620</v>
      </c>
      <c r="X219" s="404">
        <v>45345</v>
      </c>
      <c r="Y219" s="384" t="s">
        <v>750</v>
      </c>
      <c r="Z219" s="513">
        <v>300</v>
      </c>
      <c r="AA219" s="402"/>
      <c r="AB219" s="403"/>
      <c r="AC219" s="401"/>
      <c r="AD219" s="526"/>
      <c r="AE219" s="527"/>
      <c r="AF219" s="528"/>
      <c r="AG219" s="402"/>
      <c r="AH219" s="403"/>
      <c r="AI219" s="401"/>
      <c r="AJ219" s="402"/>
      <c r="AK219" s="403"/>
      <c r="AL219" s="401"/>
      <c r="AM219" s="402"/>
      <c r="AN219" s="403"/>
      <c r="AO219" s="401"/>
      <c r="AP219" s="402"/>
      <c r="AQ219" s="403"/>
      <c r="AR219" s="401"/>
      <c r="AS219" s="202"/>
    </row>
    <row r="220" spans="1:45" ht="13.5" hidden="1" customHeight="1">
      <c r="A220" s="12"/>
      <c r="B220" s="358"/>
      <c r="C220" s="359"/>
      <c r="D220" s="359"/>
      <c r="E220" s="360"/>
      <c r="F220" s="230"/>
      <c r="G220" s="378"/>
      <c r="H220" s="362"/>
      <c r="I220" s="230"/>
      <c r="J220" s="230"/>
      <c r="K220" s="368"/>
      <c r="L220" s="364"/>
      <c r="M220" s="365"/>
      <c r="N220" s="366"/>
      <c r="O220" s="367"/>
      <c r="P220" s="368"/>
      <c r="Q220" s="391"/>
      <c r="R220" s="530"/>
      <c r="S220" s="532"/>
      <c r="T220" s="531"/>
      <c r="U220" s="384"/>
      <c r="V220" s="373"/>
      <c r="W220" s="400"/>
      <c r="X220" s="404"/>
      <c r="Y220" s="384"/>
      <c r="Z220" s="513"/>
      <c r="AA220" s="402"/>
      <c r="AB220" s="403"/>
      <c r="AC220" s="401"/>
      <c r="AD220" s="529"/>
      <c r="AE220" s="379"/>
      <c r="AF220" s="380"/>
      <c r="AG220" s="402"/>
      <c r="AH220" s="403"/>
      <c r="AI220" s="401"/>
      <c r="AJ220" s="402"/>
      <c r="AK220" s="403"/>
      <c r="AL220" s="401"/>
      <c r="AM220" s="402"/>
      <c r="AN220" s="403"/>
      <c r="AO220" s="401"/>
      <c r="AP220" s="402"/>
      <c r="AQ220" s="403"/>
      <c r="AR220" s="401"/>
      <c r="AS220" s="202"/>
    </row>
    <row r="221" spans="1:45" ht="13.5" hidden="1" customHeight="1">
      <c r="A221" s="12"/>
      <c r="B221" s="358"/>
      <c r="C221" s="359">
        <v>8</v>
      </c>
      <c r="D221" s="359">
        <v>108</v>
      </c>
      <c r="E221" s="360" t="s">
        <v>772</v>
      </c>
      <c r="F221" s="230"/>
      <c r="G221" s="361" t="s">
        <v>43</v>
      </c>
      <c r="H221" s="362">
        <v>33993090</v>
      </c>
      <c r="I221" s="230">
        <v>40759</v>
      </c>
      <c r="J221" s="230">
        <v>12</v>
      </c>
      <c r="K221" s="363" t="s">
        <v>773</v>
      </c>
      <c r="L221" s="364" t="s">
        <v>774</v>
      </c>
      <c r="M221" s="365" t="s">
        <v>775</v>
      </c>
      <c r="N221" s="366" t="s">
        <v>776</v>
      </c>
      <c r="O221" s="367">
        <v>17534389</v>
      </c>
      <c r="P221" s="368" t="s">
        <v>774</v>
      </c>
      <c r="Q221" s="369" t="s">
        <v>773</v>
      </c>
      <c r="R221" s="530" t="s">
        <v>76</v>
      </c>
      <c r="S221" s="271" t="s">
        <v>741</v>
      </c>
      <c r="T221" s="531"/>
      <c r="U221" s="384"/>
      <c r="V221" s="373">
        <v>300</v>
      </c>
      <c r="W221" s="398" t="s">
        <v>777</v>
      </c>
      <c r="X221" s="404">
        <v>45346</v>
      </c>
      <c r="Y221" s="384" t="s">
        <v>778</v>
      </c>
      <c r="Z221" s="513">
        <v>300</v>
      </c>
      <c r="AA221" s="402"/>
      <c r="AB221" s="403"/>
      <c r="AC221" s="401"/>
      <c r="AD221" s="225"/>
      <c r="AE221" s="361"/>
      <c r="AF221" s="533"/>
      <c r="AG221" s="402"/>
      <c r="AH221" s="403"/>
      <c r="AI221" s="401"/>
      <c r="AJ221" s="402"/>
      <c r="AK221" s="403"/>
      <c r="AL221" s="401"/>
      <c r="AM221" s="402"/>
      <c r="AN221" s="403"/>
      <c r="AO221" s="401"/>
      <c r="AP221" s="402"/>
      <c r="AQ221" s="403"/>
      <c r="AR221" s="401"/>
      <c r="AS221" s="202"/>
    </row>
    <row r="222" spans="1:45" ht="13.5" hidden="1" customHeight="1">
      <c r="A222" s="12"/>
      <c r="B222" s="358"/>
      <c r="C222" s="359"/>
      <c r="D222" s="359"/>
      <c r="E222" s="360"/>
      <c r="F222" s="230"/>
      <c r="G222" s="378"/>
      <c r="H222" s="362"/>
      <c r="I222" s="230"/>
      <c r="J222" s="230"/>
      <c r="K222" s="368"/>
      <c r="L222" s="364"/>
      <c r="M222" s="365"/>
      <c r="N222" s="366"/>
      <c r="O222" s="367"/>
      <c r="P222" s="368"/>
      <c r="Q222" s="391"/>
      <c r="R222" s="530"/>
      <c r="S222" s="532"/>
      <c r="T222" s="531"/>
      <c r="U222" s="384"/>
      <c r="V222" s="373"/>
      <c r="W222" s="400"/>
      <c r="X222" s="404"/>
      <c r="Y222" s="384"/>
      <c r="Z222" s="513"/>
      <c r="AA222" s="402"/>
      <c r="AB222" s="403"/>
      <c r="AC222" s="401"/>
      <c r="AD222" s="325"/>
      <c r="AE222" s="378"/>
      <c r="AF222" s="377"/>
      <c r="AG222" s="402"/>
      <c r="AH222" s="403"/>
      <c r="AI222" s="401"/>
      <c r="AJ222" s="402"/>
      <c r="AK222" s="403"/>
      <c r="AL222" s="401"/>
      <c r="AM222" s="402"/>
      <c r="AN222" s="403"/>
      <c r="AO222" s="401"/>
      <c r="AP222" s="402"/>
      <c r="AQ222" s="403"/>
      <c r="AR222" s="401"/>
      <c r="AS222" s="202"/>
    </row>
    <row r="223" spans="1:45" ht="13.5" hidden="1" customHeight="1">
      <c r="A223" s="534"/>
      <c r="B223" s="358" t="s">
        <v>727</v>
      </c>
      <c r="C223" s="359">
        <v>9</v>
      </c>
      <c r="D223" s="359">
        <v>109</v>
      </c>
      <c r="E223" s="360" t="s">
        <v>780</v>
      </c>
      <c r="F223" s="524"/>
      <c r="G223" s="361" t="s">
        <v>43</v>
      </c>
      <c r="H223" s="362">
        <v>27222339</v>
      </c>
      <c r="I223" s="230">
        <v>36464</v>
      </c>
      <c r="J223" s="230">
        <v>24</v>
      </c>
      <c r="K223" s="363" t="s">
        <v>781</v>
      </c>
      <c r="L223" s="364" t="s">
        <v>782</v>
      </c>
      <c r="M223" s="365" t="s">
        <v>783</v>
      </c>
      <c r="N223" s="366"/>
      <c r="O223" s="230"/>
      <c r="P223" s="230"/>
      <c r="Q223" s="535"/>
      <c r="R223" s="370" t="s">
        <v>657</v>
      </c>
      <c r="S223" s="433" t="s">
        <v>784</v>
      </c>
      <c r="T223" s="371" t="s">
        <v>785</v>
      </c>
      <c r="U223" s="372"/>
      <c r="V223" s="373" t="s">
        <v>786</v>
      </c>
      <c r="W223" s="398" t="s">
        <v>78</v>
      </c>
      <c r="X223" s="359">
        <v>45348</v>
      </c>
      <c r="Y223" s="372" t="s">
        <v>281</v>
      </c>
      <c r="Z223" s="513">
        <v>300</v>
      </c>
      <c r="AA223" s="359"/>
      <c r="AB223" s="230"/>
      <c r="AC223" s="381"/>
      <c r="AD223" s="225"/>
      <c r="AE223" s="361"/>
      <c r="AF223" s="533"/>
      <c r="AG223" s="536"/>
      <c r="AH223" s="537"/>
      <c r="AI223" s="538"/>
      <c r="AJ223" s="536"/>
      <c r="AK223" s="537"/>
      <c r="AL223" s="538"/>
      <c r="AM223" s="536"/>
      <c r="AN223" s="537"/>
      <c r="AO223" s="538"/>
      <c r="AP223" s="536"/>
      <c r="AQ223" s="537"/>
      <c r="AR223" s="538"/>
      <c r="AS223" s="305"/>
    </row>
    <row r="224" spans="1:45" ht="13.5" hidden="1" customHeight="1">
      <c r="A224" s="534"/>
      <c r="B224" s="358"/>
      <c r="C224" s="359"/>
      <c r="D224" s="359"/>
      <c r="E224" s="360"/>
      <c r="F224" s="524"/>
      <c r="G224" s="378"/>
      <c r="H224" s="362"/>
      <c r="I224" s="230"/>
      <c r="J224" s="230"/>
      <c r="K224" s="230"/>
      <c r="L224" s="364"/>
      <c r="M224" s="365"/>
      <c r="N224" s="366"/>
      <c r="O224" s="230"/>
      <c r="P224" s="230"/>
      <c r="Q224" s="535"/>
      <c r="R224" s="370"/>
      <c r="S224" s="370"/>
      <c r="T224" s="371"/>
      <c r="U224" s="372"/>
      <c r="V224" s="373"/>
      <c r="W224" s="383"/>
      <c r="X224" s="359"/>
      <c r="Y224" s="372"/>
      <c r="Z224" s="513"/>
      <c r="AA224" s="359"/>
      <c r="AB224" s="230"/>
      <c r="AC224" s="381"/>
      <c r="AD224" s="325"/>
      <c r="AE224" s="378"/>
      <c r="AF224" s="377"/>
      <c r="AG224" s="536"/>
      <c r="AH224" s="537"/>
      <c r="AI224" s="538"/>
      <c r="AJ224" s="536"/>
      <c r="AK224" s="537"/>
      <c r="AL224" s="538"/>
      <c r="AM224" s="536"/>
      <c r="AN224" s="537"/>
      <c r="AO224" s="538"/>
      <c r="AP224" s="536"/>
      <c r="AQ224" s="537"/>
      <c r="AR224" s="538"/>
      <c r="AS224" s="305"/>
    </row>
    <row r="225" spans="1:45" ht="13.5" hidden="1" customHeight="1">
      <c r="A225" s="12"/>
      <c r="B225" s="358" t="s">
        <v>727</v>
      </c>
      <c r="C225" s="359">
        <v>10</v>
      </c>
      <c r="D225" s="359">
        <v>110</v>
      </c>
      <c r="E225" s="360" t="s">
        <v>788</v>
      </c>
      <c r="F225" s="524"/>
      <c r="G225" s="361" t="s">
        <v>43</v>
      </c>
      <c r="H225" s="362">
        <v>33206839</v>
      </c>
      <c r="I225" s="230">
        <v>39795</v>
      </c>
      <c r="J225" s="230">
        <v>15</v>
      </c>
      <c r="K225" s="363" t="s">
        <v>789</v>
      </c>
      <c r="L225" s="364" t="s">
        <v>790</v>
      </c>
      <c r="M225" s="365" t="s">
        <v>791</v>
      </c>
      <c r="N225" s="366" t="s">
        <v>792</v>
      </c>
      <c r="O225" s="454">
        <v>15107249</v>
      </c>
      <c r="P225" s="367" t="s">
        <v>793</v>
      </c>
      <c r="Q225" s="504" t="s">
        <v>794</v>
      </c>
      <c r="R225" s="370" t="s">
        <v>657</v>
      </c>
      <c r="S225" s="370" t="s">
        <v>795</v>
      </c>
      <c r="T225" s="371" t="s">
        <v>796</v>
      </c>
      <c r="U225" s="384"/>
      <c r="V225" s="373" t="s">
        <v>786</v>
      </c>
      <c r="W225" s="374" t="s">
        <v>78</v>
      </c>
      <c r="X225" s="404">
        <v>45348</v>
      </c>
      <c r="Y225" s="372" t="s">
        <v>778</v>
      </c>
      <c r="Z225" s="381"/>
      <c r="AA225" s="402"/>
      <c r="AB225" s="403"/>
      <c r="AC225" s="401"/>
      <c r="AD225" s="225"/>
      <c r="AE225" s="361"/>
      <c r="AF225" s="533"/>
      <c r="AG225" s="402"/>
      <c r="AH225" s="403"/>
      <c r="AI225" s="401"/>
      <c r="AJ225" s="402"/>
      <c r="AK225" s="403"/>
      <c r="AL225" s="401"/>
      <c r="AM225" s="402"/>
      <c r="AN225" s="403"/>
      <c r="AO225" s="401"/>
      <c r="AP225" s="402"/>
      <c r="AQ225" s="403"/>
      <c r="AR225" s="401"/>
      <c r="AS225" s="202"/>
    </row>
    <row r="226" spans="1:45" ht="13.5" hidden="1" customHeight="1">
      <c r="A226" s="12"/>
      <c r="B226" s="358"/>
      <c r="C226" s="359"/>
      <c r="D226" s="359"/>
      <c r="E226" s="360"/>
      <c r="F226" s="524"/>
      <c r="G226" s="378"/>
      <c r="H226" s="362"/>
      <c r="I226" s="230"/>
      <c r="J226" s="230"/>
      <c r="K226" s="363"/>
      <c r="L226" s="364"/>
      <c r="M226" s="365"/>
      <c r="N226" s="366"/>
      <c r="O226" s="429"/>
      <c r="P226" s="367"/>
      <c r="Q226" s="507"/>
      <c r="R226" s="370"/>
      <c r="S226" s="370"/>
      <c r="T226" s="371"/>
      <c r="U226" s="384"/>
      <c r="V226" s="373"/>
      <c r="W226" s="383"/>
      <c r="X226" s="404"/>
      <c r="Y226" s="372"/>
      <c r="Z226" s="381"/>
      <c r="AA226" s="402"/>
      <c r="AB226" s="403"/>
      <c r="AC226" s="401"/>
      <c r="AD226" s="325"/>
      <c r="AE226" s="378"/>
      <c r="AF226" s="377"/>
      <c r="AG226" s="402"/>
      <c r="AH226" s="403"/>
      <c r="AI226" s="401"/>
      <c r="AJ226" s="402"/>
      <c r="AK226" s="403"/>
      <c r="AL226" s="401"/>
      <c r="AM226" s="402"/>
      <c r="AN226" s="403"/>
      <c r="AO226" s="401"/>
      <c r="AP226" s="402"/>
      <c r="AQ226" s="403"/>
      <c r="AR226" s="401"/>
      <c r="AS226" s="202"/>
    </row>
    <row r="227" spans="1:45" ht="13.5" hidden="1" customHeight="1">
      <c r="A227" s="12"/>
      <c r="B227" s="358" t="s">
        <v>727</v>
      </c>
      <c r="C227" s="359">
        <v>11</v>
      </c>
      <c r="D227" s="359">
        <v>111</v>
      </c>
      <c r="E227" s="360" t="s">
        <v>798</v>
      </c>
      <c r="F227" s="524"/>
      <c r="G227" s="361" t="s">
        <v>43</v>
      </c>
      <c r="H227" s="362"/>
      <c r="I227" s="230"/>
      <c r="J227" s="230">
        <v>9</v>
      </c>
      <c r="K227" s="363" t="s">
        <v>313</v>
      </c>
      <c r="L227" s="364" t="s">
        <v>799</v>
      </c>
      <c r="M227" s="365" t="s">
        <v>800</v>
      </c>
      <c r="N227" s="366" t="s">
        <v>315</v>
      </c>
      <c r="O227" s="367">
        <v>15199917</v>
      </c>
      <c r="P227" s="368" t="s">
        <v>799</v>
      </c>
      <c r="Q227" s="508" t="s">
        <v>313</v>
      </c>
      <c r="R227" s="370" t="s">
        <v>369</v>
      </c>
      <c r="S227" s="370" t="s">
        <v>801</v>
      </c>
      <c r="T227" s="371"/>
      <c r="U227" s="372"/>
      <c r="V227" s="373"/>
      <c r="W227" s="374" t="s">
        <v>78</v>
      </c>
      <c r="X227" s="404">
        <v>45351</v>
      </c>
      <c r="Y227" s="372" t="s">
        <v>369</v>
      </c>
      <c r="Z227" s="381"/>
      <c r="AA227" s="402"/>
      <c r="AB227" s="403"/>
      <c r="AC227" s="401"/>
      <c r="AD227" s="225"/>
      <c r="AE227" s="361"/>
      <c r="AF227" s="533"/>
      <c r="AG227" s="402"/>
      <c r="AH227" s="403"/>
      <c r="AI227" s="401"/>
      <c r="AJ227" s="402"/>
      <c r="AK227" s="403"/>
      <c r="AL227" s="401"/>
      <c r="AM227" s="402"/>
      <c r="AN227" s="403"/>
      <c r="AO227" s="401"/>
      <c r="AP227" s="402"/>
      <c r="AQ227" s="403"/>
      <c r="AR227" s="401"/>
      <c r="AS227" s="202"/>
    </row>
    <row r="228" spans="1:45" ht="13.5" hidden="1" customHeight="1">
      <c r="A228" s="12"/>
      <c r="B228" s="358"/>
      <c r="C228" s="359"/>
      <c r="D228" s="359"/>
      <c r="E228" s="360"/>
      <c r="F228" s="524"/>
      <c r="G228" s="378"/>
      <c r="H228" s="362"/>
      <c r="I228" s="230"/>
      <c r="J228" s="230"/>
      <c r="K228" s="368"/>
      <c r="L228" s="364"/>
      <c r="M228" s="365"/>
      <c r="N228" s="366"/>
      <c r="O228" s="367"/>
      <c r="P228" s="368"/>
      <c r="Q228" s="442"/>
      <c r="R228" s="370"/>
      <c r="S228" s="370"/>
      <c r="T228" s="371"/>
      <c r="U228" s="372"/>
      <c r="V228" s="373"/>
      <c r="W228" s="383"/>
      <c r="X228" s="404"/>
      <c r="Y228" s="372"/>
      <c r="Z228" s="381"/>
      <c r="AA228" s="402"/>
      <c r="AB228" s="403"/>
      <c r="AC228" s="401"/>
      <c r="AD228" s="325"/>
      <c r="AE228" s="378"/>
      <c r="AF228" s="377"/>
      <c r="AG228" s="402"/>
      <c r="AH228" s="403"/>
      <c r="AI228" s="401"/>
      <c r="AJ228" s="402"/>
      <c r="AK228" s="403"/>
      <c r="AL228" s="401"/>
      <c r="AM228" s="402"/>
      <c r="AN228" s="403"/>
      <c r="AO228" s="401"/>
      <c r="AP228" s="402"/>
      <c r="AQ228" s="403"/>
      <c r="AR228" s="401"/>
      <c r="AS228" s="202"/>
    </row>
    <row r="229" spans="1:45" ht="13.5" hidden="1" customHeight="1">
      <c r="A229" s="539"/>
      <c r="B229" s="358" t="s">
        <v>727</v>
      </c>
      <c r="C229" s="359">
        <v>12</v>
      </c>
      <c r="D229" s="359">
        <v>112</v>
      </c>
      <c r="E229" s="360" t="s">
        <v>803</v>
      </c>
      <c r="F229" s="524"/>
      <c r="G229" s="361" t="s">
        <v>43</v>
      </c>
      <c r="H229" s="362"/>
      <c r="I229" s="230">
        <v>45601</v>
      </c>
      <c r="J229" s="230">
        <v>9</v>
      </c>
      <c r="K229" s="363" t="s">
        <v>804</v>
      </c>
      <c r="L229" s="364" t="s">
        <v>805</v>
      </c>
      <c r="M229" s="365" t="s">
        <v>806</v>
      </c>
      <c r="N229" s="366" t="s">
        <v>807</v>
      </c>
      <c r="O229" s="443">
        <v>18738711</v>
      </c>
      <c r="P229" s="368">
        <v>4127264455</v>
      </c>
      <c r="Q229" s="369" t="s">
        <v>804</v>
      </c>
      <c r="R229" s="370" t="s">
        <v>369</v>
      </c>
      <c r="S229" s="370" t="s">
        <v>741</v>
      </c>
      <c r="T229" s="371" t="s">
        <v>785</v>
      </c>
      <c r="U229" s="384"/>
      <c r="V229" s="373">
        <v>300</v>
      </c>
      <c r="W229" s="374" t="s">
        <v>78</v>
      </c>
      <c r="X229" s="404">
        <v>45352</v>
      </c>
      <c r="Y229" s="372"/>
      <c r="Z229" s="381"/>
      <c r="AA229" s="359"/>
      <c r="AB229" s="230"/>
      <c r="AC229" s="381"/>
      <c r="AD229" s="225"/>
      <c r="AE229" s="361"/>
      <c r="AF229" s="533"/>
      <c r="AG229" s="498"/>
      <c r="AH229" s="540"/>
      <c r="AI229" s="541"/>
      <c r="AJ229" s="498"/>
      <c r="AK229" s="540"/>
      <c r="AL229" s="541"/>
      <c r="AM229" s="498"/>
      <c r="AN229" s="540"/>
      <c r="AO229" s="541"/>
      <c r="AP229" s="498"/>
      <c r="AQ229" s="540"/>
      <c r="AR229" s="541"/>
      <c r="AS229" s="309"/>
    </row>
    <row r="230" spans="1:45" ht="13.5" hidden="1" customHeight="1">
      <c r="A230" s="539"/>
      <c r="B230" s="358"/>
      <c r="C230" s="359"/>
      <c r="D230" s="359"/>
      <c r="E230" s="360"/>
      <c r="F230" s="524"/>
      <c r="G230" s="378"/>
      <c r="H230" s="362"/>
      <c r="I230" s="230"/>
      <c r="J230" s="230"/>
      <c r="K230" s="368"/>
      <c r="L230" s="364"/>
      <c r="M230" s="365"/>
      <c r="N230" s="366"/>
      <c r="O230" s="368"/>
      <c r="P230" s="368"/>
      <c r="Q230" s="382"/>
      <c r="R230" s="370"/>
      <c r="S230" s="370"/>
      <c r="T230" s="371"/>
      <c r="U230" s="384"/>
      <c r="V230" s="373"/>
      <c r="W230" s="383"/>
      <c r="X230" s="404"/>
      <c r="Y230" s="372"/>
      <c r="Z230" s="381"/>
      <c r="AA230" s="359"/>
      <c r="AB230" s="230"/>
      <c r="AC230" s="381"/>
      <c r="AD230" s="325"/>
      <c r="AE230" s="378"/>
      <c r="AF230" s="377"/>
      <c r="AG230" s="498"/>
      <c r="AH230" s="540"/>
      <c r="AI230" s="541"/>
      <c r="AJ230" s="498"/>
      <c r="AK230" s="540"/>
      <c r="AL230" s="541"/>
      <c r="AM230" s="498"/>
      <c r="AN230" s="540"/>
      <c r="AO230" s="541"/>
      <c r="AP230" s="498"/>
      <c r="AQ230" s="540"/>
      <c r="AR230" s="541"/>
      <c r="AS230" s="309"/>
    </row>
    <row r="231" spans="1:45" ht="13.5" hidden="1" customHeight="1">
      <c r="A231" s="539"/>
      <c r="B231" s="358" t="s">
        <v>727</v>
      </c>
      <c r="C231" s="359">
        <v>13</v>
      </c>
      <c r="D231" s="359">
        <v>113</v>
      </c>
      <c r="E231" s="360" t="s">
        <v>809</v>
      </c>
      <c r="F231" s="524"/>
      <c r="G231" s="361" t="s">
        <v>43</v>
      </c>
      <c r="H231" s="362">
        <v>33351925</v>
      </c>
      <c r="I231" s="230">
        <v>40277</v>
      </c>
      <c r="J231" s="230">
        <v>13</v>
      </c>
      <c r="K231" s="363" t="s">
        <v>810</v>
      </c>
      <c r="L231" s="364" t="s">
        <v>811</v>
      </c>
      <c r="M231" s="365" t="s">
        <v>812</v>
      </c>
      <c r="N231" s="366" t="s">
        <v>813</v>
      </c>
      <c r="O231" s="367">
        <v>14215015</v>
      </c>
      <c r="P231" s="368">
        <v>4241002715</v>
      </c>
      <c r="Q231" s="369" t="s">
        <v>810</v>
      </c>
      <c r="R231" s="370" t="s">
        <v>814</v>
      </c>
      <c r="S231" s="370" t="s">
        <v>815</v>
      </c>
      <c r="T231" s="371"/>
      <c r="U231" s="372" t="s">
        <v>816</v>
      </c>
      <c r="V231" s="373">
        <v>480</v>
      </c>
      <c r="W231" s="374" t="s">
        <v>78</v>
      </c>
      <c r="X231" s="404">
        <v>45352</v>
      </c>
      <c r="Y231" s="372" t="s">
        <v>369</v>
      </c>
      <c r="Z231" s="381"/>
      <c r="AA231" s="359"/>
      <c r="AB231" s="230"/>
      <c r="AC231" s="381"/>
      <c r="AD231" s="225"/>
      <c r="AE231" s="361"/>
      <c r="AF231" s="533"/>
      <c r="AG231" s="498"/>
      <c r="AH231" s="540"/>
      <c r="AI231" s="541"/>
      <c r="AJ231" s="498"/>
      <c r="AK231" s="540"/>
      <c r="AL231" s="541"/>
      <c r="AM231" s="498"/>
      <c r="AN231" s="540"/>
      <c r="AO231" s="541"/>
      <c r="AP231" s="498"/>
      <c r="AQ231" s="540"/>
      <c r="AR231" s="541"/>
      <c r="AS231" s="309"/>
    </row>
    <row r="232" spans="1:45" ht="13.5" hidden="1" customHeight="1">
      <c r="A232" s="539"/>
      <c r="B232" s="358"/>
      <c r="C232" s="359"/>
      <c r="D232" s="359"/>
      <c r="E232" s="360"/>
      <c r="F232" s="524"/>
      <c r="G232" s="378"/>
      <c r="H232" s="362"/>
      <c r="I232" s="230"/>
      <c r="J232" s="230"/>
      <c r="K232" s="363"/>
      <c r="L232" s="364"/>
      <c r="M232" s="365"/>
      <c r="N232" s="366"/>
      <c r="O232" s="367"/>
      <c r="P232" s="368"/>
      <c r="Q232" s="382"/>
      <c r="R232" s="370"/>
      <c r="S232" s="370"/>
      <c r="T232" s="371"/>
      <c r="U232" s="372"/>
      <c r="V232" s="373"/>
      <c r="W232" s="383"/>
      <c r="X232" s="404"/>
      <c r="Y232" s="372"/>
      <c r="Z232" s="381"/>
      <c r="AA232" s="359"/>
      <c r="AB232" s="230"/>
      <c r="AC232" s="381"/>
      <c r="AD232" s="325"/>
      <c r="AE232" s="378"/>
      <c r="AF232" s="377"/>
      <c r="AG232" s="498"/>
      <c r="AH232" s="540"/>
      <c r="AI232" s="541"/>
      <c r="AJ232" s="498"/>
      <c r="AK232" s="540"/>
      <c r="AL232" s="541"/>
      <c r="AM232" s="498"/>
      <c r="AN232" s="540"/>
      <c r="AO232" s="541"/>
      <c r="AP232" s="498"/>
      <c r="AQ232" s="540"/>
      <c r="AR232" s="541"/>
      <c r="AS232" s="309"/>
    </row>
    <row r="233" spans="1:45" ht="13.5" hidden="1" customHeight="1">
      <c r="A233" s="12"/>
      <c r="B233" s="358" t="s">
        <v>727</v>
      </c>
      <c r="C233" s="359">
        <v>14</v>
      </c>
      <c r="D233" s="359">
        <v>114</v>
      </c>
      <c r="E233" s="360" t="s">
        <v>818</v>
      </c>
      <c r="F233" s="524"/>
      <c r="G233" s="361" t="s">
        <v>43</v>
      </c>
      <c r="H233" s="362">
        <v>32479015</v>
      </c>
      <c r="I233" s="230">
        <v>39619</v>
      </c>
      <c r="J233" s="230">
        <v>15</v>
      </c>
      <c r="K233" s="363" t="s">
        <v>810</v>
      </c>
      <c r="L233" s="364" t="s">
        <v>819</v>
      </c>
      <c r="M233" s="365" t="s">
        <v>812</v>
      </c>
      <c r="N233" s="366" t="s">
        <v>813</v>
      </c>
      <c r="O233" s="367">
        <v>14215015</v>
      </c>
      <c r="P233" s="368">
        <v>4241002715</v>
      </c>
      <c r="Q233" s="408"/>
      <c r="R233" s="370" t="s">
        <v>814</v>
      </c>
      <c r="S233" s="370"/>
      <c r="T233" s="371"/>
      <c r="U233" s="372"/>
      <c r="V233" s="373"/>
      <c r="W233" s="374" t="s">
        <v>78</v>
      </c>
      <c r="X233" s="404">
        <v>45352</v>
      </c>
      <c r="Y233" s="372"/>
      <c r="Z233" s="381"/>
      <c r="AA233" s="359"/>
      <c r="AB233" s="230"/>
      <c r="AC233" s="381"/>
      <c r="AD233" s="225"/>
      <c r="AE233" s="361"/>
      <c r="AF233" s="533"/>
      <c r="AG233" s="402"/>
      <c r="AH233" s="403"/>
      <c r="AI233" s="401"/>
      <c r="AJ233" s="402"/>
      <c r="AK233" s="403"/>
      <c r="AL233" s="401"/>
      <c r="AM233" s="402"/>
      <c r="AN233" s="403"/>
      <c r="AO233" s="401"/>
      <c r="AP233" s="402"/>
      <c r="AQ233" s="403"/>
      <c r="AR233" s="401"/>
      <c r="AS233" s="202"/>
    </row>
    <row r="234" spans="1:45" ht="13.5" hidden="1" customHeight="1">
      <c r="A234" s="12"/>
      <c r="B234" s="358"/>
      <c r="C234" s="359"/>
      <c r="D234" s="359"/>
      <c r="E234" s="360"/>
      <c r="F234" s="524"/>
      <c r="G234" s="378"/>
      <c r="H234" s="362"/>
      <c r="I234" s="230"/>
      <c r="J234" s="230"/>
      <c r="K234" s="363"/>
      <c r="L234" s="364"/>
      <c r="M234" s="365"/>
      <c r="N234" s="366"/>
      <c r="O234" s="367"/>
      <c r="P234" s="368"/>
      <c r="Q234" s="408"/>
      <c r="R234" s="370"/>
      <c r="S234" s="370"/>
      <c r="T234" s="371"/>
      <c r="U234" s="372"/>
      <c r="V234" s="373"/>
      <c r="W234" s="383"/>
      <c r="X234" s="404"/>
      <c r="Y234" s="372"/>
      <c r="Z234" s="381"/>
      <c r="AA234" s="359"/>
      <c r="AB234" s="230"/>
      <c r="AC234" s="381"/>
      <c r="AD234" s="325"/>
      <c r="AE234" s="378"/>
      <c r="AF234" s="377"/>
      <c r="AG234" s="402"/>
      <c r="AH234" s="403"/>
      <c r="AI234" s="401"/>
      <c r="AJ234" s="402"/>
      <c r="AK234" s="403"/>
      <c r="AL234" s="401"/>
      <c r="AM234" s="402"/>
      <c r="AN234" s="403"/>
      <c r="AO234" s="401"/>
      <c r="AP234" s="402"/>
      <c r="AQ234" s="403"/>
      <c r="AR234" s="401"/>
      <c r="AS234" s="202"/>
    </row>
    <row r="235" spans="1:45" ht="13.5" hidden="1" customHeight="1">
      <c r="A235" s="539"/>
      <c r="B235" s="358" t="s">
        <v>727</v>
      </c>
      <c r="C235" s="359">
        <v>15</v>
      </c>
      <c r="D235" s="359">
        <v>115</v>
      </c>
      <c r="E235" s="360" t="s">
        <v>821</v>
      </c>
      <c r="F235" s="524"/>
      <c r="G235" s="361" t="s">
        <v>43</v>
      </c>
      <c r="H235" s="362" t="s">
        <v>2566</v>
      </c>
      <c r="I235" s="230">
        <v>45463</v>
      </c>
      <c r="J235" s="230">
        <v>20</v>
      </c>
      <c r="K235" s="363" t="s">
        <v>823</v>
      </c>
      <c r="L235" s="364" t="s">
        <v>824</v>
      </c>
      <c r="M235" s="365"/>
      <c r="N235" s="366"/>
      <c r="O235" s="368"/>
      <c r="P235" s="368"/>
      <c r="Q235" s="382"/>
      <c r="R235" s="370" t="s">
        <v>778</v>
      </c>
      <c r="S235" s="370"/>
      <c r="T235" s="371"/>
      <c r="U235" s="372"/>
      <c r="V235" s="373"/>
      <c r="W235" s="374" t="s">
        <v>777</v>
      </c>
      <c r="X235" s="404">
        <v>45352</v>
      </c>
      <c r="Y235" s="372"/>
      <c r="Z235" s="381"/>
      <c r="AA235" s="359"/>
      <c r="AB235" s="230"/>
      <c r="AC235" s="381"/>
      <c r="AD235" s="225"/>
      <c r="AE235" s="361"/>
      <c r="AF235" s="533"/>
      <c r="AG235" s="498"/>
      <c r="AH235" s="540"/>
      <c r="AI235" s="541"/>
      <c r="AJ235" s="498"/>
      <c r="AK235" s="540"/>
      <c r="AL235" s="541"/>
      <c r="AM235" s="498"/>
      <c r="AN235" s="540"/>
      <c r="AO235" s="541"/>
      <c r="AP235" s="498"/>
      <c r="AQ235" s="540"/>
      <c r="AR235" s="541"/>
      <c r="AS235" s="309"/>
    </row>
    <row r="236" spans="1:45" ht="13.5" hidden="1" customHeight="1">
      <c r="A236" s="539"/>
      <c r="B236" s="358"/>
      <c r="C236" s="359"/>
      <c r="D236" s="359"/>
      <c r="E236" s="360"/>
      <c r="F236" s="524"/>
      <c r="G236" s="378"/>
      <c r="H236" s="362"/>
      <c r="I236" s="230"/>
      <c r="J236" s="230"/>
      <c r="K236" s="363"/>
      <c r="L236" s="364"/>
      <c r="M236" s="365"/>
      <c r="N236" s="366"/>
      <c r="O236" s="368"/>
      <c r="P236" s="368"/>
      <c r="Q236" s="382"/>
      <c r="R236" s="370"/>
      <c r="S236" s="370"/>
      <c r="T236" s="371"/>
      <c r="U236" s="372"/>
      <c r="V236" s="373"/>
      <c r="W236" s="383"/>
      <c r="X236" s="404"/>
      <c r="Y236" s="372"/>
      <c r="Z236" s="381"/>
      <c r="AA236" s="359"/>
      <c r="AB236" s="230"/>
      <c r="AC236" s="381"/>
      <c r="AD236" s="325"/>
      <c r="AE236" s="378"/>
      <c r="AF236" s="377"/>
      <c r="AG236" s="498"/>
      <c r="AH236" s="540"/>
      <c r="AI236" s="541"/>
      <c r="AJ236" s="498"/>
      <c r="AK236" s="540"/>
      <c r="AL236" s="541"/>
      <c r="AM236" s="498"/>
      <c r="AN236" s="540"/>
      <c r="AO236" s="541"/>
      <c r="AP236" s="498"/>
      <c r="AQ236" s="540"/>
      <c r="AR236" s="541"/>
      <c r="AS236" s="309"/>
    </row>
    <row r="237" spans="1:45" ht="13.5" hidden="1" customHeight="1">
      <c r="A237" s="12"/>
      <c r="B237" s="358" t="s">
        <v>727</v>
      </c>
      <c r="C237" s="359">
        <v>16</v>
      </c>
      <c r="D237" s="359">
        <v>116</v>
      </c>
      <c r="E237" s="360" t="s">
        <v>826</v>
      </c>
      <c r="F237" s="524"/>
      <c r="G237" s="361" t="s">
        <v>43</v>
      </c>
      <c r="H237" s="362">
        <v>32301598</v>
      </c>
      <c r="I237" s="230">
        <v>38837</v>
      </c>
      <c r="J237" s="230">
        <v>17</v>
      </c>
      <c r="K237" s="363" t="s">
        <v>827</v>
      </c>
      <c r="L237" s="364" t="s">
        <v>828</v>
      </c>
      <c r="M237" s="365" t="s">
        <v>829</v>
      </c>
      <c r="N237" s="366" t="s">
        <v>830</v>
      </c>
      <c r="O237" s="367">
        <v>19147251</v>
      </c>
      <c r="P237" s="230">
        <v>4126330677</v>
      </c>
      <c r="Q237" s="369" t="s">
        <v>831</v>
      </c>
      <c r="R237" s="370" t="s">
        <v>479</v>
      </c>
      <c r="S237" s="370"/>
      <c r="T237" s="371"/>
      <c r="U237" s="372"/>
      <c r="V237" s="373"/>
      <c r="W237" s="374" t="s">
        <v>78</v>
      </c>
      <c r="X237" s="404">
        <v>45353</v>
      </c>
      <c r="Y237" s="372"/>
      <c r="Z237" s="381"/>
      <c r="AA237" s="402"/>
      <c r="AB237" s="403"/>
      <c r="AC237" s="401"/>
      <c r="AD237" s="526"/>
      <c r="AE237" s="527"/>
      <c r="AF237" s="528"/>
      <c r="AG237" s="402"/>
      <c r="AH237" s="403"/>
      <c r="AI237" s="401"/>
      <c r="AJ237" s="402"/>
      <c r="AK237" s="403"/>
      <c r="AL237" s="401"/>
      <c r="AM237" s="402"/>
      <c r="AN237" s="403"/>
      <c r="AO237" s="401"/>
      <c r="AP237" s="402"/>
      <c r="AQ237" s="403"/>
      <c r="AR237" s="401"/>
      <c r="AS237" s="202"/>
    </row>
    <row r="238" spans="1:45" ht="13.5" hidden="1" customHeight="1">
      <c r="A238" s="12"/>
      <c r="B238" s="358"/>
      <c r="C238" s="359"/>
      <c r="D238" s="359"/>
      <c r="E238" s="360"/>
      <c r="F238" s="524"/>
      <c r="G238" s="378"/>
      <c r="H238" s="362"/>
      <c r="I238" s="230"/>
      <c r="J238" s="230"/>
      <c r="K238" s="363"/>
      <c r="L238" s="364"/>
      <c r="M238" s="365"/>
      <c r="N238" s="366"/>
      <c r="O238" s="367"/>
      <c r="P238" s="230"/>
      <c r="Q238" s="382"/>
      <c r="R238" s="370"/>
      <c r="S238" s="370"/>
      <c r="T238" s="371"/>
      <c r="U238" s="372"/>
      <c r="V238" s="373"/>
      <c r="W238" s="383"/>
      <c r="X238" s="404"/>
      <c r="Y238" s="372"/>
      <c r="Z238" s="381"/>
      <c r="AA238" s="402"/>
      <c r="AB238" s="403"/>
      <c r="AC238" s="401"/>
      <c r="AD238" s="529"/>
      <c r="AE238" s="379"/>
      <c r="AF238" s="380"/>
      <c r="AG238" s="402"/>
      <c r="AH238" s="403"/>
      <c r="AI238" s="401"/>
      <c r="AJ238" s="402"/>
      <c r="AK238" s="403"/>
      <c r="AL238" s="401"/>
      <c r="AM238" s="402"/>
      <c r="AN238" s="403"/>
      <c r="AO238" s="401"/>
      <c r="AP238" s="402"/>
      <c r="AQ238" s="403"/>
      <c r="AR238" s="401"/>
      <c r="AS238" s="202"/>
    </row>
    <row r="239" spans="1:45" ht="13.5" hidden="1" customHeight="1">
      <c r="A239" s="542"/>
      <c r="B239" s="358" t="s">
        <v>727</v>
      </c>
      <c r="C239" s="359">
        <v>17</v>
      </c>
      <c r="D239" s="359">
        <v>117</v>
      </c>
      <c r="E239" s="360" t="s">
        <v>833</v>
      </c>
      <c r="F239" s="230"/>
      <c r="G239" s="361" t="s">
        <v>43</v>
      </c>
      <c r="H239" s="230"/>
      <c r="I239" s="230">
        <v>42631</v>
      </c>
      <c r="J239" s="230">
        <v>8</v>
      </c>
      <c r="K239" s="363" t="s">
        <v>834</v>
      </c>
      <c r="L239" s="364" t="s">
        <v>835</v>
      </c>
      <c r="M239" s="452" t="s">
        <v>836</v>
      </c>
      <c r="N239" s="458" t="s">
        <v>837</v>
      </c>
      <c r="O239" s="486">
        <v>20115605</v>
      </c>
      <c r="P239" s="449">
        <v>4142408262</v>
      </c>
      <c r="Q239" s="460"/>
      <c r="R239" s="420" t="s">
        <v>369</v>
      </c>
      <c r="S239" s="420"/>
      <c r="T239" s="371"/>
      <c r="U239" s="372"/>
      <c r="V239" s="373"/>
      <c r="W239" s="374" t="s">
        <v>777</v>
      </c>
      <c r="X239" s="404">
        <v>45355</v>
      </c>
      <c r="Y239" s="372"/>
      <c r="Z239" s="381"/>
      <c r="AA239" s="404"/>
      <c r="AB239" s="368"/>
      <c r="AC239" s="382"/>
      <c r="AD239" s="424"/>
      <c r="AE239" s="454"/>
      <c r="AF239" s="455"/>
      <c r="AG239" s="404"/>
      <c r="AH239" s="368"/>
      <c r="AI239" s="382"/>
      <c r="AJ239" s="404"/>
      <c r="AK239" s="368"/>
      <c r="AL239" s="382"/>
      <c r="AM239" s="404"/>
      <c r="AN239" s="368"/>
      <c r="AO239" s="382"/>
      <c r="AP239" s="404"/>
      <c r="AQ239" s="368"/>
      <c r="AR239" s="382"/>
      <c r="AS239" s="311"/>
    </row>
    <row r="240" spans="1:45" ht="13.5" hidden="1" customHeight="1">
      <c r="A240" s="542"/>
      <c r="B240" s="358"/>
      <c r="C240" s="359"/>
      <c r="D240" s="359"/>
      <c r="E240" s="360"/>
      <c r="F240" s="230"/>
      <c r="G240" s="378"/>
      <c r="H240" s="230"/>
      <c r="I240" s="230"/>
      <c r="J240" s="230"/>
      <c r="K240" s="363"/>
      <c r="L240" s="364"/>
      <c r="M240" s="439"/>
      <c r="N240" s="479"/>
      <c r="O240" s="472"/>
      <c r="P240" s="472"/>
      <c r="Q240" s="475"/>
      <c r="R240" s="433"/>
      <c r="S240" s="433"/>
      <c r="T240" s="371"/>
      <c r="U240" s="372"/>
      <c r="V240" s="373"/>
      <c r="W240" s="383"/>
      <c r="X240" s="404"/>
      <c r="Y240" s="372"/>
      <c r="Z240" s="381"/>
      <c r="AA240" s="404"/>
      <c r="AB240" s="368"/>
      <c r="AC240" s="382"/>
      <c r="AD240" s="375"/>
      <c r="AE240" s="429"/>
      <c r="AF240" s="430"/>
      <c r="AG240" s="404"/>
      <c r="AH240" s="368"/>
      <c r="AI240" s="382"/>
      <c r="AJ240" s="404"/>
      <c r="AK240" s="368"/>
      <c r="AL240" s="382"/>
      <c r="AM240" s="404"/>
      <c r="AN240" s="368"/>
      <c r="AO240" s="382"/>
      <c r="AP240" s="404"/>
      <c r="AQ240" s="368"/>
      <c r="AR240" s="382"/>
      <c r="AS240" s="311"/>
    </row>
    <row r="241" spans="1:45" ht="13.5" hidden="1" customHeight="1">
      <c r="A241" s="12"/>
      <c r="B241" s="358" t="s">
        <v>727</v>
      </c>
      <c r="C241" s="359">
        <v>18</v>
      </c>
      <c r="D241" s="359">
        <v>118</v>
      </c>
      <c r="E241" s="360" t="s">
        <v>839</v>
      </c>
      <c r="F241" s="524"/>
      <c r="G241" s="361" t="s">
        <v>43</v>
      </c>
      <c r="H241" s="362">
        <v>4850006</v>
      </c>
      <c r="I241" s="510">
        <v>45629</v>
      </c>
      <c r="J241" s="230">
        <v>66</v>
      </c>
      <c r="K241" s="363" t="s">
        <v>840</v>
      </c>
      <c r="L241" s="364" t="s">
        <v>841</v>
      </c>
      <c r="M241" s="452" t="s">
        <v>842</v>
      </c>
      <c r="N241" s="458"/>
      <c r="O241" s="465"/>
      <c r="P241" s="449"/>
      <c r="Q241" s="460"/>
      <c r="R241" s="420" t="s">
        <v>657</v>
      </c>
      <c r="S241" s="420"/>
      <c r="T241" s="371"/>
      <c r="U241" s="372"/>
      <c r="V241" s="373"/>
      <c r="W241" s="374" t="s">
        <v>843</v>
      </c>
      <c r="X241" s="404">
        <v>45358</v>
      </c>
      <c r="Y241" s="372"/>
      <c r="Z241" s="381"/>
      <c r="AA241" s="359"/>
      <c r="AB241" s="230"/>
      <c r="AC241" s="381"/>
      <c r="AD241" s="526"/>
      <c r="AE241" s="527"/>
      <c r="AF241" s="528"/>
      <c r="AG241" s="402"/>
      <c r="AH241" s="403"/>
      <c r="AI241" s="401"/>
      <c r="AJ241" s="402"/>
      <c r="AK241" s="403"/>
      <c r="AL241" s="401"/>
      <c r="AM241" s="402"/>
      <c r="AN241" s="403"/>
      <c r="AO241" s="401"/>
      <c r="AP241" s="402"/>
      <c r="AQ241" s="403"/>
      <c r="AR241" s="401"/>
      <c r="AS241" s="202"/>
    </row>
    <row r="242" spans="1:45" ht="13.5" hidden="1" customHeight="1">
      <c r="A242" s="12"/>
      <c r="B242" s="358"/>
      <c r="C242" s="359"/>
      <c r="D242" s="359"/>
      <c r="E242" s="360"/>
      <c r="F242" s="524"/>
      <c r="G242" s="378"/>
      <c r="H242" s="230"/>
      <c r="I242" s="510"/>
      <c r="J242" s="230"/>
      <c r="K242" s="363"/>
      <c r="L242" s="364"/>
      <c r="M242" s="439"/>
      <c r="N242" s="479"/>
      <c r="O242" s="476"/>
      <c r="P242" s="472"/>
      <c r="Q242" s="475"/>
      <c r="R242" s="433"/>
      <c r="S242" s="433"/>
      <c r="T242" s="371"/>
      <c r="U242" s="372"/>
      <c r="V242" s="373"/>
      <c r="W242" s="383"/>
      <c r="X242" s="404"/>
      <c r="Y242" s="372"/>
      <c r="Z242" s="381"/>
      <c r="AA242" s="359"/>
      <c r="AB242" s="230"/>
      <c r="AC242" s="381"/>
      <c r="AD242" s="529"/>
      <c r="AE242" s="379"/>
      <c r="AF242" s="380"/>
      <c r="AG242" s="402"/>
      <c r="AH242" s="403"/>
      <c r="AI242" s="401"/>
      <c r="AJ242" s="402"/>
      <c r="AK242" s="403"/>
      <c r="AL242" s="401"/>
      <c r="AM242" s="402"/>
      <c r="AN242" s="403"/>
      <c r="AO242" s="401"/>
      <c r="AP242" s="402"/>
      <c r="AQ242" s="403"/>
      <c r="AR242" s="401"/>
      <c r="AS242" s="202"/>
    </row>
    <row r="243" spans="1:45" ht="13.5" hidden="1" customHeight="1">
      <c r="A243" s="12"/>
      <c r="B243" s="358" t="s">
        <v>727</v>
      </c>
      <c r="C243" s="359">
        <v>19</v>
      </c>
      <c r="D243" s="359">
        <v>119</v>
      </c>
      <c r="E243" s="360" t="s">
        <v>845</v>
      </c>
      <c r="F243" s="524"/>
      <c r="G243" s="361" t="s">
        <v>43</v>
      </c>
      <c r="H243" s="362"/>
      <c r="I243" s="230">
        <v>45465</v>
      </c>
      <c r="J243" s="230">
        <v>12</v>
      </c>
      <c r="K243" s="363" t="s">
        <v>846</v>
      </c>
      <c r="L243" s="364" t="s">
        <v>847</v>
      </c>
      <c r="M243" s="365" t="s">
        <v>848</v>
      </c>
      <c r="N243" s="366" t="s">
        <v>849</v>
      </c>
      <c r="O243" s="367">
        <v>13910263</v>
      </c>
      <c r="P243" s="368">
        <v>4241103872</v>
      </c>
      <c r="Q243" s="369" t="s">
        <v>850</v>
      </c>
      <c r="R243" s="370" t="s">
        <v>851</v>
      </c>
      <c r="S243" s="370"/>
      <c r="T243" s="371"/>
      <c r="U243" s="372"/>
      <c r="V243" s="373"/>
      <c r="W243" s="374" t="s">
        <v>852</v>
      </c>
      <c r="X243" s="404">
        <v>45365</v>
      </c>
      <c r="Y243" s="372"/>
      <c r="Z243" s="381"/>
      <c r="AA243" s="359"/>
      <c r="AB243" s="230"/>
      <c r="AC243" s="381"/>
      <c r="AD243" s="526"/>
      <c r="AE243" s="527"/>
      <c r="AF243" s="528"/>
      <c r="AG243" s="402"/>
      <c r="AH243" s="403"/>
      <c r="AI243" s="401"/>
      <c r="AJ243" s="402"/>
      <c r="AK243" s="403"/>
      <c r="AL243" s="401"/>
      <c r="AM243" s="402"/>
      <c r="AN243" s="403"/>
      <c r="AO243" s="401"/>
      <c r="AP243" s="402"/>
      <c r="AQ243" s="403"/>
      <c r="AR243" s="401"/>
      <c r="AS243" s="202"/>
    </row>
    <row r="244" spans="1:45" ht="13.5" hidden="1" customHeight="1">
      <c r="A244" s="12"/>
      <c r="B244" s="358"/>
      <c r="C244" s="359"/>
      <c r="D244" s="359"/>
      <c r="E244" s="360"/>
      <c r="F244" s="524"/>
      <c r="G244" s="378"/>
      <c r="H244" s="362"/>
      <c r="I244" s="230"/>
      <c r="J244" s="230"/>
      <c r="K244" s="368"/>
      <c r="L244" s="364"/>
      <c r="M244" s="365"/>
      <c r="N244" s="366"/>
      <c r="O244" s="367"/>
      <c r="P244" s="368"/>
      <c r="Q244" s="382"/>
      <c r="R244" s="370"/>
      <c r="S244" s="370"/>
      <c r="T244" s="371"/>
      <c r="U244" s="372"/>
      <c r="V244" s="373"/>
      <c r="W244" s="383"/>
      <c r="X244" s="404"/>
      <c r="Y244" s="372"/>
      <c r="Z244" s="381"/>
      <c r="AA244" s="359"/>
      <c r="AB244" s="230"/>
      <c r="AC244" s="381"/>
      <c r="AD244" s="529"/>
      <c r="AE244" s="379"/>
      <c r="AF244" s="380"/>
      <c r="AG244" s="402"/>
      <c r="AH244" s="403"/>
      <c r="AI244" s="401"/>
      <c r="AJ244" s="402"/>
      <c r="AK244" s="403"/>
      <c r="AL244" s="401"/>
      <c r="AM244" s="402"/>
      <c r="AN244" s="403"/>
      <c r="AO244" s="401"/>
      <c r="AP244" s="402"/>
      <c r="AQ244" s="403"/>
      <c r="AR244" s="401"/>
      <c r="AS244" s="202"/>
    </row>
    <row r="245" spans="1:45" ht="13.5" hidden="1" customHeight="1">
      <c r="A245" s="543"/>
      <c r="B245" s="358" t="s">
        <v>727</v>
      </c>
      <c r="C245" s="359">
        <v>20</v>
      </c>
      <c r="D245" s="359">
        <v>120</v>
      </c>
      <c r="E245" s="360" t="s">
        <v>854</v>
      </c>
      <c r="F245" s="524"/>
      <c r="G245" s="361" t="s">
        <v>43</v>
      </c>
      <c r="H245" s="362">
        <v>36362537</v>
      </c>
      <c r="I245" s="230">
        <v>41761</v>
      </c>
      <c r="J245" s="230">
        <v>9</v>
      </c>
      <c r="K245" s="544" t="s">
        <v>855</v>
      </c>
      <c r="L245" s="364" t="s">
        <v>856</v>
      </c>
      <c r="M245" s="365" t="s">
        <v>857</v>
      </c>
      <c r="N245" s="366" t="s">
        <v>858</v>
      </c>
      <c r="O245" s="362">
        <v>20413885</v>
      </c>
      <c r="P245" s="230">
        <v>4242997997</v>
      </c>
      <c r="Q245" s="369" t="s">
        <v>859</v>
      </c>
      <c r="R245" s="370"/>
      <c r="S245" s="370"/>
      <c r="T245" s="371"/>
      <c r="U245" s="372"/>
      <c r="V245" s="373"/>
      <c r="W245" s="374" t="s">
        <v>649</v>
      </c>
      <c r="X245" s="359">
        <v>45371</v>
      </c>
      <c r="Y245" s="372"/>
      <c r="Z245" s="381"/>
      <c r="AA245" s="359"/>
      <c r="AB245" s="230"/>
      <c r="AC245" s="381"/>
      <c r="AD245" s="545"/>
      <c r="AE245" s="546"/>
      <c r="AF245" s="547"/>
      <c r="AG245" s="548"/>
      <c r="AH245" s="524"/>
      <c r="AI245" s="549"/>
      <c r="AJ245" s="548"/>
      <c r="AK245" s="524"/>
      <c r="AL245" s="549"/>
      <c r="AM245" s="548"/>
      <c r="AN245" s="524"/>
      <c r="AO245" s="549"/>
      <c r="AP245" s="548"/>
      <c r="AQ245" s="524"/>
      <c r="AR245" s="549"/>
      <c r="AS245" s="8"/>
    </row>
    <row r="246" spans="1:45" ht="13.5" hidden="1" customHeight="1">
      <c r="A246" s="543"/>
      <c r="B246" s="358"/>
      <c r="C246" s="359"/>
      <c r="D246" s="359"/>
      <c r="E246" s="360"/>
      <c r="F246" s="524"/>
      <c r="G246" s="378"/>
      <c r="H246" s="362"/>
      <c r="I246" s="230"/>
      <c r="J246" s="230"/>
      <c r="K246" s="544"/>
      <c r="L246" s="364"/>
      <c r="M246" s="365"/>
      <c r="N246" s="366"/>
      <c r="O246" s="230"/>
      <c r="P246" s="230"/>
      <c r="Q246" s="391"/>
      <c r="R246" s="370"/>
      <c r="S246" s="370"/>
      <c r="T246" s="371"/>
      <c r="U246" s="372"/>
      <c r="V246" s="373"/>
      <c r="W246" s="383"/>
      <c r="X246" s="359"/>
      <c r="Y246" s="372"/>
      <c r="Z246" s="381"/>
      <c r="AA246" s="359"/>
      <c r="AB246" s="230"/>
      <c r="AC246" s="381"/>
      <c r="AD246" s="550"/>
      <c r="AE246" s="551"/>
      <c r="AF246" s="552"/>
      <c r="AG246" s="548"/>
      <c r="AH246" s="524"/>
      <c r="AI246" s="549"/>
      <c r="AJ246" s="548"/>
      <c r="AK246" s="524"/>
      <c r="AL246" s="549"/>
      <c r="AM246" s="548"/>
      <c r="AN246" s="524"/>
      <c r="AO246" s="549"/>
      <c r="AP246" s="548"/>
      <c r="AQ246" s="524"/>
      <c r="AR246" s="549"/>
      <c r="AS246" s="8"/>
    </row>
    <row r="247" spans="1:45" ht="13.5" hidden="1" customHeight="1">
      <c r="A247" s="12"/>
      <c r="B247" s="358" t="s">
        <v>860</v>
      </c>
      <c r="C247" s="359">
        <v>1</v>
      </c>
      <c r="D247" s="359">
        <v>121</v>
      </c>
      <c r="E247" s="360" t="s">
        <v>862</v>
      </c>
      <c r="F247" s="524"/>
      <c r="G247" s="361" t="s">
        <v>43</v>
      </c>
      <c r="H247" s="362">
        <v>26624400</v>
      </c>
      <c r="I247" s="230">
        <v>36069</v>
      </c>
      <c r="J247" s="230"/>
      <c r="K247" s="363" t="s">
        <v>863</v>
      </c>
      <c r="L247" s="364" t="s">
        <v>864</v>
      </c>
      <c r="M247" s="365" t="s">
        <v>865</v>
      </c>
      <c r="N247" s="366"/>
      <c r="O247" s="368"/>
      <c r="P247" s="368"/>
      <c r="Q247" s="408"/>
      <c r="R247" s="370" t="s">
        <v>684</v>
      </c>
      <c r="S247" s="370"/>
      <c r="T247" s="371"/>
      <c r="U247" s="372"/>
      <c r="V247" s="373"/>
      <c r="W247" s="398" t="s">
        <v>866</v>
      </c>
      <c r="X247" s="404">
        <v>45103</v>
      </c>
      <c r="Y247" s="372"/>
      <c r="Z247" s="381"/>
      <c r="AA247" s="402"/>
      <c r="AB247" s="403"/>
      <c r="AC247" s="401"/>
      <c r="AD247" s="526"/>
      <c r="AE247" s="527"/>
      <c r="AF247" s="528"/>
      <c r="AG247" s="402"/>
      <c r="AH247" s="403"/>
      <c r="AI247" s="401"/>
      <c r="AJ247" s="402"/>
      <c r="AK247" s="403"/>
      <c r="AL247" s="401"/>
      <c r="AM247" s="402"/>
      <c r="AN247" s="403"/>
      <c r="AO247" s="401"/>
      <c r="AP247" s="402"/>
      <c r="AQ247" s="403"/>
      <c r="AR247" s="401"/>
      <c r="AS247" s="202"/>
    </row>
    <row r="248" spans="1:45" ht="13.5" hidden="1" customHeight="1">
      <c r="A248" s="12"/>
      <c r="B248" s="358"/>
      <c r="C248" s="359"/>
      <c r="D248" s="359"/>
      <c r="E248" s="360"/>
      <c r="F248" s="524"/>
      <c r="G248" s="378"/>
      <c r="H248" s="362"/>
      <c r="I248" s="230"/>
      <c r="J248" s="230"/>
      <c r="K248" s="363"/>
      <c r="L248" s="364"/>
      <c r="M248" s="365"/>
      <c r="N248" s="366"/>
      <c r="O248" s="368"/>
      <c r="P248" s="368"/>
      <c r="Q248" s="408"/>
      <c r="R248" s="370"/>
      <c r="S248" s="370"/>
      <c r="T248" s="371"/>
      <c r="U248" s="372"/>
      <c r="V248" s="373"/>
      <c r="W248" s="383"/>
      <c r="X248" s="404"/>
      <c r="Y248" s="372"/>
      <c r="Z248" s="381"/>
      <c r="AA248" s="402"/>
      <c r="AB248" s="403"/>
      <c r="AC248" s="401"/>
      <c r="AD248" s="529"/>
      <c r="AE248" s="379"/>
      <c r="AF248" s="380"/>
      <c r="AG248" s="402"/>
      <c r="AH248" s="403"/>
      <c r="AI248" s="401"/>
      <c r="AJ248" s="402"/>
      <c r="AK248" s="403"/>
      <c r="AL248" s="401"/>
      <c r="AM248" s="402"/>
      <c r="AN248" s="403"/>
      <c r="AO248" s="401"/>
      <c r="AP248" s="402"/>
      <c r="AQ248" s="403"/>
      <c r="AR248" s="401"/>
      <c r="AS248" s="202"/>
    </row>
    <row r="249" spans="1:45" ht="13.5" hidden="1" customHeight="1">
      <c r="A249" s="12"/>
      <c r="B249" s="358" t="s">
        <v>860</v>
      </c>
      <c r="C249" s="359">
        <v>2</v>
      </c>
      <c r="D249" s="359">
        <v>122</v>
      </c>
      <c r="E249" s="360" t="s">
        <v>868</v>
      </c>
      <c r="F249" s="524"/>
      <c r="G249" s="361" t="s">
        <v>43</v>
      </c>
      <c r="H249" s="362">
        <v>34281740</v>
      </c>
      <c r="I249" s="230">
        <v>40737</v>
      </c>
      <c r="J249" s="230">
        <v>12</v>
      </c>
      <c r="K249" s="363" t="s">
        <v>869</v>
      </c>
      <c r="L249" s="364" t="s">
        <v>870</v>
      </c>
      <c r="M249" s="365" t="s">
        <v>871</v>
      </c>
      <c r="N249" s="366" t="s">
        <v>872</v>
      </c>
      <c r="O249" s="367">
        <v>16620650</v>
      </c>
      <c r="P249" s="368">
        <v>4241480194</v>
      </c>
      <c r="Q249" s="369" t="s">
        <v>873</v>
      </c>
      <c r="R249" s="370"/>
      <c r="S249" s="370"/>
      <c r="T249" s="371"/>
      <c r="U249" s="372"/>
      <c r="V249" s="373"/>
      <c r="W249" s="374" t="s">
        <v>78</v>
      </c>
      <c r="X249" s="404" t="s">
        <v>874</v>
      </c>
      <c r="Y249" s="372"/>
      <c r="Z249" s="381"/>
      <c r="AA249" s="402"/>
      <c r="AB249" s="403"/>
      <c r="AC249" s="401"/>
      <c r="AD249" s="526"/>
      <c r="AE249" s="527"/>
      <c r="AF249" s="528"/>
      <c r="AG249" s="402"/>
      <c r="AH249" s="403"/>
      <c r="AI249" s="401"/>
      <c r="AJ249" s="402"/>
      <c r="AK249" s="403"/>
      <c r="AL249" s="401"/>
      <c r="AM249" s="402"/>
      <c r="AN249" s="403"/>
      <c r="AO249" s="401"/>
      <c r="AP249" s="402"/>
      <c r="AQ249" s="403"/>
      <c r="AR249" s="401"/>
      <c r="AS249" s="202"/>
    </row>
    <row r="250" spans="1:45" ht="13.5" hidden="1" customHeight="1">
      <c r="A250" s="12"/>
      <c r="B250" s="358"/>
      <c r="C250" s="359"/>
      <c r="D250" s="359"/>
      <c r="E250" s="360"/>
      <c r="F250" s="524"/>
      <c r="G250" s="378"/>
      <c r="H250" s="230"/>
      <c r="I250" s="230"/>
      <c r="J250" s="230"/>
      <c r="K250" s="363"/>
      <c r="L250" s="364"/>
      <c r="M250" s="365"/>
      <c r="N250" s="366"/>
      <c r="O250" s="367"/>
      <c r="P250" s="368"/>
      <c r="Q250" s="382"/>
      <c r="R250" s="370"/>
      <c r="S250" s="370"/>
      <c r="T250" s="371"/>
      <c r="U250" s="372"/>
      <c r="V250" s="373"/>
      <c r="W250" s="383"/>
      <c r="X250" s="404"/>
      <c r="Y250" s="372"/>
      <c r="Z250" s="381"/>
      <c r="AA250" s="402"/>
      <c r="AB250" s="403"/>
      <c r="AC250" s="401"/>
      <c r="AD250" s="529"/>
      <c r="AE250" s="379"/>
      <c r="AF250" s="380"/>
      <c r="AG250" s="402"/>
      <c r="AH250" s="403"/>
      <c r="AI250" s="401"/>
      <c r="AJ250" s="402"/>
      <c r="AK250" s="403"/>
      <c r="AL250" s="401"/>
      <c r="AM250" s="402"/>
      <c r="AN250" s="403"/>
      <c r="AO250" s="401"/>
      <c r="AP250" s="402"/>
      <c r="AQ250" s="403"/>
      <c r="AR250" s="401"/>
      <c r="AS250" s="202"/>
    </row>
    <row r="251" spans="1:45" ht="13.5" hidden="1" customHeight="1">
      <c r="A251" s="12"/>
      <c r="B251" s="358" t="s">
        <v>860</v>
      </c>
      <c r="C251" s="359">
        <v>3</v>
      </c>
      <c r="D251" s="359">
        <v>123</v>
      </c>
      <c r="E251" s="360" t="s">
        <v>876</v>
      </c>
      <c r="F251" s="524"/>
      <c r="G251" s="361" t="s">
        <v>43</v>
      </c>
      <c r="H251" s="362">
        <v>31507745</v>
      </c>
      <c r="I251" s="230">
        <v>39036</v>
      </c>
      <c r="J251" s="230">
        <v>17</v>
      </c>
      <c r="K251" s="363" t="s">
        <v>877</v>
      </c>
      <c r="L251" s="364" t="s">
        <v>878</v>
      </c>
      <c r="M251" s="365" t="s">
        <v>879</v>
      </c>
      <c r="N251" s="366" t="s">
        <v>880</v>
      </c>
      <c r="O251" s="367">
        <v>13232041</v>
      </c>
      <c r="P251" s="368">
        <v>4129835368</v>
      </c>
      <c r="Q251" s="369" t="s">
        <v>881</v>
      </c>
      <c r="R251" s="370" t="s">
        <v>544</v>
      </c>
      <c r="S251" s="370" t="s">
        <v>882</v>
      </c>
      <c r="T251" s="371"/>
      <c r="U251" s="372"/>
      <c r="V251" s="373">
        <v>300</v>
      </c>
      <c r="W251" s="374" t="s">
        <v>78</v>
      </c>
      <c r="X251" s="404">
        <v>45383</v>
      </c>
      <c r="Y251" s="372"/>
      <c r="Z251" s="381"/>
      <c r="AA251" s="359"/>
      <c r="AB251" s="230"/>
      <c r="AC251" s="381"/>
      <c r="AD251" s="359"/>
      <c r="AE251" s="230"/>
      <c r="AF251" s="381"/>
      <c r="AG251" s="402"/>
      <c r="AH251" s="403"/>
      <c r="AI251" s="401"/>
      <c r="AJ251" s="402"/>
      <c r="AK251" s="403"/>
      <c r="AL251" s="401"/>
      <c r="AM251" s="402"/>
      <c r="AN251" s="403"/>
      <c r="AO251" s="401"/>
      <c r="AP251" s="402"/>
      <c r="AQ251" s="403"/>
      <c r="AR251" s="401"/>
      <c r="AS251" s="202"/>
    </row>
    <row r="252" spans="1:45" ht="13.5" hidden="1" customHeight="1">
      <c r="A252" s="12"/>
      <c r="B252" s="358"/>
      <c r="C252" s="359"/>
      <c r="D252" s="359"/>
      <c r="E252" s="360"/>
      <c r="F252" s="524"/>
      <c r="G252" s="378"/>
      <c r="H252" s="362"/>
      <c r="I252" s="230"/>
      <c r="J252" s="230"/>
      <c r="K252" s="363"/>
      <c r="L252" s="364"/>
      <c r="M252" s="365"/>
      <c r="N252" s="366"/>
      <c r="O252" s="367"/>
      <c r="P252" s="368"/>
      <c r="Q252" s="455"/>
      <c r="R252" s="370"/>
      <c r="S252" s="370"/>
      <c r="T252" s="371"/>
      <c r="U252" s="372"/>
      <c r="V252" s="373"/>
      <c r="W252" s="383"/>
      <c r="X252" s="404"/>
      <c r="Y252" s="372"/>
      <c r="Z252" s="381"/>
      <c r="AA252" s="359"/>
      <c r="AB252" s="230"/>
      <c r="AC252" s="381"/>
      <c r="AD252" s="359"/>
      <c r="AE252" s="230"/>
      <c r="AF252" s="381"/>
      <c r="AG252" s="402"/>
      <c r="AH252" s="403"/>
      <c r="AI252" s="401"/>
      <c r="AJ252" s="402"/>
      <c r="AK252" s="403"/>
      <c r="AL252" s="401"/>
      <c r="AM252" s="402"/>
      <c r="AN252" s="403"/>
      <c r="AO252" s="401"/>
      <c r="AP252" s="402"/>
      <c r="AQ252" s="403"/>
      <c r="AR252" s="401"/>
      <c r="AS252" s="202"/>
    </row>
    <row r="253" spans="1:45" ht="13.5" hidden="1" customHeight="1">
      <c r="A253" s="12"/>
      <c r="B253" s="358" t="s">
        <v>860</v>
      </c>
      <c r="C253" s="359">
        <v>4</v>
      </c>
      <c r="D253" s="359">
        <v>124</v>
      </c>
      <c r="E253" s="360" t="s">
        <v>884</v>
      </c>
      <c r="F253" s="524"/>
      <c r="G253" s="553" t="s">
        <v>278</v>
      </c>
      <c r="H253" s="362">
        <v>34183359</v>
      </c>
      <c r="I253" s="230">
        <v>40646</v>
      </c>
      <c r="J253" s="230">
        <v>11</v>
      </c>
      <c r="K253" s="363" t="s">
        <v>885</v>
      </c>
      <c r="L253" s="364" t="s">
        <v>886</v>
      </c>
      <c r="M253" s="452" t="s">
        <v>887</v>
      </c>
      <c r="N253" s="409" t="s">
        <v>888</v>
      </c>
      <c r="O253" s="453">
        <v>17978871</v>
      </c>
      <c r="P253" s="554" t="s">
        <v>889</v>
      </c>
      <c r="Q253" s="461" t="s">
        <v>890</v>
      </c>
      <c r="R253" s="419" t="s">
        <v>891</v>
      </c>
      <c r="S253" s="370" t="s">
        <v>892</v>
      </c>
      <c r="T253" s="421"/>
      <c r="U253" s="387"/>
      <c r="V253" s="423"/>
      <c r="W253" s="374" t="s">
        <v>866</v>
      </c>
      <c r="X253" s="404">
        <v>44943</v>
      </c>
      <c r="Y253" s="372"/>
      <c r="Z253" s="381"/>
      <c r="AA253" s="359"/>
      <c r="AB253" s="230"/>
      <c r="AC253" s="381"/>
      <c r="AD253" s="526"/>
      <c r="AE253" s="527"/>
      <c r="AF253" s="528"/>
      <c r="AG253" s="402"/>
      <c r="AH253" s="403"/>
      <c r="AI253" s="401"/>
      <c r="AJ253" s="402"/>
      <c r="AK253" s="403"/>
      <c r="AL253" s="401"/>
      <c r="AM253" s="402"/>
      <c r="AN253" s="403"/>
      <c r="AO253" s="401"/>
      <c r="AP253" s="402"/>
      <c r="AQ253" s="403"/>
      <c r="AR253" s="401"/>
      <c r="AS253" s="202"/>
    </row>
    <row r="254" spans="1:45" ht="13.5" hidden="1" customHeight="1">
      <c r="A254" s="12"/>
      <c r="B254" s="358"/>
      <c r="C254" s="359"/>
      <c r="D254" s="359"/>
      <c r="E254" s="360"/>
      <c r="F254" s="524"/>
      <c r="G254" s="555"/>
      <c r="H254" s="362"/>
      <c r="I254" s="230"/>
      <c r="J254" s="230"/>
      <c r="K254" s="368"/>
      <c r="L254" s="364"/>
      <c r="M254" s="439"/>
      <c r="N254" s="425"/>
      <c r="O254" s="440"/>
      <c r="P254" s="556"/>
      <c r="Q254" s="557"/>
      <c r="R254" s="432"/>
      <c r="S254" s="370"/>
      <c r="T254" s="434"/>
      <c r="U254" s="376"/>
      <c r="V254" s="436"/>
      <c r="W254" s="383"/>
      <c r="X254" s="404"/>
      <c r="Y254" s="372"/>
      <c r="Z254" s="381"/>
      <c r="AA254" s="359"/>
      <c r="AB254" s="230"/>
      <c r="AC254" s="381"/>
      <c r="AD254" s="529"/>
      <c r="AE254" s="379"/>
      <c r="AF254" s="380"/>
      <c r="AG254" s="402"/>
      <c r="AH254" s="403"/>
      <c r="AI254" s="401"/>
      <c r="AJ254" s="402"/>
      <c r="AK254" s="403"/>
      <c r="AL254" s="401"/>
      <c r="AM254" s="402"/>
      <c r="AN254" s="403"/>
      <c r="AO254" s="401"/>
      <c r="AP254" s="402"/>
      <c r="AQ254" s="403"/>
      <c r="AR254" s="401"/>
      <c r="AS254" s="202"/>
    </row>
    <row r="255" spans="1:45" ht="13.5" hidden="1" customHeight="1">
      <c r="A255" s="12"/>
      <c r="B255" s="358" t="s">
        <v>860</v>
      </c>
      <c r="C255" s="359">
        <v>5</v>
      </c>
      <c r="D255" s="359">
        <v>125</v>
      </c>
      <c r="E255" s="360" t="s">
        <v>894</v>
      </c>
      <c r="F255" s="524"/>
      <c r="G255" s="361" t="s">
        <v>43</v>
      </c>
      <c r="H255" s="362">
        <v>10663304</v>
      </c>
      <c r="I255" s="230">
        <v>27635</v>
      </c>
      <c r="J255" s="230">
        <v>48</v>
      </c>
      <c r="K255" s="363"/>
      <c r="L255" s="364" t="s">
        <v>895</v>
      </c>
      <c r="M255" s="452" t="s">
        <v>896</v>
      </c>
      <c r="N255" s="409"/>
      <c r="O255" s="453"/>
      <c r="P255" s="554"/>
      <c r="Q255" s="558"/>
      <c r="R255" s="419" t="s">
        <v>684</v>
      </c>
      <c r="S255" s="420" t="s">
        <v>892</v>
      </c>
      <c r="T255" s="421"/>
      <c r="U255" s="387"/>
      <c r="V255" s="423">
        <v>300</v>
      </c>
      <c r="W255" s="374" t="s">
        <v>78</v>
      </c>
      <c r="X255" s="404">
        <v>45390</v>
      </c>
      <c r="Y255" s="372"/>
      <c r="Z255" s="381"/>
      <c r="AA255" s="359"/>
      <c r="AB255" s="230"/>
      <c r="AC255" s="381"/>
      <c r="AD255" s="526"/>
      <c r="AE255" s="527"/>
      <c r="AF255" s="528"/>
      <c r="AG255" s="402"/>
      <c r="AH255" s="403"/>
      <c r="AI255" s="401"/>
      <c r="AJ255" s="402"/>
      <c r="AK255" s="403"/>
      <c r="AL255" s="401"/>
      <c r="AM255" s="402"/>
      <c r="AN255" s="403"/>
      <c r="AO255" s="401"/>
      <c r="AP255" s="402"/>
      <c r="AQ255" s="403"/>
      <c r="AR255" s="401"/>
      <c r="AS255" s="202"/>
    </row>
    <row r="256" spans="1:45" ht="13.5" hidden="1" customHeight="1">
      <c r="A256" s="12"/>
      <c r="B256" s="358"/>
      <c r="C256" s="359"/>
      <c r="D256" s="359"/>
      <c r="E256" s="360"/>
      <c r="F256" s="524"/>
      <c r="G256" s="378"/>
      <c r="H256" s="362"/>
      <c r="I256" s="230"/>
      <c r="J256" s="230"/>
      <c r="K256" s="363"/>
      <c r="L256" s="364"/>
      <c r="M256" s="439"/>
      <c r="N256" s="425"/>
      <c r="O256" s="440"/>
      <c r="P256" s="556"/>
      <c r="Q256" s="559"/>
      <c r="R256" s="432"/>
      <c r="S256" s="433"/>
      <c r="T256" s="434"/>
      <c r="U256" s="376"/>
      <c r="V256" s="436"/>
      <c r="W256" s="383"/>
      <c r="X256" s="404"/>
      <c r="Y256" s="372"/>
      <c r="Z256" s="381"/>
      <c r="AA256" s="359"/>
      <c r="AB256" s="230"/>
      <c r="AC256" s="381"/>
      <c r="AD256" s="529"/>
      <c r="AE256" s="379"/>
      <c r="AF256" s="380"/>
      <c r="AG256" s="402"/>
      <c r="AH256" s="403"/>
      <c r="AI256" s="401"/>
      <c r="AJ256" s="402"/>
      <c r="AK256" s="403"/>
      <c r="AL256" s="401"/>
      <c r="AM256" s="402"/>
      <c r="AN256" s="403"/>
      <c r="AO256" s="401"/>
      <c r="AP256" s="402"/>
      <c r="AQ256" s="403"/>
      <c r="AR256" s="401"/>
      <c r="AS256" s="202"/>
    </row>
    <row r="257" spans="1:45" ht="13.5" hidden="1" customHeight="1">
      <c r="A257" s="12"/>
      <c r="B257" s="358" t="s">
        <v>860</v>
      </c>
      <c r="C257" s="359">
        <v>6</v>
      </c>
      <c r="D257" s="359">
        <v>126</v>
      </c>
      <c r="E257" s="360" t="s">
        <v>898</v>
      </c>
      <c r="F257" s="524"/>
      <c r="G257" s="361" t="s">
        <v>43</v>
      </c>
      <c r="H257" s="362">
        <v>32270936</v>
      </c>
      <c r="I257" s="230">
        <v>39212</v>
      </c>
      <c r="J257" s="230">
        <v>16</v>
      </c>
      <c r="K257" s="363" t="s">
        <v>899</v>
      </c>
      <c r="L257" s="364" t="s">
        <v>900</v>
      </c>
      <c r="M257" s="452" t="s">
        <v>901</v>
      </c>
      <c r="N257" s="409" t="s">
        <v>902</v>
      </c>
      <c r="O257" s="453">
        <v>16591698</v>
      </c>
      <c r="P257" s="554" t="s">
        <v>903</v>
      </c>
      <c r="Q257" s="560" t="s">
        <v>899</v>
      </c>
      <c r="R257" s="561" t="s">
        <v>50</v>
      </c>
      <c r="S257" s="370" t="s">
        <v>904</v>
      </c>
      <c r="T257" s="421"/>
      <c r="U257" s="372"/>
      <c r="V257" s="373" t="s">
        <v>905</v>
      </c>
      <c r="W257" s="374" t="s">
        <v>649</v>
      </c>
      <c r="X257" s="404">
        <v>45393</v>
      </c>
      <c r="Y257" s="372"/>
      <c r="Z257" s="381"/>
      <c r="AA257" s="402"/>
      <c r="AB257" s="403"/>
      <c r="AC257" s="401"/>
      <c r="AD257" s="526"/>
      <c r="AE257" s="527"/>
      <c r="AF257" s="528"/>
      <c r="AG257" s="402"/>
      <c r="AH257" s="403"/>
      <c r="AI257" s="401"/>
      <c r="AJ257" s="402"/>
      <c r="AK257" s="403"/>
      <c r="AL257" s="401"/>
      <c r="AM257" s="402"/>
      <c r="AN257" s="403"/>
      <c r="AO257" s="401"/>
      <c r="AP257" s="402"/>
      <c r="AQ257" s="403"/>
      <c r="AR257" s="401"/>
      <c r="AS257" s="202"/>
    </row>
    <row r="258" spans="1:45" ht="13.5" hidden="1" customHeight="1">
      <c r="A258" s="12"/>
      <c r="B258" s="358"/>
      <c r="C258" s="359"/>
      <c r="D258" s="359"/>
      <c r="E258" s="360"/>
      <c r="F258" s="524"/>
      <c r="G258" s="378"/>
      <c r="H258" s="362"/>
      <c r="I258" s="230"/>
      <c r="J258" s="230"/>
      <c r="K258" s="368"/>
      <c r="L258" s="364"/>
      <c r="M258" s="439"/>
      <c r="N258" s="425"/>
      <c r="O258" s="440"/>
      <c r="P258" s="556"/>
      <c r="Q258" s="559"/>
      <c r="R258" s="561"/>
      <c r="S258" s="370"/>
      <c r="T258" s="434"/>
      <c r="U258" s="372"/>
      <c r="V258" s="373"/>
      <c r="W258" s="383"/>
      <c r="X258" s="404"/>
      <c r="Y258" s="372"/>
      <c r="Z258" s="381"/>
      <c r="AA258" s="402"/>
      <c r="AB258" s="403"/>
      <c r="AC258" s="401"/>
      <c r="AD258" s="529"/>
      <c r="AE258" s="379"/>
      <c r="AF258" s="380"/>
      <c r="AG258" s="402"/>
      <c r="AH258" s="403"/>
      <c r="AI258" s="401"/>
      <c r="AJ258" s="402"/>
      <c r="AK258" s="403"/>
      <c r="AL258" s="401"/>
      <c r="AM258" s="402"/>
      <c r="AN258" s="403"/>
      <c r="AO258" s="401"/>
      <c r="AP258" s="402"/>
      <c r="AQ258" s="403"/>
      <c r="AR258" s="401"/>
      <c r="AS258" s="202"/>
    </row>
    <row r="259" spans="1:45" ht="13.5" hidden="1" customHeight="1">
      <c r="A259" s="12"/>
      <c r="B259" s="358" t="s">
        <v>860</v>
      </c>
      <c r="C259" s="359">
        <v>7</v>
      </c>
      <c r="D259" s="359">
        <v>127</v>
      </c>
      <c r="E259" s="360" t="s">
        <v>907</v>
      </c>
      <c r="F259" s="524"/>
      <c r="G259" s="361" t="s">
        <v>43</v>
      </c>
      <c r="H259" s="362">
        <v>33884179</v>
      </c>
      <c r="I259" s="230">
        <v>40774</v>
      </c>
      <c r="J259" s="230">
        <v>12</v>
      </c>
      <c r="K259" s="363" t="s">
        <v>908</v>
      </c>
      <c r="L259" s="364" t="s">
        <v>909</v>
      </c>
      <c r="M259" s="452" t="s">
        <v>910</v>
      </c>
      <c r="N259" s="409" t="s">
        <v>911</v>
      </c>
      <c r="O259" s="453">
        <v>18537938</v>
      </c>
      <c r="P259" s="562" t="s">
        <v>909</v>
      </c>
      <c r="Q259" s="563" t="s">
        <v>908</v>
      </c>
      <c r="R259" s="370" t="s">
        <v>912</v>
      </c>
      <c r="S259" s="370" t="s">
        <v>913</v>
      </c>
      <c r="T259" s="421"/>
      <c r="U259" s="372"/>
      <c r="V259" s="373"/>
      <c r="W259" s="374" t="s">
        <v>905</v>
      </c>
      <c r="X259" s="404">
        <v>45394</v>
      </c>
      <c r="Y259" s="372"/>
      <c r="Z259" s="381"/>
      <c r="AA259" s="402"/>
      <c r="AB259" s="403"/>
      <c r="AC259" s="401"/>
      <c r="AD259" s="526"/>
      <c r="AE259" s="527"/>
      <c r="AF259" s="528"/>
      <c r="AG259" s="402"/>
      <c r="AH259" s="403"/>
      <c r="AI259" s="401"/>
      <c r="AJ259" s="402"/>
      <c r="AK259" s="403"/>
      <c r="AL259" s="401"/>
      <c r="AM259" s="402"/>
      <c r="AN259" s="403"/>
      <c r="AO259" s="401"/>
      <c r="AP259" s="402"/>
      <c r="AQ259" s="403"/>
      <c r="AR259" s="401"/>
      <c r="AS259" s="202"/>
    </row>
    <row r="260" spans="1:45" ht="13.5" hidden="1" customHeight="1">
      <c r="A260" s="12"/>
      <c r="B260" s="358"/>
      <c r="C260" s="359"/>
      <c r="D260" s="359"/>
      <c r="E260" s="360"/>
      <c r="F260" s="524"/>
      <c r="G260" s="378"/>
      <c r="H260" s="362"/>
      <c r="I260" s="230"/>
      <c r="J260" s="230"/>
      <c r="K260" s="368"/>
      <c r="L260" s="364"/>
      <c r="M260" s="439"/>
      <c r="N260" s="425"/>
      <c r="O260" s="440"/>
      <c r="P260" s="378"/>
      <c r="Q260" s="430"/>
      <c r="R260" s="370"/>
      <c r="S260" s="370"/>
      <c r="T260" s="434"/>
      <c r="U260" s="372"/>
      <c r="V260" s="373"/>
      <c r="W260" s="383"/>
      <c r="X260" s="404"/>
      <c r="Y260" s="372"/>
      <c r="Z260" s="381"/>
      <c r="AA260" s="402"/>
      <c r="AB260" s="403"/>
      <c r="AC260" s="401"/>
      <c r="AD260" s="529"/>
      <c r="AE260" s="379"/>
      <c r="AF260" s="380"/>
      <c r="AG260" s="402"/>
      <c r="AH260" s="403"/>
      <c r="AI260" s="401"/>
      <c r="AJ260" s="402"/>
      <c r="AK260" s="403"/>
      <c r="AL260" s="401"/>
      <c r="AM260" s="402"/>
      <c r="AN260" s="403"/>
      <c r="AO260" s="401"/>
      <c r="AP260" s="402"/>
      <c r="AQ260" s="403"/>
      <c r="AR260" s="401"/>
      <c r="AS260" s="202"/>
    </row>
    <row r="261" spans="1:45" ht="13.5" hidden="1" customHeight="1">
      <c r="A261" s="539"/>
      <c r="B261" s="358" t="s">
        <v>860</v>
      </c>
      <c r="C261" s="359">
        <v>8</v>
      </c>
      <c r="D261" s="359">
        <v>128</v>
      </c>
      <c r="E261" s="360" t="s">
        <v>915</v>
      </c>
      <c r="F261" s="524"/>
      <c r="G261" s="361" t="s">
        <v>43</v>
      </c>
      <c r="H261" s="362"/>
      <c r="I261" s="230"/>
      <c r="J261" s="230">
        <v>9</v>
      </c>
      <c r="K261" s="363" t="s">
        <v>916</v>
      </c>
      <c r="L261" s="364" t="s">
        <v>917</v>
      </c>
      <c r="M261" s="365" t="s">
        <v>918</v>
      </c>
      <c r="N261" s="409" t="s">
        <v>919</v>
      </c>
      <c r="O261" s="362">
        <v>16370194</v>
      </c>
      <c r="P261" s="368" t="s">
        <v>920</v>
      </c>
      <c r="Q261" s="369" t="s">
        <v>916</v>
      </c>
      <c r="R261" s="370" t="s">
        <v>369</v>
      </c>
      <c r="S261" s="370" t="s">
        <v>913</v>
      </c>
      <c r="T261" s="371"/>
      <c r="U261" s="372"/>
      <c r="V261" s="373"/>
      <c r="W261" s="374" t="s">
        <v>78</v>
      </c>
      <c r="X261" s="404">
        <v>45391</v>
      </c>
      <c r="Y261" s="372"/>
      <c r="Z261" s="381"/>
      <c r="AA261" s="498"/>
      <c r="AB261" s="540"/>
      <c r="AC261" s="541"/>
      <c r="AD261" s="564"/>
      <c r="AE261" s="565"/>
      <c r="AF261" s="566"/>
      <c r="AG261" s="498"/>
      <c r="AH261" s="540"/>
      <c r="AI261" s="541"/>
      <c r="AJ261" s="498"/>
      <c r="AK261" s="540"/>
      <c r="AL261" s="541"/>
      <c r="AM261" s="498"/>
      <c r="AN261" s="540"/>
      <c r="AO261" s="541"/>
      <c r="AP261" s="498"/>
      <c r="AQ261" s="540"/>
      <c r="AR261" s="541"/>
      <c r="AS261" s="309"/>
    </row>
    <row r="262" spans="1:45" ht="13.5" hidden="1" customHeight="1">
      <c r="A262" s="539"/>
      <c r="B262" s="358"/>
      <c r="C262" s="359"/>
      <c r="D262" s="359"/>
      <c r="E262" s="360"/>
      <c r="F262" s="524"/>
      <c r="G262" s="378"/>
      <c r="H262" s="362"/>
      <c r="I262" s="230"/>
      <c r="J262" s="230"/>
      <c r="K262" s="363"/>
      <c r="L262" s="364"/>
      <c r="M262" s="365"/>
      <c r="N262" s="425"/>
      <c r="O262" s="230"/>
      <c r="P262" s="368"/>
      <c r="Q262" s="382"/>
      <c r="R262" s="370"/>
      <c r="S262" s="370"/>
      <c r="T262" s="371"/>
      <c r="U262" s="372"/>
      <c r="V262" s="373"/>
      <c r="W262" s="383"/>
      <c r="X262" s="404"/>
      <c r="Y262" s="372"/>
      <c r="Z262" s="381"/>
      <c r="AA262" s="498"/>
      <c r="AB262" s="540"/>
      <c r="AC262" s="541"/>
      <c r="AD262" s="567"/>
      <c r="AE262" s="568"/>
      <c r="AF262" s="569"/>
      <c r="AG262" s="498"/>
      <c r="AH262" s="540"/>
      <c r="AI262" s="541"/>
      <c r="AJ262" s="498"/>
      <c r="AK262" s="540"/>
      <c r="AL262" s="541"/>
      <c r="AM262" s="498"/>
      <c r="AN262" s="540"/>
      <c r="AO262" s="541"/>
      <c r="AP262" s="498"/>
      <c r="AQ262" s="540"/>
      <c r="AR262" s="541"/>
      <c r="AS262" s="309"/>
    </row>
    <row r="263" spans="1:45" ht="13.5" hidden="1" customHeight="1">
      <c r="A263" s="12"/>
      <c r="B263" s="358" t="s">
        <v>860</v>
      </c>
      <c r="C263" s="359">
        <v>9</v>
      </c>
      <c r="D263" s="359">
        <v>129</v>
      </c>
      <c r="E263" s="360" t="s">
        <v>922</v>
      </c>
      <c r="F263" s="524"/>
      <c r="G263" s="361" t="s">
        <v>43</v>
      </c>
      <c r="H263" s="362">
        <v>30051946</v>
      </c>
      <c r="I263" s="230">
        <v>45444</v>
      </c>
      <c r="J263" s="230">
        <v>20</v>
      </c>
      <c r="K263" s="363" t="s">
        <v>923</v>
      </c>
      <c r="L263" s="364" t="s">
        <v>924</v>
      </c>
      <c r="M263" s="365" t="s">
        <v>925</v>
      </c>
      <c r="N263" s="366"/>
      <c r="O263" s="367"/>
      <c r="P263" s="368"/>
      <c r="Q263" s="382"/>
      <c r="R263" s="370" t="s">
        <v>63</v>
      </c>
      <c r="S263" s="370" t="s">
        <v>926</v>
      </c>
      <c r="T263" s="371"/>
      <c r="U263" s="372"/>
      <c r="V263" s="373"/>
      <c r="W263" s="374" t="s">
        <v>78</v>
      </c>
      <c r="X263" s="404">
        <v>45400</v>
      </c>
      <c r="Y263" s="372"/>
      <c r="Z263" s="381"/>
      <c r="AA263" s="359"/>
      <c r="AB263" s="230"/>
      <c r="AC263" s="381"/>
      <c r="AD263" s="526"/>
      <c r="AE263" s="527"/>
      <c r="AF263" s="528"/>
      <c r="AG263" s="402"/>
      <c r="AH263" s="403"/>
      <c r="AI263" s="401"/>
      <c r="AJ263" s="402"/>
      <c r="AK263" s="403"/>
      <c r="AL263" s="401"/>
      <c r="AM263" s="402"/>
      <c r="AN263" s="403"/>
      <c r="AO263" s="401"/>
      <c r="AP263" s="402"/>
      <c r="AQ263" s="403"/>
      <c r="AR263" s="401"/>
      <c r="AS263" s="202"/>
    </row>
    <row r="264" spans="1:45" ht="13.5" hidden="1" customHeight="1">
      <c r="A264" s="12"/>
      <c r="B264" s="358"/>
      <c r="C264" s="359"/>
      <c r="D264" s="359"/>
      <c r="E264" s="360"/>
      <c r="F264" s="524"/>
      <c r="G264" s="378"/>
      <c r="H264" s="362"/>
      <c r="I264" s="230"/>
      <c r="J264" s="230"/>
      <c r="K264" s="363"/>
      <c r="L264" s="364"/>
      <c r="M264" s="365"/>
      <c r="N264" s="366"/>
      <c r="O264" s="367"/>
      <c r="P264" s="368"/>
      <c r="Q264" s="382"/>
      <c r="R264" s="370"/>
      <c r="S264" s="370"/>
      <c r="T264" s="371"/>
      <c r="U264" s="372"/>
      <c r="V264" s="373"/>
      <c r="W264" s="383"/>
      <c r="X264" s="404"/>
      <c r="Y264" s="372"/>
      <c r="Z264" s="381"/>
      <c r="AA264" s="359"/>
      <c r="AB264" s="230"/>
      <c r="AC264" s="381"/>
      <c r="AD264" s="529"/>
      <c r="AE264" s="379"/>
      <c r="AF264" s="380"/>
      <c r="AG264" s="402"/>
      <c r="AH264" s="403"/>
      <c r="AI264" s="401"/>
      <c r="AJ264" s="402"/>
      <c r="AK264" s="403"/>
      <c r="AL264" s="401"/>
      <c r="AM264" s="402"/>
      <c r="AN264" s="403"/>
      <c r="AO264" s="401"/>
      <c r="AP264" s="402"/>
      <c r="AQ264" s="403"/>
      <c r="AR264" s="401"/>
      <c r="AS264" s="202"/>
    </row>
    <row r="265" spans="1:45" ht="13.5" hidden="1" customHeight="1">
      <c r="A265" s="12"/>
      <c r="B265" s="358" t="s">
        <v>860</v>
      </c>
      <c r="C265" s="359">
        <v>10</v>
      </c>
      <c r="D265" s="359">
        <v>130</v>
      </c>
      <c r="E265" s="360" t="s">
        <v>928</v>
      </c>
      <c r="F265" s="524"/>
      <c r="G265" s="361" t="s">
        <v>43</v>
      </c>
      <c r="H265" s="362"/>
      <c r="I265" s="230">
        <v>42766</v>
      </c>
      <c r="J265" s="230">
        <v>7</v>
      </c>
      <c r="K265" s="363"/>
      <c r="L265" s="364" t="s">
        <v>929</v>
      </c>
      <c r="M265" s="365" t="s">
        <v>930</v>
      </c>
      <c r="N265" s="366" t="s">
        <v>931</v>
      </c>
      <c r="O265" s="443">
        <v>16410861</v>
      </c>
      <c r="P265" s="368">
        <v>4123822180</v>
      </c>
      <c r="Q265" s="369" t="s">
        <v>932</v>
      </c>
      <c r="R265" s="370" t="s">
        <v>369</v>
      </c>
      <c r="S265" s="370" t="s">
        <v>933</v>
      </c>
      <c r="T265" s="371"/>
      <c r="U265" s="372"/>
      <c r="V265" s="373"/>
      <c r="W265" s="374" t="s">
        <v>78</v>
      </c>
      <c r="X265" s="404">
        <v>45411</v>
      </c>
      <c r="Y265" s="372"/>
      <c r="Z265" s="381"/>
      <c r="AA265" s="359"/>
      <c r="AB265" s="230"/>
      <c r="AC265" s="381"/>
      <c r="AD265" s="526"/>
      <c r="AE265" s="527"/>
      <c r="AF265" s="528"/>
      <c r="AG265" s="402"/>
      <c r="AH265" s="403"/>
      <c r="AI265" s="401"/>
      <c r="AJ265" s="402"/>
      <c r="AK265" s="403"/>
      <c r="AL265" s="401"/>
      <c r="AM265" s="402"/>
      <c r="AN265" s="403"/>
      <c r="AO265" s="401"/>
      <c r="AP265" s="402"/>
      <c r="AQ265" s="403"/>
      <c r="AR265" s="401"/>
      <c r="AS265" s="202"/>
    </row>
    <row r="266" spans="1:45" ht="13.5" hidden="1" customHeight="1">
      <c r="A266" s="12"/>
      <c r="B266" s="358"/>
      <c r="C266" s="359"/>
      <c r="D266" s="359"/>
      <c r="E266" s="360"/>
      <c r="F266" s="524"/>
      <c r="G266" s="378"/>
      <c r="H266" s="362"/>
      <c r="I266" s="230"/>
      <c r="J266" s="230"/>
      <c r="K266" s="363"/>
      <c r="L266" s="364"/>
      <c r="M266" s="365"/>
      <c r="N266" s="366"/>
      <c r="O266" s="368"/>
      <c r="P266" s="368"/>
      <c r="Q266" s="382"/>
      <c r="R266" s="370"/>
      <c r="S266" s="370"/>
      <c r="T266" s="371"/>
      <c r="U266" s="372"/>
      <c r="V266" s="373"/>
      <c r="W266" s="383"/>
      <c r="X266" s="404"/>
      <c r="Y266" s="372"/>
      <c r="Z266" s="381"/>
      <c r="AA266" s="359"/>
      <c r="AB266" s="230"/>
      <c r="AC266" s="381"/>
      <c r="AD266" s="529"/>
      <c r="AE266" s="379"/>
      <c r="AF266" s="380"/>
      <c r="AG266" s="402"/>
      <c r="AH266" s="403"/>
      <c r="AI266" s="401"/>
      <c r="AJ266" s="402"/>
      <c r="AK266" s="403"/>
      <c r="AL266" s="401"/>
      <c r="AM266" s="402"/>
      <c r="AN266" s="403"/>
      <c r="AO266" s="401"/>
      <c r="AP266" s="402"/>
      <c r="AQ266" s="403"/>
      <c r="AR266" s="401"/>
      <c r="AS266" s="202"/>
    </row>
    <row r="267" spans="1:45" ht="13.5" hidden="1" customHeight="1">
      <c r="A267" s="12"/>
      <c r="B267" s="358" t="s">
        <v>860</v>
      </c>
      <c r="C267" s="359">
        <v>11</v>
      </c>
      <c r="D267" s="359">
        <v>131</v>
      </c>
      <c r="E267" s="360" t="s">
        <v>935</v>
      </c>
      <c r="F267" s="524"/>
      <c r="G267" s="361" t="s">
        <v>43</v>
      </c>
      <c r="H267" s="230"/>
      <c r="I267" s="230">
        <v>42108</v>
      </c>
      <c r="J267" s="230">
        <v>9</v>
      </c>
      <c r="K267" s="368"/>
      <c r="L267" s="364" t="s">
        <v>936</v>
      </c>
      <c r="M267" s="365" t="s">
        <v>725</v>
      </c>
      <c r="N267" s="366" t="s">
        <v>937</v>
      </c>
      <c r="O267" s="367">
        <v>18709347</v>
      </c>
      <c r="P267" s="368">
        <v>4144771894</v>
      </c>
      <c r="Q267" s="369" t="s">
        <v>938</v>
      </c>
      <c r="R267" s="370" t="s">
        <v>369</v>
      </c>
      <c r="S267" s="370" t="s">
        <v>939</v>
      </c>
      <c r="T267" s="371"/>
      <c r="U267" s="372"/>
      <c r="V267" s="515"/>
      <c r="W267" s="374" t="s">
        <v>78</v>
      </c>
      <c r="X267" s="404">
        <v>45410</v>
      </c>
      <c r="Y267" s="372"/>
      <c r="Z267" s="381"/>
      <c r="AA267" s="359"/>
      <c r="AB267" s="230"/>
      <c r="AC267" s="381"/>
      <c r="AD267" s="526"/>
      <c r="AE267" s="527"/>
      <c r="AF267" s="528"/>
      <c r="AG267" s="402"/>
      <c r="AH267" s="403"/>
      <c r="AI267" s="401"/>
      <c r="AJ267" s="402"/>
      <c r="AK267" s="403"/>
      <c r="AL267" s="401"/>
      <c r="AM267" s="402"/>
      <c r="AN267" s="403"/>
      <c r="AO267" s="401"/>
      <c r="AP267" s="402"/>
      <c r="AQ267" s="403"/>
      <c r="AR267" s="401"/>
      <c r="AS267" s="202"/>
    </row>
    <row r="268" spans="1:45" ht="13.5" hidden="1" customHeight="1">
      <c r="A268" s="12"/>
      <c r="B268" s="358"/>
      <c r="C268" s="359"/>
      <c r="D268" s="359"/>
      <c r="E268" s="360"/>
      <c r="F268" s="524"/>
      <c r="G268" s="378"/>
      <c r="H268" s="230"/>
      <c r="I268" s="230"/>
      <c r="J268" s="230"/>
      <c r="K268" s="368"/>
      <c r="L268" s="364"/>
      <c r="M268" s="365"/>
      <c r="N268" s="366"/>
      <c r="O268" s="367"/>
      <c r="P268" s="368"/>
      <c r="Q268" s="382"/>
      <c r="R268" s="370"/>
      <c r="S268" s="370"/>
      <c r="T268" s="371"/>
      <c r="U268" s="372"/>
      <c r="V268" s="515"/>
      <c r="W268" s="383"/>
      <c r="X268" s="404"/>
      <c r="Y268" s="372"/>
      <c r="Z268" s="381"/>
      <c r="AA268" s="359"/>
      <c r="AB268" s="230"/>
      <c r="AC268" s="381"/>
      <c r="AD268" s="529"/>
      <c r="AE268" s="379"/>
      <c r="AF268" s="380"/>
      <c r="AG268" s="402"/>
      <c r="AH268" s="403"/>
      <c r="AI268" s="401"/>
      <c r="AJ268" s="402"/>
      <c r="AK268" s="403"/>
      <c r="AL268" s="401"/>
      <c r="AM268" s="402"/>
      <c r="AN268" s="403"/>
      <c r="AO268" s="401"/>
      <c r="AP268" s="402"/>
      <c r="AQ268" s="403"/>
      <c r="AR268" s="401"/>
      <c r="AS268" s="202"/>
    </row>
    <row r="269" spans="1:45" ht="13.5" hidden="1" customHeight="1">
      <c r="A269" s="534"/>
      <c r="B269" s="358" t="s">
        <v>860</v>
      </c>
      <c r="C269" s="359">
        <v>12</v>
      </c>
      <c r="D269" s="359">
        <v>132</v>
      </c>
      <c r="E269" s="360" t="s">
        <v>941</v>
      </c>
      <c r="F269" s="524"/>
      <c r="G269" s="361" t="s">
        <v>43</v>
      </c>
      <c r="H269" s="362">
        <v>33696987</v>
      </c>
      <c r="I269" s="230">
        <v>40354</v>
      </c>
      <c r="J269" s="230">
        <v>13</v>
      </c>
      <c r="K269" s="544" t="s">
        <v>942</v>
      </c>
      <c r="L269" s="364" t="s">
        <v>943</v>
      </c>
      <c r="M269" s="365" t="s">
        <v>944</v>
      </c>
      <c r="N269" s="366" t="s">
        <v>945</v>
      </c>
      <c r="O269" s="367">
        <v>16148098</v>
      </c>
      <c r="P269" s="230">
        <v>4125756303</v>
      </c>
      <c r="Q269" s="369" t="s">
        <v>946</v>
      </c>
      <c r="R269" s="370" t="s">
        <v>947</v>
      </c>
      <c r="S269" s="370" t="s">
        <v>933</v>
      </c>
      <c r="T269" s="371"/>
      <c r="U269" s="372"/>
      <c r="V269" s="373"/>
      <c r="W269" s="374" t="s">
        <v>78</v>
      </c>
      <c r="X269" s="359">
        <v>45417</v>
      </c>
      <c r="Y269" s="372"/>
      <c r="Z269" s="381"/>
      <c r="AA269" s="536"/>
      <c r="AB269" s="537"/>
      <c r="AC269" s="538"/>
      <c r="AD269" s="570"/>
      <c r="AE269" s="571"/>
      <c r="AF269" s="572"/>
      <c r="AG269" s="536"/>
      <c r="AH269" s="537"/>
      <c r="AI269" s="538"/>
      <c r="AJ269" s="536"/>
      <c r="AK269" s="537"/>
      <c r="AL269" s="538"/>
      <c r="AM269" s="536"/>
      <c r="AN269" s="537"/>
      <c r="AO269" s="538"/>
      <c r="AP269" s="536"/>
      <c r="AQ269" s="537"/>
      <c r="AR269" s="538"/>
      <c r="AS269" s="305"/>
    </row>
    <row r="270" spans="1:45" ht="14.25" hidden="1" customHeight="1">
      <c r="A270" s="534"/>
      <c r="B270" s="358"/>
      <c r="C270" s="359"/>
      <c r="D270" s="359"/>
      <c r="E270" s="360"/>
      <c r="F270" s="524"/>
      <c r="G270" s="378"/>
      <c r="H270" s="362"/>
      <c r="I270" s="230"/>
      <c r="J270" s="230"/>
      <c r="K270" s="544"/>
      <c r="L270" s="364"/>
      <c r="M270" s="365"/>
      <c r="N270" s="366"/>
      <c r="O270" s="367"/>
      <c r="P270" s="230"/>
      <c r="Q270" s="391"/>
      <c r="R270" s="370"/>
      <c r="S270" s="370"/>
      <c r="T270" s="371"/>
      <c r="U270" s="372"/>
      <c r="V270" s="373"/>
      <c r="W270" s="383"/>
      <c r="X270" s="359"/>
      <c r="Y270" s="372"/>
      <c r="Z270" s="381"/>
      <c r="AA270" s="536"/>
      <c r="AB270" s="537"/>
      <c r="AC270" s="538"/>
      <c r="AD270" s="573"/>
      <c r="AE270" s="574"/>
      <c r="AF270" s="575"/>
      <c r="AG270" s="536"/>
      <c r="AH270" s="537"/>
      <c r="AI270" s="538"/>
      <c r="AJ270" s="536"/>
      <c r="AK270" s="537"/>
      <c r="AL270" s="538"/>
      <c r="AM270" s="536"/>
      <c r="AN270" s="537"/>
      <c r="AO270" s="538"/>
      <c r="AP270" s="536"/>
      <c r="AQ270" s="537"/>
      <c r="AR270" s="538"/>
      <c r="AS270" s="305"/>
    </row>
    <row r="271" spans="1:45" ht="13.5" hidden="1" customHeight="1">
      <c r="A271" s="12"/>
      <c r="B271" s="358" t="s">
        <v>860</v>
      </c>
      <c r="C271" s="359">
        <v>13</v>
      </c>
      <c r="D271" s="359">
        <v>133</v>
      </c>
      <c r="E271" s="360" t="s">
        <v>949</v>
      </c>
      <c r="F271" s="524"/>
      <c r="G271" s="361" t="s">
        <v>43</v>
      </c>
      <c r="H271" s="362">
        <v>30818516</v>
      </c>
      <c r="I271" s="230">
        <v>45407</v>
      </c>
      <c r="J271" s="230">
        <v>19</v>
      </c>
      <c r="K271" s="363" t="s">
        <v>950</v>
      </c>
      <c r="L271" s="364" t="s">
        <v>951</v>
      </c>
      <c r="M271" s="365" t="s">
        <v>952</v>
      </c>
      <c r="N271" s="366" t="s">
        <v>953</v>
      </c>
      <c r="O271" s="367">
        <v>12731027</v>
      </c>
      <c r="P271" s="368">
        <v>4125970543</v>
      </c>
      <c r="Q271" s="369" t="s">
        <v>954</v>
      </c>
      <c r="R271" s="370" t="s">
        <v>947</v>
      </c>
      <c r="S271" s="370" t="s">
        <v>955</v>
      </c>
      <c r="T271" s="371"/>
      <c r="U271" s="372"/>
      <c r="V271" s="373"/>
      <c r="W271" s="374" t="s">
        <v>664</v>
      </c>
      <c r="X271" s="404">
        <v>45384</v>
      </c>
      <c r="Y271" s="372" t="s">
        <v>956</v>
      </c>
      <c r="Z271" s="381"/>
      <c r="AA271" s="359"/>
      <c r="AB271" s="230"/>
      <c r="AC271" s="381"/>
      <c r="AD271" s="526"/>
      <c r="AE271" s="527"/>
      <c r="AF271" s="528"/>
      <c r="AG271" s="402"/>
      <c r="AH271" s="403"/>
      <c r="AI271" s="401"/>
      <c r="AJ271" s="402"/>
      <c r="AK271" s="403"/>
      <c r="AL271" s="401"/>
      <c r="AM271" s="402"/>
      <c r="AN271" s="403"/>
      <c r="AO271" s="401"/>
      <c r="AP271" s="402"/>
      <c r="AQ271" s="403"/>
      <c r="AR271" s="401"/>
      <c r="AS271" s="202"/>
    </row>
    <row r="272" spans="1:45" ht="13.5" hidden="1" customHeight="1">
      <c r="A272" s="12"/>
      <c r="B272" s="358"/>
      <c r="C272" s="359"/>
      <c r="D272" s="359"/>
      <c r="E272" s="360"/>
      <c r="F272" s="524"/>
      <c r="G272" s="378"/>
      <c r="H272" s="230"/>
      <c r="I272" s="230"/>
      <c r="J272" s="230"/>
      <c r="K272" s="363"/>
      <c r="L272" s="364"/>
      <c r="M272" s="365"/>
      <c r="N272" s="366"/>
      <c r="O272" s="367"/>
      <c r="P272" s="368"/>
      <c r="Q272" s="382"/>
      <c r="R272" s="370"/>
      <c r="S272" s="370"/>
      <c r="T272" s="371"/>
      <c r="U272" s="372"/>
      <c r="V272" s="373"/>
      <c r="W272" s="383"/>
      <c r="X272" s="404"/>
      <c r="Y272" s="372"/>
      <c r="Z272" s="381"/>
      <c r="AA272" s="359"/>
      <c r="AB272" s="230"/>
      <c r="AC272" s="381"/>
      <c r="AD272" s="529"/>
      <c r="AE272" s="379"/>
      <c r="AF272" s="380"/>
      <c r="AG272" s="402"/>
      <c r="AH272" s="403"/>
      <c r="AI272" s="401"/>
      <c r="AJ272" s="402"/>
      <c r="AK272" s="403"/>
      <c r="AL272" s="401"/>
      <c r="AM272" s="402"/>
      <c r="AN272" s="403"/>
      <c r="AO272" s="401"/>
      <c r="AP272" s="402"/>
      <c r="AQ272" s="403"/>
      <c r="AR272" s="401"/>
      <c r="AS272" s="202"/>
    </row>
    <row r="273" spans="1:45" ht="13.5" hidden="1" customHeight="1">
      <c r="A273" s="12"/>
      <c r="B273" s="358" t="s">
        <v>860</v>
      </c>
      <c r="C273" s="359">
        <v>14</v>
      </c>
      <c r="D273" s="359">
        <v>134</v>
      </c>
      <c r="E273" s="360" t="s">
        <v>958</v>
      </c>
      <c r="F273" s="524"/>
      <c r="G273" s="361" t="s">
        <v>43</v>
      </c>
      <c r="H273" s="362"/>
      <c r="I273" s="230">
        <v>45575</v>
      </c>
      <c r="J273" s="230">
        <v>7</v>
      </c>
      <c r="K273" s="363" t="s">
        <v>959</v>
      </c>
      <c r="L273" s="364"/>
      <c r="M273" s="365" t="s">
        <v>960</v>
      </c>
      <c r="N273" s="366" t="s">
        <v>961</v>
      </c>
      <c r="O273" s="443">
        <v>16378715</v>
      </c>
      <c r="P273" s="368">
        <v>4246662661</v>
      </c>
      <c r="Q273" s="408"/>
      <c r="R273" s="370" t="s">
        <v>947</v>
      </c>
      <c r="S273" s="370" t="s">
        <v>955</v>
      </c>
      <c r="T273" s="371"/>
      <c r="U273" s="372"/>
      <c r="V273" s="373"/>
      <c r="W273" s="374"/>
      <c r="X273" s="404">
        <v>45416</v>
      </c>
      <c r="Y273" s="372"/>
      <c r="Z273" s="381"/>
      <c r="AA273" s="402"/>
      <c r="AB273" s="403"/>
      <c r="AC273" s="401"/>
      <c r="AD273" s="526"/>
      <c r="AE273" s="527"/>
      <c r="AF273" s="528"/>
      <c r="AG273" s="402"/>
      <c r="AH273" s="403"/>
      <c r="AI273" s="401"/>
      <c r="AJ273" s="402"/>
      <c r="AK273" s="403"/>
      <c r="AL273" s="401"/>
      <c r="AM273" s="402"/>
      <c r="AN273" s="403"/>
      <c r="AO273" s="401"/>
      <c r="AP273" s="402"/>
      <c r="AQ273" s="403"/>
      <c r="AR273" s="401"/>
      <c r="AS273" s="202"/>
    </row>
    <row r="274" spans="1:45" ht="13.5" hidden="1" customHeight="1">
      <c r="A274" s="12"/>
      <c r="B274" s="358"/>
      <c r="C274" s="359"/>
      <c r="D274" s="359"/>
      <c r="E274" s="360"/>
      <c r="F274" s="524"/>
      <c r="G274" s="378"/>
      <c r="H274" s="362"/>
      <c r="I274" s="230"/>
      <c r="J274" s="230"/>
      <c r="K274" s="363"/>
      <c r="L274" s="364"/>
      <c r="M274" s="365"/>
      <c r="N274" s="366"/>
      <c r="O274" s="368"/>
      <c r="P274" s="368"/>
      <c r="Q274" s="408"/>
      <c r="R274" s="370"/>
      <c r="S274" s="370"/>
      <c r="T274" s="371"/>
      <c r="U274" s="372"/>
      <c r="V274" s="373"/>
      <c r="W274" s="383"/>
      <c r="X274" s="404"/>
      <c r="Y274" s="372"/>
      <c r="Z274" s="381"/>
      <c r="AA274" s="402"/>
      <c r="AB274" s="403"/>
      <c r="AC274" s="401"/>
      <c r="AD274" s="529"/>
      <c r="AE274" s="379"/>
      <c r="AF274" s="380"/>
      <c r="AG274" s="402"/>
      <c r="AH274" s="403"/>
      <c r="AI274" s="401"/>
      <c r="AJ274" s="402"/>
      <c r="AK274" s="403"/>
      <c r="AL274" s="401"/>
      <c r="AM274" s="402"/>
      <c r="AN274" s="403"/>
      <c r="AO274" s="401"/>
      <c r="AP274" s="402"/>
      <c r="AQ274" s="403"/>
      <c r="AR274" s="401"/>
      <c r="AS274" s="202"/>
    </row>
    <row r="275" spans="1:45" ht="13.5" hidden="1" customHeight="1">
      <c r="A275" s="534"/>
      <c r="B275" s="358" t="s">
        <v>860</v>
      </c>
      <c r="C275" s="359">
        <v>15</v>
      </c>
      <c r="D275" s="359">
        <v>135</v>
      </c>
      <c r="E275" s="360" t="s">
        <v>963</v>
      </c>
      <c r="F275" s="361"/>
      <c r="G275" s="361" t="s">
        <v>43</v>
      </c>
      <c r="H275" s="362">
        <v>33288298</v>
      </c>
      <c r="I275" s="230">
        <v>40084</v>
      </c>
      <c r="J275" s="230">
        <v>14</v>
      </c>
      <c r="K275" s="363" t="s">
        <v>959</v>
      </c>
      <c r="L275" s="364" t="s">
        <v>964</v>
      </c>
      <c r="M275" s="365" t="s">
        <v>965</v>
      </c>
      <c r="N275" s="366" t="s">
        <v>961</v>
      </c>
      <c r="O275" s="443">
        <v>16378715</v>
      </c>
      <c r="P275" s="368">
        <v>4246662661</v>
      </c>
      <c r="Q275" s="576"/>
      <c r="R275" s="370" t="s">
        <v>947</v>
      </c>
      <c r="S275" s="420" t="s">
        <v>955</v>
      </c>
      <c r="T275" s="371"/>
      <c r="U275" s="372"/>
      <c r="V275" s="373"/>
      <c r="W275" s="374"/>
      <c r="X275" s="404">
        <v>45416</v>
      </c>
      <c r="Y275" s="372"/>
      <c r="Z275" s="381"/>
      <c r="AA275" s="359"/>
      <c r="AB275" s="230"/>
      <c r="AC275" s="381"/>
      <c r="AD275" s="359"/>
      <c r="AE275" s="230"/>
      <c r="AF275" s="381"/>
      <c r="AG275" s="241"/>
      <c r="AH275" s="411"/>
      <c r="AI275" s="577"/>
      <c r="AJ275" s="241"/>
      <c r="AK275" s="411"/>
      <c r="AL275" s="577"/>
      <c r="AM275" s="241"/>
      <c r="AN275" s="411"/>
      <c r="AO275" s="577"/>
      <c r="AP275" s="241"/>
      <c r="AQ275" s="411"/>
      <c r="AR275" s="577"/>
      <c r="AS275" s="305"/>
    </row>
    <row r="276" spans="1:45" ht="13.5" hidden="1" customHeight="1">
      <c r="A276" s="534"/>
      <c r="B276" s="358"/>
      <c r="C276" s="359"/>
      <c r="D276" s="359"/>
      <c r="E276" s="360"/>
      <c r="F276" s="378"/>
      <c r="G276" s="378"/>
      <c r="H276" s="230"/>
      <c r="I276" s="230"/>
      <c r="J276" s="230"/>
      <c r="K276" s="544"/>
      <c r="L276" s="364"/>
      <c r="M276" s="365"/>
      <c r="N276" s="366"/>
      <c r="O276" s="368"/>
      <c r="P276" s="368"/>
      <c r="Q276" s="391"/>
      <c r="R276" s="370"/>
      <c r="S276" s="433"/>
      <c r="T276" s="371"/>
      <c r="U276" s="372"/>
      <c r="V276" s="373"/>
      <c r="W276" s="383"/>
      <c r="X276" s="404"/>
      <c r="Y276" s="372"/>
      <c r="Z276" s="381"/>
      <c r="AA276" s="359"/>
      <c r="AB276" s="230"/>
      <c r="AC276" s="381"/>
      <c r="AD276" s="359"/>
      <c r="AE276" s="230"/>
      <c r="AF276" s="381"/>
      <c r="AG276" s="241"/>
      <c r="AH276" s="411"/>
      <c r="AI276" s="577"/>
      <c r="AJ276" s="241"/>
      <c r="AK276" s="411"/>
      <c r="AL276" s="577"/>
      <c r="AM276" s="241"/>
      <c r="AN276" s="411"/>
      <c r="AO276" s="577"/>
      <c r="AP276" s="241"/>
      <c r="AQ276" s="411"/>
      <c r="AR276" s="577"/>
      <c r="AS276" s="305"/>
    </row>
    <row r="277" spans="1:45" ht="13.5" hidden="1" customHeight="1">
      <c r="A277" s="12"/>
      <c r="B277" s="358" t="s">
        <v>860</v>
      </c>
      <c r="C277" s="359">
        <v>16</v>
      </c>
      <c r="D277" s="359">
        <v>136</v>
      </c>
      <c r="E277" s="360" t="s">
        <v>967</v>
      </c>
      <c r="F277" s="524"/>
      <c r="G277" s="361" t="s">
        <v>43</v>
      </c>
      <c r="H277" s="362">
        <v>34218191</v>
      </c>
      <c r="I277" s="230">
        <v>40973</v>
      </c>
      <c r="J277" s="230">
        <v>12</v>
      </c>
      <c r="K277" s="363"/>
      <c r="L277" s="364" t="s">
        <v>964</v>
      </c>
      <c r="M277" s="365" t="s">
        <v>965</v>
      </c>
      <c r="N277" s="366" t="s">
        <v>961</v>
      </c>
      <c r="O277" s="367">
        <v>16378715</v>
      </c>
      <c r="P277" s="368">
        <v>4246662661</v>
      </c>
      <c r="Q277" s="369" t="s">
        <v>959</v>
      </c>
      <c r="R277" s="370" t="s">
        <v>947</v>
      </c>
      <c r="S277" s="420" t="s">
        <v>955</v>
      </c>
      <c r="T277" s="371"/>
      <c r="U277" s="372"/>
      <c r="V277" s="373"/>
      <c r="W277" s="374"/>
      <c r="X277" s="404">
        <v>45416</v>
      </c>
      <c r="Y277" s="372"/>
      <c r="Z277" s="381"/>
      <c r="AA277" s="225"/>
      <c r="AB277" s="361"/>
      <c r="AC277" s="533"/>
      <c r="AD277" s="225"/>
      <c r="AE277" s="361"/>
      <c r="AF277" s="533"/>
      <c r="AG277" s="225"/>
      <c r="AH277" s="361"/>
      <c r="AI277" s="533"/>
      <c r="AJ277" s="225"/>
      <c r="AK277" s="361"/>
      <c r="AL277" s="533"/>
      <c r="AM277" s="225"/>
      <c r="AN277" s="361"/>
      <c r="AO277" s="533"/>
      <c r="AP277" s="225"/>
      <c r="AQ277" s="361"/>
      <c r="AR277" s="533"/>
      <c r="AS277" s="320"/>
    </row>
    <row r="278" spans="1:45" ht="13.5" hidden="1" customHeight="1">
      <c r="A278" s="12"/>
      <c r="B278" s="358"/>
      <c r="C278" s="359"/>
      <c r="D278" s="359"/>
      <c r="E278" s="360"/>
      <c r="F278" s="524"/>
      <c r="G278" s="378"/>
      <c r="H278" s="362"/>
      <c r="I278" s="230"/>
      <c r="J278" s="230"/>
      <c r="K278" s="363"/>
      <c r="L278" s="364"/>
      <c r="M278" s="365"/>
      <c r="N278" s="366"/>
      <c r="O278" s="367"/>
      <c r="P278" s="368"/>
      <c r="Q278" s="382"/>
      <c r="R278" s="370"/>
      <c r="S278" s="433"/>
      <c r="T278" s="371"/>
      <c r="U278" s="372"/>
      <c r="V278" s="373"/>
      <c r="W278" s="383"/>
      <c r="X278" s="404"/>
      <c r="Y278" s="372"/>
      <c r="Z278" s="381"/>
      <c r="AA278" s="241"/>
      <c r="AB278" s="411"/>
      <c r="AC278" s="577"/>
      <c r="AD278" s="241"/>
      <c r="AE278" s="411"/>
      <c r="AF278" s="577"/>
      <c r="AG278" s="241"/>
      <c r="AH278" s="411"/>
      <c r="AI278" s="577"/>
      <c r="AJ278" s="241"/>
      <c r="AK278" s="411"/>
      <c r="AL278" s="577"/>
      <c r="AM278" s="241"/>
      <c r="AN278" s="411"/>
      <c r="AO278" s="577"/>
      <c r="AP278" s="241"/>
      <c r="AQ278" s="411"/>
      <c r="AR278" s="577"/>
      <c r="AS278" s="202"/>
    </row>
    <row r="279" spans="1:45" ht="13.5" hidden="1" customHeight="1">
      <c r="A279" s="12"/>
      <c r="B279" s="358" t="s">
        <v>860</v>
      </c>
      <c r="C279" s="359">
        <v>17</v>
      </c>
      <c r="D279" s="359">
        <v>137</v>
      </c>
      <c r="E279" s="360" t="s">
        <v>969</v>
      </c>
      <c r="F279" s="524"/>
      <c r="G279" s="361" t="s">
        <v>43</v>
      </c>
      <c r="H279" s="362">
        <v>22350300</v>
      </c>
      <c r="I279" s="230">
        <v>34197</v>
      </c>
      <c r="J279" s="230">
        <v>30</v>
      </c>
      <c r="K279" s="363" t="s">
        <v>970</v>
      </c>
      <c r="L279" s="364" t="s">
        <v>971</v>
      </c>
      <c r="M279" s="365" t="s">
        <v>972</v>
      </c>
      <c r="N279" s="366"/>
      <c r="O279" s="367"/>
      <c r="P279" s="368"/>
      <c r="Q279" s="382"/>
      <c r="R279" s="370" t="s">
        <v>281</v>
      </c>
      <c r="S279" s="578" t="s">
        <v>973</v>
      </c>
      <c r="T279" s="371" t="s">
        <v>974</v>
      </c>
      <c r="U279" s="372" t="s">
        <v>706</v>
      </c>
      <c r="V279" s="373"/>
      <c r="W279" s="374" t="s">
        <v>975</v>
      </c>
      <c r="X279" s="404">
        <v>45420</v>
      </c>
      <c r="Y279" s="372"/>
      <c r="Z279" s="381"/>
      <c r="AA279" s="225"/>
      <c r="AB279" s="361"/>
      <c r="AC279" s="533"/>
      <c r="AD279" s="225"/>
      <c r="AE279" s="361"/>
      <c r="AF279" s="533"/>
      <c r="AG279" s="225"/>
      <c r="AH279" s="361"/>
      <c r="AI279" s="533"/>
      <c r="AJ279" s="225"/>
      <c r="AK279" s="361"/>
      <c r="AL279" s="533"/>
      <c r="AM279" s="225"/>
      <c r="AN279" s="361"/>
      <c r="AO279" s="533"/>
      <c r="AP279" s="225"/>
      <c r="AQ279" s="361"/>
      <c r="AR279" s="533"/>
      <c r="AS279" s="320"/>
    </row>
    <row r="280" spans="1:45" ht="13.5" hidden="1" customHeight="1">
      <c r="A280" s="12"/>
      <c r="B280" s="358"/>
      <c r="C280" s="359"/>
      <c r="D280" s="359"/>
      <c r="E280" s="360"/>
      <c r="F280" s="524"/>
      <c r="G280" s="378"/>
      <c r="H280" s="362"/>
      <c r="I280" s="230"/>
      <c r="J280" s="230"/>
      <c r="K280" s="363"/>
      <c r="L280" s="364"/>
      <c r="M280" s="365"/>
      <c r="N280" s="366"/>
      <c r="O280" s="367"/>
      <c r="P280" s="368"/>
      <c r="Q280" s="382"/>
      <c r="R280" s="370"/>
      <c r="S280" s="578"/>
      <c r="T280" s="371"/>
      <c r="U280" s="372"/>
      <c r="V280" s="373"/>
      <c r="W280" s="383"/>
      <c r="X280" s="404"/>
      <c r="Y280" s="372"/>
      <c r="Z280" s="381"/>
      <c r="AA280" s="241"/>
      <c r="AB280" s="411"/>
      <c r="AC280" s="577"/>
      <c r="AD280" s="241"/>
      <c r="AE280" s="411"/>
      <c r="AF280" s="577"/>
      <c r="AG280" s="241"/>
      <c r="AH280" s="411"/>
      <c r="AI280" s="577"/>
      <c r="AJ280" s="241"/>
      <c r="AK280" s="411"/>
      <c r="AL280" s="577"/>
      <c r="AM280" s="241"/>
      <c r="AN280" s="411"/>
      <c r="AO280" s="577"/>
      <c r="AP280" s="241"/>
      <c r="AQ280" s="411"/>
      <c r="AR280" s="577"/>
      <c r="AS280" s="202"/>
    </row>
    <row r="281" spans="1:45" ht="13.5" hidden="1" customHeight="1">
      <c r="A281" s="12"/>
      <c r="B281" s="358" t="s">
        <v>860</v>
      </c>
      <c r="C281" s="359">
        <v>18</v>
      </c>
      <c r="D281" s="359">
        <v>138</v>
      </c>
      <c r="E281" s="360" t="s">
        <v>977</v>
      </c>
      <c r="F281" s="524"/>
      <c r="G281" s="361" t="s">
        <v>43</v>
      </c>
      <c r="H281" s="362">
        <v>33303438</v>
      </c>
      <c r="I281" s="230">
        <v>40170</v>
      </c>
      <c r="J281" s="230">
        <v>14</v>
      </c>
      <c r="K281" s="363" t="s">
        <v>978</v>
      </c>
      <c r="L281" s="364" t="s">
        <v>979</v>
      </c>
      <c r="M281" s="365" t="s">
        <v>980</v>
      </c>
      <c r="N281" s="366" t="s">
        <v>981</v>
      </c>
      <c r="O281" s="367">
        <v>12879846</v>
      </c>
      <c r="P281" s="368">
        <v>4121145700</v>
      </c>
      <c r="Q281" s="369" t="s">
        <v>982</v>
      </c>
      <c r="R281" s="370" t="s">
        <v>983</v>
      </c>
      <c r="S281" s="370" t="s">
        <v>696</v>
      </c>
      <c r="T281" s="371" t="s">
        <v>984</v>
      </c>
      <c r="U281" s="372"/>
      <c r="V281" s="515"/>
      <c r="W281" s="374"/>
      <c r="X281" s="404">
        <v>45419</v>
      </c>
      <c r="Y281" s="372"/>
      <c r="Z281" s="381"/>
      <c r="AA281" s="225"/>
      <c r="AB281" s="361"/>
      <c r="AC281" s="533"/>
      <c r="AD281" s="225"/>
      <c r="AE281" s="361"/>
      <c r="AF281" s="533"/>
      <c r="AG281" s="225"/>
      <c r="AH281" s="361"/>
      <c r="AI281" s="533"/>
      <c r="AJ281" s="225"/>
      <c r="AK281" s="361"/>
      <c r="AL281" s="533"/>
      <c r="AM281" s="225"/>
      <c r="AN281" s="361"/>
      <c r="AO281" s="533"/>
      <c r="AP281" s="225"/>
      <c r="AQ281" s="361"/>
      <c r="AR281" s="533"/>
      <c r="AS281" s="320"/>
    </row>
    <row r="282" spans="1:45" ht="13.5" hidden="1" customHeight="1">
      <c r="A282" s="12"/>
      <c r="B282" s="358"/>
      <c r="C282" s="359"/>
      <c r="D282" s="359"/>
      <c r="E282" s="360"/>
      <c r="F282" s="524"/>
      <c r="G282" s="378"/>
      <c r="H282" s="362"/>
      <c r="I282" s="230"/>
      <c r="J282" s="230"/>
      <c r="K282" s="363"/>
      <c r="L282" s="364"/>
      <c r="M282" s="365"/>
      <c r="N282" s="366"/>
      <c r="O282" s="367"/>
      <c r="P282" s="368"/>
      <c r="Q282" s="382"/>
      <c r="R282" s="370"/>
      <c r="S282" s="370"/>
      <c r="T282" s="371"/>
      <c r="U282" s="372"/>
      <c r="V282" s="515"/>
      <c r="W282" s="383"/>
      <c r="X282" s="404"/>
      <c r="Y282" s="372"/>
      <c r="Z282" s="381"/>
      <c r="AA282" s="241"/>
      <c r="AB282" s="411"/>
      <c r="AC282" s="577"/>
      <c r="AD282" s="241"/>
      <c r="AE282" s="411"/>
      <c r="AF282" s="577"/>
      <c r="AG282" s="241"/>
      <c r="AH282" s="411"/>
      <c r="AI282" s="577"/>
      <c r="AJ282" s="241"/>
      <c r="AK282" s="411"/>
      <c r="AL282" s="577"/>
      <c r="AM282" s="241"/>
      <c r="AN282" s="411"/>
      <c r="AO282" s="577"/>
      <c r="AP282" s="241"/>
      <c r="AQ282" s="411"/>
      <c r="AR282" s="577"/>
      <c r="AS282" s="202"/>
    </row>
    <row r="283" spans="1:45" ht="13.5" hidden="1" customHeight="1">
      <c r="A283" s="12"/>
      <c r="B283" s="358" t="s">
        <v>860</v>
      </c>
      <c r="C283" s="359">
        <v>19</v>
      </c>
      <c r="D283" s="359">
        <v>139</v>
      </c>
      <c r="E283" s="360" t="s">
        <v>986</v>
      </c>
      <c r="F283" s="524"/>
      <c r="G283" s="361" t="s">
        <v>43</v>
      </c>
      <c r="H283" s="362"/>
      <c r="I283" s="230">
        <v>42219</v>
      </c>
      <c r="J283" s="230">
        <v>8</v>
      </c>
      <c r="K283" s="363" t="s">
        <v>987</v>
      </c>
      <c r="L283" s="364" t="s">
        <v>988</v>
      </c>
      <c r="M283" s="365" t="s">
        <v>989</v>
      </c>
      <c r="N283" s="409" t="s">
        <v>990</v>
      </c>
      <c r="O283" s="453" t="s">
        <v>991</v>
      </c>
      <c r="P283" s="454">
        <v>4242442234</v>
      </c>
      <c r="Q283" s="504" t="s">
        <v>992</v>
      </c>
      <c r="R283" s="420" t="s">
        <v>369</v>
      </c>
      <c r="S283" s="420" t="s">
        <v>939</v>
      </c>
      <c r="T283" s="579" t="s">
        <v>993</v>
      </c>
      <c r="U283" s="372"/>
      <c r="V283" s="373"/>
      <c r="W283" s="374"/>
      <c r="X283" s="404">
        <v>45422</v>
      </c>
      <c r="Y283" s="372"/>
      <c r="Z283" s="381"/>
      <c r="AA283" s="225"/>
      <c r="AB283" s="361"/>
      <c r="AC283" s="533"/>
      <c r="AD283" s="225"/>
      <c r="AE283" s="361"/>
      <c r="AF283" s="533"/>
      <c r="AG283" s="225"/>
      <c r="AH283" s="361"/>
      <c r="AI283" s="533"/>
      <c r="AJ283" s="225"/>
      <c r="AK283" s="361"/>
      <c r="AL283" s="533"/>
      <c r="AM283" s="225"/>
      <c r="AN283" s="361"/>
      <c r="AO283" s="533"/>
      <c r="AP283" s="225"/>
      <c r="AQ283" s="361"/>
      <c r="AR283" s="533"/>
      <c r="AS283" s="320"/>
    </row>
    <row r="284" spans="1:45" ht="13.5" hidden="1" customHeight="1">
      <c r="A284" s="12"/>
      <c r="B284" s="358"/>
      <c r="C284" s="359"/>
      <c r="D284" s="359"/>
      <c r="E284" s="360"/>
      <c r="F284" s="524"/>
      <c r="G284" s="378"/>
      <c r="H284" s="362"/>
      <c r="I284" s="230"/>
      <c r="J284" s="230"/>
      <c r="K284" s="363"/>
      <c r="L284" s="364"/>
      <c r="M284" s="365"/>
      <c r="N284" s="415"/>
      <c r="O284" s="580"/>
      <c r="P284" s="581"/>
      <c r="Q284" s="563"/>
      <c r="R284" s="582"/>
      <c r="S284" s="582"/>
      <c r="T284" s="583"/>
      <c r="U284" s="372"/>
      <c r="V284" s="373"/>
      <c r="W284" s="383"/>
      <c r="X284" s="404"/>
      <c r="Y284" s="372"/>
      <c r="Z284" s="381"/>
      <c r="AA284" s="241"/>
      <c r="AB284" s="411"/>
      <c r="AC284" s="577"/>
      <c r="AD284" s="241"/>
      <c r="AE284" s="411"/>
      <c r="AF284" s="577"/>
      <c r="AG284" s="241"/>
      <c r="AH284" s="411"/>
      <c r="AI284" s="577"/>
      <c r="AJ284" s="241"/>
      <c r="AK284" s="411"/>
      <c r="AL284" s="577"/>
      <c r="AM284" s="241"/>
      <c r="AN284" s="411"/>
      <c r="AO284" s="577"/>
      <c r="AP284" s="241"/>
      <c r="AQ284" s="411"/>
      <c r="AR284" s="577"/>
      <c r="AS284" s="202"/>
    </row>
    <row r="285" spans="1:45" ht="13.5" hidden="1" customHeight="1">
      <c r="A285" s="12"/>
      <c r="B285" s="358" t="s">
        <v>860</v>
      </c>
      <c r="C285" s="359">
        <v>20</v>
      </c>
      <c r="D285" s="359">
        <v>140</v>
      </c>
      <c r="E285" s="360" t="s">
        <v>995</v>
      </c>
      <c r="F285" s="524"/>
      <c r="G285" s="361" t="s">
        <v>43</v>
      </c>
      <c r="H285" s="362"/>
      <c r="I285" s="230">
        <v>41506</v>
      </c>
      <c r="J285" s="230">
        <v>10</v>
      </c>
      <c r="K285" s="363" t="s">
        <v>987</v>
      </c>
      <c r="L285" s="364" t="s">
        <v>996</v>
      </c>
      <c r="M285" s="365" t="s">
        <v>989</v>
      </c>
      <c r="N285" s="415"/>
      <c r="O285" s="580"/>
      <c r="P285" s="581"/>
      <c r="Q285" s="563"/>
      <c r="R285" s="582"/>
      <c r="S285" s="582"/>
      <c r="T285" s="583"/>
      <c r="U285" s="372"/>
      <c r="V285" s="373"/>
      <c r="W285" s="584"/>
      <c r="X285" s="404">
        <v>45422</v>
      </c>
      <c r="Y285" s="372"/>
      <c r="Z285" s="381"/>
      <c r="AA285" s="225"/>
      <c r="AB285" s="361"/>
      <c r="AC285" s="533"/>
      <c r="AD285" s="225"/>
      <c r="AE285" s="361"/>
      <c r="AF285" s="533"/>
      <c r="AG285" s="225"/>
      <c r="AH285" s="361"/>
      <c r="AI285" s="533"/>
      <c r="AJ285" s="225"/>
      <c r="AK285" s="361"/>
      <c r="AL285" s="533"/>
      <c r="AM285" s="225"/>
      <c r="AN285" s="361"/>
      <c r="AO285" s="533"/>
      <c r="AP285" s="225"/>
      <c r="AQ285" s="361"/>
      <c r="AR285" s="533"/>
      <c r="AS285" s="320"/>
    </row>
    <row r="286" spans="1:45" ht="13.5" hidden="1" customHeight="1">
      <c r="A286" s="12"/>
      <c r="B286" s="358"/>
      <c r="C286" s="359"/>
      <c r="D286" s="359"/>
      <c r="E286" s="360"/>
      <c r="F286" s="524"/>
      <c r="G286" s="378"/>
      <c r="H286" s="362"/>
      <c r="I286" s="230"/>
      <c r="J286" s="230"/>
      <c r="K286" s="363"/>
      <c r="L286" s="364"/>
      <c r="M286" s="365"/>
      <c r="N286" s="415"/>
      <c r="O286" s="580"/>
      <c r="P286" s="581"/>
      <c r="Q286" s="563"/>
      <c r="R286" s="433"/>
      <c r="S286" s="433"/>
      <c r="T286" s="583"/>
      <c r="U286" s="372"/>
      <c r="V286" s="373"/>
      <c r="W286" s="585"/>
      <c r="X286" s="404"/>
      <c r="Y286" s="372"/>
      <c r="Z286" s="381"/>
      <c r="AA286" s="241"/>
      <c r="AB286" s="411"/>
      <c r="AC286" s="577"/>
      <c r="AD286" s="241"/>
      <c r="AE286" s="411"/>
      <c r="AF286" s="577"/>
      <c r="AG286" s="241"/>
      <c r="AH286" s="411"/>
      <c r="AI286" s="577"/>
      <c r="AJ286" s="241"/>
      <c r="AK286" s="411"/>
      <c r="AL286" s="577"/>
      <c r="AM286" s="241"/>
      <c r="AN286" s="411"/>
      <c r="AO286" s="577"/>
      <c r="AP286" s="241"/>
      <c r="AQ286" s="411"/>
      <c r="AR286" s="577"/>
      <c r="AS286" s="202"/>
    </row>
    <row r="287" spans="1:45" ht="13.5" hidden="1" customHeight="1">
      <c r="A287" s="12"/>
      <c r="B287" s="358" t="s">
        <v>2567</v>
      </c>
      <c r="C287" s="359">
        <v>1</v>
      </c>
      <c r="D287" s="359">
        <v>141</v>
      </c>
      <c r="E287" s="360" t="s">
        <v>999</v>
      </c>
      <c r="F287" s="524"/>
      <c r="G287" s="361" t="s">
        <v>43</v>
      </c>
      <c r="H287" s="362"/>
      <c r="I287" s="230">
        <v>40205</v>
      </c>
      <c r="J287" s="230">
        <v>14</v>
      </c>
      <c r="K287" s="363" t="s">
        <v>987</v>
      </c>
      <c r="L287" s="364" t="s">
        <v>996</v>
      </c>
      <c r="M287" s="365" t="s">
        <v>989</v>
      </c>
      <c r="N287" s="415"/>
      <c r="O287" s="580"/>
      <c r="P287" s="581"/>
      <c r="Q287" s="563"/>
      <c r="R287" s="370" t="s">
        <v>947</v>
      </c>
      <c r="S287" s="578" t="s">
        <v>1000</v>
      </c>
      <c r="T287" s="583"/>
      <c r="U287" s="372"/>
      <c r="V287" s="373"/>
      <c r="W287" s="374"/>
      <c r="X287" s="404">
        <v>45422</v>
      </c>
      <c r="Y287" s="372"/>
      <c r="Z287" s="381"/>
      <c r="AA287" s="359"/>
      <c r="AB287" s="230"/>
      <c r="AC287" s="381"/>
      <c r="AD287" s="225"/>
      <c r="AE287" s="361"/>
      <c r="AF287" s="533"/>
      <c r="AG287" s="225"/>
      <c r="AH287" s="361"/>
      <c r="AI287" s="533"/>
      <c r="AJ287" s="225"/>
      <c r="AK287" s="361"/>
      <c r="AL287" s="533"/>
      <c r="AM287" s="225"/>
      <c r="AN287" s="361"/>
      <c r="AO287" s="533"/>
      <c r="AP287" s="225"/>
      <c r="AQ287" s="361"/>
      <c r="AR287" s="533"/>
      <c r="AS287" s="320"/>
    </row>
    <row r="288" spans="1:45" ht="13.5" hidden="1" customHeight="1">
      <c r="A288" s="12"/>
      <c r="B288" s="358"/>
      <c r="C288" s="359"/>
      <c r="D288" s="359"/>
      <c r="E288" s="360"/>
      <c r="F288" s="524"/>
      <c r="G288" s="378"/>
      <c r="H288" s="362"/>
      <c r="I288" s="230"/>
      <c r="J288" s="230"/>
      <c r="K288" s="363"/>
      <c r="L288" s="364"/>
      <c r="M288" s="365"/>
      <c r="N288" s="425"/>
      <c r="O288" s="440"/>
      <c r="P288" s="429"/>
      <c r="Q288" s="442"/>
      <c r="R288" s="370"/>
      <c r="S288" s="578"/>
      <c r="T288" s="586"/>
      <c r="U288" s="372"/>
      <c r="V288" s="373"/>
      <c r="W288" s="383"/>
      <c r="X288" s="404"/>
      <c r="Y288" s="372"/>
      <c r="Z288" s="381"/>
      <c r="AA288" s="359"/>
      <c r="AB288" s="230"/>
      <c r="AC288" s="381"/>
      <c r="AD288" s="241"/>
      <c r="AE288" s="411"/>
      <c r="AF288" s="577"/>
      <c r="AG288" s="241"/>
      <c r="AH288" s="411"/>
      <c r="AI288" s="577"/>
      <c r="AJ288" s="241"/>
      <c r="AK288" s="411"/>
      <c r="AL288" s="577"/>
      <c r="AM288" s="241"/>
      <c r="AN288" s="411"/>
      <c r="AO288" s="577"/>
      <c r="AP288" s="241"/>
      <c r="AQ288" s="411"/>
      <c r="AR288" s="577"/>
      <c r="AS288" s="202"/>
    </row>
    <row r="289" spans="1:45" ht="28.5" customHeight="1">
      <c r="A289" s="12"/>
      <c r="B289" s="358" t="s">
        <v>2567</v>
      </c>
      <c r="C289" s="359">
        <v>2</v>
      </c>
      <c r="D289" s="359">
        <v>5</v>
      </c>
      <c r="E289" s="360" t="s">
        <v>1002</v>
      </c>
      <c r="F289" s="524"/>
      <c r="G289" s="361" t="s">
        <v>43</v>
      </c>
      <c r="H289" s="362">
        <v>32674524</v>
      </c>
      <c r="I289" s="230">
        <v>45443</v>
      </c>
      <c r="J289" s="230">
        <v>15</v>
      </c>
      <c r="K289" s="363" t="s">
        <v>1003</v>
      </c>
      <c r="L289" s="364" t="s">
        <v>1004</v>
      </c>
      <c r="M289" s="365" t="s">
        <v>1005</v>
      </c>
      <c r="N289" s="366" t="s">
        <v>1006</v>
      </c>
      <c r="O289" s="367">
        <v>11044964</v>
      </c>
      <c r="P289" s="368">
        <v>4241279132</v>
      </c>
      <c r="Q289" s="587" t="s">
        <v>1007</v>
      </c>
      <c r="R289" s="370" t="s">
        <v>1008</v>
      </c>
      <c r="S289" s="370" t="s">
        <v>1009</v>
      </c>
      <c r="T289" s="371" t="s">
        <v>1010</v>
      </c>
      <c r="U289" s="372" t="s">
        <v>1010</v>
      </c>
      <c r="V289" s="373"/>
      <c r="W289" s="374"/>
      <c r="X289" s="404">
        <v>45425</v>
      </c>
      <c r="Y289" s="372"/>
      <c r="Z289" s="381"/>
      <c r="AA289" s="359"/>
      <c r="AB289" s="230"/>
      <c r="AC289" s="381"/>
      <c r="AD289" s="359"/>
      <c r="AE289" s="230"/>
      <c r="AF289" s="381"/>
      <c r="AG289" s="359"/>
      <c r="AH289" s="230"/>
      <c r="AI289" s="381"/>
      <c r="AJ289" s="359"/>
      <c r="AK289" s="230"/>
      <c r="AL289" s="381"/>
      <c r="AM289" s="359"/>
      <c r="AN289" s="230"/>
      <c r="AO289" s="381"/>
      <c r="AP289" s="359"/>
      <c r="AQ289" s="230"/>
      <c r="AR289" s="381"/>
      <c r="AS289" s="320"/>
    </row>
    <row r="290" spans="1:45" ht="13.5" hidden="1" customHeight="1">
      <c r="A290" s="12"/>
      <c r="B290" s="358"/>
      <c r="C290" s="359"/>
      <c r="D290" s="359"/>
      <c r="E290" s="360"/>
      <c r="F290" s="524"/>
      <c r="G290" s="378"/>
      <c r="H290" s="362"/>
      <c r="I290" s="230"/>
      <c r="J290" s="230"/>
      <c r="K290" s="363"/>
      <c r="L290" s="364"/>
      <c r="M290" s="365"/>
      <c r="N290" s="366"/>
      <c r="O290" s="367"/>
      <c r="P290" s="368"/>
      <c r="Q290" s="382"/>
      <c r="R290" s="370"/>
      <c r="S290" s="578"/>
      <c r="T290" s="588"/>
      <c r="U290" s="372"/>
      <c r="V290" s="373"/>
      <c r="W290" s="383"/>
      <c r="X290" s="404"/>
      <c r="Y290" s="372"/>
      <c r="Z290" s="381"/>
      <c r="AA290" s="359"/>
      <c r="AB290" s="230"/>
      <c r="AC290" s="381"/>
      <c r="AD290" s="359"/>
      <c r="AE290" s="230"/>
      <c r="AF290" s="381"/>
      <c r="AG290" s="359"/>
      <c r="AH290" s="230"/>
      <c r="AI290" s="381"/>
      <c r="AJ290" s="359"/>
      <c r="AK290" s="230"/>
      <c r="AL290" s="381"/>
      <c r="AM290" s="359"/>
      <c r="AN290" s="230"/>
      <c r="AO290" s="381"/>
      <c r="AP290" s="359"/>
      <c r="AQ290" s="230"/>
      <c r="AR290" s="381"/>
      <c r="AS290" s="202"/>
    </row>
    <row r="291" spans="1:45" ht="13.5" hidden="1" customHeight="1">
      <c r="A291" s="12"/>
      <c r="B291" s="358" t="s">
        <v>2567</v>
      </c>
      <c r="C291" s="359">
        <v>3</v>
      </c>
      <c r="D291" s="359">
        <v>143</v>
      </c>
      <c r="E291" s="360" t="s">
        <v>1012</v>
      </c>
      <c r="F291" s="524"/>
      <c r="G291" s="361" t="s">
        <v>43</v>
      </c>
      <c r="H291" s="362">
        <v>27988116</v>
      </c>
      <c r="I291" s="230">
        <v>45356</v>
      </c>
      <c r="J291" s="230">
        <v>23</v>
      </c>
      <c r="K291" s="363" t="s">
        <v>1013</v>
      </c>
      <c r="L291" s="364" t="s">
        <v>1014</v>
      </c>
      <c r="M291" s="365" t="s">
        <v>1015</v>
      </c>
      <c r="N291" s="366"/>
      <c r="O291" s="367"/>
      <c r="P291" s="368"/>
      <c r="Q291" s="369" t="s">
        <v>1016</v>
      </c>
      <c r="R291" s="370" t="s">
        <v>1017</v>
      </c>
      <c r="S291" s="370" t="s">
        <v>973</v>
      </c>
      <c r="T291" s="371"/>
      <c r="U291" s="372"/>
      <c r="V291" s="373"/>
      <c r="W291" s="374"/>
      <c r="X291" s="404">
        <v>45425</v>
      </c>
      <c r="Y291" s="372"/>
      <c r="Z291" s="381"/>
      <c r="AA291" s="225"/>
      <c r="AB291" s="361"/>
      <c r="AC291" s="533"/>
      <c r="AD291" s="359"/>
      <c r="AE291" s="230"/>
      <c r="AF291" s="381"/>
      <c r="AG291" s="359"/>
      <c r="AH291" s="230"/>
      <c r="AI291" s="381"/>
      <c r="AJ291" s="359"/>
      <c r="AK291" s="230"/>
      <c r="AL291" s="381"/>
      <c r="AM291" s="359"/>
      <c r="AN291" s="230"/>
      <c r="AO291" s="381"/>
      <c r="AP291" s="359"/>
      <c r="AQ291" s="230"/>
      <c r="AR291" s="381"/>
      <c r="AS291" s="320"/>
    </row>
    <row r="292" spans="1:45" ht="13.5" hidden="1" customHeight="1">
      <c r="A292" s="12"/>
      <c r="B292" s="358"/>
      <c r="C292" s="359"/>
      <c r="D292" s="359"/>
      <c r="E292" s="360"/>
      <c r="F292" s="524"/>
      <c r="G292" s="378"/>
      <c r="H292" s="362"/>
      <c r="I292" s="230"/>
      <c r="J292" s="230"/>
      <c r="K292" s="363"/>
      <c r="L292" s="364"/>
      <c r="M292" s="365"/>
      <c r="N292" s="366"/>
      <c r="O292" s="367"/>
      <c r="P292" s="368"/>
      <c r="Q292" s="382"/>
      <c r="R292" s="370"/>
      <c r="S292" s="370"/>
      <c r="T292" s="371"/>
      <c r="U292" s="372"/>
      <c r="V292" s="373"/>
      <c r="W292" s="383"/>
      <c r="X292" s="404"/>
      <c r="Y292" s="372"/>
      <c r="Z292" s="381"/>
      <c r="AA292" s="241"/>
      <c r="AB292" s="411"/>
      <c r="AC292" s="577"/>
      <c r="AD292" s="359"/>
      <c r="AE292" s="230"/>
      <c r="AF292" s="381"/>
      <c r="AG292" s="359"/>
      <c r="AH292" s="230"/>
      <c r="AI292" s="381"/>
      <c r="AJ292" s="359"/>
      <c r="AK292" s="230"/>
      <c r="AL292" s="381"/>
      <c r="AM292" s="359"/>
      <c r="AN292" s="230"/>
      <c r="AO292" s="381"/>
      <c r="AP292" s="359"/>
      <c r="AQ292" s="230"/>
      <c r="AR292" s="381"/>
      <c r="AS292" s="202"/>
    </row>
    <row r="293" spans="1:45" ht="13.5" hidden="1" customHeight="1">
      <c r="A293" s="12"/>
      <c r="B293" s="358" t="s">
        <v>2567</v>
      </c>
      <c r="C293" s="359">
        <v>4</v>
      </c>
      <c r="D293" s="359">
        <v>144</v>
      </c>
      <c r="E293" s="360" t="s">
        <v>1019</v>
      </c>
      <c r="F293" s="524"/>
      <c r="G293" s="361" t="s">
        <v>43</v>
      </c>
      <c r="H293" s="362">
        <v>34582733</v>
      </c>
      <c r="I293" s="230">
        <v>45425</v>
      </c>
      <c r="J293" s="230">
        <v>12</v>
      </c>
      <c r="K293" s="363" t="s">
        <v>1020</v>
      </c>
      <c r="L293" s="364" t="s">
        <v>1021</v>
      </c>
      <c r="M293" s="365" t="s">
        <v>1022</v>
      </c>
      <c r="N293" s="366" t="s">
        <v>1023</v>
      </c>
      <c r="O293" s="367">
        <v>17533013</v>
      </c>
      <c r="P293" s="368">
        <v>4122760994</v>
      </c>
      <c r="Q293" s="369" t="s">
        <v>1024</v>
      </c>
      <c r="R293" s="370" t="s">
        <v>778</v>
      </c>
      <c r="S293" s="370" t="s">
        <v>1025</v>
      </c>
      <c r="T293" s="371" t="s">
        <v>1026</v>
      </c>
      <c r="U293" s="372"/>
      <c r="V293" s="373"/>
      <c r="W293" s="374"/>
      <c r="X293" s="372">
        <v>45425</v>
      </c>
      <c r="Y293" s="320"/>
      <c r="Z293" s="381"/>
      <c r="AA293" s="225"/>
      <c r="AB293" s="361"/>
      <c r="AC293" s="533"/>
      <c r="AD293" s="359"/>
      <c r="AE293" s="230"/>
      <c r="AF293" s="381"/>
      <c r="AG293" s="359"/>
      <c r="AH293" s="230"/>
      <c r="AI293" s="381"/>
      <c r="AJ293" s="359"/>
      <c r="AK293" s="230"/>
      <c r="AL293" s="381"/>
      <c r="AM293" s="359"/>
      <c r="AN293" s="230"/>
      <c r="AO293" s="381"/>
      <c r="AP293" s="359"/>
      <c r="AQ293" s="230"/>
      <c r="AR293" s="381"/>
      <c r="AS293" s="320"/>
    </row>
    <row r="294" spans="1:45" ht="13.5" hidden="1" customHeight="1">
      <c r="A294" s="12"/>
      <c r="B294" s="358"/>
      <c r="C294" s="359"/>
      <c r="D294" s="359"/>
      <c r="E294" s="360"/>
      <c r="F294" s="524"/>
      <c r="G294" s="378"/>
      <c r="H294" s="230"/>
      <c r="I294" s="230"/>
      <c r="J294" s="230"/>
      <c r="K294" s="363"/>
      <c r="L294" s="364"/>
      <c r="M294" s="365"/>
      <c r="N294" s="366"/>
      <c r="O294" s="367"/>
      <c r="P294" s="368"/>
      <c r="Q294" s="382"/>
      <c r="R294" s="370"/>
      <c r="S294" s="370"/>
      <c r="T294" s="371"/>
      <c r="U294" s="372"/>
      <c r="V294" s="373"/>
      <c r="W294" s="383"/>
      <c r="X294" s="372"/>
      <c r="Y294" s="10"/>
      <c r="Z294" s="381"/>
      <c r="AA294" s="241"/>
      <c r="AB294" s="411"/>
      <c r="AC294" s="577"/>
      <c r="AD294" s="359"/>
      <c r="AE294" s="230"/>
      <c r="AF294" s="381"/>
      <c r="AG294" s="359"/>
      <c r="AH294" s="230"/>
      <c r="AI294" s="381"/>
      <c r="AJ294" s="359"/>
      <c r="AK294" s="230"/>
      <c r="AL294" s="381"/>
      <c r="AM294" s="359"/>
      <c r="AN294" s="230"/>
      <c r="AO294" s="381"/>
      <c r="AP294" s="359"/>
      <c r="AQ294" s="230"/>
      <c r="AR294" s="381"/>
      <c r="AS294" s="202"/>
    </row>
    <row r="295" spans="1:45" ht="13.5" hidden="1" customHeight="1">
      <c r="A295" s="12"/>
      <c r="B295" s="358" t="s">
        <v>2567</v>
      </c>
      <c r="C295" s="359">
        <v>5</v>
      </c>
      <c r="D295" s="359">
        <v>145</v>
      </c>
      <c r="E295" s="360" t="s">
        <v>1028</v>
      </c>
      <c r="F295" s="524"/>
      <c r="G295" s="361" t="s">
        <v>43</v>
      </c>
      <c r="H295" s="362">
        <v>31604500</v>
      </c>
      <c r="I295" s="230">
        <v>38943</v>
      </c>
      <c r="J295" s="230">
        <v>17</v>
      </c>
      <c r="K295" s="363" t="s">
        <v>1029</v>
      </c>
      <c r="L295" s="364" t="s">
        <v>1030</v>
      </c>
      <c r="M295" s="365" t="s">
        <v>1031</v>
      </c>
      <c r="N295" s="366" t="s">
        <v>1032</v>
      </c>
      <c r="O295" s="443">
        <v>16269840</v>
      </c>
      <c r="P295" s="368">
        <v>4127103087</v>
      </c>
      <c r="Q295" s="406" t="s">
        <v>1029</v>
      </c>
      <c r="R295" s="370" t="s">
        <v>778</v>
      </c>
      <c r="S295" s="370" t="s">
        <v>696</v>
      </c>
      <c r="T295" s="371" t="s">
        <v>1033</v>
      </c>
      <c r="U295" s="372"/>
      <c r="V295" s="373"/>
      <c r="W295" s="374"/>
      <c r="X295" s="359">
        <v>45223</v>
      </c>
      <c r="Y295" s="372"/>
      <c r="Z295" s="381"/>
      <c r="AA295" s="359"/>
      <c r="AB295" s="230"/>
      <c r="AC295" s="381"/>
      <c r="AD295" s="359"/>
      <c r="AE295" s="230"/>
      <c r="AF295" s="381"/>
      <c r="AG295" s="359"/>
      <c r="AH295" s="230"/>
      <c r="AI295" s="381"/>
      <c r="AJ295" s="359"/>
      <c r="AK295" s="230"/>
      <c r="AL295" s="381"/>
      <c r="AM295" s="359"/>
      <c r="AN295" s="230"/>
      <c r="AO295" s="381"/>
      <c r="AP295" s="359"/>
      <c r="AQ295" s="230"/>
      <c r="AR295" s="381"/>
      <c r="AS295" s="320"/>
    </row>
    <row r="296" spans="1:45" ht="13.5" hidden="1" customHeight="1">
      <c r="A296" s="12"/>
      <c r="B296" s="358"/>
      <c r="C296" s="359"/>
      <c r="D296" s="359"/>
      <c r="E296" s="360"/>
      <c r="F296" s="524"/>
      <c r="G296" s="378"/>
      <c r="H296" s="362"/>
      <c r="I296" s="230"/>
      <c r="J296" s="230"/>
      <c r="K296" s="363"/>
      <c r="L296" s="364"/>
      <c r="M296" s="365"/>
      <c r="N296" s="366"/>
      <c r="O296" s="368"/>
      <c r="P296" s="368"/>
      <c r="Q296" s="408"/>
      <c r="R296" s="370"/>
      <c r="S296" s="370"/>
      <c r="T296" s="371"/>
      <c r="U296" s="372"/>
      <c r="V296" s="373"/>
      <c r="W296" s="383"/>
      <c r="X296" s="359"/>
      <c r="Y296" s="372"/>
      <c r="Z296" s="381"/>
      <c r="AA296" s="359"/>
      <c r="AB296" s="230"/>
      <c r="AC296" s="381"/>
      <c r="AD296" s="359"/>
      <c r="AE296" s="230"/>
      <c r="AF296" s="381"/>
      <c r="AG296" s="359"/>
      <c r="AH296" s="230"/>
      <c r="AI296" s="381"/>
      <c r="AJ296" s="359"/>
      <c r="AK296" s="230"/>
      <c r="AL296" s="381"/>
      <c r="AM296" s="359"/>
      <c r="AN296" s="230"/>
      <c r="AO296" s="381"/>
      <c r="AP296" s="359"/>
      <c r="AQ296" s="230"/>
      <c r="AR296" s="381"/>
      <c r="AS296" s="202"/>
    </row>
    <row r="297" spans="1:45" ht="13.5" hidden="1" customHeight="1">
      <c r="A297" s="12"/>
      <c r="B297" s="358" t="s">
        <v>2567</v>
      </c>
      <c r="C297" s="359">
        <v>6</v>
      </c>
      <c r="D297" s="359">
        <v>146</v>
      </c>
      <c r="E297" s="360" t="s">
        <v>1035</v>
      </c>
      <c r="F297" s="524"/>
      <c r="G297" s="361" t="s">
        <v>43</v>
      </c>
      <c r="H297" s="230"/>
      <c r="I297" s="230">
        <v>42316</v>
      </c>
      <c r="J297" s="230">
        <v>8</v>
      </c>
      <c r="K297" s="363" t="s">
        <v>1036</v>
      </c>
      <c r="L297" s="364" t="s">
        <v>1037</v>
      </c>
      <c r="M297" s="365" t="s">
        <v>1038</v>
      </c>
      <c r="N297" s="366" t="s">
        <v>1039</v>
      </c>
      <c r="O297" s="367">
        <v>19763671</v>
      </c>
      <c r="P297" s="368">
        <v>4129962477</v>
      </c>
      <c r="Q297" s="369" t="s">
        <v>1040</v>
      </c>
      <c r="R297" s="370" t="s">
        <v>579</v>
      </c>
      <c r="S297" s="370" t="s">
        <v>933</v>
      </c>
      <c r="T297" s="371" t="s">
        <v>1041</v>
      </c>
      <c r="U297" s="372"/>
      <c r="V297" s="373"/>
      <c r="W297" s="374"/>
      <c r="X297" s="404">
        <v>45428</v>
      </c>
      <c r="Y297" s="372"/>
      <c r="Z297" s="381"/>
      <c r="AA297" s="225"/>
      <c r="AB297" s="361"/>
      <c r="AC297" s="533"/>
      <c r="AD297" s="359"/>
      <c r="AE297" s="230"/>
      <c r="AF297" s="381"/>
      <c r="AG297" s="359"/>
      <c r="AH297" s="230"/>
      <c r="AI297" s="381"/>
      <c r="AJ297" s="359"/>
      <c r="AK297" s="230"/>
      <c r="AL297" s="381"/>
      <c r="AM297" s="359"/>
      <c r="AN297" s="230"/>
      <c r="AO297" s="381"/>
      <c r="AP297" s="359"/>
      <c r="AQ297" s="230"/>
      <c r="AR297" s="381"/>
      <c r="AS297" s="320"/>
    </row>
    <row r="298" spans="1:45" ht="13.5" hidden="1" customHeight="1">
      <c r="A298" s="12"/>
      <c r="B298" s="358"/>
      <c r="C298" s="359"/>
      <c r="D298" s="359"/>
      <c r="E298" s="360"/>
      <c r="F298" s="524"/>
      <c r="G298" s="378"/>
      <c r="H298" s="230"/>
      <c r="I298" s="230"/>
      <c r="J298" s="230"/>
      <c r="K298" s="363"/>
      <c r="L298" s="364"/>
      <c r="M298" s="365"/>
      <c r="N298" s="366"/>
      <c r="O298" s="367"/>
      <c r="P298" s="368"/>
      <c r="Q298" s="382"/>
      <c r="R298" s="370"/>
      <c r="S298" s="370"/>
      <c r="T298" s="371"/>
      <c r="U298" s="372"/>
      <c r="V298" s="373"/>
      <c r="W298" s="383"/>
      <c r="X298" s="404"/>
      <c r="Y298" s="372"/>
      <c r="Z298" s="381"/>
      <c r="AA298" s="241"/>
      <c r="AB298" s="411"/>
      <c r="AC298" s="577"/>
      <c r="AD298" s="359"/>
      <c r="AE298" s="230"/>
      <c r="AF298" s="381"/>
      <c r="AG298" s="359"/>
      <c r="AH298" s="230"/>
      <c r="AI298" s="381"/>
      <c r="AJ298" s="359"/>
      <c r="AK298" s="230"/>
      <c r="AL298" s="381"/>
      <c r="AM298" s="359"/>
      <c r="AN298" s="230"/>
      <c r="AO298" s="381"/>
      <c r="AP298" s="359"/>
      <c r="AQ298" s="230"/>
      <c r="AR298" s="381"/>
      <c r="AS298" s="202"/>
    </row>
    <row r="299" spans="1:45" ht="28.5" customHeight="1">
      <c r="A299" s="12"/>
      <c r="B299" s="358" t="s">
        <v>2567</v>
      </c>
      <c r="C299" s="359">
        <v>7</v>
      </c>
      <c r="D299" s="359">
        <v>6</v>
      </c>
      <c r="E299" s="360" t="s">
        <v>1043</v>
      </c>
      <c r="F299" s="524"/>
      <c r="G299" s="361" t="s">
        <v>43</v>
      </c>
      <c r="H299" s="362">
        <v>33884275</v>
      </c>
      <c r="I299" s="230">
        <v>40828</v>
      </c>
      <c r="J299" s="230">
        <v>12</v>
      </c>
      <c r="K299" s="363" t="s">
        <v>1044</v>
      </c>
      <c r="L299" s="364"/>
      <c r="M299" s="405" t="s">
        <v>1045</v>
      </c>
      <c r="N299" s="366" t="s">
        <v>1046</v>
      </c>
      <c r="O299" s="367">
        <v>14756232</v>
      </c>
      <c r="P299" s="368">
        <v>4142446182</v>
      </c>
      <c r="Q299" s="589" t="s">
        <v>1044</v>
      </c>
      <c r="R299" s="370" t="s">
        <v>947</v>
      </c>
      <c r="S299" s="370" t="s">
        <v>933</v>
      </c>
      <c r="T299" s="371" t="s">
        <v>1047</v>
      </c>
      <c r="U299" s="372"/>
      <c r="V299" s="373"/>
      <c r="W299" s="374"/>
      <c r="X299" s="404">
        <v>45408</v>
      </c>
      <c r="Y299" s="384"/>
      <c r="Z299" s="513"/>
      <c r="AA299" s="225"/>
      <c r="AB299" s="361"/>
      <c r="AC299" s="533"/>
      <c r="AD299" s="359"/>
      <c r="AE299" s="230"/>
      <c r="AF299" s="381"/>
      <c r="AG299" s="359"/>
      <c r="AH299" s="230"/>
      <c r="AI299" s="381"/>
      <c r="AJ299" s="359"/>
      <c r="AK299" s="230"/>
      <c r="AL299" s="381"/>
      <c r="AM299" s="359"/>
      <c r="AN299" s="230"/>
      <c r="AO299" s="381"/>
      <c r="AP299" s="359"/>
      <c r="AQ299" s="230"/>
      <c r="AR299" s="381"/>
      <c r="AS299" s="320"/>
    </row>
    <row r="300" spans="1:45" ht="13.5" hidden="1" customHeight="1">
      <c r="A300" s="12"/>
      <c r="B300" s="358"/>
      <c r="C300" s="359"/>
      <c r="D300" s="359"/>
      <c r="E300" s="360"/>
      <c r="F300" s="524"/>
      <c r="G300" s="378"/>
      <c r="H300" s="362"/>
      <c r="I300" s="230"/>
      <c r="J300" s="230"/>
      <c r="K300" s="363"/>
      <c r="L300" s="364"/>
      <c r="M300" s="405"/>
      <c r="N300" s="366"/>
      <c r="O300" s="367"/>
      <c r="P300" s="368"/>
      <c r="Q300" s="363"/>
      <c r="R300" s="370"/>
      <c r="S300" s="370"/>
      <c r="T300" s="371"/>
      <c r="U300" s="372"/>
      <c r="V300" s="373"/>
      <c r="W300" s="383"/>
      <c r="X300" s="404"/>
      <c r="Y300" s="384"/>
      <c r="Z300" s="513"/>
      <c r="AA300" s="241"/>
      <c r="AB300" s="411"/>
      <c r="AC300" s="577"/>
      <c r="AD300" s="359"/>
      <c r="AE300" s="230"/>
      <c r="AF300" s="381"/>
      <c r="AG300" s="359"/>
      <c r="AH300" s="230"/>
      <c r="AI300" s="381"/>
      <c r="AJ300" s="359"/>
      <c r="AK300" s="230"/>
      <c r="AL300" s="381"/>
      <c r="AM300" s="359"/>
      <c r="AN300" s="230"/>
      <c r="AO300" s="381"/>
      <c r="AP300" s="359"/>
      <c r="AQ300" s="230"/>
      <c r="AR300" s="381"/>
      <c r="AS300" s="202"/>
    </row>
    <row r="301" spans="1:45" ht="28.5" customHeight="1">
      <c r="A301" s="12"/>
      <c r="B301" s="358" t="s">
        <v>2567</v>
      </c>
      <c r="C301" s="359">
        <v>8</v>
      </c>
      <c r="D301" s="359">
        <v>7</v>
      </c>
      <c r="E301" s="360" t="s">
        <v>1049</v>
      </c>
      <c r="F301" s="524"/>
      <c r="G301" s="361" t="s">
        <v>43</v>
      </c>
      <c r="H301" s="362">
        <v>33884276</v>
      </c>
      <c r="I301" s="230">
        <v>40828</v>
      </c>
      <c r="J301" s="230">
        <v>12</v>
      </c>
      <c r="K301" s="363" t="s">
        <v>1044</v>
      </c>
      <c r="L301" s="364" t="s">
        <v>1050</v>
      </c>
      <c r="M301" s="405" t="s">
        <v>1045</v>
      </c>
      <c r="N301" s="366" t="s">
        <v>1046</v>
      </c>
      <c r="O301" s="367">
        <v>14756232</v>
      </c>
      <c r="P301" s="368">
        <v>4142446182</v>
      </c>
      <c r="Q301" s="589" t="s">
        <v>1044</v>
      </c>
      <c r="R301" s="370" t="s">
        <v>947</v>
      </c>
      <c r="S301" s="370" t="s">
        <v>933</v>
      </c>
      <c r="T301" s="371" t="s">
        <v>1047</v>
      </c>
      <c r="U301" s="372"/>
      <c r="V301" s="373"/>
      <c r="W301" s="374"/>
      <c r="X301" s="404">
        <v>45408</v>
      </c>
      <c r="Y301" s="372"/>
      <c r="Z301" s="381"/>
      <c r="AA301" s="359"/>
      <c r="AB301" s="230"/>
      <c r="AC301" s="381"/>
      <c r="AD301" s="359"/>
      <c r="AE301" s="230"/>
      <c r="AF301" s="381"/>
      <c r="AG301" s="225"/>
      <c r="AH301" s="361"/>
      <c r="AI301" s="533"/>
      <c r="AJ301" s="225"/>
      <c r="AK301" s="361"/>
      <c r="AL301" s="533"/>
      <c r="AM301" s="225"/>
      <c r="AN301" s="361"/>
      <c r="AO301" s="533"/>
      <c r="AP301" s="225"/>
      <c r="AQ301" s="361"/>
      <c r="AR301" s="533"/>
      <c r="AS301" s="320"/>
    </row>
    <row r="302" spans="1:45" ht="13.5" hidden="1" customHeight="1">
      <c r="A302" s="12"/>
      <c r="B302" s="358"/>
      <c r="C302" s="359"/>
      <c r="D302" s="359"/>
      <c r="E302" s="360"/>
      <c r="F302" s="524"/>
      <c r="G302" s="378"/>
      <c r="H302" s="362"/>
      <c r="I302" s="230"/>
      <c r="J302" s="230"/>
      <c r="K302" s="368"/>
      <c r="L302" s="364"/>
      <c r="M302" s="405"/>
      <c r="N302" s="366"/>
      <c r="O302" s="367"/>
      <c r="P302" s="368"/>
      <c r="Q302" s="363"/>
      <c r="R302" s="370"/>
      <c r="S302" s="370"/>
      <c r="T302" s="371"/>
      <c r="U302" s="372"/>
      <c r="V302" s="373"/>
      <c r="W302" s="383"/>
      <c r="X302" s="404"/>
      <c r="Y302" s="372"/>
      <c r="Z302" s="381"/>
      <c r="AA302" s="359"/>
      <c r="AB302" s="230"/>
      <c r="AC302" s="381"/>
      <c r="AD302" s="359"/>
      <c r="AE302" s="230"/>
      <c r="AF302" s="381"/>
      <c r="AG302" s="241"/>
      <c r="AH302" s="411"/>
      <c r="AI302" s="577"/>
      <c r="AJ302" s="241"/>
      <c r="AK302" s="411"/>
      <c r="AL302" s="577"/>
      <c r="AM302" s="241"/>
      <c r="AN302" s="411"/>
      <c r="AO302" s="577"/>
      <c r="AP302" s="241"/>
      <c r="AQ302" s="411"/>
      <c r="AR302" s="577"/>
      <c r="AS302" s="202"/>
    </row>
    <row r="303" spans="1:45" ht="13.5" hidden="1" customHeight="1">
      <c r="A303" s="12"/>
      <c r="B303" s="358" t="s">
        <v>2567</v>
      </c>
      <c r="C303" s="359">
        <v>9</v>
      </c>
      <c r="D303" s="359">
        <v>149</v>
      </c>
      <c r="E303" s="360" t="s">
        <v>1052</v>
      </c>
      <c r="F303" s="524"/>
      <c r="G303" s="361" t="s">
        <v>43</v>
      </c>
      <c r="H303" s="362">
        <v>34428782</v>
      </c>
      <c r="I303" s="230">
        <v>41536</v>
      </c>
      <c r="J303" s="230">
        <v>10</v>
      </c>
      <c r="K303" s="363" t="s">
        <v>1053</v>
      </c>
      <c r="L303" s="364" t="s">
        <v>1054</v>
      </c>
      <c r="M303" s="365" t="s">
        <v>1055</v>
      </c>
      <c r="N303" s="366" t="s">
        <v>1056</v>
      </c>
      <c r="O303" s="367">
        <v>18782201</v>
      </c>
      <c r="P303" s="368">
        <v>4125399838</v>
      </c>
      <c r="Q303" s="369" t="s">
        <v>1053</v>
      </c>
      <c r="R303" s="370" t="s">
        <v>579</v>
      </c>
      <c r="S303" s="590" t="s">
        <v>1057</v>
      </c>
      <c r="T303" s="371"/>
      <c r="U303" s="372"/>
      <c r="V303" s="373"/>
      <c r="W303" s="374"/>
      <c r="X303" s="404">
        <v>45408</v>
      </c>
      <c r="Y303" s="372"/>
      <c r="Z303" s="381"/>
      <c r="AA303" s="225"/>
      <c r="AB303" s="361"/>
      <c r="AC303" s="533"/>
      <c r="AD303" s="225"/>
      <c r="AE303" s="361"/>
      <c r="AF303" s="533"/>
      <c r="AG303" s="225"/>
      <c r="AH303" s="361"/>
      <c r="AI303" s="533"/>
      <c r="AJ303" s="225"/>
      <c r="AK303" s="361"/>
      <c r="AL303" s="533"/>
      <c r="AM303" s="225"/>
      <c r="AN303" s="361"/>
      <c r="AO303" s="533"/>
      <c r="AP303" s="225"/>
      <c r="AQ303" s="361"/>
      <c r="AR303" s="533"/>
      <c r="AS303" s="320"/>
    </row>
    <row r="304" spans="1:45" ht="14.25" hidden="1" customHeight="1">
      <c r="A304" s="12"/>
      <c r="B304" s="358"/>
      <c r="C304" s="359"/>
      <c r="D304" s="359"/>
      <c r="E304" s="360"/>
      <c r="F304" s="524"/>
      <c r="G304" s="378"/>
      <c r="H304" s="230"/>
      <c r="I304" s="230"/>
      <c r="J304" s="230"/>
      <c r="K304" s="368"/>
      <c r="L304" s="364"/>
      <c r="M304" s="365"/>
      <c r="N304" s="366"/>
      <c r="O304" s="367"/>
      <c r="P304" s="368"/>
      <c r="Q304" s="382"/>
      <c r="R304" s="370"/>
      <c r="S304" s="590"/>
      <c r="T304" s="371"/>
      <c r="U304" s="372"/>
      <c r="V304" s="373"/>
      <c r="W304" s="383"/>
      <c r="X304" s="404"/>
      <c r="Y304" s="372"/>
      <c r="Z304" s="381"/>
      <c r="AA304" s="325"/>
      <c r="AB304" s="378"/>
      <c r="AC304" s="377"/>
      <c r="AD304" s="241"/>
      <c r="AE304" s="411"/>
      <c r="AF304" s="577"/>
      <c r="AG304" s="241"/>
      <c r="AH304" s="411"/>
      <c r="AI304" s="577"/>
      <c r="AJ304" s="241"/>
      <c r="AK304" s="411"/>
      <c r="AL304" s="577"/>
      <c r="AM304" s="241"/>
      <c r="AN304" s="411"/>
      <c r="AO304" s="577"/>
      <c r="AP304" s="241"/>
      <c r="AQ304" s="411"/>
      <c r="AR304" s="577"/>
      <c r="AS304" s="202"/>
    </row>
    <row r="305" spans="1:45" ht="28.5" customHeight="1">
      <c r="A305" s="12"/>
      <c r="B305" s="358" t="s">
        <v>2567</v>
      </c>
      <c r="C305" s="359">
        <v>10</v>
      </c>
      <c r="D305" s="359">
        <v>8</v>
      </c>
      <c r="E305" s="360" t="s">
        <v>1059</v>
      </c>
      <c r="F305" s="524"/>
      <c r="G305" s="361" t="s">
        <v>43</v>
      </c>
      <c r="H305" s="362">
        <v>31975111</v>
      </c>
      <c r="I305" s="230">
        <v>45416</v>
      </c>
      <c r="J305" s="230">
        <v>18</v>
      </c>
      <c r="K305" s="363"/>
      <c r="L305" s="364" t="s">
        <v>1060</v>
      </c>
      <c r="M305" s="365" t="s">
        <v>1061</v>
      </c>
      <c r="N305" s="366" t="s">
        <v>1062</v>
      </c>
      <c r="O305" s="367">
        <v>4577489</v>
      </c>
      <c r="P305" s="368">
        <v>4125844956</v>
      </c>
      <c r="Q305" s="587"/>
      <c r="R305" s="370" t="s">
        <v>1063</v>
      </c>
      <c r="S305" s="370" t="s">
        <v>1064</v>
      </c>
      <c r="T305" s="371" t="s">
        <v>664</v>
      </c>
      <c r="U305" s="372"/>
      <c r="V305" s="373"/>
      <c r="W305" s="374"/>
      <c r="X305" s="404">
        <v>45416</v>
      </c>
      <c r="Y305" s="372"/>
      <c r="Z305" s="381"/>
      <c r="AA305" s="225"/>
      <c r="AB305" s="361"/>
      <c r="AC305" s="533"/>
      <c r="AD305" s="225"/>
      <c r="AE305" s="361"/>
      <c r="AF305" s="533"/>
      <c r="AG305" s="225"/>
      <c r="AH305" s="361"/>
      <c r="AI305" s="533"/>
      <c r="AJ305" s="225"/>
      <c r="AK305" s="361"/>
      <c r="AL305" s="533"/>
      <c r="AM305" s="225"/>
      <c r="AN305" s="361"/>
      <c r="AO305" s="533"/>
      <c r="AP305" s="225"/>
      <c r="AQ305" s="361"/>
      <c r="AR305" s="533"/>
      <c r="AS305" s="320"/>
    </row>
    <row r="306" spans="1:45" ht="13.5" hidden="1" customHeight="1">
      <c r="A306" s="12"/>
      <c r="B306" s="358"/>
      <c r="C306" s="359"/>
      <c r="D306" s="359"/>
      <c r="E306" s="360"/>
      <c r="F306" s="524"/>
      <c r="G306" s="378"/>
      <c r="H306" s="362"/>
      <c r="I306" s="230"/>
      <c r="J306" s="230"/>
      <c r="K306" s="363"/>
      <c r="L306" s="364"/>
      <c r="M306" s="365"/>
      <c r="N306" s="366"/>
      <c r="O306" s="367"/>
      <c r="P306" s="368"/>
      <c r="Q306" s="369"/>
      <c r="R306" s="370"/>
      <c r="S306" s="370"/>
      <c r="T306" s="371"/>
      <c r="U306" s="372"/>
      <c r="V306" s="373"/>
      <c r="W306" s="383"/>
      <c r="X306" s="404"/>
      <c r="Y306" s="372"/>
      <c r="Z306" s="381"/>
      <c r="AA306" s="325"/>
      <c r="AB306" s="378"/>
      <c r="AC306" s="377"/>
      <c r="AD306" s="241"/>
      <c r="AE306" s="411"/>
      <c r="AF306" s="577"/>
      <c r="AG306" s="241"/>
      <c r="AH306" s="411"/>
      <c r="AI306" s="577"/>
      <c r="AJ306" s="241"/>
      <c r="AK306" s="411"/>
      <c r="AL306" s="577"/>
      <c r="AM306" s="241"/>
      <c r="AN306" s="411"/>
      <c r="AO306" s="577"/>
      <c r="AP306" s="241"/>
      <c r="AQ306" s="411"/>
      <c r="AR306" s="577"/>
      <c r="AS306" s="202"/>
    </row>
    <row r="307" spans="1:45" ht="28.5" customHeight="1">
      <c r="A307" s="539"/>
      <c r="B307" s="358" t="s">
        <v>2567</v>
      </c>
      <c r="C307" s="359">
        <v>11</v>
      </c>
      <c r="D307" s="359">
        <v>9</v>
      </c>
      <c r="E307" s="360" t="s">
        <v>1067</v>
      </c>
      <c r="F307" s="524"/>
      <c r="G307" s="361" t="s">
        <v>43</v>
      </c>
      <c r="H307" s="367">
        <v>32478951</v>
      </c>
      <c r="I307" s="230">
        <v>45439</v>
      </c>
      <c r="J307" s="368">
        <v>16</v>
      </c>
      <c r="K307" s="363" t="s">
        <v>1068</v>
      </c>
      <c r="L307" s="364" t="s">
        <v>1069</v>
      </c>
      <c r="M307" s="365" t="s">
        <v>1070</v>
      </c>
      <c r="N307" s="409" t="s">
        <v>1070</v>
      </c>
      <c r="O307" s="591">
        <v>18712446</v>
      </c>
      <c r="P307" s="454">
        <v>4242516590</v>
      </c>
      <c r="Q307" s="592" t="s">
        <v>1071</v>
      </c>
      <c r="R307" s="370" t="s">
        <v>1063</v>
      </c>
      <c r="S307" s="590" t="s">
        <v>939</v>
      </c>
      <c r="T307" s="371" t="s">
        <v>1010</v>
      </c>
      <c r="U307" s="372"/>
      <c r="V307" s="373"/>
      <c r="W307" s="374"/>
      <c r="X307" s="359">
        <v>45439</v>
      </c>
      <c r="Y307" s="372"/>
      <c r="Z307" s="381"/>
      <c r="AA307" s="225"/>
      <c r="AB307" s="361"/>
      <c r="AC307" s="533"/>
      <c r="AD307" s="225"/>
      <c r="AE307" s="361"/>
      <c r="AF307" s="533"/>
      <c r="AG307" s="225"/>
      <c r="AH307" s="361"/>
      <c r="AI307" s="533"/>
      <c r="AJ307" s="225"/>
      <c r="AK307" s="361"/>
      <c r="AL307" s="533"/>
      <c r="AM307" s="225"/>
      <c r="AN307" s="361"/>
      <c r="AO307" s="533"/>
      <c r="AP307" s="225"/>
      <c r="AQ307" s="361"/>
      <c r="AR307" s="533"/>
      <c r="AS307" s="593"/>
    </row>
    <row r="308" spans="1:45" ht="13.5" hidden="1" customHeight="1">
      <c r="A308" s="539"/>
      <c r="B308" s="358"/>
      <c r="C308" s="359"/>
      <c r="D308" s="359"/>
      <c r="E308" s="360"/>
      <c r="F308" s="524"/>
      <c r="G308" s="378"/>
      <c r="H308" s="367"/>
      <c r="I308" s="230"/>
      <c r="J308" s="368"/>
      <c r="K308" s="368"/>
      <c r="L308" s="364"/>
      <c r="M308" s="365"/>
      <c r="N308" s="425"/>
      <c r="O308" s="429"/>
      <c r="P308" s="429"/>
      <c r="Q308" s="430"/>
      <c r="R308" s="370"/>
      <c r="S308" s="590"/>
      <c r="T308" s="371"/>
      <c r="U308" s="372"/>
      <c r="V308" s="373"/>
      <c r="W308" s="398"/>
      <c r="X308" s="359"/>
      <c r="Y308" s="372"/>
      <c r="Z308" s="381"/>
      <c r="AA308" s="241"/>
      <c r="AB308" s="411"/>
      <c r="AC308" s="577"/>
      <c r="AD308" s="241"/>
      <c r="AE308" s="411"/>
      <c r="AF308" s="577"/>
      <c r="AG308" s="241"/>
      <c r="AH308" s="411"/>
      <c r="AI308" s="577"/>
      <c r="AJ308" s="241"/>
      <c r="AK308" s="411"/>
      <c r="AL308" s="577"/>
      <c r="AM308" s="241"/>
      <c r="AN308" s="411"/>
      <c r="AO308" s="577"/>
      <c r="AP308" s="241"/>
      <c r="AQ308" s="411"/>
      <c r="AR308" s="577"/>
      <c r="AS308" s="309"/>
    </row>
    <row r="309" spans="1:45" ht="28.5" customHeight="1">
      <c r="A309" s="12"/>
      <c r="B309" s="358" t="s">
        <v>2567</v>
      </c>
      <c r="C309" s="359">
        <v>12</v>
      </c>
      <c r="D309" s="359">
        <v>10</v>
      </c>
      <c r="E309" s="360" t="s">
        <v>1073</v>
      </c>
      <c r="F309" s="524"/>
      <c r="G309" s="361" t="s">
        <v>43</v>
      </c>
      <c r="H309" s="362">
        <v>32479068</v>
      </c>
      <c r="I309" s="230">
        <v>45416</v>
      </c>
      <c r="J309" s="230">
        <v>15</v>
      </c>
      <c r="K309" s="363"/>
      <c r="L309" s="364" t="s">
        <v>1074</v>
      </c>
      <c r="M309" s="452" t="s">
        <v>1075</v>
      </c>
      <c r="N309" s="409" t="s">
        <v>1076</v>
      </c>
      <c r="O309" s="453">
        <v>13726161</v>
      </c>
      <c r="P309" s="361">
        <v>4129608920</v>
      </c>
      <c r="Q309" s="592" t="s">
        <v>1077</v>
      </c>
      <c r="R309" s="420"/>
      <c r="S309" s="420"/>
      <c r="T309" s="421" t="s">
        <v>1010</v>
      </c>
      <c r="U309" s="372"/>
      <c r="V309" s="373"/>
      <c r="W309" s="374"/>
      <c r="X309" s="359">
        <v>45416</v>
      </c>
      <c r="Y309" s="372"/>
      <c r="Z309" s="381"/>
      <c r="AA309" s="225"/>
      <c r="AB309" s="361"/>
      <c r="AC309" s="533"/>
      <c r="AD309" s="225"/>
      <c r="AE309" s="361"/>
      <c r="AF309" s="533"/>
      <c r="AG309" s="225"/>
      <c r="AH309" s="361"/>
      <c r="AI309" s="533"/>
      <c r="AJ309" s="225"/>
      <c r="AK309" s="361"/>
      <c r="AL309" s="533"/>
      <c r="AM309" s="225"/>
      <c r="AN309" s="361"/>
      <c r="AO309" s="533"/>
      <c r="AP309" s="225"/>
      <c r="AQ309" s="361"/>
      <c r="AR309" s="533"/>
      <c r="AS309" s="320"/>
    </row>
    <row r="310" spans="1:45" ht="13.5" hidden="1" customHeight="1">
      <c r="A310" s="12"/>
      <c r="B310" s="358"/>
      <c r="C310" s="359"/>
      <c r="D310" s="359"/>
      <c r="E310" s="360"/>
      <c r="F310" s="524"/>
      <c r="G310" s="378"/>
      <c r="H310" s="362"/>
      <c r="I310" s="230"/>
      <c r="J310" s="230"/>
      <c r="K310" s="363"/>
      <c r="L310" s="364"/>
      <c r="M310" s="439"/>
      <c r="N310" s="425"/>
      <c r="O310" s="440"/>
      <c r="P310" s="378"/>
      <c r="Q310" s="442"/>
      <c r="R310" s="433"/>
      <c r="S310" s="433"/>
      <c r="T310" s="434"/>
      <c r="U310" s="372"/>
      <c r="V310" s="373"/>
      <c r="W310" s="398"/>
      <c r="X310" s="359"/>
      <c r="Y310" s="372"/>
      <c r="Z310" s="381"/>
      <c r="AA310" s="325"/>
      <c r="AB310" s="378"/>
      <c r="AC310" s="377"/>
      <c r="AD310" s="241"/>
      <c r="AE310" s="411"/>
      <c r="AF310" s="577"/>
      <c r="AG310" s="241"/>
      <c r="AH310" s="411"/>
      <c r="AI310" s="577"/>
      <c r="AJ310" s="241"/>
      <c r="AK310" s="411"/>
      <c r="AL310" s="577"/>
      <c r="AM310" s="241"/>
      <c r="AN310" s="411"/>
      <c r="AO310" s="577"/>
      <c r="AP310" s="241"/>
      <c r="AQ310" s="411"/>
      <c r="AR310" s="577"/>
      <c r="AS310" s="202"/>
    </row>
    <row r="311" spans="1:45" ht="28.5" customHeight="1">
      <c r="A311" s="12"/>
      <c r="B311" s="358" t="s">
        <v>2567</v>
      </c>
      <c r="C311" s="359">
        <v>13</v>
      </c>
      <c r="D311" s="359">
        <v>11</v>
      </c>
      <c r="E311" s="360" t="s">
        <v>1079</v>
      </c>
      <c r="F311" s="524"/>
      <c r="G311" s="361" t="s">
        <v>43</v>
      </c>
      <c r="H311" s="362">
        <v>33327919</v>
      </c>
      <c r="I311" s="230">
        <v>45416</v>
      </c>
      <c r="J311" s="230">
        <v>16</v>
      </c>
      <c r="K311" s="363" t="s">
        <v>1080</v>
      </c>
      <c r="L311" s="364" t="s">
        <v>1081</v>
      </c>
      <c r="M311" s="452" t="s">
        <v>1082</v>
      </c>
      <c r="N311" s="409" t="s">
        <v>1083</v>
      </c>
      <c r="O311" s="453">
        <v>14130636</v>
      </c>
      <c r="P311" s="454">
        <v>4126044539</v>
      </c>
      <c r="Q311" s="592" t="s">
        <v>1084</v>
      </c>
      <c r="R311" s="420" t="s">
        <v>657</v>
      </c>
      <c r="S311" s="420" t="s">
        <v>1057</v>
      </c>
      <c r="T311" s="421" t="s">
        <v>664</v>
      </c>
      <c r="U311" s="372"/>
      <c r="V311" s="373"/>
      <c r="W311" s="374"/>
      <c r="X311" s="359">
        <v>45416</v>
      </c>
      <c r="Y311" s="372"/>
      <c r="Z311" s="381"/>
      <c r="AA311" s="225"/>
      <c r="AB311" s="361"/>
      <c r="AC311" s="533"/>
      <c r="AD311" s="225"/>
      <c r="AE311" s="361"/>
      <c r="AF311" s="533"/>
      <c r="AG311" s="225"/>
      <c r="AH311" s="361"/>
      <c r="AI311" s="533"/>
      <c r="AJ311" s="225"/>
      <c r="AK311" s="361"/>
      <c r="AL311" s="533"/>
      <c r="AM311" s="225"/>
      <c r="AN311" s="361"/>
      <c r="AO311" s="533"/>
      <c r="AP311" s="225"/>
      <c r="AQ311" s="361"/>
      <c r="AR311" s="533"/>
      <c r="AS311" s="320"/>
    </row>
    <row r="312" spans="1:45" ht="13.5" hidden="1" customHeight="1">
      <c r="A312" s="12"/>
      <c r="B312" s="358"/>
      <c r="C312" s="359"/>
      <c r="D312" s="359"/>
      <c r="E312" s="360"/>
      <c r="F312" s="524"/>
      <c r="G312" s="378"/>
      <c r="H312" s="362"/>
      <c r="I312" s="230"/>
      <c r="J312" s="230"/>
      <c r="K312" s="363"/>
      <c r="L312" s="364"/>
      <c r="M312" s="439"/>
      <c r="N312" s="425"/>
      <c r="O312" s="440"/>
      <c r="P312" s="429"/>
      <c r="Q312" s="442"/>
      <c r="R312" s="433"/>
      <c r="S312" s="433"/>
      <c r="T312" s="434"/>
      <c r="U312" s="372"/>
      <c r="V312" s="373"/>
      <c r="W312" s="398"/>
      <c r="X312" s="359"/>
      <c r="Y312" s="372"/>
      <c r="Z312" s="381"/>
      <c r="AA312" s="325"/>
      <c r="AB312" s="378"/>
      <c r="AC312" s="377"/>
      <c r="AD312" s="241"/>
      <c r="AE312" s="411"/>
      <c r="AF312" s="577"/>
      <c r="AG312" s="241"/>
      <c r="AH312" s="411"/>
      <c r="AI312" s="577"/>
      <c r="AJ312" s="241"/>
      <c r="AK312" s="411"/>
      <c r="AL312" s="577"/>
      <c r="AM312" s="241"/>
      <c r="AN312" s="411"/>
      <c r="AO312" s="577"/>
      <c r="AP312" s="241"/>
      <c r="AQ312" s="411"/>
      <c r="AR312" s="577"/>
      <c r="AS312" s="202"/>
    </row>
    <row r="313" spans="1:45" ht="13.5" hidden="1" customHeight="1">
      <c r="A313" s="12"/>
      <c r="B313" s="358" t="s">
        <v>2567</v>
      </c>
      <c r="C313" s="359">
        <v>14</v>
      </c>
      <c r="D313" s="359">
        <v>154</v>
      </c>
      <c r="E313" s="360" t="s">
        <v>1086</v>
      </c>
      <c r="F313" s="524"/>
      <c r="G313" s="361" t="s">
        <v>278</v>
      </c>
      <c r="H313" s="362">
        <v>31374988</v>
      </c>
      <c r="I313" s="230"/>
      <c r="J313" s="230">
        <v>17</v>
      </c>
      <c r="K313" s="363" t="s">
        <v>1087</v>
      </c>
      <c r="L313" s="364" t="s">
        <v>1088</v>
      </c>
      <c r="M313" s="365" t="s">
        <v>1089</v>
      </c>
      <c r="N313" s="366" t="s">
        <v>1090</v>
      </c>
      <c r="O313" s="367">
        <v>13564678</v>
      </c>
      <c r="P313" s="368">
        <v>4142889514</v>
      </c>
      <c r="Q313" s="369" t="s">
        <v>1091</v>
      </c>
      <c r="R313" s="370" t="s">
        <v>1092</v>
      </c>
      <c r="S313" s="370" t="s">
        <v>1093</v>
      </c>
      <c r="T313" s="371"/>
      <c r="U313" s="372"/>
      <c r="V313" s="373"/>
      <c r="W313" s="374"/>
      <c r="X313" s="404"/>
      <c r="Y313" s="372"/>
      <c r="Z313" s="381"/>
      <c r="AA313" s="359"/>
      <c r="AB313" s="230"/>
      <c r="AC313" s="381"/>
      <c r="AD313" s="359"/>
      <c r="AE313" s="230"/>
      <c r="AF313" s="381"/>
      <c r="AG313" s="359"/>
      <c r="AH313" s="230"/>
      <c r="AI313" s="381"/>
      <c r="AJ313" s="359"/>
      <c r="AK313" s="230"/>
      <c r="AL313" s="381"/>
      <c r="AM313" s="359"/>
      <c r="AN313" s="230"/>
      <c r="AO313" s="381"/>
      <c r="AP313" s="359"/>
      <c r="AQ313" s="230"/>
      <c r="AR313" s="381"/>
      <c r="AS313" s="320"/>
    </row>
    <row r="314" spans="1:45" ht="13.5" hidden="1" customHeight="1">
      <c r="A314" s="12"/>
      <c r="B314" s="358"/>
      <c r="C314" s="359"/>
      <c r="D314" s="359"/>
      <c r="E314" s="360"/>
      <c r="F314" s="524"/>
      <c r="G314" s="378"/>
      <c r="H314" s="362"/>
      <c r="I314" s="230"/>
      <c r="J314" s="230"/>
      <c r="K314" s="363"/>
      <c r="L314" s="364"/>
      <c r="M314" s="365"/>
      <c r="N314" s="366"/>
      <c r="O314" s="367"/>
      <c r="P314" s="368"/>
      <c r="Q314" s="369"/>
      <c r="R314" s="370"/>
      <c r="S314" s="370"/>
      <c r="T314" s="371"/>
      <c r="U314" s="372"/>
      <c r="V314" s="373"/>
      <c r="W314" s="398"/>
      <c r="X314" s="404"/>
      <c r="Y314" s="372"/>
      <c r="Z314" s="381"/>
      <c r="AA314" s="359"/>
      <c r="AB314" s="230"/>
      <c r="AC314" s="381"/>
      <c r="AD314" s="359"/>
      <c r="AE314" s="230"/>
      <c r="AF314" s="381"/>
      <c r="AG314" s="359"/>
      <c r="AH314" s="230"/>
      <c r="AI314" s="381"/>
      <c r="AJ314" s="359"/>
      <c r="AK314" s="230"/>
      <c r="AL314" s="381"/>
      <c r="AM314" s="359"/>
      <c r="AN314" s="230"/>
      <c r="AO314" s="381"/>
      <c r="AP314" s="359"/>
      <c r="AQ314" s="230"/>
      <c r="AR314" s="381"/>
      <c r="AS314" s="202"/>
    </row>
    <row r="315" spans="1:45" ht="13.5" hidden="1" customHeight="1">
      <c r="A315" s="12"/>
      <c r="B315" s="358" t="s">
        <v>2567</v>
      </c>
      <c r="C315" s="359">
        <v>15</v>
      </c>
      <c r="D315" s="359">
        <v>155</v>
      </c>
      <c r="E315" s="360" t="s">
        <v>919</v>
      </c>
      <c r="F315" s="524"/>
      <c r="G315" s="361" t="s">
        <v>43</v>
      </c>
      <c r="H315" s="362">
        <v>16370194</v>
      </c>
      <c r="I315" s="230">
        <v>45404</v>
      </c>
      <c r="J315" s="230"/>
      <c r="K315" s="363" t="s">
        <v>916</v>
      </c>
      <c r="L315" s="364" t="s">
        <v>1095</v>
      </c>
      <c r="M315" s="365" t="s">
        <v>1096</v>
      </c>
      <c r="N315" s="366"/>
      <c r="O315" s="367"/>
      <c r="P315" s="368"/>
      <c r="Q315" s="369"/>
      <c r="R315" s="370" t="s">
        <v>1097</v>
      </c>
      <c r="S315" s="370" t="s">
        <v>939</v>
      </c>
      <c r="T315" s="371"/>
      <c r="U315" s="372"/>
      <c r="V315" s="373"/>
      <c r="W315" s="374"/>
      <c r="X315" s="404">
        <v>45404</v>
      </c>
      <c r="Y315" s="372"/>
      <c r="Z315" s="381"/>
      <c r="AA315" s="225"/>
      <c r="AB315" s="361"/>
      <c r="AC315" s="533"/>
      <c r="AD315" s="225"/>
      <c r="AE315" s="361"/>
      <c r="AF315" s="533"/>
      <c r="AG315" s="225"/>
      <c r="AH315" s="361"/>
      <c r="AI315" s="533"/>
      <c r="AJ315" s="225"/>
      <c r="AK315" s="361"/>
      <c r="AL315" s="533"/>
      <c r="AM315" s="225"/>
      <c r="AN315" s="361"/>
      <c r="AO315" s="533"/>
      <c r="AP315" s="225"/>
      <c r="AQ315" s="361"/>
      <c r="AR315" s="533"/>
      <c r="AS315" s="320"/>
    </row>
    <row r="316" spans="1:45" ht="13.5" hidden="1" customHeight="1">
      <c r="A316" s="12"/>
      <c r="B316" s="358"/>
      <c r="C316" s="359"/>
      <c r="D316" s="359"/>
      <c r="E316" s="360"/>
      <c r="F316" s="524"/>
      <c r="G316" s="378"/>
      <c r="H316" s="362"/>
      <c r="I316" s="230"/>
      <c r="J316" s="230"/>
      <c r="K316" s="363"/>
      <c r="L316" s="364"/>
      <c r="M316" s="365"/>
      <c r="N316" s="366"/>
      <c r="O316" s="367"/>
      <c r="P316" s="368"/>
      <c r="Q316" s="369"/>
      <c r="R316" s="370"/>
      <c r="S316" s="370"/>
      <c r="T316" s="371"/>
      <c r="U316" s="372"/>
      <c r="V316" s="373"/>
      <c r="W316" s="398"/>
      <c r="X316" s="404"/>
      <c r="Y316" s="372"/>
      <c r="Z316" s="381"/>
      <c r="AA316" s="325"/>
      <c r="AB316" s="378"/>
      <c r="AC316" s="377"/>
      <c r="AD316" s="241"/>
      <c r="AE316" s="411"/>
      <c r="AF316" s="577"/>
      <c r="AG316" s="241"/>
      <c r="AH316" s="411"/>
      <c r="AI316" s="577"/>
      <c r="AJ316" s="241"/>
      <c r="AK316" s="411"/>
      <c r="AL316" s="577"/>
      <c r="AM316" s="241"/>
      <c r="AN316" s="411"/>
      <c r="AO316" s="577"/>
      <c r="AP316" s="241"/>
      <c r="AQ316" s="411"/>
      <c r="AR316" s="577"/>
      <c r="AS316" s="202"/>
    </row>
    <row r="317" spans="1:45" ht="13.5" hidden="1" customHeight="1">
      <c r="A317" s="12"/>
      <c r="B317" s="358" t="s">
        <v>2567</v>
      </c>
      <c r="C317" s="359">
        <v>16</v>
      </c>
      <c r="D317" s="359">
        <v>156</v>
      </c>
      <c r="E317" s="360" t="s">
        <v>1099</v>
      </c>
      <c r="F317" s="524"/>
      <c r="G317" s="361" t="s">
        <v>43</v>
      </c>
      <c r="H317" s="362">
        <v>32503208</v>
      </c>
      <c r="I317" s="230">
        <v>45433</v>
      </c>
      <c r="J317" s="230">
        <v>16</v>
      </c>
      <c r="K317" s="363" t="s">
        <v>1100</v>
      </c>
      <c r="L317" s="364" t="s">
        <v>1101</v>
      </c>
      <c r="M317" s="365" t="s">
        <v>1102</v>
      </c>
      <c r="N317" s="366" t="s">
        <v>1103</v>
      </c>
      <c r="O317" s="367">
        <v>13641818</v>
      </c>
      <c r="P317" s="368">
        <v>4242719691</v>
      </c>
      <c r="Q317" s="594" t="s">
        <v>1100</v>
      </c>
      <c r="R317" s="370" t="s">
        <v>1063</v>
      </c>
      <c r="S317" s="370" t="s">
        <v>939</v>
      </c>
      <c r="T317" s="371"/>
      <c r="U317" s="372"/>
      <c r="V317" s="373"/>
      <c r="W317" s="374"/>
      <c r="X317" s="404">
        <v>45433</v>
      </c>
      <c r="Y317" s="372"/>
      <c r="Z317" s="381"/>
      <c r="AA317" s="225"/>
      <c r="AB317" s="361"/>
      <c r="AC317" s="533"/>
      <c r="AD317" s="225"/>
      <c r="AE317" s="361"/>
      <c r="AF317" s="533"/>
      <c r="AG317" s="225"/>
      <c r="AH317" s="361"/>
      <c r="AI317" s="533"/>
      <c r="AJ317" s="225"/>
      <c r="AK317" s="361"/>
      <c r="AL317" s="533"/>
      <c r="AM317" s="225"/>
      <c r="AN317" s="361"/>
      <c r="AO317" s="533"/>
      <c r="AP317" s="225"/>
      <c r="AQ317" s="361"/>
      <c r="AR317" s="533"/>
      <c r="AS317" s="320"/>
    </row>
    <row r="318" spans="1:45" ht="13.5" hidden="1" customHeight="1">
      <c r="A318" s="12"/>
      <c r="B318" s="358"/>
      <c r="C318" s="359"/>
      <c r="D318" s="359"/>
      <c r="E318" s="360"/>
      <c r="F318" s="524"/>
      <c r="G318" s="378"/>
      <c r="H318" s="362"/>
      <c r="I318" s="230"/>
      <c r="J318" s="230"/>
      <c r="K318" s="363"/>
      <c r="L318" s="364"/>
      <c r="M318" s="365"/>
      <c r="N318" s="366"/>
      <c r="O318" s="367"/>
      <c r="P318" s="368"/>
      <c r="Q318" s="358"/>
      <c r="R318" s="370"/>
      <c r="S318" s="370"/>
      <c r="T318" s="371"/>
      <c r="U318" s="372"/>
      <c r="V318" s="373"/>
      <c r="W318" s="398"/>
      <c r="X318" s="404"/>
      <c r="Y318" s="372"/>
      <c r="Z318" s="381"/>
      <c r="AA318" s="241"/>
      <c r="AB318" s="411"/>
      <c r="AC318" s="577"/>
      <c r="AD318" s="241"/>
      <c r="AE318" s="411"/>
      <c r="AF318" s="577"/>
      <c r="AG318" s="241"/>
      <c r="AH318" s="411"/>
      <c r="AI318" s="577"/>
      <c r="AJ318" s="241"/>
      <c r="AK318" s="411"/>
      <c r="AL318" s="577"/>
      <c r="AM318" s="241"/>
      <c r="AN318" s="411"/>
      <c r="AO318" s="577"/>
      <c r="AP318" s="241"/>
      <c r="AQ318" s="411"/>
      <c r="AR318" s="577"/>
      <c r="AS318" s="202"/>
    </row>
    <row r="319" spans="1:45" ht="13.5" hidden="1" customHeight="1">
      <c r="A319" s="12"/>
      <c r="B319" s="358" t="s">
        <v>2567</v>
      </c>
      <c r="C319" s="359">
        <v>17</v>
      </c>
      <c r="D319" s="359">
        <v>157</v>
      </c>
      <c r="E319" s="360" t="s">
        <v>1105</v>
      </c>
      <c r="F319" s="524"/>
      <c r="G319" s="390" t="s">
        <v>43</v>
      </c>
      <c r="H319" s="362"/>
      <c r="I319" s="230">
        <v>39484</v>
      </c>
      <c r="J319" s="230">
        <v>16</v>
      </c>
      <c r="K319" s="454"/>
      <c r="L319" s="364" t="s">
        <v>1106</v>
      </c>
      <c r="M319" s="365" t="s">
        <v>1107</v>
      </c>
      <c r="N319" s="366" t="s">
        <v>1108</v>
      </c>
      <c r="O319" s="367">
        <v>10280139</v>
      </c>
      <c r="P319" s="368">
        <v>414027185</v>
      </c>
      <c r="Q319" s="363" t="s">
        <v>1109</v>
      </c>
      <c r="R319" s="370" t="s">
        <v>657</v>
      </c>
      <c r="S319" s="370" t="s">
        <v>1110</v>
      </c>
      <c r="T319" s="371"/>
      <c r="U319" s="372"/>
      <c r="V319" s="373"/>
      <c r="W319" s="374"/>
      <c r="X319" s="404">
        <v>45433</v>
      </c>
      <c r="Y319" s="372"/>
      <c r="Z319" s="381"/>
      <c r="AA319" s="225"/>
      <c r="AB319" s="361"/>
      <c r="AC319" s="533"/>
      <c r="AD319" s="225"/>
      <c r="AE319" s="361"/>
      <c r="AF319" s="533"/>
      <c r="AG319" s="225"/>
      <c r="AH319" s="361"/>
      <c r="AI319" s="533"/>
      <c r="AJ319" s="225"/>
      <c r="AK319" s="361"/>
      <c r="AL319" s="533"/>
      <c r="AM319" s="225"/>
      <c r="AN319" s="361"/>
      <c r="AO319" s="533"/>
      <c r="AP319" s="225"/>
      <c r="AQ319" s="361"/>
      <c r="AR319" s="533"/>
      <c r="AS319" s="320"/>
    </row>
    <row r="320" spans="1:45" ht="13.5" hidden="1" customHeight="1">
      <c r="A320" s="12"/>
      <c r="B320" s="358"/>
      <c r="C320" s="359"/>
      <c r="D320" s="359"/>
      <c r="E320" s="360"/>
      <c r="F320" s="524"/>
      <c r="G320" s="396"/>
      <c r="H320" s="362"/>
      <c r="I320" s="230"/>
      <c r="J320" s="230"/>
      <c r="K320" s="429"/>
      <c r="L320" s="364"/>
      <c r="M320" s="365"/>
      <c r="N320" s="409"/>
      <c r="O320" s="453"/>
      <c r="P320" s="454"/>
      <c r="Q320" s="363"/>
      <c r="R320" s="370"/>
      <c r="S320" s="370"/>
      <c r="T320" s="371"/>
      <c r="U320" s="372"/>
      <c r="V320" s="373"/>
      <c r="W320" s="398"/>
      <c r="X320" s="404"/>
      <c r="Y320" s="372"/>
      <c r="Z320" s="381"/>
      <c r="AA320" s="241"/>
      <c r="AB320" s="411"/>
      <c r="AC320" s="577"/>
      <c r="AD320" s="241"/>
      <c r="AE320" s="411"/>
      <c r="AF320" s="577"/>
      <c r="AG320" s="241"/>
      <c r="AH320" s="411"/>
      <c r="AI320" s="577"/>
      <c r="AJ320" s="241"/>
      <c r="AK320" s="411"/>
      <c r="AL320" s="577"/>
      <c r="AM320" s="241"/>
      <c r="AN320" s="411"/>
      <c r="AO320" s="577"/>
      <c r="AP320" s="241"/>
      <c r="AQ320" s="411"/>
      <c r="AR320" s="577"/>
      <c r="AS320" s="202"/>
    </row>
    <row r="321" spans="1:45" ht="28.5" customHeight="1">
      <c r="A321" s="12"/>
      <c r="B321" s="358" t="s">
        <v>2567</v>
      </c>
      <c r="C321" s="359">
        <v>18</v>
      </c>
      <c r="D321" s="359">
        <v>12</v>
      </c>
      <c r="E321" s="360" t="s">
        <v>1112</v>
      </c>
      <c r="F321" s="524"/>
      <c r="G321" s="361" t="s">
        <v>43</v>
      </c>
      <c r="H321" s="362">
        <v>33329736</v>
      </c>
      <c r="I321" s="230">
        <v>45435</v>
      </c>
      <c r="J321" s="230">
        <v>13</v>
      </c>
      <c r="K321" s="363" t="s">
        <v>1113</v>
      </c>
      <c r="L321" s="364" t="s">
        <v>1114</v>
      </c>
      <c r="M321" s="519" t="s">
        <v>1115</v>
      </c>
      <c r="N321" s="243" t="s">
        <v>1116</v>
      </c>
      <c r="O321" s="253">
        <v>33329736</v>
      </c>
      <c r="P321" s="247">
        <v>4143664381</v>
      </c>
      <c r="Q321" s="595"/>
      <c r="R321" s="370" t="s">
        <v>1117</v>
      </c>
      <c r="S321" s="370" t="s">
        <v>1118</v>
      </c>
      <c r="T321" s="371" t="s">
        <v>664</v>
      </c>
      <c r="U321" s="372"/>
      <c r="V321" s="373"/>
      <c r="W321" s="374"/>
      <c r="X321" s="404">
        <v>45435</v>
      </c>
      <c r="Y321" s="372"/>
      <c r="Z321" s="381"/>
      <c r="AA321" s="359"/>
      <c r="AB321" s="230"/>
      <c r="AC321" s="381"/>
      <c r="AD321" s="359"/>
      <c r="AE321" s="230"/>
      <c r="AF321" s="381"/>
      <c r="AG321" s="225"/>
      <c r="AH321" s="361"/>
      <c r="AI321" s="533"/>
      <c r="AJ321" s="225"/>
      <c r="AK321" s="361"/>
      <c r="AL321" s="533"/>
      <c r="AM321" s="225"/>
      <c r="AN321" s="361"/>
      <c r="AO321" s="533"/>
      <c r="AP321" s="225"/>
      <c r="AQ321" s="361"/>
      <c r="AR321" s="533"/>
      <c r="AS321" s="320"/>
    </row>
    <row r="322" spans="1:45" ht="13.5" hidden="1" customHeight="1">
      <c r="A322" s="12"/>
      <c r="B322" s="358"/>
      <c r="C322" s="359"/>
      <c r="D322" s="359"/>
      <c r="E322" s="360"/>
      <c r="F322" s="524"/>
      <c r="G322" s="378"/>
      <c r="H322" s="362"/>
      <c r="I322" s="230"/>
      <c r="J322" s="230"/>
      <c r="K322" s="363"/>
      <c r="L322" s="364"/>
      <c r="M322" s="519"/>
      <c r="N322" s="243"/>
      <c r="O322" s="242"/>
      <c r="P322" s="247"/>
      <c r="Q322" s="596"/>
      <c r="R322" s="370"/>
      <c r="S322" s="370"/>
      <c r="T322" s="371"/>
      <c r="U322" s="372"/>
      <c r="V322" s="373"/>
      <c r="W322" s="398"/>
      <c r="X322" s="404"/>
      <c r="Y322" s="372"/>
      <c r="Z322" s="381"/>
      <c r="AA322" s="359"/>
      <c r="AB322" s="230"/>
      <c r="AC322" s="381"/>
      <c r="AD322" s="359"/>
      <c r="AE322" s="230"/>
      <c r="AF322" s="381"/>
      <c r="AG322" s="241"/>
      <c r="AH322" s="411"/>
      <c r="AI322" s="577"/>
      <c r="AJ322" s="241"/>
      <c r="AK322" s="411"/>
      <c r="AL322" s="577"/>
      <c r="AM322" s="241"/>
      <c r="AN322" s="411"/>
      <c r="AO322" s="577"/>
      <c r="AP322" s="241"/>
      <c r="AQ322" s="411"/>
      <c r="AR322" s="577"/>
      <c r="AS322" s="202"/>
    </row>
    <row r="323" spans="1:45" ht="28.5" customHeight="1">
      <c r="A323" s="12"/>
      <c r="B323" s="358" t="s">
        <v>2567</v>
      </c>
      <c r="C323" s="359">
        <v>19</v>
      </c>
      <c r="D323" s="359">
        <v>13</v>
      </c>
      <c r="E323" s="360" t="s">
        <v>1121</v>
      </c>
      <c r="F323" s="524"/>
      <c r="G323" s="361" t="s">
        <v>43</v>
      </c>
      <c r="H323" s="362">
        <v>32283430</v>
      </c>
      <c r="I323" s="230">
        <v>23</v>
      </c>
      <c r="J323" s="230">
        <v>16</v>
      </c>
      <c r="K323" s="363" t="s">
        <v>1122</v>
      </c>
      <c r="L323" s="364" t="s">
        <v>1123</v>
      </c>
      <c r="M323" s="365" t="s">
        <v>1124</v>
      </c>
      <c r="N323" s="425" t="s">
        <v>1125</v>
      </c>
      <c r="O323" s="440">
        <v>18023176</v>
      </c>
      <c r="P323" s="429">
        <v>4129930403</v>
      </c>
      <c r="Q323" s="587" t="s">
        <v>1126</v>
      </c>
      <c r="R323" s="370" t="s">
        <v>657</v>
      </c>
      <c r="S323" s="370" t="s">
        <v>1057</v>
      </c>
      <c r="T323" s="371" t="s">
        <v>664</v>
      </c>
      <c r="U323" s="372"/>
      <c r="V323" s="373"/>
      <c r="W323" s="374"/>
      <c r="X323" s="404"/>
      <c r="Y323" s="372"/>
      <c r="Z323" s="381"/>
      <c r="AA323" s="225"/>
      <c r="AB323" s="361"/>
      <c r="AC323" s="533"/>
      <c r="AD323" s="225"/>
      <c r="AE323" s="361"/>
      <c r="AF323" s="533"/>
      <c r="AG323" s="225"/>
      <c r="AH323" s="361"/>
      <c r="AI323" s="533"/>
      <c r="AJ323" s="225"/>
      <c r="AK323" s="361"/>
      <c r="AL323" s="533"/>
      <c r="AM323" s="225"/>
      <c r="AN323" s="361"/>
      <c r="AO323" s="533"/>
      <c r="AP323" s="225"/>
      <c r="AQ323" s="361"/>
      <c r="AR323" s="533"/>
      <c r="AS323" s="320"/>
    </row>
    <row r="324" spans="1:45" ht="13.5" hidden="1" customHeight="1">
      <c r="A324" s="12"/>
      <c r="B324" s="358"/>
      <c r="C324" s="359"/>
      <c r="D324" s="359"/>
      <c r="E324" s="360"/>
      <c r="F324" s="524"/>
      <c r="G324" s="378"/>
      <c r="H324" s="362"/>
      <c r="I324" s="230"/>
      <c r="J324" s="230"/>
      <c r="K324" s="363"/>
      <c r="L324" s="364"/>
      <c r="M324" s="365"/>
      <c r="N324" s="366"/>
      <c r="O324" s="367"/>
      <c r="P324" s="368"/>
      <c r="Q324" s="369"/>
      <c r="R324" s="370"/>
      <c r="S324" s="370"/>
      <c r="T324" s="371"/>
      <c r="U324" s="372"/>
      <c r="V324" s="373"/>
      <c r="W324" s="398"/>
      <c r="X324" s="404"/>
      <c r="Y324" s="372"/>
      <c r="Z324" s="381"/>
      <c r="AA324" s="241"/>
      <c r="AB324" s="411"/>
      <c r="AC324" s="577"/>
      <c r="AD324" s="241"/>
      <c r="AE324" s="411"/>
      <c r="AF324" s="577"/>
      <c r="AG324" s="241"/>
      <c r="AH324" s="411"/>
      <c r="AI324" s="577"/>
      <c r="AJ324" s="241"/>
      <c r="AK324" s="411"/>
      <c r="AL324" s="577"/>
      <c r="AM324" s="241"/>
      <c r="AN324" s="411"/>
      <c r="AO324" s="577"/>
      <c r="AP324" s="241"/>
      <c r="AQ324" s="411"/>
      <c r="AR324" s="577"/>
      <c r="AS324" s="202"/>
    </row>
    <row r="325" spans="1:45" ht="28.5" customHeight="1">
      <c r="A325" s="12"/>
      <c r="B325" s="358" t="s">
        <v>2567</v>
      </c>
      <c r="C325" s="359">
        <v>20</v>
      </c>
      <c r="D325" s="359">
        <v>14</v>
      </c>
      <c r="E325" s="360" t="s">
        <v>1128</v>
      </c>
      <c r="F325" s="524"/>
      <c r="G325" s="361" t="s">
        <v>43</v>
      </c>
      <c r="H325" s="362">
        <v>34321235</v>
      </c>
      <c r="I325" s="230">
        <v>45416</v>
      </c>
      <c r="J325" s="230">
        <v>16</v>
      </c>
      <c r="K325" s="597" t="s">
        <v>1129</v>
      </c>
      <c r="L325" s="364" t="s">
        <v>1130</v>
      </c>
      <c r="M325" s="365" t="s">
        <v>1131</v>
      </c>
      <c r="N325" s="366" t="s">
        <v>1132</v>
      </c>
      <c r="O325" s="367"/>
      <c r="P325" s="368">
        <v>4128283027</v>
      </c>
      <c r="Q325" s="587" t="s">
        <v>1133</v>
      </c>
      <c r="R325" s="370" t="s">
        <v>657</v>
      </c>
      <c r="S325" s="370" t="s">
        <v>1057</v>
      </c>
      <c r="T325" s="371" t="s">
        <v>664</v>
      </c>
      <c r="U325" s="372"/>
      <c r="V325" s="373"/>
      <c r="W325" s="374"/>
      <c r="X325" s="404">
        <v>45416</v>
      </c>
      <c r="Y325" s="372"/>
      <c r="Z325" s="381"/>
      <c r="AA325" s="225"/>
      <c r="AB325" s="361"/>
      <c r="AC325" s="533"/>
      <c r="AD325" s="225"/>
      <c r="AE325" s="361"/>
      <c r="AF325" s="533"/>
      <c r="AG325" s="225"/>
      <c r="AH325" s="361"/>
      <c r="AI325" s="533"/>
      <c r="AJ325" s="225"/>
      <c r="AK325" s="361"/>
      <c r="AL325" s="533"/>
      <c r="AM325" s="225"/>
      <c r="AN325" s="361"/>
      <c r="AO325" s="533"/>
      <c r="AP325" s="225"/>
      <c r="AQ325" s="361"/>
      <c r="AR325" s="533"/>
      <c r="AS325" s="320"/>
    </row>
    <row r="326" spans="1:45" ht="13.5" hidden="1" customHeight="1">
      <c r="A326" s="12"/>
      <c r="B326" s="358"/>
      <c r="C326" s="359"/>
      <c r="D326" s="359"/>
      <c r="E326" s="360"/>
      <c r="F326" s="524"/>
      <c r="G326" s="378"/>
      <c r="H326" s="362"/>
      <c r="I326" s="230"/>
      <c r="J326" s="230"/>
      <c r="K326" s="429"/>
      <c r="L326" s="364"/>
      <c r="M326" s="365"/>
      <c r="N326" s="366"/>
      <c r="O326" s="367"/>
      <c r="P326" s="368"/>
      <c r="Q326" s="369"/>
      <c r="R326" s="370"/>
      <c r="S326" s="370"/>
      <c r="T326" s="371"/>
      <c r="U326" s="372"/>
      <c r="V326" s="373"/>
      <c r="W326" s="398"/>
      <c r="X326" s="404"/>
      <c r="Y326" s="372"/>
      <c r="Z326" s="381"/>
      <c r="AA326" s="241"/>
      <c r="AB326" s="411"/>
      <c r="AC326" s="577"/>
      <c r="AD326" s="241"/>
      <c r="AE326" s="411"/>
      <c r="AF326" s="577"/>
      <c r="AG326" s="241"/>
      <c r="AH326" s="411"/>
      <c r="AI326" s="577"/>
      <c r="AJ326" s="241"/>
      <c r="AK326" s="411"/>
      <c r="AL326" s="577"/>
      <c r="AM326" s="241"/>
      <c r="AN326" s="411"/>
      <c r="AO326" s="577"/>
      <c r="AP326" s="241"/>
      <c r="AQ326" s="411"/>
      <c r="AR326" s="577"/>
      <c r="AS326" s="202"/>
    </row>
    <row r="327" spans="1:45" ht="28.5" customHeight="1">
      <c r="A327" s="12"/>
      <c r="B327" s="358" t="s">
        <v>2568</v>
      </c>
      <c r="C327" s="359">
        <v>1</v>
      </c>
      <c r="D327" s="359">
        <v>15</v>
      </c>
      <c r="E327" s="360" t="s">
        <v>1137</v>
      </c>
      <c r="F327" s="524"/>
      <c r="G327" s="361" t="s">
        <v>43</v>
      </c>
      <c r="H327" s="362">
        <v>32723474</v>
      </c>
      <c r="I327" s="230">
        <v>45435</v>
      </c>
      <c r="J327" s="230">
        <v>16</v>
      </c>
      <c r="K327" s="363" t="s">
        <v>1138</v>
      </c>
      <c r="L327" s="364" t="s">
        <v>1139</v>
      </c>
      <c r="M327" s="365" t="s">
        <v>1140</v>
      </c>
      <c r="N327" s="366" t="s">
        <v>1141</v>
      </c>
      <c r="O327" s="367">
        <v>11035568</v>
      </c>
      <c r="P327" s="368">
        <v>4141298113</v>
      </c>
      <c r="Q327" s="587" t="s">
        <v>1142</v>
      </c>
      <c r="R327" s="370" t="s">
        <v>1063</v>
      </c>
      <c r="S327" s="370" t="s">
        <v>1143</v>
      </c>
      <c r="T327" s="371" t="s">
        <v>1010</v>
      </c>
      <c r="U327" s="372"/>
      <c r="V327" s="373"/>
      <c r="W327" s="374"/>
      <c r="X327" s="404">
        <v>45435</v>
      </c>
      <c r="Y327" s="372"/>
      <c r="Z327" s="381"/>
      <c r="AA327" s="359"/>
      <c r="AB327" s="230"/>
      <c r="AC327" s="381"/>
      <c r="AD327" s="359"/>
      <c r="AE327" s="230"/>
      <c r="AF327" s="381"/>
      <c r="AG327" s="359"/>
      <c r="AH327" s="230"/>
      <c r="AI327" s="381"/>
      <c r="AJ327" s="359"/>
      <c r="AK327" s="230"/>
      <c r="AL327" s="381"/>
      <c r="AM327" s="359"/>
      <c r="AN327" s="230"/>
      <c r="AO327" s="381"/>
      <c r="AP327" s="359"/>
      <c r="AQ327" s="230"/>
      <c r="AR327" s="381"/>
      <c r="AS327" s="320"/>
    </row>
    <row r="328" spans="1:45" ht="15.75" hidden="1" customHeight="1">
      <c r="A328" s="12"/>
      <c r="B328" s="358"/>
      <c r="C328" s="359"/>
      <c r="D328" s="359"/>
      <c r="E328" s="360"/>
      <c r="F328" s="524"/>
      <c r="G328" s="378"/>
      <c r="H328" s="362"/>
      <c r="I328" s="230"/>
      <c r="J328" s="230"/>
      <c r="K328" s="363"/>
      <c r="L328" s="364"/>
      <c r="M328" s="365"/>
      <c r="N328" s="366"/>
      <c r="O328" s="367"/>
      <c r="P328" s="368"/>
      <c r="Q328" s="369"/>
      <c r="R328" s="370"/>
      <c r="S328" s="370"/>
      <c r="T328" s="371"/>
      <c r="U328" s="372"/>
      <c r="V328" s="373"/>
      <c r="W328" s="398"/>
      <c r="X328" s="404"/>
      <c r="Y328" s="372"/>
      <c r="Z328" s="381"/>
      <c r="AA328" s="359"/>
      <c r="AB328" s="230"/>
      <c r="AC328" s="381"/>
      <c r="AD328" s="359"/>
      <c r="AE328" s="230"/>
      <c r="AF328" s="381"/>
      <c r="AG328" s="359"/>
      <c r="AH328" s="230"/>
      <c r="AI328" s="381"/>
      <c r="AJ328" s="359"/>
      <c r="AK328" s="230"/>
      <c r="AL328" s="381"/>
      <c r="AM328" s="359"/>
      <c r="AN328" s="230"/>
      <c r="AO328" s="381"/>
      <c r="AP328" s="359"/>
      <c r="AQ328" s="230"/>
      <c r="AR328" s="381"/>
      <c r="AS328" s="202"/>
    </row>
    <row r="329" spans="1:45" ht="28.5" customHeight="1">
      <c r="A329" s="12"/>
      <c r="B329" s="358" t="s">
        <v>2568</v>
      </c>
      <c r="C329" s="359">
        <v>2</v>
      </c>
      <c r="D329" s="359">
        <v>16</v>
      </c>
      <c r="E329" s="360" t="s">
        <v>1145</v>
      </c>
      <c r="F329" s="524"/>
      <c r="G329" s="361" t="s">
        <v>278</v>
      </c>
      <c r="H329" s="362">
        <v>32301530</v>
      </c>
      <c r="I329" s="230">
        <v>45423</v>
      </c>
      <c r="J329" s="230">
        <v>16</v>
      </c>
      <c r="K329" s="363"/>
      <c r="L329" s="364" t="s">
        <v>1146</v>
      </c>
      <c r="M329" s="365" t="s">
        <v>1147</v>
      </c>
      <c r="N329" s="366" t="s">
        <v>1148</v>
      </c>
      <c r="O329" s="367">
        <v>13231434</v>
      </c>
      <c r="P329" s="368">
        <v>4142730693</v>
      </c>
      <c r="Q329" s="587" t="s">
        <v>1149</v>
      </c>
      <c r="R329" s="370" t="s">
        <v>1150</v>
      </c>
      <c r="S329" s="370"/>
      <c r="T329" s="371" t="s">
        <v>1010</v>
      </c>
      <c r="U329" s="372"/>
      <c r="V329" s="373"/>
      <c r="W329" s="374"/>
      <c r="X329" s="404">
        <v>45423</v>
      </c>
      <c r="Y329" s="372"/>
      <c r="Z329" s="381"/>
      <c r="AA329" s="359"/>
      <c r="AB329" s="230"/>
      <c r="AC329" s="381"/>
      <c r="AD329" s="225"/>
      <c r="AE329" s="361"/>
      <c r="AF329" s="533"/>
      <c r="AG329" s="225"/>
      <c r="AH329" s="361"/>
      <c r="AI329" s="533"/>
      <c r="AJ329" s="225"/>
      <c r="AK329" s="361"/>
      <c r="AL329" s="533"/>
      <c r="AM329" s="225"/>
      <c r="AN329" s="361"/>
      <c r="AO329" s="533"/>
      <c r="AP329" s="225"/>
      <c r="AQ329" s="361"/>
      <c r="AR329" s="533"/>
      <c r="AS329" s="320"/>
    </row>
    <row r="330" spans="1:45" ht="13.5" hidden="1" customHeight="1">
      <c r="A330" s="12"/>
      <c r="B330" s="358"/>
      <c r="C330" s="359"/>
      <c r="D330" s="359"/>
      <c r="E330" s="360"/>
      <c r="F330" s="524"/>
      <c r="G330" s="378"/>
      <c r="H330" s="362"/>
      <c r="I330" s="230"/>
      <c r="J330" s="230"/>
      <c r="K330" s="363"/>
      <c r="L330" s="364"/>
      <c r="M330" s="365"/>
      <c r="N330" s="366"/>
      <c r="O330" s="367"/>
      <c r="P330" s="368"/>
      <c r="Q330" s="369"/>
      <c r="R330" s="370"/>
      <c r="S330" s="370"/>
      <c r="T330" s="371"/>
      <c r="U330" s="372"/>
      <c r="V330" s="373"/>
      <c r="W330" s="398"/>
      <c r="X330" s="404"/>
      <c r="Y330" s="372"/>
      <c r="Z330" s="381"/>
      <c r="AA330" s="359"/>
      <c r="AB330" s="230"/>
      <c r="AC330" s="381"/>
      <c r="AD330" s="241"/>
      <c r="AE330" s="411"/>
      <c r="AF330" s="577"/>
      <c r="AG330" s="241"/>
      <c r="AH330" s="411"/>
      <c r="AI330" s="577"/>
      <c r="AJ330" s="241"/>
      <c r="AK330" s="411"/>
      <c r="AL330" s="577"/>
      <c r="AM330" s="241"/>
      <c r="AN330" s="411"/>
      <c r="AO330" s="577"/>
      <c r="AP330" s="241"/>
      <c r="AQ330" s="411"/>
      <c r="AR330" s="577"/>
      <c r="AS330" s="202"/>
    </row>
    <row r="331" spans="1:45" ht="13.5" hidden="1" customHeight="1">
      <c r="A331" s="12"/>
      <c r="B331" s="358" t="s">
        <v>2568</v>
      </c>
      <c r="C331" s="359">
        <v>3</v>
      </c>
      <c r="D331" s="359">
        <v>163</v>
      </c>
      <c r="E331" s="360" t="s">
        <v>1152</v>
      </c>
      <c r="F331" s="524"/>
      <c r="G331" s="361" t="s">
        <v>43</v>
      </c>
      <c r="H331" s="362">
        <v>32267110</v>
      </c>
      <c r="I331" s="230">
        <v>45423</v>
      </c>
      <c r="J331" s="230">
        <v>16</v>
      </c>
      <c r="K331" s="363" t="s">
        <v>1153</v>
      </c>
      <c r="L331" s="364" t="s">
        <v>1154</v>
      </c>
      <c r="M331" s="365" t="s">
        <v>1155</v>
      </c>
      <c r="N331" s="366" t="s">
        <v>1156</v>
      </c>
      <c r="O331" s="367">
        <v>16591955</v>
      </c>
      <c r="P331" s="368">
        <v>4142004302</v>
      </c>
      <c r="Q331" s="369" t="s">
        <v>1153</v>
      </c>
      <c r="R331" s="370" t="s">
        <v>1157</v>
      </c>
      <c r="S331" s="370"/>
      <c r="T331" s="371"/>
      <c r="U331" s="372"/>
      <c r="V331" s="373"/>
      <c r="W331" s="374"/>
      <c r="X331" s="404">
        <v>45423</v>
      </c>
      <c r="Y331" s="372"/>
      <c r="Z331" s="381"/>
      <c r="AA331" s="359"/>
      <c r="AB331" s="230"/>
      <c r="AC331" s="381"/>
      <c r="AD331" s="225"/>
      <c r="AE331" s="361"/>
      <c r="AF331" s="533"/>
      <c r="AG331" s="225"/>
      <c r="AH331" s="361"/>
      <c r="AI331" s="533"/>
      <c r="AJ331" s="225"/>
      <c r="AK331" s="361"/>
      <c r="AL331" s="533"/>
      <c r="AM331" s="225"/>
      <c r="AN331" s="361"/>
      <c r="AO331" s="533"/>
      <c r="AP331" s="225"/>
      <c r="AQ331" s="361"/>
      <c r="AR331" s="533"/>
      <c r="AS331" s="320"/>
    </row>
    <row r="332" spans="1:45" ht="13.5" hidden="1" customHeight="1">
      <c r="A332" s="12"/>
      <c r="B332" s="358"/>
      <c r="C332" s="359"/>
      <c r="D332" s="359"/>
      <c r="E332" s="360"/>
      <c r="F332" s="524"/>
      <c r="G332" s="378"/>
      <c r="H332" s="362"/>
      <c r="I332" s="230"/>
      <c r="J332" s="230"/>
      <c r="K332" s="363"/>
      <c r="L332" s="364"/>
      <c r="M332" s="365"/>
      <c r="N332" s="366"/>
      <c r="O332" s="367"/>
      <c r="P332" s="368"/>
      <c r="Q332" s="369"/>
      <c r="R332" s="370"/>
      <c r="S332" s="370"/>
      <c r="T332" s="371"/>
      <c r="U332" s="372"/>
      <c r="V332" s="373"/>
      <c r="W332" s="398"/>
      <c r="X332" s="404"/>
      <c r="Y332" s="372"/>
      <c r="Z332" s="381"/>
      <c r="AA332" s="359"/>
      <c r="AB332" s="230"/>
      <c r="AC332" s="381"/>
      <c r="AD332" s="241"/>
      <c r="AE332" s="411"/>
      <c r="AF332" s="577"/>
      <c r="AG332" s="241"/>
      <c r="AH332" s="411"/>
      <c r="AI332" s="577"/>
      <c r="AJ332" s="241"/>
      <c r="AK332" s="411"/>
      <c r="AL332" s="577"/>
      <c r="AM332" s="241"/>
      <c r="AN332" s="411"/>
      <c r="AO332" s="577"/>
      <c r="AP332" s="241"/>
      <c r="AQ332" s="411"/>
      <c r="AR332" s="577"/>
      <c r="AS332" s="202"/>
    </row>
    <row r="333" spans="1:45" ht="28.5" customHeight="1">
      <c r="A333" s="12"/>
      <c r="B333" s="358" t="s">
        <v>2568</v>
      </c>
      <c r="C333" s="359">
        <v>4</v>
      </c>
      <c r="D333" s="359">
        <v>17</v>
      </c>
      <c r="E333" s="360" t="s">
        <v>1159</v>
      </c>
      <c r="F333" s="524"/>
      <c r="G333" s="361" t="s">
        <v>43</v>
      </c>
      <c r="H333" s="362">
        <v>32922986</v>
      </c>
      <c r="I333" s="230">
        <v>45411</v>
      </c>
      <c r="J333" s="230">
        <v>16</v>
      </c>
      <c r="K333" s="363" t="s">
        <v>1160</v>
      </c>
      <c r="L333" s="364" t="s">
        <v>1161</v>
      </c>
      <c r="M333" s="365" t="s">
        <v>1162</v>
      </c>
      <c r="N333" s="598" t="s">
        <v>1163</v>
      </c>
      <c r="O333" s="367">
        <v>13861439</v>
      </c>
      <c r="P333" s="368">
        <v>4123706087</v>
      </c>
      <c r="Q333" s="587" t="s">
        <v>1164</v>
      </c>
      <c r="R333" s="370" t="s">
        <v>1063</v>
      </c>
      <c r="S333" s="370" t="s">
        <v>1143</v>
      </c>
      <c r="T333" s="371" t="s">
        <v>664</v>
      </c>
      <c r="U333" s="372"/>
      <c r="V333" s="373"/>
      <c r="W333" s="374"/>
      <c r="X333" s="404">
        <v>45423</v>
      </c>
      <c r="Y333" s="372"/>
      <c r="Z333" s="381"/>
      <c r="AA333" s="359"/>
      <c r="AB333" s="230"/>
      <c r="AC333" s="381"/>
      <c r="AD333" s="225"/>
      <c r="AE333" s="361"/>
      <c r="AF333" s="533"/>
      <c r="AG333" s="225"/>
      <c r="AH333" s="361"/>
      <c r="AI333" s="533"/>
      <c r="AJ333" s="225"/>
      <c r="AK333" s="361"/>
      <c r="AL333" s="533"/>
      <c r="AM333" s="225"/>
      <c r="AN333" s="361"/>
      <c r="AO333" s="533"/>
      <c r="AP333" s="225"/>
      <c r="AQ333" s="361"/>
      <c r="AR333" s="533"/>
      <c r="AS333" s="320"/>
    </row>
    <row r="334" spans="1:45" ht="13.5" hidden="1" customHeight="1">
      <c r="A334" s="12"/>
      <c r="B334" s="358"/>
      <c r="C334" s="359"/>
      <c r="D334" s="359"/>
      <c r="E334" s="360"/>
      <c r="F334" s="524"/>
      <c r="G334" s="378"/>
      <c r="H334" s="362"/>
      <c r="I334" s="230"/>
      <c r="J334" s="230"/>
      <c r="K334" s="363"/>
      <c r="L334" s="364"/>
      <c r="M334" s="452"/>
      <c r="N334" s="409"/>
      <c r="O334" s="453"/>
      <c r="P334" s="454"/>
      <c r="Q334" s="504"/>
      <c r="R334" s="420"/>
      <c r="S334" s="420"/>
      <c r="T334" s="421"/>
      <c r="U334" s="372"/>
      <c r="V334" s="373"/>
      <c r="W334" s="398"/>
      <c r="X334" s="404"/>
      <c r="Y334" s="372"/>
      <c r="Z334" s="381"/>
      <c r="AA334" s="359"/>
      <c r="AB334" s="230"/>
      <c r="AC334" s="381"/>
      <c r="AD334" s="241"/>
      <c r="AE334" s="411"/>
      <c r="AF334" s="577"/>
      <c r="AG334" s="241"/>
      <c r="AH334" s="411"/>
      <c r="AI334" s="577"/>
      <c r="AJ334" s="241"/>
      <c r="AK334" s="411"/>
      <c r="AL334" s="577"/>
      <c r="AM334" s="241"/>
      <c r="AN334" s="411"/>
      <c r="AO334" s="577"/>
      <c r="AP334" s="241"/>
      <c r="AQ334" s="411"/>
      <c r="AR334" s="577"/>
      <c r="AS334" s="202"/>
    </row>
    <row r="335" spans="1:45" ht="13.5" hidden="1" customHeight="1">
      <c r="A335" s="12"/>
      <c r="B335" s="358" t="s">
        <v>2568</v>
      </c>
      <c r="C335" s="359">
        <v>5</v>
      </c>
      <c r="D335" s="359">
        <v>165</v>
      </c>
      <c r="E335" s="360" t="s">
        <v>1166</v>
      </c>
      <c r="F335" s="524"/>
      <c r="G335" s="361" t="s">
        <v>43</v>
      </c>
      <c r="H335" s="362"/>
      <c r="I335" s="230">
        <v>45402</v>
      </c>
      <c r="J335" s="230">
        <v>13</v>
      </c>
      <c r="K335" s="363" t="s">
        <v>1167</v>
      </c>
      <c r="L335" s="502" t="s">
        <v>1168</v>
      </c>
      <c r="M335" s="245" t="s">
        <v>1169</v>
      </c>
      <c r="N335" s="243" t="s">
        <v>1170</v>
      </c>
      <c r="O335" s="246">
        <v>15315972</v>
      </c>
      <c r="P335" s="247">
        <v>4242070544</v>
      </c>
      <c r="Q335" s="254" t="s">
        <v>1171</v>
      </c>
      <c r="R335" s="248" t="s">
        <v>1063</v>
      </c>
      <c r="S335" s="248" t="s">
        <v>1172</v>
      </c>
      <c r="T335" s="248"/>
      <c r="U335" s="599"/>
      <c r="V335" s="456"/>
      <c r="W335" s="374"/>
      <c r="X335" s="404">
        <v>45394</v>
      </c>
      <c r="Y335" s="372"/>
      <c r="Z335" s="381"/>
      <c r="AA335" s="359"/>
      <c r="AB335" s="230"/>
      <c r="AC335" s="381"/>
      <c r="AD335" s="225"/>
      <c r="AE335" s="361"/>
      <c r="AF335" s="533"/>
      <c r="AG335" s="225"/>
      <c r="AH335" s="361"/>
      <c r="AI335" s="533"/>
      <c r="AJ335" s="225"/>
      <c r="AK335" s="361"/>
      <c r="AL335" s="533"/>
      <c r="AM335" s="225"/>
      <c r="AN335" s="361"/>
      <c r="AO335" s="533"/>
      <c r="AP335" s="225"/>
      <c r="AQ335" s="361"/>
      <c r="AR335" s="533"/>
      <c r="AS335" s="320"/>
    </row>
    <row r="336" spans="1:45" ht="13.5" hidden="1" customHeight="1">
      <c r="A336" s="12"/>
      <c r="B336" s="358"/>
      <c r="C336" s="359"/>
      <c r="D336" s="359"/>
      <c r="E336" s="360"/>
      <c r="F336" s="524"/>
      <c r="G336" s="378"/>
      <c r="H336" s="362"/>
      <c r="I336" s="230"/>
      <c r="J336" s="230"/>
      <c r="K336" s="363"/>
      <c r="L336" s="502"/>
      <c r="M336" s="245"/>
      <c r="N336" s="243"/>
      <c r="O336" s="246"/>
      <c r="P336" s="247"/>
      <c r="Q336" s="254"/>
      <c r="R336" s="248"/>
      <c r="S336" s="248"/>
      <c r="T336" s="248"/>
      <c r="U336" s="600"/>
      <c r="V336" s="601"/>
      <c r="W336" s="398"/>
      <c r="X336" s="404"/>
      <c r="Y336" s="372"/>
      <c r="Z336" s="381"/>
      <c r="AA336" s="359"/>
      <c r="AB336" s="230"/>
      <c r="AC336" s="381"/>
      <c r="AD336" s="241"/>
      <c r="AE336" s="411"/>
      <c r="AF336" s="577"/>
      <c r="AG336" s="241"/>
      <c r="AH336" s="411"/>
      <c r="AI336" s="577"/>
      <c r="AJ336" s="241"/>
      <c r="AK336" s="411"/>
      <c r="AL336" s="577"/>
      <c r="AM336" s="241"/>
      <c r="AN336" s="411"/>
      <c r="AO336" s="577"/>
      <c r="AP336" s="241"/>
      <c r="AQ336" s="411"/>
      <c r="AR336" s="577"/>
      <c r="AS336" s="202"/>
    </row>
    <row r="337" spans="1:45" ht="13.5" hidden="1" customHeight="1">
      <c r="A337" s="12"/>
      <c r="B337" s="358" t="s">
        <v>2568</v>
      </c>
      <c r="C337" s="359">
        <v>6</v>
      </c>
      <c r="D337" s="359">
        <v>166</v>
      </c>
      <c r="E337" s="360" t="s">
        <v>1174</v>
      </c>
      <c r="F337" s="524"/>
      <c r="G337" s="361" t="s">
        <v>1175</v>
      </c>
      <c r="H337" s="362"/>
      <c r="I337" s="230">
        <v>45485</v>
      </c>
      <c r="J337" s="230">
        <v>25</v>
      </c>
      <c r="K337" s="363" t="s">
        <v>1176</v>
      </c>
      <c r="L337" s="502"/>
      <c r="M337" s="245" t="s">
        <v>1177</v>
      </c>
      <c r="N337" s="243"/>
      <c r="O337" s="246"/>
      <c r="P337" s="247"/>
      <c r="Q337" s="254"/>
      <c r="R337" s="248" t="s">
        <v>1178</v>
      </c>
      <c r="S337" s="248" t="s">
        <v>1178</v>
      </c>
      <c r="T337" s="248"/>
      <c r="U337" s="600"/>
      <c r="V337" s="601"/>
      <c r="W337" s="374"/>
      <c r="X337" s="404">
        <v>45393</v>
      </c>
      <c r="Y337" s="372"/>
      <c r="Z337" s="381"/>
      <c r="AA337" s="359"/>
      <c r="AB337" s="230"/>
      <c r="AC337" s="381"/>
      <c r="AD337" s="225"/>
      <c r="AE337" s="361"/>
      <c r="AF337" s="533"/>
      <c r="AG337" s="225"/>
      <c r="AH337" s="361"/>
      <c r="AI337" s="533"/>
      <c r="AJ337" s="225"/>
      <c r="AK337" s="361"/>
      <c r="AL337" s="533"/>
      <c r="AM337" s="225"/>
      <c r="AN337" s="361"/>
      <c r="AO337" s="533"/>
      <c r="AP337" s="225"/>
      <c r="AQ337" s="361"/>
      <c r="AR337" s="533"/>
      <c r="AS337" s="320"/>
    </row>
    <row r="338" spans="1:45" ht="13.5" hidden="1" customHeight="1">
      <c r="A338" s="12"/>
      <c r="B338" s="358"/>
      <c r="C338" s="359"/>
      <c r="D338" s="359"/>
      <c r="E338" s="360"/>
      <c r="F338" s="524"/>
      <c r="G338" s="378"/>
      <c r="H338" s="362"/>
      <c r="I338" s="230"/>
      <c r="J338" s="230"/>
      <c r="K338" s="363"/>
      <c r="L338" s="502"/>
      <c r="M338" s="245"/>
      <c r="N338" s="243"/>
      <c r="O338" s="246"/>
      <c r="P338" s="247"/>
      <c r="Q338" s="254"/>
      <c r="R338" s="248"/>
      <c r="S338" s="248"/>
      <c r="T338" s="248"/>
      <c r="U338" s="602"/>
      <c r="V338" s="603"/>
      <c r="W338" s="398"/>
      <c r="X338" s="404"/>
      <c r="Y338" s="372"/>
      <c r="Z338" s="381"/>
      <c r="AA338" s="359"/>
      <c r="AB338" s="230"/>
      <c r="AC338" s="381"/>
      <c r="AD338" s="241"/>
      <c r="AE338" s="411"/>
      <c r="AF338" s="577"/>
      <c r="AG338" s="241"/>
      <c r="AH338" s="411"/>
      <c r="AI338" s="577"/>
      <c r="AJ338" s="241"/>
      <c r="AK338" s="411"/>
      <c r="AL338" s="577"/>
      <c r="AM338" s="241"/>
      <c r="AN338" s="411"/>
      <c r="AO338" s="577"/>
      <c r="AP338" s="241"/>
      <c r="AQ338" s="411"/>
      <c r="AR338" s="577"/>
      <c r="AS338" s="202"/>
    </row>
    <row r="339" spans="1:45" ht="13.5" hidden="1" customHeight="1">
      <c r="A339" s="12"/>
      <c r="B339" s="358" t="s">
        <v>2568</v>
      </c>
      <c r="C339" s="359">
        <v>7</v>
      </c>
      <c r="D339" s="359">
        <v>167</v>
      </c>
      <c r="E339" s="360" t="s">
        <v>1180</v>
      </c>
      <c r="F339" s="524"/>
      <c r="G339" s="361" t="s">
        <v>1175</v>
      </c>
      <c r="H339" s="362"/>
      <c r="I339" s="230">
        <v>45423</v>
      </c>
      <c r="J339" s="230">
        <v>28</v>
      </c>
      <c r="K339" s="363" t="s">
        <v>1181</v>
      </c>
      <c r="L339" s="364" t="s">
        <v>1182</v>
      </c>
      <c r="M339" s="439" t="s">
        <v>1183</v>
      </c>
      <c r="N339" s="425"/>
      <c r="O339" s="440"/>
      <c r="P339" s="429"/>
      <c r="Q339" s="442"/>
      <c r="R339" s="248" t="s">
        <v>1178</v>
      </c>
      <c r="S339" s="433" t="s">
        <v>1178</v>
      </c>
      <c r="T339" s="434"/>
      <c r="U339" s="372"/>
      <c r="V339" s="373"/>
      <c r="W339" s="374"/>
      <c r="X339" s="404">
        <v>45423</v>
      </c>
      <c r="Y339" s="372"/>
      <c r="Z339" s="381"/>
      <c r="AA339" s="359"/>
      <c r="AB339" s="230"/>
      <c r="AC339" s="381"/>
      <c r="AD339" s="359"/>
      <c r="AE339" s="230"/>
      <c r="AF339" s="381"/>
      <c r="AG339" s="225"/>
      <c r="AH339" s="361"/>
      <c r="AI339" s="533"/>
      <c r="AJ339" s="225"/>
      <c r="AK339" s="361"/>
      <c r="AL339" s="533"/>
      <c r="AM339" s="225"/>
      <c r="AN339" s="361"/>
      <c r="AO339" s="533"/>
      <c r="AP339" s="225"/>
      <c r="AQ339" s="361"/>
      <c r="AR339" s="533"/>
      <c r="AS339" s="320"/>
    </row>
    <row r="340" spans="1:45" ht="14.25" hidden="1" customHeight="1">
      <c r="A340" s="12"/>
      <c r="B340" s="358"/>
      <c r="C340" s="359"/>
      <c r="D340" s="359"/>
      <c r="E340" s="360"/>
      <c r="F340" s="524"/>
      <c r="G340" s="378"/>
      <c r="H340" s="362"/>
      <c r="I340" s="230"/>
      <c r="J340" s="230"/>
      <c r="K340" s="363"/>
      <c r="L340" s="364"/>
      <c r="M340" s="365"/>
      <c r="N340" s="366"/>
      <c r="O340" s="367"/>
      <c r="P340" s="368"/>
      <c r="Q340" s="369"/>
      <c r="R340" s="248"/>
      <c r="S340" s="370"/>
      <c r="T340" s="371"/>
      <c r="U340" s="372"/>
      <c r="V340" s="373"/>
      <c r="W340" s="398"/>
      <c r="X340" s="404"/>
      <c r="Y340" s="372"/>
      <c r="Z340" s="381"/>
      <c r="AA340" s="359"/>
      <c r="AB340" s="230"/>
      <c r="AC340" s="381"/>
      <c r="AD340" s="359"/>
      <c r="AE340" s="230"/>
      <c r="AF340" s="381"/>
      <c r="AG340" s="241"/>
      <c r="AH340" s="411"/>
      <c r="AI340" s="577"/>
      <c r="AJ340" s="241"/>
      <c r="AK340" s="411"/>
      <c r="AL340" s="577"/>
      <c r="AM340" s="241"/>
      <c r="AN340" s="411"/>
      <c r="AO340" s="577"/>
      <c r="AP340" s="241"/>
      <c r="AQ340" s="411"/>
      <c r="AR340" s="577"/>
      <c r="AS340" s="202"/>
    </row>
    <row r="341" spans="1:45" ht="28.5" customHeight="1">
      <c r="A341" s="12"/>
      <c r="B341" s="358" t="s">
        <v>2568</v>
      </c>
      <c r="C341" s="359">
        <v>8</v>
      </c>
      <c r="D341" s="359">
        <v>18</v>
      </c>
      <c r="E341" s="360" t="s">
        <v>1185</v>
      </c>
      <c r="F341" s="524"/>
      <c r="G341" s="361" t="s">
        <v>43</v>
      </c>
      <c r="H341" s="362">
        <v>33781226</v>
      </c>
      <c r="I341" s="230">
        <v>45423</v>
      </c>
      <c r="J341" s="230">
        <v>15</v>
      </c>
      <c r="K341" s="363" t="s">
        <v>1186</v>
      </c>
      <c r="L341" s="364" t="s">
        <v>1187</v>
      </c>
      <c r="M341" s="365" t="s">
        <v>1188</v>
      </c>
      <c r="N341" s="366" t="s">
        <v>1189</v>
      </c>
      <c r="O341" s="367">
        <v>19763404</v>
      </c>
      <c r="P341" s="368"/>
      <c r="Q341" s="587" t="s">
        <v>1191</v>
      </c>
      <c r="R341" s="370" t="s">
        <v>281</v>
      </c>
      <c r="S341" s="370" t="s">
        <v>1192</v>
      </c>
      <c r="T341" s="371" t="s">
        <v>1010</v>
      </c>
      <c r="U341" s="372"/>
      <c r="V341" s="373"/>
      <c r="W341" s="374"/>
      <c r="X341" s="404">
        <v>45423</v>
      </c>
      <c r="Y341" s="372"/>
      <c r="Z341" s="381"/>
      <c r="AA341" s="225"/>
      <c r="AB341" s="361"/>
      <c r="AC341" s="533"/>
      <c r="AD341" s="225"/>
      <c r="AE341" s="361"/>
      <c r="AF341" s="533"/>
      <c r="AG341" s="225"/>
      <c r="AH341" s="361"/>
      <c r="AI341" s="533"/>
      <c r="AJ341" s="225"/>
      <c r="AK341" s="361"/>
      <c r="AL341" s="533"/>
      <c r="AM341" s="225"/>
      <c r="AN341" s="361"/>
      <c r="AO341" s="533"/>
      <c r="AP341" s="225"/>
      <c r="AQ341" s="361"/>
      <c r="AR341" s="533"/>
      <c r="AS341" s="320"/>
    </row>
    <row r="342" spans="1:45" ht="13.5" hidden="1" customHeight="1">
      <c r="A342" s="12"/>
      <c r="B342" s="358"/>
      <c r="C342" s="359"/>
      <c r="D342" s="359"/>
      <c r="E342" s="360"/>
      <c r="F342" s="524"/>
      <c r="G342" s="378"/>
      <c r="H342" s="362"/>
      <c r="I342" s="230"/>
      <c r="J342" s="230"/>
      <c r="K342" s="363"/>
      <c r="L342" s="364"/>
      <c r="M342" s="365"/>
      <c r="N342" s="366"/>
      <c r="O342" s="367"/>
      <c r="P342" s="368"/>
      <c r="Q342" s="369"/>
      <c r="R342" s="370"/>
      <c r="S342" s="370"/>
      <c r="T342" s="371"/>
      <c r="U342" s="372"/>
      <c r="V342" s="373"/>
      <c r="W342" s="398"/>
      <c r="X342" s="404"/>
      <c r="Y342" s="372"/>
      <c r="Z342" s="381"/>
      <c r="AA342" s="241"/>
      <c r="AB342" s="411"/>
      <c r="AC342" s="577"/>
      <c r="AD342" s="241"/>
      <c r="AE342" s="411"/>
      <c r="AF342" s="577"/>
      <c r="AG342" s="241"/>
      <c r="AH342" s="411"/>
      <c r="AI342" s="577"/>
      <c r="AJ342" s="241"/>
      <c r="AK342" s="411"/>
      <c r="AL342" s="577"/>
      <c r="AM342" s="241"/>
      <c r="AN342" s="411"/>
      <c r="AO342" s="577"/>
      <c r="AP342" s="241"/>
      <c r="AQ342" s="411"/>
      <c r="AR342" s="577"/>
      <c r="AS342" s="202"/>
    </row>
    <row r="343" spans="1:45" ht="13.5" hidden="1" customHeight="1">
      <c r="A343" s="12"/>
      <c r="B343" s="358" t="s">
        <v>2568</v>
      </c>
      <c r="C343" s="359">
        <v>9</v>
      </c>
      <c r="D343" s="359">
        <v>169</v>
      </c>
      <c r="E343" s="360"/>
      <c r="F343" s="524"/>
      <c r="G343" s="361"/>
      <c r="H343" s="362"/>
      <c r="I343" s="230"/>
      <c r="J343" s="230"/>
      <c r="K343" s="363"/>
      <c r="L343" s="364"/>
      <c r="M343" s="365"/>
      <c r="N343" s="366"/>
      <c r="O343" s="367"/>
      <c r="P343" s="368"/>
      <c r="Q343" s="369"/>
      <c r="R343" s="370"/>
      <c r="S343" s="370"/>
      <c r="T343" s="371"/>
      <c r="U343" s="372"/>
      <c r="V343" s="373"/>
      <c r="W343" s="374"/>
      <c r="X343" s="404"/>
      <c r="Y343" s="372"/>
      <c r="Z343" s="381"/>
      <c r="AA343" s="225"/>
      <c r="AB343" s="361"/>
      <c r="AC343" s="533"/>
      <c r="AD343" s="225"/>
      <c r="AE343" s="361"/>
      <c r="AF343" s="533"/>
      <c r="AG343" s="225"/>
      <c r="AH343" s="361"/>
      <c r="AI343" s="533"/>
      <c r="AJ343" s="225"/>
      <c r="AK343" s="361"/>
      <c r="AL343" s="533"/>
      <c r="AM343" s="225"/>
      <c r="AN343" s="361"/>
      <c r="AO343" s="533"/>
      <c r="AP343" s="225"/>
      <c r="AQ343" s="361"/>
      <c r="AR343" s="533"/>
      <c r="AS343" s="320"/>
    </row>
    <row r="344" spans="1:45" ht="13.5" hidden="1" customHeight="1">
      <c r="A344" s="12"/>
      <c r="B344" s="358"/>
      <c r="C344" s="359"/>
      <c r="D344" s="359"/>
      <c r="E344" s="360"/>
      <c r="F344" s="524"/>
      <c r="G344" s="378"/>
      <c r="H344" s="362"/>
      <c r="I344" s="230"/>
      <c r="J344" s="230"/>
      <c r="K344" s="363"/>
      <c r="L344" s="364"/>
      <c r="M344" s="365"/>
      <c r="N344" s="366"/>
      <c r="O344" s="367"/>
      <c r="P344" s="368"/>
      <c r="Q344" s="369"/>
      <c r="R344" s="370"/>
      <c r="S344" s="370"/>
      <c r="T344" s="371"/>
      <c r="U344" s="372"/>
      <c r="V344" s="373"/>
      <c r="W344" s="398"/>
      <c r="X344" s="404"/>
      <c r="Y344" s="372"/>
      <c r="Z344" s="381"/>
      <c r="AA344" s="241"/>
      <c r="AB344" s="411"/>
      <c r="AC344" s="577"/>
      <c r="AD344" s="241"/>
      <c r="AE344" s="411"/>
      <c r="AF344" s="577"/>
      <c r="AG344" s="241"/>
      <c r="AH344" s="411"/>
      <c r="AI344" s="577"/>
      <c r="AJ344" s="241"/>
      <c r="AK344" s="411"/>
      <c r="AL344" s="577"/>
      <c r="AM344" s="241"/>
      <c r="AN344" s="411"/>
      <c r="AO344" s="577"/>
      <c r="AP344" s="241"/>
      <c r="AQ344" s="411"/>
      <c r="AR344" s="577"/>
      <c r="AS344" s="202"/>
    </row>
    <row r="345" spans="1:45" ht="13.5" hidden="1" customHeight="1">
      <c r="A345" s="12"/>
      <c r="B345" s="358" t="s">
        <v>2568</v>
      </c>
      <c r="C345" s="359">
        <v>10</v>
      </c>
      <c r="D345" s="359">
        <v>170</v>
      </c>
      <c r="E345" s="360"/>
      <c r="F345" s="524"/>
      <c r="G345" s="361"/>
      <c r="H345" s="362"/>
      <c r="I345" s="230"/>
      <c r="J345" s="230"/>
      <c r="K345" s="363"/>
      <c r="L345" s="364"/>
      <c r="M345" s="365"/>
      <c r="N345" s="366"/>
      <c r="O345" s="367"/>
      <c r="P345" s="368"/>
      <c r="Q345" s="369"/>
      <c r="R345" s="370"/>
      <c r="S345" s="370"/>
      <c r="T345" s="421"/>
      <c r="U345" s="387"/>
      <c r="V345" s="456"/>
      <c r="W345" s="374"/>
      <c r="X345" s="404"/>
      <c r="Y345" s="372"/>
      <c r="Z345" s="381"/>
      <c r="AA345" s="225"/>
      <c r="AB345" s="361"/>
      <c r="AC345" s="533"/>
      <c r="AD345" s="225"/>
      <c r="AE345" s="361"/>
      <c r="AF345" s="533"/>
      <c r="AG345" s="225"/>
      <c r="AH345" s="361"/>
      <c r="AI345" s="533"/>
      <c r="AJ345" s="225"/>
      <c r="AK345" s="361"/>
      <c r="AL345" s="533"/>
      <c r="AM345" s="225"/>
      <c r="AN345" s="361"/>
      <c r="AO345" s="533"/>
      <c r="AP345" s="225"/>
      <c r="AQ345" s="361"/>
      <c r="AR345" s="533"/>
      <c r="AS345" s="320"/>
    </row>
    <row r="346" spans="1:45" ht="13.5" hidden="1" customHeight="1">
      <c r="A346" s="12"/>
      <c r="B346" s="358"/>
      <c r="C346" s="359"/>
      <c r="D346" s="359"/>
      <c r="E346" s="360"/>
      <c r="F346" s="524"/>
      <c r="G346" s="378"/>
      <c r="H346" s="362"/>
      <c r="I346" s="230"/>
      <c r="J346" s="230"/>
      <c r="K346" s="363"/>
      <c r="L346" s="364"/>
      <c r="M346" s="365"/>
      <c r="N346" s="366"/>
      <c r="O346" s="367"/>
      <c r="P346" s="368"/>
      <c r="Q346" s="369"/>
      <c r="R346" s="370"/>
      <c r="S346" s="370"/>
      <c r="T346" s="434"/>
      <c r="U346" s="376"/>
      <c r="V346" s="603"/>
      <c r="W346" s="398"/>
      <c r="X346" s="404"/>
      <c r="Y346" s="372"/>
      <c r="Z346" s="381"/>
      <c r="AA346" s="241"/>
      <c r="AB346" s="411"/>
      <c r="AC346" s="577"/>
      <c r="AD346" s="241"/>
      <c r="AE346" s="411"/>
      <c r="AF346" s="577"/>
      <c r="AG346" s="241"/>
      <c r="AH346" s="411"/>
      <c r="AI346" s="577"/>
      <c r="AJ346" s="241"/>
      <c r="AK346" s="411"/>
      <c r="AL346" s="577"/>
      <c r="AM346" s="241"/>
      <c r="AN346" s="411"/>
      <c r="AO346" s="577"/>
      <c r="AP346" s="241"/>
      <c r="AQ346" s="411"/>
      <c r="AR346" s="577"/>
      <c r="AS346" s="202"/>
    </row>
    <row r="347" spans="1:45" ht="13.5" hidden="1" customHeight="1">
      <c r="A347" s="12"/>
      <c r="B347" s="358" t="s">
        <v>2568</v>
      </c>
      <c r="C347" s="359">
        <v>11</v>
      </c>
      <c r="D347" s="359">
        <v>171</v>
      </c>
      <c r="E347" s="360"/>
      <c r="F347" s="524"/>
      <c r="G347" s="361"/>
      <c r="H347" s="362"/>
      <c r="I347" s="230"/>
      <c r="J347" s="230"/>
      <c r="K347" s="363"/>
      <c r="L347" s="364"/>
      <c r="M347" s="365"/>
      <c r="N347" s="366"/>
      <c r="O347" s="367"/>
      <c r="P347" s="368"/>
      <c r="Q347" s="369"/>
      <c r="R347" s="370"/>
      <c r="S347" s="370"/>
      <c r="T347" s="421"/>
      <c r="U347" s="387"/>
      <c r="V347" s="456"/>
      <c r="W347" s="374"/>
      <c r="X347" s="404"/>
      <c r="Y347" s="372"/>
      <c r="Z347" s="381"/>
      <c r="AA347" s="225"/>
      <c r="AB347" s="361"/>
      <c r="AC347" s="533"/>
      <c r="AD347" s="225"/>
      <c r="AE347" s="361"/>
      <c r="AF347" s="533"/>
      <c r="AG347" s="225"/>
      <c r="AH347" s="361"/>
      <c r="AI347" s="533"/>
      <c r="AJ347" s="225"/>
      <c r="AK347" s="361"/>
      <c r="AL347" s="533"/>
      <c r="AM347" s="225"/>
      <c r="AN347" s="361"/>
      <c r="AO347" s="533"/>
      <c r="AP347" s="225"/>
      <c r="AQ347" s="361"/>
      <c r="AR347" s="533"/>
      <c r="AS347" s="320"/>
    </row>
    <row r="348" spans="1:45" ht="13.5" hidden="1" customHeight="1">
      <c r="A348" s="12"/>
      <c r="B348" s="358"/>
      <c r="C348" s="359"/>
      <c r="D348" s="359"/>
      <c r="E348" s="360"/>
      <c r="F348" s="524"/>
      <c r="G348" s="378"/>
      <c r="H348" s="362"/>
      <c r="I348" s="230"/>
      <c r="J348" s="230"/>
      <c r="K348" s="363"/>
      <c r="L348" s="364"/>
      <c r="M348" s="365"/>
      <c r="N348" s="366"/>
      <c r="O348" s="367"/>
      <c r="P348" s="368"/>
      <c r="Q348" s="369"/>
      <c r="R348" s="370"/>
      <c r="S348" s="370"/>
      <c r="T348" s="434"/>
      <c r="U348" s="376"/>
      <c r="V348" s="603"/>
      <c r="W348" s="398"/>
      <c r="X348" s="404"/>
      <c r="Y348" s="372"/>
      <c r="Z348" s="381"/>
      <c r="AA348" s="241"/>
      <c r="AB348" s="411"/>
      <c r="AC348" s="577"/>
      <c r="AD348" s="241"/>
      <c r="AE348" s="411"/>
      <c r="AF348" s="577"/>
      <c r="AG348" s="241"/>
      <c r="AH348" s="411"/>
      <c r="AI348" s="577"/>
      <c r="AJ348" s="241"/>
      <c r="AK348" s="411"/>
      <c r="AL348" s="577"/>
      <c r="AM348" s="241"/>
      <c r="AN348" s="411"/>
      <c r="AO348" s="577"/>
      <c r="AP348" s="241"/>
      <c r="AQ348" s="411"/>
      <c r="AR348" s="577"/>
      <c r="AS348" s="202"/>
    </row>
    <row r="349" spans="1:45" ht="13.5" hidden="1" customHeight="1">
      <c r="A349" s="12"/>
      <c r="B349" s="358" t="s">
        <v>2568</v>
      </c>
      <c r="C349" s="359">
        <v>12</v>
      </c>
      <c r="D349" s="359">
        <v>172</v>
      </c>
      <c r="E349" s="360"/>
      <c r="F349" s="524"/>
      <c r="G349" s="361"/>
      <c r="H349" s="362"/>
      <c r="I349" s="230"/>
      <c r="J349" s="230"/>
      <c r="K349" s="363"/>
      <c r="L349" s="364"/>
      <c r="M349" s="365"/>
      <c r="N349" s="366"/>
      <c r="O349" s="367"/>
      <c r="P349" s="368"/>
      <c r="Q349" s="369"/>
      <c r="R349" s="370"/>
      <c r="S349" s="370"/>
      <c r="T349" s="371"/>
      <c r="U349" s="372"/>
      <c r="V349" s="373"/>
      <c r="W349" s="374"/>
      <c r="X349" s="404"/>
      <c r="Y349" s="372"/>
      <c r="Z349" s="381"/>
      <c r="AA349" s="225"/>
      <c r="AB349" s="361"/>
      <c r="AC349" s="533"/>
      <c r="AD349" s="225"/>
      <c r="AE349" s="361"/>
      <c r="AF349" s="533"/>
      <c r="AG349" s="225"/>
      <c r="AH349" s="361"/>
      <c r="AI349" s="533"/>
      <c r="AJ349" s="225"/>
      <c r="AK349" s="361"/>
      <c r="AL349" s="533"/>
      <c r="AM349" s="225"/>
      <c r="AN349" s="361"/>
      <c r="AO349" s="533"/>
      <c r="AP349" s="225"/>
      <c r="AQ349" s="361"/>
      <c r="AR349" s="533"/>
      <c r="AS349" s="320"/>
    </row>
    <row r="350" spans="1:45" ht="13.5" hidden="1" customHeight="1">
      <c r="A350" s="12"/>
      <c r="B350" s="358"/>
      <c r="C350" s="359"/>
      <c r="D350" s="359"/>
      <c r="E350" s="360"/>
      <c r="F350" s="524"/>
      <c r="G350" s="378"/>
      <c r="H350" s="362"/>
      <c r="I350" s="230"/>
      <c r="J350" s="230"/>
      <c r="K350" s="363"/>
      <c r="L350" s="364"/>
      <c r="M350" s="365"/>
      <c r="N350" s="366"/>
      <c r="O350" s="367"/>
      <c r="P350" s="368"/>
      <c r="Q350" s="369"/>
      <c r="R350" s="370"/>
      <c r="S350" s="370"/>
      <c r="T350" s="371"/>
      <c r="U350" s="372"/>
      <c r="V350" s="373"/>
      <c r="W350" s="398"/>
      <c r="X350" s="404"/>
      <c r="Y350" s="372"/>
      <c r="Z350" s="381"/>
      <c r="AA350" s="241"/>
      <c r="AB350" s="411"/>
      <c r="AC350" s="577"/>
      <c r="AD350" s="241"/>
      <c r="AE350" s="411"/>
      <c r="AF350" s="577"/>
      <c r="AG350" s="241"/>
      <c r="AH350" s="411"/>
      <c r="AI350" s="577"/>
      <c r="AJ350" s="241"/>
      <c r="AK350" s="411"/>
      <c r="AL350" s="577"/>
      <c r="AM350" s="241"/>
      <c r="AN350" s="411"/>
      <c r="AO350" s="577"/>
      <c r="AP350" s="241"/>
      <c r="AQ350" s="411"/>
      <c r="AR350" s="577"/>
      <c r="AS350" s="202"/>
    </row>
    <row r="351" spans="1:45" ht="13.5" hidden="1" customHeight="1">
      <c r="A351" s="12"/>
      <c r="B351" s="358" t="s">
        <v>2568</v>
      </c>
      <c r="C351" s="359">
        <v>13</v>
      </c>
      <c r="D351" s="359">
        <v>173</v>
      </c>
      <c r="E351" s="360"/>
      <c r="F351" s="524"/>
      <c r="G351" s="361"/>
      <c r="H351" s="362"/>
      <c r="I351" s="230"/>
      <c r="J351" s="230"/>
      <c r="K351" s="363"/>
      <c r="L351" s="364"/>
      <c r="M351" s="365"/>
      <c r="N351" s="366"/>
      <c r="O351" s="367"/>
      <c r="P351" s="368"/>
      <c r="Q351" s="369"/>
      <c r="R351" s="370"/>
      <c r="S351" s="370"/>
      <c r="T351" s="371"/>
      <c r="U351" s="372"/>
      <c r="V351" s="373"/>
      <c r="W351" s="374"/>
      <c r="X351" s="404"/>
      <c r="Y351" s="372"/>
      <c r="Z351" s="381"/>
      <c r="AA351" s="225"/>
      <c r="AB351" s="361"/>
      <c r="AC351" s="533"/>
      <c r="AD351" s="225"/>
      <c r="AE351" s="361"/>
      <c r="AF351" s="533"/>
      <c r="AG351" s="225"/>
      <c r="AH351" s="361"/>
      <c r="AI351" s="533"/>
      <c r="AJ351" s="225"/>
      <c r="AK351" s="361"/>
      <c r="AL351" s="533"/>
      <c r="AM351" s="225"/>
      <c r="AN351" s="361"/>
      <c r="AO351" s="533"/>
      <c r="AP351" s="225"/>
      <c r="AQ351" s="361"/>
      <c r="AR351" s="533"/>
      <c r="AS351" s="320"/>
    </row>
    <row r="352" spans="1:45" ht="13.5" hidden="1" customHeight="1">
      <c r="A352" s="12"/>
      <c r="B352" s="358"/>
      <c r="C352" s="359"/>
      <c r="D352" s="359"/>
      <c r="E352" s="360"/>
      <c r="F352" s="524"/>
      <c r="G352" s="378"/>
      <c r="H352" s="362"/>
      <c r="I352" s="230"/>
      <c r="J352" s="230"/>
      <c r="K352" s="363"/>
      <c r="L352" s="364"/>
      <c r="M352" s="365"/>
      <c r="N352" s="366"/>
      <c r="O352" s="367"/>
      <c r="P352" s="368"/>
      <c r="Q352" s="369"/>
      <c r="R352" s="370"/>
      <c r="S352" s="370"/>
      <c r="T352" s="371"/>
      <c r="U352" s="372"/>
      <c r="V352" s="373"/>
      <c r="W352" s="398"/>
      <c r="X352" s="404"/>
      <c r="Y352" s="372"/>
      <c r="Z352" s="381"/>
      <c r="AA352" s="241"/>
      <c r="AB352" s="411"/>
      <c r="AC352" s="577"/>
      <c r="AD352" s="241"/>
      <c r="AE352" s="411"/>
      <c r="AF352" s="577"/>
      <c r="AG352" s="241"/>
      <c r="AH352" s="411"/>
      <c r="AI352" s="577"/>
      <c r="AJ352" s="241"/>
      <c r="AK352" s="411"/>
      <c r="AL352" s="577"/>
      <c r="AM352" s="241"/>
      <c r="AN352" s="411"/>
      <c r="AO352" s="577"/>
      <c r="AP352" s="241"/>
      <c r="AQ352" s="411"/>
      <c r="AR352" s="577"/>
      <c r="AS352" s="202"/>
    </row>
    <row r="353" spans="1:45" ht="13.5" hidden="1" customHeight="1">
      <c r="A353" s="12"/>
      <c r="B353" s="358" t="s">
        <v>2568</v>
      </c>
      <c r="C353" s="359">
        <v>14</v>
      </c>
      <c r="D353" s="359">
        <v>174</v>
      </c>
      <c r="E353" s="360"/>
      <c r="F353" s="524"/>
      <c r="G353" s="361"/>
      <c r="H353" s="362"/>
      <c r="I353" s="230"/>
      <c r="J353" s="230"/>
      <c r="K353" s="363"/>
      <c r="L353" s="364"/>
      <c r="M353" s="365"/>
      <c r="N353" s="366"/>
      <c r="O353" s="367"/>
      <c r="P353" s="368"/>
      <c r="Q353" s="369"/>
      <c r="R353" s="370"/>
      <c r="S353" s="370"/>
      <c r="T353" s="371"/>
      <c r="U353" s="372"/>
      <c r="V353" s="373"/>
      <c r="W353" s="374"/>
      <c r="X353" s="404"/>
      <c r="Y353" s="372"/>
      <c r="Z353" s="381"/>
      <c r="AA353" s="225"/>
      <c r="AB353" s="361"/>
      <c r="AC353" s="533"/>
      <c r="AD353" s="225"/>
      <c r="AE353" s="361"/>
      <c r="AF353" s="533"/>
      <c r="AG353" s="225"/>
      <c r="AH353" s="361"/>
      <c r="AI353" s="533"/>
      <c r="AJ353" s="225"/>
      <c r="AK353" s="361"/>
      <c r="AL353" s="533"/>
      <c r="AM353" s="225"/>
      <c r="AN353" s="361"/>
      <c r="AO353" s="533"/>
      <c r="AP353" s="225"/>
      <c r="AQ353" s="361"/>
      <c r="AR353" s="533"/>
      <c r="AS353" s="320"/>
    </row>
    <row r="354" spans="1:45" ht="13.5" hidden="1" customHeight="1">
      <c r="A354" s="12"/>
      <c r="B354" s="358"/>
      <c r="C354" s="359"/>
      <c r="D354" s="359"/>
      <c r="E354" s="360"/>
      <c r="F354" s="524"/>
      <c r="G354" s="378"/>
      <c r="H354" s="362"/>
      <c r="I354" s="230"/>
      <c r="J354" s="230"/>
      <c r="K354" s="363"/>
      <c r="L354" s="364"/>
      <c r="M354" s="365"/>
      <c r="N354" s="366"/>
      <c r="O354" s="367"/>
      <c r="P354" s="368"/>
      <c r="Q354" s="369"/>
      <c r="R354" s="370"/>
      <c r="S354" s="370"/>
      <c r="T354" s="371"/>
      <c r="U354" s="372"/>
      <c r="V354" s="373"/>
      <c r="W354" s="398"/>
      <c r="X354" s="404"/>
      <c r="Y354" s="372"/>
      <c r="Z354" s="381"/>
      <c r="AA354" s="241"/>
      <c r="AB354" s="411"/>
      <c r="AC354" s="577"/>
      <c r="AD354" s="241"/>
      <c r="AE354" s="411"/>
      <c r="AF354" s="577"/>
      <c r="AG354" s="241"/>
      <c r="AH354" s="411"/>
      <c r="AI354" s="577"/>
      <c r="AJ354" s="241"/>
      <c r="AK354" s="411"/>
      <c r="AL354" s="577"/>
      <c r="AM354" s="241"/>
      <c r="AN354" s="411"/>
      <c r="AO354" s="577"/>
      <c r="AP354" s="241"/>
      <c r="AQ354" s="411"/>
      <c r="AR354" s="577"/>
      <c r="AS354" s="202"/>
    </row>
    <row r="355" spans="1:45" ht="13.5" hidden="1" customHeight="1">
      <c r="A355" s="12"/>
      <c r="B355" s="358" t="s">
        <v>2568</v>
      </c>
      <c r="C355" s="359">
        <v>15</v>
      </c>
      <c r="D355" s="359">
        <v>175</v>
      </c>
      <c r="E355" s="360"/>
      <c r="F355" s="524"/>
      <c r="G355" s="524"/>
      <c r="H355" s="362"/>
      <c r="I355" s="230"/>
      <c r="J355" s="230"/>
      <c r="K355" s="363"/>
      <c r="L355" s="364"/>
      <c r="M355" s="365"/>
      <c r="N355" s="366"/>
      <c r="O355" s="367"/>
      <c r="P355" s="368"/>
      <c r="Q355" s="369"/>
      <c r="R355" s="370"/>
      <c r="S355" s="370"/>
      <c r="T355" s="371"/>
      <c r="U355" s="372"/>
      <c r="V355" s="373"/>
      <c r="W355" s="374"/>
      <c r="X355" s="404"/>
      <c r="Y355" s="372"/>
      <c r="Z355" s="381"/>
      <c r="AA355" s="225"/>
      <c r="AB355" s="361"/>
      <c r="AC355" s="533"/>
      <c r="AD355" s="225"/>
      <c r="AE355" s="361"/>
      <c r="AF355" s="533"/>
      <c r="AG355" s="225"/>
      <c r="AH355" s="361"/>
      <c r="AI355" s="533"/>
      <c r="AJ355" s="225"/>
      <c r="AK355" s="361"/>
      <c r="AL355" s="533"/>
      <c r="AM355" s="225"/>
      <c r="AN355" s="361"/>
      <c r="AO355" s="533"/>
      <c r="AP355" s="225"/>
      <c r="AQ355" s="361"/>
      <c r="AR355" s="533"/>
      <c r="AS355" s="320"/>
    </row>
    <row r="356" spans="1:45" ht="13.5" hidden="1" customHeight="1">
      <c r="A356" s="12"/>
      <c r="B356" s="358"/>
      <c r="C356" s="359"/>
      <c r="D356" s="359"/>
      <c r="E356" s="360"/>
      <c r="F356" s="524"/>
      <c r="G356" s="524"/>
      <c r="H356" s="362"/>
      <c r="I356" s="230"/>
      <c r="J356" s="230"/>
      <c r="K356" s="363"/>
      <c r="L356" s="364"/>
      <c r="M356" s="365"/>
      <c r="N356" s="366"/>
      <c r="O356" s="367"/>
      <c r="P356" s="368"/>
      <c r="Q356" s="369"/>
      <c r="R356" s="370"/>
      <c r="S356" s="370"/>
      <c r="T356" s="371"/>
      <c r="U356" s="372"/>
      <c r="V356" s="373"/>
      <c r="W356" s="398"/>
      <c r="X356" s="404"/>
      <c r="Y356" s="372"/>
      <c r="Z356" s="381"/>
      <c r="AA356" s="241"/>
      <c r="AB356" s="411"/>
      <c r="AC356" s="577"/>
      <c r="AD356" s="241"/>
      <c r="AE356" s="411"/>
      <c r="AF356" s="577"/>
      <c r="AG356" s="241"/>
      <c r="AH356" s="411"/>
      <c r="AI356" s="577"/>
      <c r="AJ356" s="241"/>
      <c r="AK356" s="411"/>
      <c r="AL356" s="577"/>
      <c r="AM356" s="241"/>
      <c r="AN356" s="411"/>
      <c r="AO356" s="577"/>
      <c r="AP356" s="241"/>
      <c r="AQ356" s="411"/>
      <c r="AR356" s="577"/>
      <c r="AS356" s="202"/>
    </row>
    <row r="357" spans="1:45" ht="13.5" hidden="1" customHeight="1">
      <c r="A357" s="12"/>
      <c r="B357" s="358" t="s">
        <v>2568</v>
      </c>
      <c r="C357" s="359">
        <v>16</v>
      </c>
      <c r="D357" s="359">
        <v>176</v>
      </c>
      <c r="E357" s="360"/>
      <c r="F357" s="524"/>
      <c r="G357" s="524"/>
      <c r="H357" s="362"/>
      <c r="I357" s="230"/>
      <c r="J357" s="230"/>
      <c r="K357" s="363"/>
      <c r="L357" s="364"/>
      <c r="M357" s="452"/>
      <c r="N357" s="409"/>
      <c r="O357" s="453"/>
      <c r="P357" s="454"/>
      <c r="Q357" s="504"/>
      <c r="R357" s="370"/>
      <c r="S357" s="370"/>
      <c r="T357" s="371"/>
      <c r="U357" s="372"/>
      <c r="V357" s="373"/>
      <c r="W357" s="374"/>
      <c r="X357" s="404"/>
      <c r="Y357" s="372"/>
      <c r="Z357" s="381"/>
      <c r="AA357" s="359"/>
      <c r="AB357" s="230"/>
      <c r="AC357" s="381"/>
      <c r="AD357" s="225"/>
      <c r="AE357" s="361"/>
      <c r="AF357" s="533"/>
      <c r="AG357" s="225"/>
      <c r="AH357" s="361"/>
      <c r="AI357" s="533"/>
      <c r="AJ357" s="225"/>
      <c r="AK357" s="361"/>
      <c r="AL357" s="533"/>
      <c r="AM357" s="225"/>
      <c r="AN357" s="361"/>
      <c r="AO357" s="533"/>
      <c r="AP357" s="225"/>
      <c r="AQ357" s="361"/>
      <c r="AR357" s="533"/>
      <c r="AS357" s="320"/>
    </row>
    <row r="358" spans="1:45" ht="13.5" hidden="1" customHeight="1">
      <c r="A358" s="12"/>
      <c r="B358" s="358"/>
      <c r="C358" s="359"/>
      <c r="D358" s="359"/>
      <c r="E358" s="360"/>
      <c r="F358" s="524"/>
      <c r="G358" s="524"/>
      <c r="H358" s="362"/>
      <c r="I358" s="230"/>
      <c r="J358" s="230"/>
      <c r="K358" s="363"/>
      <c r="L358" s="364"/>
      <c r="M358" s="604"/>
      <c r="N358" s="415"/>
      <c r="O358" s="580"/>
      <c r="P358" s="581"/>
      <c r="Q358" s="563"/>
      <c r="R358" s="370"/>
      <c r="S358" s="370"/>
      <c r="T358" s="371"/>
      <c r="U358" s="372"/>
      <c r="V358" s="373"/>
      <c r="W358" s="398"/>
      <c r="X358" s="404"/>
      <c r="Y358" s="372"/>
      <c r="Z358" s="381"/>
      <c r="AA358" s="359"/>
      <c r="AB358" s="230"/>
      <c r="AC358" s="381"/>
      <c r="AD358" s="241"/>
      <c r="AE358" s="411"/>
      <c r="AF358" s="577"/>
      <c r="AG358" s="241"/>
      <c r="AH358" s="411"/>
      <c r="AI358" s="577"/>
      <c r="AJ358" s="241"/>
      <c r="AK358" s="411"/>
      <c r="AL358" s="577"/>
      <c r="AM358" s="241"/>
      <c r="AN358" s="411"/>
      <c r="AO358" s="577"/>
      <c r="AP358" s="241"/>
      <c r="AQ358" s="411"/>
      <c r="AR358" s="577"/>
      <c r="AS358" s="202"/>
    </row>
    <row r="359" spans="1:45" ht="13.5" hidden="1" customHeight="1">
      <c r="A359" s="12"/>
      <c r="B359" s="358" t="s">
        <v>2568</v>
      </c>
      <c r="C359" s="359">
        <v>17</v>
      </c>
      <c r="D359" s="359">
        <v>177</v>
      </c>
      <c r="E359" s="360"/>
      <c r="F359" s="524"/>
      <c r="G359" s="524"/>
      <c r="H359" s="362"/>
      <c r="I359" s="230"/>
      <c r="J359" s="230"/>
      <c r="K359" s="363"/>
      <c r="L359" s="364"/>
      <c r="M359" s="604"/>
      <c r="N359" s="415"/>
      <c r="O359" s="580"/>
      <c r="P359" s="581"/>
      <c r="Q359" s="563"/>
      <c r="R359" s="370"/>
      <c r="S359" s="370"/>
      <c r="T359" s="371"/>
      <c r="U359" s="372"/>
      <c r="V359" s="373"/>
      <c r="W359" s="374"/>
      <c r="X359" s="404"/>
      <c r="Y359" s="372"/>
      <c r="Z359" s="381"/>
      <c r="AA359" s="359"/>
      <c r="AB359" s="230"/>
      <c r="AC359" s="381"/>
      <c r="AD359" s="225"/>
      <c r="AE359" s="361"/>
      <c r="AF359" s="533"/>
      <c r="AG359" s="225"/>
      <c r="AH359" s="361"/>
      <c r="AI359" s="533"/>
      <c r="AJ359" s="225"/>
      <c r="AK359" s="361"/>
      <c r="AL359" s="533"/>
      <c r="AM359" s="225"/>
      <c r="AN359" s="361"/>
      <c r="AO359" s="533"/>
      <c r="AP359" s="225"/>
      <c r="AQ359" s="361"/>
      <c r="AR359" s="533"/>
      <c r="AS359" s="320"/>
    </row>
    <row r="360" spans="1:45" ht="13.5" hidden="1" customHeight="1">
      <c r="A360" s="12"/>
      <c r="B360" s="358"/>
      <c r="C360" s="359"/>
      <c r="D360" s="359"/>
      <c r="E360" s="360"/>
      <c r="F360" s="524"/>
      <c r="G360" s="524"/>
      <c r="H360" s="362"/>
      <c r="I360" s="230"/>
      <c r="J360" s="230"/>
      <c r="K360" s="363"/>
      <c r="L360" s="364"/>
      <c r="M360" s="439"/>
      <c r="N360" s="425"/>
      <c r="O360" s="440"/>
      <c r="P360" s="429"/>
      <c r="Q360" s="442"/>
      <c r="R360" s="370"/>
      <c r="S360" s="370"/>
      <c r="T360" s="371"/>
      <c r="U360" s="372"/>
      <c r="V360" s="373"/>
      <c r="W360" s="398"/>
      <c r="X360" s="404"/>
      <c r="Y360" s="372"/>
      <c r="Z360" s="381"/>
      <c r="AA360" s="359"/>
      <c r="AB360" s="230"/>
      <c r="AC360" s="381"/>
      <c r="AD360" s="241"/>
      <c r="AE360" s="411"/>
      <c r="AF360" s="577"/>
      <c r="AG360" s="241"/>
      <c r="AH360" s="411"/>
      <c r="AI360" s="577"/>
      <c r="AJ360" s="241"/>
      <c r="AK360" s="411"/>
      <c r="AL360" s="577"/>
      <c r="AM360" s="241"/>
      <c r="AN360" s="411"/>
      <c r="AO360" s="577"/>
      <c r="AP360" s="241"/>
      <c r="AQ360" s="411"/>
      <c r="AR360" s="577"/>
      <c r="AS360" s="202"/>
    </row>
    <row r="361" spans="1:45" ht="13.5" hidden="1" customHeight="1">
      <c r="A361" s="12"/>
      <c r="B361" s="358" t="s">
        <v>2568</v>
      </c>
      <c r="C361" s="359">
        <v>18</v>
      </c>
      <c r="D361" s="359">
        <v>178</v>
      </c>
      <c r="E361" s="360"/>
      <c r="F361" s="524"/>
      <c r="G361" s="524"/>
      <c r="H361" s="362"/>
      <c r="I361" s="230"/>
      <c r="J361" s="230"/>
      <c r="K361" s="363"/>
      <c r="L361" s="364"/>
      <c r="M361" s="365"/>
      <c r="N361" s="366"/>
      <c r="O361" s="367"/>
      <c r="P361" s="368"/>
      <c r="Q361" s="369"/>
      <c r="R361" s="370"/>
      <c r="S361" s="370"/>
      <c r="T361" s="371"/>
      <c r="U361" s="372"/>
      <c r="V361" s="373"/>
      <c r="W361" s="374"/>
      <c r="X361" s="404"/>
      <c r="Y361" s="372"/>
      <c r="Z361" s="381"/>
      <c r="AA361" s="359"/>
      <c r="AB361" s="230"/>
      <c r="AC361" s="381"/>
      <c r="AD361" s="225"/>
      <c r="AE361" s="361"/>
      <c r="AF361" s="533"/>
      <c r="AG361" s="225"/>
      <c r="AH361" s="361"/>
      <c r="AI361" s="533"/>
      <c r="AJ361" s="225"/>
      <c r="AK361" s="361"/>
      <c r="AL361" s="533"/>
      <c r="AM361" s="225"/>
      <c r="AN361" s="361"/>
      <c r="AO361" s="533"/>
      <c r="AP361" s="225"/>
      <c r="AQ361" s="361"/>
      <c r="AR361" s="533"/>
      <c r="AS361" s="320"/>
    </row>
    <row r="362" spans="1:45" ht="13.5" hidden="1" customHeight="1">
      <c r="A362" s="12"/>
      <c r="B362" s="358"/>
      <c r="C362" s="359"/>
      <c r="D362" s="359"/>
      <c r="E362" s="360"/>
      <c r="F362" s="524"/>
      <c r="G362" s="524"/>
      <c r="H362" s="362"/>
      <c r="I362" s="230"/>
      <c r="J362" s="230"/>
      <c r="K362" s="363"/>
      <c r="L362" s="364"/>
      <c r="M362" s="365"/>
      <c r="N362" s="366"/>
      <c r="O362" s="367"/>
      <c r="P362" s="368"/>
      <c r="Q362" s="369"/>
      <c r="R362" s="370"/>
      <c r="S362" s="370"/>
      <c r="T362" s="371"/>
      <c r="U362" s="372"/>
      <c r="V362" s="373"/>
      <c r="W362" s="398"/>
      <c r="X362" s="404"/>
      <c r="Y362" s="372"/>
      <c r="Z362" s="381"/>
      <c r="AA362" s="359"/>
      <c r="AB362" s="230"/>
      <c r="AC362" s="381"/>
      <c r="AD362" s="241"/>
      <c r="AE362" s="411"/>
      <c r="AF362" s="577"/>
      <c r="AG362" s="241"/>
      <c r="AH362" s="411"/>
      <c r="AI362" s="577"/>
      <c r="AJ362" s="241"/>
      <c r="AK362" s="411"/>
      <c r="AL362" s="577"/>
      <c r="AM362" s="241"/>
      <c r="AN362" s="411"/>
      <c r="AO362" s="577"/>
      <c r="AP362" s="241"/>
      <c r="AQ362" s="411"/>
      <c r="AR362" s="577"/>
      <c r="AS362" s="202"/>
    </row>
    <row r="363" spans="1:45" ht="13.5" hidden="1" customHeight="1">
      <c r="A363" s="12"/>
      <c r="B363" s="358" t="s">
        <v>2568</v>
      </c>
      <c r="C363" s="359">
        <v>19</v>
      </c>
      <c r="D363" s="359">
        <v>179</v>
      </c>
      <c r="E363" s="360"/>
      <c r="F363" s="524"/>
      <c r="G363" s="524"/>
      <c r="H363" s="362"/>
      <c r="I363" s="230"/>
      <c r="J363" s="230"/>
      <c r="K363" s="363"/>
      <c r="L363" s="364"/>
      <c r="M363" s="365"/>
      <c r="N363" s="366"/>
      <c r="O363" s="367"/>
      <c r="P363" s="368"/>
      <c r="Q363" s="369"/>
      <c r="R363" s="370"/>
      <c r="S363" s="370"/>
      <c r="T363" s="371"/>
      <c r="U363" s="372"/>
      <c r="V363" s="373"/>
      <c r="W363" s="374"/>
      <c r="X363" s="404"/>
      <c r="Y363" s="372"/>
      <c r="Z363" s="381"/>
      <c r="AA363" s="359"/>
      <c r="AB363" s="230"/>
      <c r="AC363" s="381"/>
      <c r="AD363" s="359"/>
      <c r="AE363" s="230"/>
      <c r="AF363" s="381"/>
      <c r="AG363" s="225"/>
      <c r="AH363" s="361"/>
      <c r="AI363" s="533"/>
      <c r="AJ363" s="225"/>
      <c r="AK363" s="361"/>
      <c r="AL363" s="533"/>
      <c r="AM363" s="225"/>
      <c r="AN363" s="361"/>
      <c r="AO363" s="533"/>
      <c r="AP363" s="225"/>
      <c r="AQ363" s="361"/>
      <c r="AR363" s="533"/>
      <c r="AS363" s="320"/>
    </row>
    <row r="364" spans="1:45" ht="13.5" hidden="1" customHeight="1">
      <c r="A364" s="12"/>
      <c r="B364" s="358"/>
      <c r="C364" s="359"/>
      <c r="D364" s="359"/>
      <c r="E364" s="360"/>
      <c r="F364" s="524"/>
      <c r="G364" s="524"/>
      <c r="H364" s="362"/>
      <c r="I364" s="230"/>
      <c r="J364" s="230"/>
      <c r="K364" s="363"/>
      <c r="L364" s="364"/>
      <c r="M364" s="365"/>
      <c r="N364" s="366"/>
      <c r="O364" s="367"/>
      <c r="P364" s="368"/>
      <c r="Q364" s="369"/>
      <c r="R364" s="370"/>
      <c r="S364" s="370"/>
      <c r="T364" s="371"/>
      <c r="U364" s="372"/>
      <c r="V364" s="373"/>
      <c r="W364" s="398"/>
      <c r="X364" s="404"/>
      <c r="Y364" s="372"/>
      <c r="Z364" s="381"/>
      <c r="AA364" s="359"/>
      <c r="AB364" s="230"/>
      <c r="AC364" s="381"/>
      <c r="AD364" s="359"/>
      <c r="AE364" s="230"/>
      <c r="AF364" s="381"/>
      <c r="AG364" s="241"/>
      <c r="AH364" s="411"/>
      <c r="AI364" s="577"/>
      <c r="AJ364" s="241"/>
      <c r="AK364" s="411"/>
      <c r="AL364" s="577"/>
      <c r="AM364" s="241"/>
      <c r="AN364" s="411"/>
      <c r="AO364" s="577"/>
      <c r="AP364" s="241"/>
      <c r="AQ364" s="411"/>
      <c r="AR364" s="577"/>
      <c r="AS364" s="202"/>
    </row>
    <row r="365" spans="1:45" ht="13.5" hidden="1" customHeight="1">
      <c r="A365" s="12"/>
      <c r="B365" s="358" t="s">
        <v>2568</v>
      </c>
      <c r="C365" s="359">
        <v>20</v>
      </c>
      <c r="D365" s="359">
        <v>180</v>
      </c>
      <c r="E365" s="360"/>
      <c r="F365" s="524"/>
      <c r="G365" s="524"/>
      <c r="H365" s="362"/>
      <c r="I365" s="230"/>
      <c r="J365" s="230"/>
      <c r="K365" s="363"/>
      <c r="L365" s="364"/>
      <c r="M365" s="365"/>
      <c r="N365" s="366"/>
      <c r="O365" s="367"/>
      <c r="P365" s="368"/>
      <c r="Q365" s="369"/>
      <c r="R365" s="370"/>
      <c r="S365" s="370"/>
      <c r="T365" s="371"/>
      <c r="U365" s="372"/>
      <c r="V365" s="373"/>
      <c r="W365" s="374"/>
      <c r="X365" s="404"/>
      <c r="Y365" s="372"/>
      <c r="Z365" s="381"/>
      <c r="AA365" s="359"/>
      <c r="AB365" s="230"/>
      <c r="AC365" s="381"/>
      <c r="AD365" s="225"/>
      <c r="AE365" s="361"/>
      <c r="AF365" s="533"/>
      <c r="AG365" s="225"/>
      <c r="AH365" s="361"/>
      <c r="AI365" s="533"/>
      <c r="AJ365" s="225"/>
      <c r="AK365" s="361"/>
      <c r="AL365" s="533"/>
      <c r="AM365" s="225"/>
      <c r="AN365" s="361"/>
      <c r="AO365" s="533"/>
      <c r="AP365" s="225"/>
      <c r="AQ365" s="361"/>
      <c r="AR365" s="533"/>
      <c r="AS365" s="320"/>
    </row>
    <row r="366" spans="1:45" ht="13.5" hidden="1" customHeight="1">
      <c r="A366" s="12"/>
      <c r="B366" s="358"/>
      <c r="C366" s="359"/>
      <c r="D366" s="359"/>
      <c r="E366" s="360"/>
      <c r="F366" s="524"/>
      <c r="G366" s="524"/>
      <c r="H366" s="362"/>
      <c r="I366" s="230"/>
      <c r="J366" s="230"/>
      <c r="K366" s="363"/>
      <c r="L366" s="364"/>
      <c r="M366" s="365"/>
      <c r="N366" s="366"/>
      <c r="O366" s="367"/>
      <c r="P366" s="368"/>
      <c r="Q366" s="369"/>
      <c r="R366" s="370"/>
      <c r="S366" s="370"/>
      <c r="T366" s="371"/>
      <c r="U366" s="372"/>
      <c r="V366" s="373"/>
      <c r="W366" s="398"/>
      <c r="X366" s="404"/>
      <c r="Y366" s="372"/>
      <c r="Z366" s="381"/>
      <c r="AA366" s="359"/>
      <c r="AB366" s="230"/>
      <c r="AC366" s="381"/>
      <c r="AD366" s="241"/>
      <c r="AE366" s="411"/>
      <c r="AF366" s="577"/>
      <c r="AG366" s="241"/>
      <c r="AH366" s="411"/>
      <c r="AI366" s="577"/>
      <c r="AJ366" s="241"/>
      <c r="AK366" s="411"/>
      <c r="AL366" s="577"/>
      <c r="AM366" s="241"/>
      <c r="AN366" s="411"/>
      <c r="AO366" s="577"/>
      <c r="AP366" s="241"/>
      <c r="AQ366" s="411"/>
      <c r="AR366" s="577"/>
      <c r="AS366" s="202"/>
    </row>
    <row r="367" spans="1:45" ht="13.5" hidden="1" customHeight="1">
      <c r="A367" s="12"/>
      <c r="B367" s="358" t="s">
        <v>2568</v>
      </c>
      <c r="C367" s="359">
        <v>21</v>
      </c>
      <c r="D367" s="359">
        <v>181</v>
      </c>
      <c r="E367" s="360"/>
      <c r="F367" s="524"/>
      <c r="G367" s="524"/>
      <c r="H367" s="362"/>
      <c r="I367" s="230"/>
      <c r="J367" s="230"/>
      <c r="K367" s="363"/>
      <c r="L367" s="364"/>
      <c r="M367" s="365"/>
      <c r="N367" s="366"/>
      <c r="O367" s="367"/>
      <c r="P367" s="368"/>
      <c r="Q367" s="369"/>
      <c r="R367" s="370"/>
      <c r="S367" s="370"/>
      <c r="T367" s="371"/>
      <c r="U367" s="372"/>
      <c r="V367" s="373"/>
      <c r="W367" s="374"/>
      <c r="X367" s="404"/>
      <c r="Y367" s="372"/>
      <c r="Z367" s="381"/>
      <c r="AA367" s="225"/>
      <c r="AB367" s="361"/>
      <c r="AC367" s="533"/>
      <c r="AD367" s="225"/>
      <c r="AE367" s="361"/>
      <c r="AF367" s="533"/>
      <c r="AG367" s="225"/>
      <c r="AH367" s="361"/>
      <c r="AI367" s="533"/>
      <c r="AJ367" s="225"/>
      <c r="AK367" s="361"/>
      <c r="AL367" s="533"/>
      <c r="AM367" s="225"/>
      <c r="AN367" s="361"/>
      <c r="AO367" s="533"/>
      <c r="AP367" s="225"/>
      <c r="AQ367" s="361"/>
      <c r="AR367" s="533"/>
      <c r="AS367" s="320"/>
    </row>
    <row r="368" spans="1:45" ht="13.5" hidden="1" customHeight="1">
      <c r="A368" s="12"/>
      <c r="B368" s="358"/>
      <c r="C368" s="359"/>
      <c r="D368" s="359"/>
      <c r="E368" s="360"/>
      <c r="F368" s="524"/>
      <c r="G368" s="524"/>
      <c r="H368" s="362"/>
      <c r="I368" s="230"/>
      <c r="J368" s="230"/>
      <c r="K368" s="363"/>
      <c r="L368" s="364"/>
      <c r="M368" s="365"/>
      <c r="N368" s="366"/>
      <c r="O368" s="367"/>
      <c r="P368" s="368"/>
      <c r="Q368" s="369"/>
      <c r="R368" s="370"/>
      <c r="S368" s="370"/>
      <c r="T368" s="371"/>
      <c r="U368" s="372"/>
      <c r="V368" s="373"/>
      <c r="W368" s="398"/>
      <c r="X368" s="404"/>
      <c r="Y368" s="372"/>
      <c r="Z368" s="381"/>
      <c r="AA368" s="241"/>
      <c r="AB368" s="411"/>
      <c r="AC368" s="577"/>
      <c r="AD368" s="241"/>
      <c r="AE368" s="411"/>
      <c r="AF368" s="577"/>
      <c r="AG368" s="241"/>
      <c r="AH368" s="411"/>
      <c r="AI368" s="577"/>
      <c r="AJ368" s="241"/>
      <c r="AK368" s="411"/>
      <c r="AL368" s="577"/>
      <c r="AM368" s="241"/>
      <c r="AN368" s="411"/>
      <c r="AO368" s="577"/>
      <c r="AP368" s="241"/>
      <c r="AQ368" s="411"/>
      <c r="AR368" s="577"/>
      <c r="AS368" s="202"/>
    </row>
    <row r="369" spans="1:45" ht="13.5" hidden="1" customHeight="1">
      <c r="A369" s="12"/>
      <c r="B369" s="358" t="s">
        <v>1266</v>
      </c>
      <c r="C369" s="359">
        <v>1</v>
      </c>
      <c r="D369" s="359">
        <v>182</v>
      </c>
      <c r="E369" s="360"/>
      <c r="F369" s="524"/>
      <c r="G369" s="524"/>
      <c r="H369" s="362"/>
      <c r="I369" s="230"/>
      <c r="J369" s="230"/>
      <c r="K369" s="363"/>
      <c r="L369" s="364"/>
      <c r="M369" s="365"/>
      <c r="N369" s="366"/>
      <c r="O369" s="367"/>
      <c r="P369" s="368"/>
      <c r="Q369" s="369"/>
      <c r="R369" s="370"/>
      <c r="S369" s="370"/>
      <c r="T369" s="371"/>
      <c r="U369" s="372"/>
      <c r="V369" s="373"/>
      <c r="W369" s="374"/>
      <c r="X369" s="404"/>
      <c r="Y369" s="372"/>
      <c r="Z369" s="381"/>
      <c r="AA369" s="225"/>
      <c r="AB369" s="361"/>
      <c r="AC369" s="533"/>
      <c r="AD369" s="225"/>
      <c r="AE369" s="361"/>
      <c r="AF369" s="533"/>
      <c r="AG369" s="225"/>
      <c r="AH369" s="361"/>
      <c r="AI369" s="533"/>
      <c r="AJ369" s="225"/>
      <c r="AK369" s="361"/>
      <c r="AL369" s="533"/>
      <c r="AM369" s="225"/>
      <c r="AN369" s="361"/>
      <c r="AO369" s="533"/>
      <c r="AP369" s="225"/>
      <c r="AQ369" s="361"/>
      <c r="AR369" s="533"/>
      <c r="AS369" s="320"/>
    </row>
    <row r="370" spans="1:45" ht="13.5" hidden="1" customHeight="1">
      <c r="A370" s="12"/>
      <c r="B370" s="358"/>
      <c r="C370" s="359"/>
      <c r="D370" s="359"/>
      <c r="E370" s="360"/>
      <c r="F370" s="524"/>
      <c r="G370" s="524"/>
      <c r="H370" s="362"/>
      <c r="I370" s="230"/>
      <c r="J370" s="230"/>
      <c r="K370" s="363"/>
      <c r="L370" s="364"/>
      <c r="M370" s="365"/>
      <c r="N370" s="366"/>
      <c r="O370" s="367"/>
      <c r="P370" s="368"/>
      <c r="Q370" s="369"/>
      <c r="R370" s="370"/>
      <c r="S370" s="370"/>
      <c r="T370" s="371"/>
      <c r="U370" s="372"/>
      <c r="V370" s="373"/>
      <c r="W370" s="398"/>
      <c r="X370" s="404"/>
      <c r="Y370" s="372"/>
      <c r="Z370" s="381"/>
      <c r="AA370" s="241"/>
      <c r="AB370" s="411"/>
      <c r="AC370" s="577"/>
      <c r="AD370" s="241"/>
      <c r="AE370" s="411"/>
      <c r="AF370" s="577"/>
      <c r="AG370" s="241"/>
      <c r="AH370" s="411"/>
      <c r="AI370" s="577"/>
      <c r="AJ370" s="241"/>
      <c r="AK370" s="411"/>
      <c r="AL370" s="577"/>
      <c r="AM370" s="241"/>
      <c r="AN370" s="411"/>
      <c r="AO370" s="577"/>
      <c r="AP370" s="241"/>
      <c r="AQ370" s="411"/>
      <c r="AR370" s="577"/>
      <c r="AS370" s="202"/>
    </row>
    <row r="371" spans="1:45" ht="13.5" hidden="1" customHeight="1">
      <c r="A371" s="12"/>
      <c r="B371" s="358" t="s">
        <v>1266</v>
      </c>
      <c r="C371" s="359">
        <v>2</v>
      </c>
      <c r="D371" s="359">
        <v>183</v>
      </c>
      <c r="E371" s="360"/>
      <c r="F371" s="524"/>
      <c r="G371" s="524"/>
      <c r="H371" s="362"/>
      <c r="I371" s="230"/>
      <c r="J371" s="230"/>
      <c r="K371" s="363"/>
      <c r="L371" s="364"/>
      <c r="M371" s="365"/>
      <c r="N371" s="366"/>
      <c r="O371" s="367"/>
      <c r="P371" s="368"/>
      <c r="Q371" s="369"/>
      <c r="R371" s="370"/>
      <c r="S371" s="370"/>
      <c r="T371" s="371"/>
      <c r="U371" s="372"/>
      <c r="V371" s="373"/>
      <c r="W371" s="374"/>
      <c r="X371" s="404"/>
      <c r="Y371" s="372"/>
      <c r="Z371" s="381"/>
      <c r="AA371" s="359"/>
      <c r="AB371" s="230"/>
      <c r="AC371" s="381"/>
      <c r="AD371" s="359"/>
      <c r="AE371" s="230"/>
      <c r="AF371" s="381"/>
      <c r="AG371" s="359"/>
      <c r="AH371" s="230"/>
      <c r="AI371" s="381"/>
      <c r="AJ371" s="359"/>
      <c r="AK371" s="230"/>
      <c r="AL371" s="381"/>
      <c r="AM371" s="359"/>
      <c r="AN371" s="230"/>
      <c r="AO371" s="381"/>
      <c r="AP371" s="359"/>
      <c r="AQ371" s="230"/>
      <c r="AR371" s="381"/>
      <c r="AS371" s="320"/>
    </row>
    <row r="372" spans="1:45" ht="13.5" hidden="1" customHeight="1">
      <c r="A372" s="12"/>
      <c r="B372" s="358"/>
      <c r="C372" s="359"/>
      <c r="D372" s="359"/>
      <c r="E372" s="360"/>
      <c r="F372" s="524"/>
      <c r="G372" s="524"/>
      <c r="H372" s="362"/>
      <c r="I372" s="230"/>
      <c r="J372" s="230"/>
      <c r="K372" s="363"/>
      <c r="L372" s="364"/>
      <c r="M372" s="365"/>
      <c r="N372" s="366"/>
      <c r="O372" s="367"/>
      <c r="P372" s="368"/>
      <c r="Q372" s="369"/>
      <c r="R372" s="370"/>
      <c r="S372" s="370"/>
      <c r="T372" s="371"/>
      <c r="U372" s="372"/>
      <c r="V372" s="373"/>
      <c r="W372" s="398"/>
      <c r="X372" s="404"/>
      <c r="Y372" s="372"/>
      <c r="Z372" s="381"/>
      <c r="AA372" s="359"/>
      <c r="AB372" s="230"/>
      <c r="AC372" s="381"/>
      <c r="AD372" s="359"/>
      <c r="AE372" s="230"/>
      <c r="AF372" s="381"/>
      <c r="AG372" s="359"/>
      <c r="AH372" s="230"/>
      <c r="AI372" s="381"/>
      <c r="AJ372" s="359"/>
      <c r="AK372" s="230"/>
      <c r="AL372" s="381"/>
      <c r="AM372" s="359"/>
      <c r="AN372" s="230"/>
      <c r="AO372" s="381"/>
      <c r="AP372" s="359"/>
      <c r="AQ372" s="230"/>
      <c r="AR372" s="381"/>
      <c r="AS372" s="202"/>
    </row>
    <row r="373" spans="1:45" ht="13.5" hidden="1" customHeight="1">
      <c r="A373" s="12"/>
      <c r="B373" s="358" t="s">
        <v>1266</v>
      </c>
      <c r="C373" s="359">
        <v>3</v>
      </c>
      <c r="D373" s="359">
        <v>184</v>
      </c>
      <c r="E373" s="360"/>
      <c r="F373" s="524"/>
      <c r="G373" s="524"/>
      <c r="H373" s="362"/>
      <c r="I373" s="230"/>
      <c r="J373" s="230"/>
      <c r="K373" s="363"/>
      <c r="L373" s="364"/>
      <c r="M373" s="452"/>
      <c r="N373" s="366"/>
      <c r="O373" s="367"/>
      <c r="P373" s="368"/>
      <c r="Q373" s="369"/>
      <c r="R373" s="370"/>
      <c r="S373" s="370"/>
      <c r="T373" s="371"/>
      <c r="U373" s="372"/>
      <c r="V373" s="373"/>
      <c r="W373" s="374"/>
      <c r="X373" s="404"/>
      <c r="Y373" s="372"/>
      <c r="Z373" s="381"/>
      <c r="AA373" s="359"/>
      <c r="AB373" s="230"/>
      <c r="AC373" s="381"/>
      <c r="AD373" s="225"/>
      <c r="AE373" s="361"/>
      <c r="AF373" s="533"/>
      <c r="AG373" s="225"/>
      <c r="AH373" s="361"/>
      <c r="AI373" s="533"/>
      <c r="AJ373" s="225"/>
      <c r="AK373" s="361"/>
      <c r="AL373" s="533"/>
      <c r="AM373" s="225"/>
      <c r="AN373" s="361"/>
      <c r="AO373" s="533"/>
      <c r="AP373" s="225"/>
      <c r="AQ373" s="361"/>
      <c r="AR373" s="533"/>
      <c r="AS373" s="320"/>
    </row>
    <row r="374" spans="1:45" ht="13.5" hidden="1" customHeight="1">
      <c r="A374" s="12"/>
      <c r="B374" s="358"/>
      <c r="C374" s="359"/>
      <c r="D374" s="359"/>
      <c r="E374" s="360"/>
      <c r="F374" s="524"/>
      <c r="G374" s="524"/>
      <c r="H374" s="362"/>
      <c r="I374" s="230"/>
      <c r="J374" s="230"/>
      <c r="K374" s="363"/>
      <c r="L374" s="364"/>
      <c r="M374" s="604"/>
      <c r="N374" s="366"/>
      <c r="O374" s="367"/>
      <c r="P374" s="368"/>
      <c r="Q374" s="369"/>
      <c r="R374" s="370"/>
      <c r="S374" s="370"/>
      <c r="T374" s="371"/>
      <c r="U374" s="372"/>
      <c r="V374" s="373"/>
      <c r="W374" s="398"/>
      <c r="X374" s="404"/>
      <c r="Y374" s="372"/>
      <c r="Z374" s="381"/>
      <c r="AA374" s="359"/>
      <c r="AB374" s="230"/>
      <c r="AC374" s="381"/>
      <c r="AD374" s="241"/>
      <c r="AE374" s="411"/>
      <c r="AF374" s="577"/>
      <c r="AG374" s="241"/>
      <c r="AH374" s="411"/>
      <c r="AI374" s="577"/>
      <c r="AJ374" s="241"/>
      <c r="AK374" s="411"/>
      <c r="AL374" s="577"/>
      <c r="AM374" s="241"/>
      <c r="AN374" s="411"/>
      <c r="AO374" s="577"/>
      <c r="AP374" s="241"/>
      <c r="AQ374" s="411"/>
      <c r="AR374" s="577"/>
      <c r="AS374" s="202"/>
    </row>
    <row r="375" spans="1:45" ht="13.5" hidden="1" customHeight="1">
      <c r="A375" s="12"/>
      <c r="B375" s="358" t="s">
        <v>1266</v>
      </c>
      <c r="C375" s="359">
        <v>4</v>
      </c>
      <c r="D375" s="359">
        <v>185</v>
      </c>
      <c r="E375" s="360"/>
      <c r="F375" s="524"/>
      <c r="G375" s="524"/>
      <c r="H375" s="362"/>
      <c r="I375" s="230"/>
      <c r="J375" s="230"/>
      <c r="K375" s="363"/>
      <c r="L375" s="364"/>
      <c r="M375" s="604"/>
      <c r="N375" s="366"/>
      <c r="O375" s="367"/>
      <c r="P375" s="368"/>
      <c r="Q375" s="369"/>
      <c r="R375" s="370"/>
      <c r="S375" s="370"/>
      <c r="T375" s="371"/>
      <c r="U375" s="372"/>
      <c r="V375" s="373"/>
      <c r="W375" s="374"/>
      <c r="X375" s="404"/>
      <c r="Y375" s="372"/>
      <c r="Z375" s="381"/>
      <c r="AA375" s="359"/>
      <c r="AB375" s="230"/>
      <c r="AC375" s="381"/>
      <c r="AD375" s="225"/>
      <c r="AE375" s="361"/>
      <c r="AF375" s="533"/>
      <c r="AG375" s="225"/>
      <c r="AH375" s="361"/>
      <c r="AI375" s="533"/>
      <c r="AJ375" s="225"/>
      <c r="AK375" s="361"/>
      <c r="AL375" s="533"/>
      <c r="AM375" s="225"/>
      <c r="AN375" s="361"/>
      <c r="AO375" s="533"/>
      <c r="AP375" s="225"/>
      <c r="AQ375" s="361"/>
      <c r="AR375" s="533"/>
      <c r="AS375" s="320"/>
    </row>
    <row r="376" spans="1:45" ht="13.5" hidden="1" customHeight="1">
      <c r="A376" s="12"/>
      <c r="B376" s="358"/>
      <c r="C376" s="359"/>
      <c r="D376" s="359"/>
      <c r="E376" s="360"/>
      <c r="F376" s="524"/>
      <c r="G376" s="524"/>
      <c r="H376" s="362"/>
      <c r="I376" s="230"/>
      <c r="J376" s="230"/>
      <c r="K376" s="363"/>
      <c r="L376" s="364"/>
      <c r="M376" s="439"/>
      <c r="N376" s="366"/>
      <c r="O376" s="367"/>
      <c r="P376" s="368"/>
      <c r="Q376" s="369"/>
      <c r="R376" s="370"/>
      <c r="S376" s="370"/>
      <c r="T376" s="371"/>
      <c r="U376" s="372"/>
      <c r="V376" s="373"/>
      <c r="W376" s="398"/>
      <c r="X376" s="404"/>
      <c r="Y376" s="372"/>
      <c r="Z376" s="381"/>
      <c r="AA376" s="359"/>
      <c r="AB376" s="230"/>
      <c r="AC376" s="381"/>
      <c r="AD376" s="241"/>
      <c r="AE376" s="411"/>
      <c r="AF376" s="577"/>
      <c r="AG376" s="241"/>
      <c r="AH376" s="411"/>
      <c r="AI376" s="577"/>
      <c r="AJ376" s="241"/>
      <c r="AK376" s="411"/>
      <c r="AL376" s="577"/>
      <c r="AM376" s="241"/>
      <c r="AN376" s="411"/>
      <c r="AO376" s="577"/>
      <c r="AP376" s="241"/>
      <c r="AQ376" s="411"/>
      <c r="AR376" s="577"/>
      <c r="AS376" s="202"/>
    </row>
    <row r="377" spans="1:45" ht="13.5" hidden="1" customHeight="1">
      <c r="A377" s="12"/>
      <c r="B377" s="358" t="s">
        <v>1266</v>
      </c>
      <c r="C377" s="359">
        <v>5</v>
      </c>
      <c r="D377" s="359">
        <v>186</v>
      </c>
      <c r="E377" s="360"/>
      <c r="F377" s="524"/>
      <c r="G377" s="524"/>
      <c r="H377" s="362"/>
      <c r="I377" s="230"/>
      <c r="J377" s="230"/>
      <c r="K377" s="363"/>
      <c r="L377" s="364"/>
      <c r="M377" s="365"/>
      <c r="N377" s="366"/>
      <c r="O377" s="367"/>
      <c r="P377" s="368"/>
      <c r="Q377" s="369"/>
      <c r="R377" s="370"/>
      <c r="S377" s="370"/>
      <c r="T377" s="371"/>
      <c r="U377" s="372"/>
      <c r="V377" s="373"/>
      <c r="W377" s="374"/>
      <c r="X377" s="404"/>
      <c r="Y377" s="372"/>
      <c r="Z377" s="381"/>
      <c r="AA377" s="225"/>
      <c r="AB377" s="361"/>
      <c r="AC377" s="533"/>
      <c r="AD377" s="225"/>
      <c r="AE377" s="361"/>
      <c r="AF377" s="533"/>
      <c r="AG377" s="225"/>
      <c r="AH377" s="361"/>
      <c r="AI377" s="533"/>
      <c r="AJ377" s="225"/>
      <c r="AK377" s="361"/>
      <c r="AL377" s="533"/>
      <c r="AM377" s="225"/>
      <c r="AN377" s="361"/>
      <c r="AO377" s="533"/>
      <c r="AP377" s="225"/>
      <c r="AQ377" s="361"/>
      <c r="AR377" s="533"/>
      <c r="AS377" s="320"/>
    </row>
    <row r="378" spans="1:45" ht="13.5" hidden="1" customHeight="1">
      <c r="A378" s="12"/>
      <c r="B378" s="358"/>
      <c r="C378" s="359"/>
      <c r="D378" s="359"/>
      <c r="E378" s="360"/>
      <c r="F378" s="524"/>
      <c r="G378" s="524"/>
      <c r="H378" s="362"/>
      <c r="I378" s="230"/>
      <c r="J378" s="230"/>
      <c r="K378" s="363"/>
      <c r="L378" s="364"/>
      <c r="M378" s="365"/>
      <c r="N378" s="366"/>
      <c r="O378" s="367"/>
      <c r="P378" s="368"/>
      <c r="Q378" s="369"/>
      <c r="R378" s="370"/>
      <c r="S378" s="370"/>
      <c r="T378" s="371"/>
      <c r="U378" s="372"/>
      <c r="V378" s="373"/>
      <c r="W378" s="398"/>
      <c r="X378" s="404"/>
      <c r="Y378" s="372"/>
      <c r="Z378" s="381"/>
      <c r="AA378" s="241"/>
      <c r="AB378" s="411"/>
      <c r="AC378" s="577"/>
      <c r="AD378" s="241"/>
      <c r="AE378" s="411"/>
      <c r="AF378" s="577"/>
      <c r="AG378" s="241"/>
      <c r="AH378" s="411"/>
      <c r="AI378" s="577"/>
      <c r="AJ378" s="241"/>
      <c r="AK378" s="411"/>
      <c r="AL378" s="577"/>
      <c r="AM378" s="241"/>
      <c r="AN378" s="411"/>
      <c r="AO378" s="577"/>
      <c r="AP378" s="241"/>
      <c r="AQ378" s="411"/>
      <c r="AR378" s="577"/>
      <c r="AS378" s="202"/>
    </row>
    <row r="379" spans="1:45" ht="13.5" hidden="1" customHeight="1">
      <c r="A379" s="12"/>
      <c r="B379" s="358" t="s">
        <v>1266</v>
      </c>
      <c r="C379" s="359">
        <v>6</v>
      </c>
      <c r="D379" s="359">
        <v>187</v>
      </c>
      <c r="E379" s="360"/>
      <c r="F379" s="524"/>
      <c r="G379" s="524"/>
      <c r="H379" s="362"/>
      <c r="I379" s="230"/>
      <c r="J379" s="230"/>
      <c r="K379" s="363"/>
      <c r="L379" s="364"/>
      <c r="M379" s="365"/>
      <c r="N379" s="366"/>
      <c r="O379" s="367"/>
      <c r="P379" s="368"/>
      <c r="Q379" s="369"/>
      <c r="R379" s="370"/>
      <c r="S379" s="370"/>
      <c r="T379" s="371"/>
      <c r="U379" s="372"/>
      <c r="V379" s="373"/>
      <c r="W379" s="374"/>
      <c r="X379" s="404"/>
      <c r="Y379" s="372"/>
      <c r="Z379" s="381"/>
      <c r="AA379" s="225"/>
      <c r="AB379" s="361"/>
      <c r="AC379" s="533"/>
      <c r="AD379" s="225"/>
      <c r="AE379" s="361"/>
      <c r="AF379" s="533"/>
      <c r="AG379" s="225"/>
      <c r="AH379" s="361"/>
      <c r="AI379" s="533"/>
      <c r="AJ379" s="225"/>
      <c r="AK379" s="361"/>
      <c r="AL379" s="533"/>
      <c r="AM379" s="225"/>
      <c r="AN379" s="361"/>
      <c r="AO379" s="533"/>
      <c r="AP379" s="225"/>
      <c r="AQ379" s="361"/>
      <c r="AR379" s="533"/>
      <c r="AS379" s="320"/>
    </row>
    <row r="380" spans="1:45" ht="13.5" hidden="1" customHeight="1">
      <c r="A380" s="12"/>
      <c r="B380" s="358"/>
      <c r="C380" s="359"/>
      <c r="D380" s="359"/>
      <c r="E380" s="360"/>
      <c r="F380" s="524"/>
      <c r="G380" s="524"/>
      <c r="H380" s="362"/>
      <c r="I380" s="230"/>
      <c r="J380" s="230"/>
      <c r="K380" s="363"/>
      <c r="L380" s="364"/>
      <c r="M380" s="365"/>
      <c r="N380" s="366"/>
      <c r="O380" s="367"/>
      <c r="P380" s="368"/>
      <c r="Q380" s="369"/>
      <c r="R380" s="370"/>
      <c r="S380" s="370"/>
      <c r="T380" s="371"/>
      <c r="U380" s="372"/>
      <c r="V380" s="373"/>
      <c r="W380" s="398"/>
      <c r="X380" s="404"/>
      <c r="Y380" s="372"/>
      <c r="Z380" s="381"/>
      <c r="AA380" s="241"/>
      <c r="AB380" s="411"/>
      <c r="AC380" s="577"/>
      <c r="AD380" s="241"/>
      <c r="AE380" s="411"/>
      <c r="AF380" s="577"/>
      <c r="AG380" s="241"/>
      <c r="AH380" s="411"/>
      <c r="AI380" s="577"/>
      <c r="AJ380" s="241"/>
      <c r="AK380" s="411"/>
      <c r="AL380" s="577"/>
      <c r="AM380" s="241"/>
      <c r="AN380" s="411"/>
      <c r="AO380" s="577"/>
      <c r="AP380" s="241"/>
      <c r="AQ380" s="411"/>
      <c r="AR380" s="577"/>
      <c r="AS380" s="202"/>
    </row>
    <row r="381" spans="1:45" ht="13.5" hidden="1" customHeight="1">
      <c r="A381" s="12"/>
      <c r="B381" s="358" t="s">
        <v>1266</v>
      </c>
      <c r="C381" s="359">
        <v>7</v>
      </c>
      <c r="D381" s="359">
        <v>188</v>
      </c>
      <c r="E381" s="360"/>
      <c r="F381" s="524"/>
      <c r="G381" s="524"/>
      <c r="H381" s="362"/>
      <c r="I381" s="230"/>
      <c r="J381" s="230"/>
      <c r="K381" s="363"/>
      <c r="L381" s="364"/>
      <c r="M381" s="365"/>
      <c r="N381" s="366"/>
      <c r="O381" s="367"/>
      <c r="P381" s="368"/>
      <c r="Q381" s="369"/>
      <c r="R381" s="370"/>
      <c r="S381" s="370"/>
      <c r="T381" s="371"/>
      <c r="U381" s="372"/>
      <c r="V381" s="373"/>
      <c r="W381" s="374"/>
      <c r="X381" s="404"/>
      <c r="Y381" s="372"/>
      <c r="Z381" s="381"/>
      <c r="AA381" s="225"/>
      <c r="AB381" s="361"/>
      <c r="AC381" s="533"/>
      <c r="AD381" s="225"/>
      <c r="AE381" s="361"/>
      <c r="AF381" s="533"/>
      <c r="AG381" s="225"/>
      <c r="AH381" s="361"/>
      <c r="AI381" s="533"/>
      <c r="AJ381" s="225"/>
      <c r="AK381" s="361"/>
      <c r="AL381" s="533"/>
      <c r="AM381" s="225"/>
      <c r="AN381" s="361"/>
      <c r="AO381" s="533"/>
      <c r="AP381" s="225"/>
      <c r="AQ381" s="361"/>
      <c r="AR381" s="533"/>
      <c r="AS381" s="320"/>
    </row>
    <row r="382" spans="1:45" ht="13.5" hidden="1" customHeight="1">
      <c r="A382" s="12"/>
      <c r="B382" s="358"/>
      <c r="C382" s="359"/>
      <c r="D382" s="359"/>
      <c r="E382" s="360"/>
      <c r="F382" s="524"/>
      <c r="G382" s="524"/>
      <c r="H382" s="362"/>
      <c r="I382" s="230"/>
      <c r="J382" s="230"/>
      <c r="K382" s="363"/>
      <c r="L382" s="364"/>
      <c r="M382" s="365"/>
      <c r="N382" s="366"/>
      <c r="O382" s="367"/>
      <c r="P382" s="368"/>
      <c r="Q382" s="369"/>
      <c r="R382" s="370"/>
      <c r="S382" s="370"/>
      <c r="T382" s="371"/>
      <c r="U382" s="372"/>
      <c r="V382" s="373"/>
      <c r="W382" s="398"/>
      <c r="X382" s="404"/>
      <c r="Y382" s="372"/>
      <c r="Z382" s="381"/>
      <c r="AA382" s="325"/>
      <c r="AB382" s="378"/>
      <c r="AC382" s="377"/>
      <c r="AD382" s="241"/>
      <c r="AE382" s="411"/>
      <c r="AF382" s="577"/>
      <c r="AG382" s="241"/>
      <c r="AH382" s="411"/>
      <c r="AI382" s="577"/>
      <c r="AJ382" s="241"/>
      <c r="AK382" s="411"/>
      <c r="AL382" s="577"/>
      <c r="AM382" s="241"/>
      <c r="AN382" s="411"/>
      <c r="AO382" s="577"/>
      <c r="AP382" s="241"/>
      <c r="AQ382" s="411"/>
      <c r="AR382" s="577"/>
      <c r="AS382" s="202"/>
    </row>
    <row r="383" spans="1:45" ht="13.5" hidden="1" customHeight="1">
      <c r="A383" s="12"/>
      <c r="B383" s="358" t="s">
        <v>1266</v>
      </c>
      <c r="C383" s="359">
        <v>8</v>
      </c>
      <c r="D383" s="359">
        <v>189</v>
      </c>
      <c r="E383" s="360"/>
      <c r="F383" s="524"/>
      <c r="G383" s="524"/>
      <c r="H383" s="362"/>
      <c r="I383" s="230"/>
      <c r="J383" s="230"/>
      <c r="K383" s="363"/>
      <c r="L383" s="364"/>
      <c r="M383" s="365"/>
      <c r="N383" s="366"/>
      <c r="O383" s="367"/>
      <c r="P383" s="368"/>
      <c r="Q383" s="369"/>
      <c r="R383" s="370"/>
      <c r="S383" s="370"/>
      <c r="T383" s="371"/>
      <c r="U383" s="372"/>
      <c r="V383" s="373"/>
      <c r="W383" s="374"/>
      <c r="X383" s="404"/>
      <c r="Y383" s="372"/>
      <c r="Z383" s="381"/>
      <c r="AA383" s="359"/>
      <c r="AB383" s="230"/>
      <c r="AC383" s="381"/>
      <c r="AD383" s="225"/>
      <c r="AE383" s="361"/>
      <c r="AF383" s="533"/>
      <c r="AG383" s="225"/>
      <c r="AH383" s="361"/>
      <c r="AI383" s="533"/>
      <c r="AJ383" s="225"/>
      <c r="AK383" s="361"/>
      <c r="AL383" s="533"/>
      <c r="AM383" s="225"/>
      <c r="AN383" s="361"/>
      <c r="AO383" s="533"/>
      <c r="AP383" s="225"/>
      <c r="AQ383" s="361"/>
      <c r="AR383" s="533"/>
      <c r="AS383" s="320"/>
    </row>
    <row r="384" spans="1:45" ht="13.5" hidden="1" customHeight="1">
      <c r="A384" s="12"/>
      <c r="B384" s="358"/>
      <c r="C384" s="359"/>
      <c r="D384" s="359"/>
      <c r="E384" s="360"/>
      <c r="F384" s="524"/>
      <c r="G384" s="524"/>
      <c r="H384" s="362"/>
      <c r="I384" s="230"/>
      <c r="J384" s="230"/>
      <c r="K384" s="363"/>
      <c r="L384" s="364"/>
      <c r="M384" s="365"/>
      <c r="N384" s="366"/>
      <c r="O384" s="367"/>
      <c r="P384" s="368"/>
      <c r="Q384" s="369"/>
      <c r="R384" s="370"/>
      <c r="S384" s="370"/>
      <c r="T384" s="371"/>
      <c r="U384" s="372"/>
      <c r="V384" s="373"/>
      <c r="W384" s="398"/>
      <c r="X384" s="404"/>
      <c r="Y384" s="372"/>
      <c r="Z384" s="381"/>
      <c r="AA384" s="359"/>
      <c r="AB384" s="230"/>
      <c r="AC384" s="381"/>
      <c r="AD384" s="241"/>
      <c r="AE384" s="411"/>
      <c r="AF384" s="577"/>
      <c r="AG384" s="241"/>
      <c r="AH384" s="411"/>
      <c r="AI384" s="577"/>
      <c r="AJ384" s="241"/>
      <c r="AK384" s="411"/>
      <c r="AL384" s="577"/>
      <c r="AM384" s="241"/>
      <c r="AN384" s="411"/>
      <c r="AO384" s="577"/>
      <c r="AP384" s="241"/>
      <c r="AQ384" s="411"/>
      <c r="AR384" s="577"/>
      <c r="AS384" s="202"/>
    </row>
    <row r="385" spans="1:45" ht="13.5" hidden="1" customHeight="1">
      <c r="A385" s="12"/>
      <c r="B385" s="358" t="s">
        <v>1266</v>
      </c>
      <c r="C385" s="359">
        <v>9</v>
      </c>
      <c r="D385" s="359">
        <v>190</v>
      </c>
      <c r="E385" s="360"/>
      <c r="F385" s="524"/>
      <c r="G385" s="524"/>
      <c r="H385" s="362"/>
      <c r="I385" s="230"/>
      <c r="J385" s="230"/>
      <c r="K385" s="363"/>
      <c r="L385" s="364"/>
      <c r="M385" s="365"/>
      <c r="N385" s="366"/>
      <c r="O385" s="367"/>
      <c r="P385" s="368"/>
      <c r="Q385" s="369"/>
      <c r="R385" s="370"/>
      <c r="S385" s="370"/>
      <c r="T385" s="371"/>
      <c r="U385" s="372"/>
      <c r="V385" s="373"/>
      <c r="W385" s="374"/>
      <c r="X385" s="404"/>
      <c r="Y385" s="372"/>
      <c r="Z385" s="381"/>
      <c r="AA385" s="359"/>
      <c r="AB385" s="230"/>
      <c r="AC385" s="381"/>
      <c r="AD385" s="225"/>
      <c r="AE385" s="361"/>
      <c r="AF385" s="533"/>
      <c r="AG385" s="225"/>
      <c r="AH385" s="361"/>
      <c r="AI385" s="533"/>
      <c r="AJ385" s="225"/>
      <c r="AK385" s="361"/>
      <c r="AL385" s="533"/>
      <c r="AM385" s="225"/>
      <c r="AN385" s="361"/>
      <c r="AO385" s="533"/>
      <c r="AP385" s="225"/>
      <c r="AQ385" s="361"/>
      <c r="AR385" s="533"/>
      <c r="AS385" s="320"/>
    </row>
    <row r="386" spans="1:45" ht="13.5" hidden="1" customHeight="1">
      <c r="A386" s="12"/>
      <c r="B386" s="358"/>
      <c r="C386" s="359"/>
      <c r="D386" s="359"/>
      <c r="E386" s="360"/>
      <c r="F386" s="524"/>
      <c r="G386" s="524"/>
      <c r="H386" s="362"/>
      <c r="I386" s="230"/>
      <c r="J386" s="230"/>
      <c r="K386" s="363"/>
      <c r="L386" s="364"/>
      <c r="M386" s="365"/>
      <c r="N386" s="366"/>
      <c r="O386" s="367"/>
      <c r="P386" s="368"/>
      <c r="Q386" s="369"/>
      <c r="R386" s="370"/>
      <c r="S386" s="370"/>
      <c r="T386" s="371"/>
      <c r="U386" s="372"/>
      <c r="V386" s="373"/>
      <c r="W386" s="398"/>
      <c r="X386" s="404"/>
      <c r="Y386" s="372"/>
      <c r="Z386" s="381"/>
      <c r="AA386" s="359"/>
      <c r="AB386" s="230"/>
      <c r="AC386" s="381"/>
      <c r="AD386" s="241"/>
      <c r="AE386" s="411"/>
      <c r="AF386" s="577"/>
      <c r="AG386" s="241"/>
      <c r="AH386" s="411"/>
      <c r="AI386" s="577"/>
      <c r="AJ386" s="241"/>
      <c r="AK386" s="411"/>
      <c r="AL386" s="577"/>
      <c r="AM386" s="241"/>
      <c r="AN386" s="411"/>
      <c r="AO386" s="577"/>
      <c r="AP386" s="241"/>
      <c r="AQ386" s="411"/>
      <c r="AR386" s="577"/>
      <c r="AS386" s="202"/>
    </row>
    <row r="387" spans="1:45" ht="13.5" hidden="1" customHeight="1">
      <c r="A387" s="12"/>
      <c r="B387" s="358" t="s">
        <v>1266</v>
      </c>
      <c r="C387" s="359">
        <v>10</v>
      </c>
      <c r="D387" s="359">
        <v>191</v>
      </c>
      <c r="E387" s="360"/>
      <c r="F387" s="524"/>
      <c r="G387" s="524"/>
      <c r="H387" s="362"/>
      <c r="I387" s="230"/>
      <c r="J387" s="230"/>
      <c r="K387" s="363"/>
      <c r="L387" s="364"/>
      <c r="M387" s="365"/>
      <c r="N387" s="366"/>
      <c r="O387" s="367"/>
      <c r="P387" s="368"/>
      <c r="Q387" s="369"/>
      <c r="R387" s="370"/>
      <c r="S387" s="370"/>
      <c r="T387" s="371"/>
      <c r="U387" s="372"/>
      <c r="V387" s="373"/>
      <c r="W387" s="374"/>
      <c r="X387" s="404"/>
      <c r="Y387" s="372"/>
      <c r="Z387" s="381"/>
      <c r="AA387" s="225"/>
      <c r="AB387" s="361"/>
      <c r="AC387" s="533"/>
      <c r="AD387" s="225"/>
      <c r="AE387" s="361"/>
      <c r="AF387" s="533"/>
      <c r="AG387" s="225"/>
      <c r="AH387" s="361"/>
      <c r="AI387" s="533"/>
      <c r="AJ387" s="225"/>
      <c r="AK387" s="361"/>
      <c r="AL387" s="533"/>
      <c r="AM387" s="225"/>
      <c r="AN387" s="361"/>
      <c r="AO387" s="533"/>
      <c r="AP387" s="225"/>
      <c r="AQ387" s="361"/>
      <c r="AR387" s="533"/>
      <c r="AS387" s="320"/>
    </row>
    <row r="388" spans="1:45" ht="13.5" hidden="1" customHeight="1">
      <c r="A388" s="12"/>
      <c r="B388" s="358"/>
      <c r="C388" s="359"/>
      <c r="D388" s="359"/>
      <c r="E388" s="360"/>
      <c r="F388" s="524"/>
      <c r="G388" s="524"/>
      <c r="H388" s="362"/>
      <c r="I388" s="230"/>
      <c r="J388" s="230"/>
      <c r="K388" s="363"/>
      <c r="L388" s="364"/>
      <c r="M388" s="365"/>
      <c r="N388" s="366"/>
      <c r="O388" s="367"/>
      <c r="P388" s="368"/>
      <c r="Q388" s="369"/>
      <c r="R388" s="370"/>
      <c r="S388" s="370"/>
      <c r="T388" s="371"/>
      <c r="U388" s="372"/>
      <c r="V388" s="373"/>
      <c r="W388" s="398"/>
      <c r="X388" s="404"/>
      <c r="Y388" s="372"/>
      <c r="Z388" s="381"/>
      <c r="AA388" s="241"/>
      <c r="AB388" s="411"/>
      <c r="AC388" s="577"/>
      <c r="AD388" s="241"/>
      <c r="AE388" s="411"/>
      <c r="AF388" s="577"/>
      <c r="AG388" s="241"/>
      <c r="AH388" s="411"/>
      <c r="AI388" s="577"/>
      <c r="AJ388" s="241"/>
      <c r="AK388" s="411"/>
      <c r="AL388" s="577"/>
      <c r="AM388" s="241"/>
      <c r="AN388" s="411"/>
      <c r="AO388" s="577"/>
      <c r="AP388" s="241"/>
      <c r="AQ388" s="411"/>
      <c r="AR388" s="577"/>
      <c r="AS388" s="202"/>
    </row>
    <row r="389" spans="1:45" ht="13.5" hidden="1" customHeight="1">
      <c r="A389" s="12"/>
      <c r="B389" s="358" t="s">
        <v>1266</v>
      </c>
      <c r="C389" s="359">
        <v>11</v>
      </c>
      <c r="D389" s="359">
        <v>192</v>
      </c>
      <c r="E389" s="360"/>
      <c r="F389" s="524"/>
      <c r="G389" s="524"/>
      <c r="H389" s="362"/>
      <c r="I389" s="230"/>
      <c r="J389" s="230"/>
      <c r="K389" s="363"/>
      <c r="L389" s="364"/>
      <c r="M389" s="365"/>
      <c r="N389" s="366"/>
      <c r="O389" s="367"/>
      <c r="P389" s="368"/>
      <c r="Q389" s="369"/>
      <c r="R389" s="370"/>
      <c r="S389" s="370"/>
      <c r="T389" s="371"/>
      <c r="U389" s="372"/>
      <c r="V389" s="373"/>
      <c r="W389" s="374"/>
      <c r="X389" s="404"/>
      <c r="Y389" s="372"/>
      <c r="Z389" s="381"/>
      <c r="AA389" s="225"/>
      <c r="AB389" s="361"/>
      <c r="AC389" s="533"/>
      <c r="AD389" s="225"/>
      <c r="AE389" s="361"/>
      <c r="AF389" s="533"/>
      <c r="AG389" s="225"/>
      <c r="AH389" s="361"/>
      <c r="AI389" s="533"/>
      <c r="AJ389" s="225"/>
      <c r="AK389" s="361"/>
      <c r="AL389" s="533"/>
      <c r="AM389" s="225"/>
      <c r="AN389" s="361"/>
      <c r="AO389" s="533"/>
      <c r="AP389" s="225"/>
      <c r="AQ389" s="361"/>
      <c r="AR389" s="533"/>
      <c r="AS389" s="320"/>
    </row>
    <row r="390" spans="1:45" ht="13.5" hidden="1" customHeight="1">
      <c r="A390" s="12"/>
      <c r="B390" s="358"/>
      <c r="C390" s="359"/>
      <c r="D390" s="359"/>
      <c r="E390" s="360"/>
      <c r="F390" s="524"/>
      <c r="G390" s="524"/>
      <c r="H390" s="362"/>
      <c r="I390" s="230"/>
      <c r="J390" s="230"/>
      <c r="K390" s="363"/>
      <c r="L390" s="364"/>
      <c r="M390" s="365"/>
      <c r="N390" s="366"/>
      <c r="O390" s="367"/>
      <c r="P390" s="368"/>
      <c r="Q390" s="369"/>
      <c r="R390" s="370"/>
      <c r="S390" s="370"/>
      <c r="T390" s="371"/>
      <c r="U390" s="372"/>
      <c r="V390" s="373"/>
      <c r="W390" s="398"/>
      <c r="X390" s="404"/>
      <c r="Y390" s="372"/>
      <c r="Z390" s="381"/>
      <c r="AA390" s="241"/>
      <c r="AB390" s="411"/>
      <c r="AC390" s="577"/>
      <c r="AD390" s="241"/>
      <c r="AE390" s="411"/>
      <c r="AF390" s="577"/>
      <c r="AG390" s="241"/>
      <c r="AH390" s="411"/>
      <c r="AI390" s="577"/>
      <c r="AJ390" s="241"/>
      <c r="AK390" s="411"/>
      <c r="AL390" s="577"/>
      <c r="AM390" s="241"/>
      <c r="AN390" s="411"/>
      <c r="AO390" s="577"/>
      <c r="AP390" s="241"/>
      <c r="AQ390" s="411"/>
      <c r="AR390" s="577"/>
      <c r="AS390" s="202"/>
    </row>
    <row r="391" spans="1:45" ht="13.5" hidden="1" customHeight="1">
      <c r="A391" s="12"/>
      <c r="B391" s="358" t="s">
        <v>1266</v>
      </c>
      <c r="C391" s="359">
        <v>12</v>
      </c>
      <c r="D391" s="359">
        <v>193</v>
      </c>
      <c r="E391" s="360"/>
      <c r="F391" s="524"/>
      <c r="G391" s="524"/>
      <c r="H391" s="230"/>
      <c r="I391" s="230"/>
      <c r="J391" s="230"/>
      <c r="K391" s="368"/>
      <c r="L391" s="364"/>
      <c r="M391" s="365"/>
      <c r="N391" s="366"/>
      <c r="O391" s="367"/>
      <c r="P391" s="368"/>
      <c r="Q391" s="369"/>
      <c r="R391" s="605"/>
      <c r="S391" s="590"/>
      <c r="T391" s="371"/>
      <c r="U391" s="372"/>
      <c r="V391" s="515"/>
      <c r="W391" s="374"/>
      <c r="X391" s="404"/>
      <c r="Y391" s="384"/>
      <c r="Z391" s="513"/>
      <c r="AA391" s="225"/>
      <c r="AB391" s="361"/>
      <c r="AC391" s="533"/>
      <c r="AD391" s="225"/>
      <c r="AE391" s="361"/>
      <c r="AF391" s="533"/>
      <c r="AG391" s="225"/>
      <c r="AH391" s="361"/>
      <c r="AI391" s="533"/>
      <c r="AJ391" s="225"/>
      <c r="AK391" s="361"/>
      <c r="AL391" s="533"/>
      <c r="AM391" s="225"/>
      <c r="AN391" s="361"/>
      <c r="AO391" s="533"/>
      <c r="AP391" s="225"/>
      <c r="AQ391" s="361"/>
      <c r="AR391" s="533"/>
      <c r="AS391" s="320"/>
    </row>
    <row r="392" spans="1:45" ht="13.5" hidden="1" customHeight="1">
      <c r="A392" s="12"/>
      <c r="B392" s="358"/>
      <c r="C392" s="359"/>
      <c r="D392" s="359"/>
      <c r="E392" s="360"/>
      <c r="F392" s="524"/>
      <c r="G392" s="524"/>
      <c r="H392" s="230"/>
      <c r="I392" s="230"/>
      <c r="J392" s="230"/>
      <c r="K392" s="368"/>
      <c r="L392" s="364"/>
      <c r="M392" s="365"/>
      <c r="N392" s="366"/>
      <c r="O392" s="367"/>
      <c r="P392" s="368"/>
      <c r="Q392" s="369"/>
      <c r="R392" s="605"/>
      <c r="S392" s="590"/>
      <c r="T392" s="371"/>
      <c r="U392" s="372"/>
      <c r="V392" s="515"/>
      <c r="W392" s="398"/>
      <c r="X392" s="404"/>
      <c r="Y392" s="384"/>
      <c r="Z392" s="513"/>
      <c r="AA392" s="241"/>
      <c r="AB392" s="411"/>
      <c r="AC392" s="577"/>
      <c r="AD392" s="241"/>
      <c r="AE392" s="411"/>
      <c r="AF392" s="577"/>
      <c r="AG392" s="241"/>
      <c r="AH392" s="411"/>
      <c r="AI392" s="577"/>
      <c r="AJ392" s="241"/>
      <c r="AK392" s="411"/>
      <c r="AL392" s="577"/>
      <c r="AM392" s="241"/>
      <c r="AN392" s="411"/>
      <c r="AO392" s="577"/>
      <c r="AP392" s="241"/>
      <c r="AQ392" s="411"/>
      <c r="AR392" s="577"/>
      <c r="AS392" s="202"/>
    </row>
    <row r="393" spans="1:45" ht="13.5" hidden="1" customHeight="1">
      <c r="A393" s="12"/>
      <c r="B393" s="358" t="s">
        <v>1266</v>
      </c>
      <c r="C393" s="359">
        <v>13</v>
      </c>
      <c r="D393" s="359">
        <v>194</v>
      </c>
      <c r="E393" s="360"/>
      <c r="F393" s="524"/>
      <c r="G393" s="524"/>
      <c r="H393" s="230"/>
      <c r="I393" s="230"/>
      <c r="J393" s="230"/>
      <c r="K393" s="368"/>
      <c r="L393" s="364"/>
      <c r="M393" s="365"/>
      <c r="N393" s="366"/>
      <c r="O393" s="367"/>
      <c r="P393" s="368"/>
      <c r="Q393" s="369"/>
      <c r="R393" s="605"/>
      <c r="S393" s="590"/>
      <c r="T393" s="371"/>
      <c r="U393" s="372"/>
      <c r="V393" s="515"/>
      <c r="W393" s="374"/>
      <c r="X393" s="404"/>
      <c r="Y393" s="384"/>
      <c r="Z393" s="513"/>
      <c r="AA393" s="225"/>
      <c r="AB393" s="361"/>
      <c r="AC393" s="533"/>
      <c r="AD393" s="225"/>
      <c r="AE393" s="361"/>
      <c r="AF393" s="533"/>
      <c r="AG393" s="225"/>
      <c r="AH393" s="361"/>
      <c r="AI393" s="533"/>
      <c r="AJ393" s="225"/>
      <c r="AK393" s="361"/>
      <c r="AL393" s="533"/>
      <c r="AM393" s="225"/>
      <c r="AN393" s="361"/>
      <c r="AO393" s="533"/>
      <c r="AP393" s="225"/>
      <c r="AQ393" s="361"/>
      <c r="AR393" s="533"/>
      <c r="AS393" s="320"/>
    </row>
    <row r="394" spans="1:45" ht="13.5" hidden="1" customHeight="1">
      <c r="A394" s="12"/>
      <c r="B394" s="358"/>
      <c r="C394" s="359"/>
      <c r="D394" s="359"/>
      <c r="E394" s="360"/>
      <c r="F394" s="524"/>
      <c r="G394" s="524"/>
      <c r="H394" s="230"/>
      <c r="I394" s="230"/>
      <c r="J394" s="230"/>
      <c r="K394" s="368"/>
      <c r="L394" s="364"/>
      <c r="M394" s="365"/>
      <c r="N394" s="366"/>
      <c r="O394" s="367"/>
      <c r="P394" s="368"/>
      <c r="Q394" s="369"/>
      <c r="R394" s="605"/>
      <c r="S394" s="590"/>
      <c r="T394" s="371"/>
      <c r="U394" s="372"/>
      <c r="V394" s="515"/>
      <c r="W394" s="398"/>
      <c r="X394" s="404"/>
      <c r="Y394" s="384"/>
      <c r="Z394" s="513"/>
      <c r="AA394" s="241"/>
      <c r="AB394" s="411"/>
      <c r="AC394" s="577"/>
      <c r="AD394" s="241"/>
      <c r="AE394" s="411"/>
      <c r="AF394" s="577"/>
      <c r="AG394" s="241"/>
      <c r="AH394" s="411"/>
      <c r="AI394" s="577"/>
      <c r="AJ394" s="241"/>
      <c r="AK394" s="411"/>
      <c r="AL394" s="577"/>
      <c r="AM394" s="241"/>
      <c r="AN394" s="411"/>
      <c r="AO394" s="577"/>
      <c r="AP394" s="241"/>
      <c r="AQ394" s="411"/>
      <c r="AR394" s="577"/>
      <c r="AS394" s="202"/>
    </row>
    <row r="395" spans="1:45" ht="13.5" hidden="1" customHeight="1">
      <c r="A395" s="12"/>
      <c r="B395" s="358" t="s">
        <v>1266</v>
      </c>
      <c r="C395" s="359">
        <v>14</v>
      </c>
      <c r="D395" s="359">
        <v>195</v>
      </c>
      <c r="E395" s="360"/>
      <c r="F395" s="524"/>
      <c r="G395" s="524"/>
      <c r="H395" s="362"/>
      <c r="I395" s="230"/>
      <c r="J395" s="230"/>
      <c r="K395" s="363"/>
      <c r="L395" s="364"/>
      <c r="M395" s="365"/>
      <c r="N395" s="366"/>
      <c r="O395" s="367"/>
      <c r="P395" s="368"/>
      <c r="Q395" s="369"/>
      <c r="R395" s="370"/>
      <c r="S395" s="370"/>
      <c r="T395" s="371"/>
      <c r="U395" s="372"/>
      <c r="V395" s="373"/>
      <c r="W395" s="374"/>
      <c r="X395" s="404"/>
      <c r="Y395" s="372"/>
      <c r="Z395" s="381"/>
      <c r="AA395" s="225"/>
      <c r="AB395" s="361"/>
      <c r="AC395" s="533"/>
      <c r="AD395" s="225"/>
      <c r="AE395" s="361"/>
      <c r="AF395" s="533"/>
      <c r="AG395" s="225"/>
      <c r="AH395" s="361"/>
      <c r="AI395" s="533"/>
      <c r="AJ395" s="225"/>
      <c r="AK395" s="361"/>
      <c r="AL395" s="533"/>
      <c r="AM395" s="225"/>
      <c r="AN395" s="361"/>
      <c r="AO395" s="533"/>
      <c r="AP395" s="225"/>
      <c r="AQ395" s="361"/>
      <c r="AR395" s="533"/>
      <c r="AS395" s="320"/>
    </row>
    <row r="396" spans="1:45" ht="13.5" hidden="1" customHeight="1">
      <c r="A396" s="12"/>
      <c r="B396" s="358"/>
      <c r="C396" s="359"/>
      <c r="D396" s="359"/>
      <c r="E396" s="360"/>
      <c r="F396" s="524"/>
      <c r="G396" s="524"/>
      <c r="H396" s="362"/>
      <c r="I396" s="230"/>
      <c r="J396" s="230"/>
      <c r="K396" s="363"/>
      <c r="L396" s="364"/>
      <c r="M396" s="365"/>
      <c r="N396" s="366"/>
      <c r="O396" s="367"/>
      <c r="P396" s="368"/>
      <c r="Q396" s="369"/>
      <c r="R396" s="370"/>
      <c r="S396" s="370"/>
      <c r="T396" s="371"/>
      <c r="U396" s="372"/>
      <c r="V396" s="373"/>
      <c r="W396" s="398"/>
      <c r="X396" s="404"/>
      <c r="Y396" s="372"/>
      <c r="Z396" s="381"/>
      <c r="AA396" s="241"/>
      <c r="AB396" s="411"/>
      <c r="AC396" s="577"/>
      <c r="AD396" s="241"/>
      <c r="AE396" s="411"/>
      <c r="AF396" s="577"/>
      <c r="AG396" s="241"/>
      <c r="AH396" s="411"/>
      <c r="AI396" s="577"/>
      <c r="AJ396" s="241"/>
      <c r="AK396" s="411"/>
      <c r="AL396" s="577"/>
      <c r="AM396" s="241"/>
      <c r="AN396" s="411"/>
      <c r="AO396" s="577"/>
      <c r="AP396" s="241"/>
      <c r="AQ396" s="411"/>
      <c r="AR396" s="577"/>
      <c r="AS396" s="202"/>
    </row>
    <row r="397" spans="1:45" ht="13.5" hidden="1" customHeight="1">
      <c r="A397" s="12"/>
      <c r="B397" s="358" t="s">
        <v>1266</v>
      </c>
      <c r="C397" s="359">
        <v>15</v>
      </c>
      <c r="D397" s="359">
        <v>196</v>
      </c>
      <c r="E397" s="360"/>
      <c r="F397" s="524"/>
      <c r="G397" s="524"/>
      <c r="H397" s="362"/>
      <c r="I397" s="230"/>
      <c r="J397" s="230"/>
      <c r="K397" s="363"/>
      <c r="L397" s="364"/>
      <c r="M397" s="452"/>
      <c r="N397" s="409"/>
      <c r="O397" s="453"/>
      <c r="P397" s="454"/>
      <c r="Q397" s="504"/>
      <c r="R397" s="420"/>
      <c r="S397" s="370"/>
      <c r="T397" s="421"/>
      <c r="U397" s="387"/>
      <c r="V397" s="456"/>
      <c r="W397" s="374"/>
      <c r="X397" s="404"/>
      <c r="Y397" s="372"/>
      <c r="Z397" s="381"/>
      <c r="AA397" s="359"/>
      <c r="AB397" s="230"/>
      <c r="AC397" s="381"/>
      <c r="AD397" s="225"/>
      <c r="AE397" s="361"/>
      <c r="AF397" s="533"/>
      <c r="AG397" s="225"/>
      <c r="AH397" s="361"/>
      <c r="AI397" s="533"/>
      <c r="AJ397" s="225"/>
      <c r="AK397" s="361"/>
      <c r="AL397" s="533"/>
      <c r="AM397" s="225"/>
      <c r="AN397" s="361"/>
      <c r="AO397" s="533"/>
      <c r="AP397" s="225"/>
      <c r="AQ397" s="361"/>
      <c r="AR397" s="533"/>
      <c r="AS397" s="320"/>
    </row>
    <row r="398" spans="1:45" ht="13.5" hidden="1" customHeight="1">
      <c r="A398" s="12"/>
      <c r="B398" s="358"/>
      <c r="C398" s="359"/>
      <c r="D398" s="359"/>
      <c r="E398" s="360"/>
      <c r="F398" s="524"/>
      <c r="G398" s="524"/>
      <c r="H398" s="362"/>
      <c r="I398" s="230"/>
      <c r="J398" s="230"/>
      <c r="K398" s="363"/>
      <c r="L398" s="364"/>
      <c r="M398" s="604"/>
      <c r="N398" s="415"/>
      <c r="O398" s="580"/>
      <c r="P398" s="581"/>
      <c r="Q398" s="563"/>
      <c r="R398" s="582"/>
      <c r="S398" s="370"/>
      <c r="T398" s="606"/>
      <c r="U398" s="607"/>
      <c r="V398" s="601"/>
      <c r="W398" s="398"/>
      <c r="X398" s="404"/>
      <c r="Y398" s="372"/>
      <c r="Z398" s="381"/>
      <c r="AA398" s="359"/>
      <c r="AB398" s="230"/>
      <c r="AC398" s="381"/>
      <c r="AD398" s="241"/>
      <c r="AE398" s="411"/>
      <c r="AF398" s="577"/>
      <c r="AG398" s="241"/>
      <c r="AH398" s="411"/>
      <c r="AI398" s="577"/>
      <c r="AJ398" s="241"/>
      <c r="AK398" s="411"/>
      <c r="AL398" s="577"/>
      <c r="AM398" s="241"/>
      <c r="AN398" s="411"/>
      <c r="AO398" s="577"/>
      <c r="AP398" s="241"/>
      <c r="AQ398" s="411"/>
      <c r="AR398" s="577"/>
      <c r="AS398" s="202"/>
    </row>
    <row r="399" spans="1:45" ht="13.5" hidden="1" customHeight="1">
      <c r="A399" s="12"/>
      <c r="B399" s="358" t="s">
        <v>1266</v>
      </c>
      <c r="C399" s="359">
        <v>16</v>
      </c>
      <c r="D399" s="359">
        <v>197</v>
      </c>
      <c r="E399" s="360"/>
      <c r="F399" s="524"/>
      <c r="G399" s="524"/>
      <c r="H399" s="362"/>
      <c r="I399" s="230"/>
      <c r="J399" s="230"/>
      <c r="K399" s="363"/>
      <c r="L399" s="364"/>
      <c r="M399" s="604"/>
      <c r="N399" s="415"/>
      <c r="O399" s="580"/>
      <c r="P399" s="581"/>
      <c r="Q399" s="563"/>
      <c r="R399" s="582"/>
      <c r="S399" s="370"/>
      <c r="T399" s="606"/>
      <c r="U399" s="607"/>
      <c r="V399" s="601"/>
      <c r="W399" s="374"/>
      <c r="X399" s="404"/>
      <c r="Y399" s="372"/>
      <c r="Z399" s="381"/>
      <c r="AA399" s="359"/>
      <c r="AB399" s="230"/>
      <c r="AC399" s="381"/>
      <c r="AD399" s="225"/>
      <c r="AE399" s="361"/>
      <c r="AF399" s="533"/>
      <c r="AG399" s="225"/>
      <c r="AH399" s="361"/>
      <c r="AI399" s="533"/>
      <c r="AJ399" s="225"/>
      <c r="AK399" s="361"/>
      <c r="AL399" s="533"/>
      <c r="AM399" s="225"/>
      <c r="AN399" s="361"/>
      <c r="AO399" s="533"/>
      <c r="AP399" s="225"/>
      <c r="AQ399" s="361"/>
      <c r="AR399" s="533"/>
      <c r="AS399" s="320"/>
    </row>
    <row r="400" spans="1:45" ht="13.5" hidden="1" customHeight="1">
      <c r="A400" s="12"/>
      <c r="B400" s="358"/>
      <c r="C400" s="359"/>
      <c r="D400" s="359"/>
      <c r="E400" s="447"/>
      <c r="F400" s="546"/>
      <c r="G400" s="546"/>
      <c r="H400" s="562"/>
      <c r="I400" s="361"/>
      <c r="J400" s="361"/>
      <c r="K400" s="597"/>
      <c r="L400" s="451"/>
      <c r="M400" s="604"/>
      <c r="N400" s="415"/>
      <c r="O400" s="580"/>
      <c r="P400" s="581"/>
      <c r="Q400" s="563"/>
      <c r="R400" s="433"/>
      <c r="S400" s="370"/>
      <c r="T400" s="606"/>
      <c r="U400" s="607"/>
      <c r="V400" s="601"/>
      <c r="W400" s="398"/>
      <c r="X400" s="404"/>
      <c r="Y400" s="372"/>
      <c r="Z400" s="381"/>
      <c r="AA400" s="359"/>
      <c r="AB400" s="230"/>
      <c r="AC400" s="381"/>
      <c r="AD400" s="241"/>
      <c r="AE400" s="411"/>
      <c r="AF400" s="577"/>
      <c r="AG400" s="241"/>
      <c r="AH400" s="411"/>
      <c r="AI400" s="577"/>
      <c r="AJ400" s="241"/>
      <c r="AK400" s="411"/>
      <c r="AL400" s="577"/>
      <c r="AM400" s="241"/>
      <c r="AN400" s="411"/>
      <c r="AO400" s="577"/>
      <c r="AP400" s="241"/>
      <c r="AQ400" s="411"/>
      <c r="AR400" s="577"/>
      <c r="AS400" s="202"/>
    </row>
    <row r="401" spans="1:45" ht="13.5" hidden="1" customHeight="1">
      <c r="A401" s="12"/>
      <c r="B401" s="358" t="s">
        <v>1266</v>
      </c>
      <c r="C401" s="359">
        <v>17</v>
      </c>
      <c r="D401" s="359">
        <v>198</v>
      </c>
      <c r="E401" s="360"/>
      <c r="F401" s="524"/>
      <c r="G401" s="524"/>
      <c r="H401" s="362"/>
      <c r="I401" s="230"/>
      <c r="J401" s="230"/>
      <c r="K401" s="363"/>
      <c r="L401" s="364"/>
      <c r="M401" s="604"/>
      <c r="N401" s="415"/>
      <c r="O401" s="580"/>
      <c r="P401" s="581"/>
      <c r="Q401" s="563"/>
      <c r="R401" s="370"/>
      <c r="S401" s="370"/>
      <c r="T401" s="606"/>
      <c r="U401" s="607"/>
      <c r="V401" s="601"/>
      <c r="W401" s="374"/>
      <c r="X401" s="404"/>
      <c r="Y401" s="372"/>
      <c r="Z401" s="381"/>
      <c r="AA401" s="359"/>
      <c r="AB401" s="230"/>
      <c r="AC401" s="381"/>
      <c r="AD401" s="225"/>
      <c r="AE401" s="361"/>
      <c r="AF401" s="533"/>
      <c r="AG401" s="225"/>
      <c r="AH401" s="361"/>
      <c r="AI401" s="533"/>
      <c r="AJ401" s="225"/>
      <c r="AK401" s="361"/>
      <c r="AL401" s="533"/>
      <c r="AM401" s="225"/>
      <c r="AN401" s="361"/>
      <c r="AO401" s="533"/>
      <c r="AP401" s="225"/>
      <c r="AQ401" s="361"/>
      <c r="AR401" s="533"/>
      <c r="AS401" s="320"/>
    </row>
    <row r="402" spans="1:45" ht="13.5" hidden="1" customHeight="1">
      <c r="A402" s="12"/>
      <c r="B402" s="358"/>
      <c r="C402" s="359"/>
      <c r="D402" s="359"/>
      <c r="E402" s="360"/>
      <c r="F402" s="524"/>
      <c r="G402" s="524"/>
      <c r="H402" s="362"/>
      <c r="I402" s="230"/>
      <c r="J402" s="230"/>
      <c r="K402" s="363"/>
      <c r="L402" s="364"/>
      <c r="M402" s="439"/>
      <c r="N402" s="425"/>
      <c r="O402" s="440"/>
      <c r="P402" s="429"/>
      <c r="Q402" s="442"/>
      <c r="R402" s="370"/>
      <c r="S402" s="370"/>
      <c r="T402" s="434"/>
      <c r="U402" s="376"/>
      <c r="V402" s="603"/>
      <c r="W402" s="398"/>
      <c r="X402" s="404"/>
      <c r="Y402" s="372"/>
      <c r="Z402" s="381"/>
      <c r="AA402" s="359"/>
      <c r="AB402" s="230"/>
      <c r="AC402" s="381"/>
      <c r="AD402" s="241"/>
      <c r="AE402" s="411"/>
      <c r="AF402" s="577"/>
      <c r="AG402" s="241"/>
      <c r="AH402" s="411"/>
      <c r="AI402" s="577"/>
      <c r="AJ402" s="241"/>
      <c r="AK402" s="411"/>
      <c r="AL402" s="577"/>
      <c r="AM402" s="241"/>
      <c r="AN402" s="411"/>
      <c r="AO402" s="577"/>
      <c r="AP402" s="241"/>
      <c r="AQ402" s="411"/>
      <c r="AR402" s="577"/>
      <c r="AS402" s="202"/>
    </row>
    <row r="403" spans="1:45" ht="13.5" hidden="1" customHeight="1">
      <c r="A403" s="12"/>
      <c r="B403" s="358" t="s">
        <v>1266</v>
      </c>
      <c r="C403" s="359">
        <v>18</v>
      </c>
      <c r="D403" s="359">
        <v>199</v>
      </c>
      <c r="E403" s="360"/>
      <c r="F403" s="524"/>
      <c r="G403" s="524"/>
      <c r="H403" s="362"/>
      <c r="I403" s="230"/>
      <c r="J403" s="230"/>
      <c r="K403" s="363"/>
      <c r="L403" s="364"/>
      <c r="M403" s="365"/>
      <c r="N403" s="366"/>
      <c r="O403" s="367"/>
      <c r="P403" s="368"/>
      <c r="Q403" s="369"/>
      <c r="R403" s="370"/>
      <c r="S403" s="370"/>
      <c r="T403" s="371"/>
      <c r="U403" s="372"/>
      <c r="V403" s="373"/>
      <c r="W403" s="374"/>
      <c r="X403" s="404"/>
      <c r="Y403" s="372"/>
      <c r="Z403" s="381"/>
      <c r="AA403" s="225"/>
      <c r="AB403" s="361"/>
      <c r="AC403" s="533"/>
      <c r="AD403" s="225"/>
      <c r="AE403" s="361"/>
      <c r="AF403" s="533"/>
      <c r="AG403" s="225"/>
      <c r="AH403" s="361"/>
      <c r="AI403" s="533"/>
      <c r="AJ403" s="225"/>
      <c r="AK403" s="361"/>
      <c r="AL403" s="533"/>
      <c r="AM403" s="225"/>
      <c r="AN403" s="361"/>
      <c r="AO403" s="533"/>
      <c r="AP403" s="225"/>
      <c r="AQ403" s="361"/>
      <c r="AR403" s="533"/>
      <c r="AS403" s="320"/>
    </row>
    <row r="404" spans="1:45" ht="13.5" hidden="1" customHeight="1">
      <c r="A404" s="12"/>
      <c r="B404" s="358"/>
      <c r="C404" s="359"/>
      <c r="D404" s="359"/>
      <c r="E404" s="360"/>
      <c r="F404" s="524"/>
      <c r="G404" s="524"/>
      <c r="H404" s="362"/>
      <c r="I404" s="230"/>
      <c r="J404" s="230"/>
      <c r="K404" s="363"/>
      <c r="L404" s="364"/>
      <c r="M404" s="365"/>
      <c r="N404" s="366"/>
      <c r="O404" s="367"/>
      <c r="P404" s="368"/>
      <c r="Q404" s="369"/>
      <c r="R404" s="370"/>
      <c r="S404" s="370"/>
      <c r="T404" s="371"/>
      <c r="U404" s="372"/>
      <c r="V404" s="373"/>
      <c r="W404" s="398"/>
      <c r="X404" s="404"/>
      <c r="Y404" s="372"/>
      <c r="Z404" s="381"/>
      <c r="AA404" s="241"/>
      <c r="AB404" s="411"/>
      <c r="AC404" s="577"/>
      <c r="AD404" s="241"/>
      <c r="AE404" s="411"/>
      <c r="AF404" s="577"/>
      <c r="AG404" s="241"/>
      <c r="AH404" s="411"/>
      <c r="AI404" s="577"/>
      <c r="AJ404" s="241"/>
      <c r="AK404" s="411"/>
      <c r="AL404" s="577"/>
      <c r="AM404" s="241"/>
      <c r="AN404" s="411"/>
      <c r="AO404" s="577"/>
      <c r="AP404" s="241"/>
      <c r="AQ404" s="411"/>
      <c r="AR404" s="577"/>
      <c r="AS404" s="202"/>
    </row>
    <row r="405" spans="1:45" ht="13.5" hidden="1" customHeight="1">
      <c r="A405" s="12"/>
      <c r="B405" s="358" t="s">
        <v>1266</v>
      </c>
      <c r="C405" s="359">
        <v>19</v>
      </c>
      <c r="D405" s="359">
        <v>200</v>
      </c>
      <c r="E405" s="360"/>
      <c r="F405" s="524"/>
      <c r="G405" s="524"/>
      <c r="H405" s="362"/>
      <c r="I405" s="230"/>
      <c r="J405" s="230"/>
      <c r="K405" s="363"/>
      <c r="L405" s="364"/>
      <c r="M405" s="365"/>
      <c r="N405" s="366"/>
      <c r="O405" s="367"/>
      <c r="P405" s="368"/>
      <c r="Q405" s="369"/>
      <c r="R405" s="370"/>
      <c r="S405" s="370"/>
      <c r="T405" s="371"/>
      <c r="U405" s="372"/>
      <c r="V405" s="373"/>
      <c r="W405" s="374"/>
      <c r="X405" s="404"/>
      <c r="Y405" s="372"/>
      <c r="Z405" s="381"/>
      <c r="AA405" s="225"/>
      <c r="AB405" s="361"/>
      <c r="AC405" s="533"/>
      <c r="AD405" s="225"/>
      <c r="AE405" s="361"/>
      <c r="AF405" s="533"/>
      <c r="AG405" s="225"/>
      <c r="AH405" s="361"/>
      <c r="AI405" s="533"/>
      <c r="AJ405" s="225"/>
      <c r="AK405" s="361"/>
      <c r="AL405" s="533"/>
      <c r="AM405" s="225"/>
      <c r="AN405" s="361"/>
      <c r="AO405" s="533"/>
      <c r="AP405" s="225"/>
      <c r="AQ405" s="361"/>
      <c r="AR405" s="533"/>
      <c r="AS405" s="320"/>
    </row>
    <row r="406" spans="1:45" ht="13.5" hidden="1" customHeight="1">
      <c r="A406" s="12"/>
      <c r="B406" s="358"/>
      <c r="C406" s="359"/>
      <c r="D406" s="359"/>
      <c r="E406" s="360"/>
      <c r="F406" s="524"/>
      <c r="G406" s="524"/>
      <c r="H406" s="362"/>
      <c r="I406" s="230"/>
      <c r="J406" s="230"/>
      <c r="K406" s="363"/>
      <c r="L406" s="364"/>
      <c r="M406" s="365"/>
      <c r="N406" s="366"/>
      <c r="O406" s="367"/>
      <c r="P406" s="368"/>
      <c r="Q406" s="369"/>
      <c r="R406" s="370"/>
      <c r="S406" s="370"/>
      <c r="T406" s="371"/>
      <c r="U406" s="372"/>
      <c r="V406" s="373"/>
      <c r="W406" s="398"/>
      <c r="X406" s="404"/>
      <c r="Y406" s="372"/>
      <c r="Z406" s="381"/>
      <c r="AA406" s="241"/>
      <c r="AB406" s="411"/>
      <c r="AC406" s="577"/>
      <c r="AD406" s="241"/>
      <c r="AE406" s="411"/>
      <c r="AF406" s="577"/>
      <c r="AG406" s="241"/>
      <c r="AH406" s="411"/>
      <c r="AI406" s="577"/>
      <c r="AJ406" s="241"/>
      <c r="AK406" s="411"/>
      <c r="AL406" s="577"/>
      <c r="AM406" s="241"/>
      <c r="AN406" s="411"/>
      <c r="AO406" s="577"/>
      <c r="AP406" s="241"/>
      <c r="AQ406" s="411"/>
      <c r="AR406" s="577"/>
      <c r="AS406" s="202"/>
    </row>
    <row r="407" spans="1:45" ht="13.5" hidden="1" customHeight="1">
      <c r="A407" s="12"/>
      <c r="B407" s="358" t="s">
        <v>1266</v>
      </c>
      <c r="C407" s="359">
        <v>20</v>
      </c>
      <c r="D407" s="359">
        <v>200</v>
      </c>
      <c r="E407" s="360"/>
      <c r="F407" s="524"/>
      <c r="G407" s="524"/>
      <c r="H407" s="362"/>
      <c r="I407" s="230"/>
      <c r="J407" s="230"/>
      <c r="K407" s="363"/>
      <c r="L407" s="364"/>
      <c r="M407" s="365"/>
      <c r="N407" s="366"/>
      <c r="O407" s="367"/>
      <c r="P407" s="368"/>
      <c r="Q407" s="369"/>
      <c r="R407" s="370"/>
      <c r="S407" s="370"/>
      <c r="T407" s="371"/>
      <c r="U407" s="372"/>
      <c r="V407" s="373"/>
      <c r="W407" s="374"/>
      <c r="X407" s="404"/>
      <c r="Y407" s="372"/>
      <c r="Z407" s="381"/>
      <c r="AA407" s="225"/>
      <c r="AB407" s="361"/>
      <c r="AC407" s="533"/>
      <c r="AD407" s="225"/>
      <c r="AE407" s="361"/>
      <c r="AF407" s="533"/>
      <c r="AG407" s="225"/>
      <c r="AH407" s="361"/>
      <c r="AI407" s="533"/>
      <c r="AJ407" s="225"/>
      <c r="AK407" s="361"/>
      <c r="AL407" s="533"/>
      <c r="AM407" s="225"/>
      <c r="AN407" s="361"/>
      <c r="AO407" s="533"/>
      <c r="AP407" s="225"/>
      <c r="AQ407" s="361"/>
      <c r="AR407" s="533"/>
      <c r="AS407" s="320"/>
    </row>
    <row r="408" spans="1:45" ht="13.5" hidden="1" customHeight="1">
      <c r="A408" s="12"/>
      <c r="B408" s="358"/>
      <c r="C408" s="359"/>
      <c r="D408" s="359"/>
      <c r="E408" s="360"/>
      <c r="F408" s="524"/>
      <c r="G408" s="524"/>
      <c r="H408" s="362"/>
      <c r="I408" s="230"/>
      <c r="J408" s="230"/>
      <c r="K408" s="363"/>
      <c r="L408" s="364"/>
      <c r="M408" s="365"/>
      <c r="N408" s="366"/>
      <c r="O408" s="367"/>
      <c r="P408" s="368"/>
      <c r="Q408" s="369"/>
      <c r="R408" s="370"/>
      <c r="S408" s="370"/>
      <c r="T408" s="371"/>
      <c r="U408" s="372"/>
      <c r="V408" s="373"/>
      <c r="W408" s="398"/>
      <c r="X408" s="404"/>
      <c r="Y408" s="372"/>
      <c r="Z408" s="381"/>
      <c r="AA408" s="241"/>
      <c r="AB408" s="411"/>
      <c r="AC408" s="577"/>
      <c r="AD408" s="241"/>
      <c r="AE408" s="411"/>
      <c r="AF408" s="577"/>
      <c r="AG408" s="241"/>
      <c r="AH408" s="411"/>
      <c r="AI408" s="577"/>
      <c r="AJ408" s="241"/>
      <c r="AK408" s="411"/>
      <c r="AL408" s="577"/>
      <c r="AM408" s="241"/>
      <c r="AN408" s="411"/>
      <c r="AO408" s="577"/>
      <c r="AP408" s="241"/>
      <c r="AQ408" s="411"/>
      <c r="AR408" s="577"/>
      <c r="AS408" s="202"/>
    </row>
    <row r="409" spans="1:45" ht="13.5" hidden="1" customHeight="1">
      <c r="A409" s="12"/>
      <c r="B409" s="358" t="s">
        <v>2570</v>
      </c>
      <c r="C409" s="359">
        <v>1</v>
      </c>
      <c r="D409" s="359">
        <v>19</v>
      </c>
      <c r="E409" s="360"/>
      <c r="F409" s="524"/>
      <c r="G409" s="361"/>
      <c r="H409" s="362"/>
      <c r="I409" s="230"/>
      <c r="J409" s="230"/>
      <c r="K409" s="363"/>
      <c r="L409" s="364"/>
      <c r="M409" s="365"/>
      <c r="N409" s="366"/>
      <c r="O409" s="367"/>
      <c r="P409" s="368"/>
      <c r="Q409" s="587"/>
      <c r="R409" s="370"/>
      <c r="S409" s="370"/>
      <c r="T409" s="371"/>
      <c r="U409" s="372"/>
      <c r="V409" s="373"/>
      <c r="W409" s="374"/>
      <c r="X409" s="404"/>
      <c r="Y409" s="372"/>
      <c r="Z409" s="381"/>
      <c r="AA409" s="359"/>
      <c r="AB409" s="230"/>
      <c r="AC409" s="381"/>
      <c r="AD409" s="225"/>
      <c r="AE409" s="361"/>
      <c r="AF409" s="533"/>
      <c r="AG409" s="225"/>
      <c r="AH409" s="361"/>
      <c r="AI409" s="533"/>
      <c r="AJ409" s="225"/>
      <c r="AK409" s="361"/>
      <c r="AL409" s="533"/>
      <c r="AM409" s="225"/>
      <c r="AN409" s="361"/>
      <c r="AO409" s="533"/>
      <c r="AP409" s="225"/>
      <c r="AQ409" s="361"/>
      <c r="AR409" s="533"/>
      <c r="AS409" s="320"/>
    </row>
    <row r="410" spans="1:45" ht="13.5" hidden="1" customHeight="1">
      <c r="A410" s="12"/>
      <c r="B410" s="358"/>
      <c r="C410" s="359"/>
      <c r="D410" s="359"/>
      <c r="E410" s="360"/>
      <c r="F410" s="524"/>
      <c r="G410" s="378"/>
      <c r="H410" s="362"/>
      <c r="I410" s="230"/>
      <c r="J410" s="230"/>
      <c r="K410" s="363"/>
      <c r="L410" s="364"/>
      <c r="M410" s="365"/>
      <c r="N410" s="366"/>
      <c r="O410" s="367"/>
      <c r="P410" s="368"/>
      <c r="Q410" s="587"/>
      <c r="R410" s="370"/>
      <c r="S410" s="370"/>
      <c r="T410" s="371"/>
      <c r="U410" s="372"/>
      <c r="V410" s="373"/>
      <c r="W410" s="398"/>
      <c r="X410" s="404"/>
      <c r="Y410" s="372"/>
      <c r="Z410" s="381"/>
      <c r="AA410" s="359"/>
      <c r="AB410" s="230"/>
      <c r="AC410" s="381"/>
      <c r="AD410" s="241"/>
      <c r="AE410" s="411"/>
      <c r="AF410" s="577"/>
      <c r="AG410" s="241"/>
      <c r="AH410" s="411"/>
      <c r="AI410" s="577"/>
      <c r="AJ410" s="241"/>
      <c r="AK410" s="411"/>
      <c r="AL410" s="577"/>
      <c r="AM410" s="241"/>
      <c r="AN410" s="411"/>
      <c r="AO410" s="577"/>
      <c r="AP410" s="241"/>
      <c r="AQ410" s="411"/>
      <c r="AR410" s="577"/>
      <c r="AS410" s="202"/>
    </row>
    <row r="411" spans="1:45" ht="13.5" hidden="1" customHeight="1">
      <c r="A411" s="12"/>
      <c r="B411" s="358" t="s">
        <v>2570</v>
      </c>
      <c r="C411" s="359">
        <v>2</v>
      </c>
      <c r="D411" s="359">
        <v>20</v>
      </c>
      <c r="E411" s="360"/>
      <c r="F411" s="524"/>
      <c r="G411" s="361"/>
      <c r="H411" s="362"/>
      <c r="I411" s="230"/>
      <c r="J411" s="230"/>
      <c r="K411" s="363"/>
      <c r="L411" s="364"/>
      <c r="M411" s="365"/>
      <c r="N411" s="366"/>
      <c r="O411" s="367"/>
      <c r="P411" s="368"/>
      <c r="Q411" s="587"/>
      <c r="R411" s="370"/>
      <c r="S411" s="370"/>
      <c r="T411" s="371"/>
      <c r="U411" s="372"/>
      <c r="V411" s="373"/>
      <c r="W411" s="374"/>
      <c r="X411" s="404"/>
      <c r="Y411" s="372"/>
      <c r="Z411" s="381"/>
      <c r="AA411" s="359"/>
      <c r="AB411" s="230"/>
      <c r="AC411" s="381"/>
      <c r="AD411" s="225"/>
      <c r="AE411" s="361"/>
      <c r="AF411" s="533"/>
      <c r="AG411" s="225"/>
      <c r="AH411" s="361"/>
      <c r="AI411" s="533"/>
      <c r="AJ411" s="225"/>
      <c r="AK411" s="361"/>
      <c r="AL411" s="533"/>
      <c r="AM411" s="225"/>
      <c r="AN411" s="361"/>
      <c r="AO411" s="533"/>
      <c r="AP411" s="225"/>
      <c r="AQ411" s="361"/>
      <c r="AR411" s="533"/>
      <c r="AS411" s="320"/>
    </row>
    <row r="412" spans="1:45" ht="13.5" hidden="1" customHeight="1">
      <c r="A412" s="12"/>
      <c r="B412" s="358"/>
      <c r="C412" s="359"/>
      <c r="D412" s="359"/>
      <c r="E412" s="360"/>
      <c r="F412" s="524"/>
      <c r="G412" s="378"/>
      <c r="H412" s="362"/>
      <c r="I412" s="230"/>
      <c r="J412" s="230"/>
      <c r="K412" s="363"/>
      <c r="L412" s="364"/>
      <c r="M412" s="365"/>
      <c r="N412" s="366"/>
      <c r="O412" s="367"/>
      <c r="P412" s="368"/>
      <c r="Q412" s="587"/>
      <c r="R412" s="370"/>
      <c r="S412" s="370"/>
      <c r="T412" s="371"/>
      <c r="U412" s="372"/>
      <c r="V412" s="373"/>
      <c r="W412" s="398"/>
      <c r="X412" s="404"/>
      <c r="Y412" s="372"/>
      <c r="Z412" s="381"/>
      <c r="AA412" s="359"/>
      <c r="AB412" s="230"/>
      <c r="AC412" s="381"/>
      <c r="AD412" s="241"/>
      <c r="AE412" s="411"/>
      <c r="AF412" s="577"/>
      <c r="AG412" s="241"/>
      <c r="AH412" s="411"/>
      <c r="AI412" s="577"/>
      <c r="AJ412" s="241"/>
      <c r="AK412" s="411"/>
      <c r="AL412" s="577"/>
      <c r="AM412" s="241"/>
      <c r="AN412" s="411"/>
      <c r="AO412" s="577"/>
      <c r="AP412" s="241"/>
      <c r="AQ412" s="411"/>
      <c r="AR412" s="577"/>
      <c r="AS412" s="202"/>
    </row>
    <row r="413" spans="1:45" ht="13.5" hidden="1" customHeight="1">
      <c r="A413" s="12"/>
      <c r="B413" s="358" t="s">
        <v>2570</v>
      </c>
      <c r="C413" s="359">
        <v>3</v>
      </c>
      <c r="D413" s="359">
        <v>21</v>
      </c>
      <c r="E413" s="360"/>
      <c r="F413" s="524"/>
      <c r="G413" s="361"/>
      <c r="H413" s="362"/>
      <c r="I413" s="230"/>
      <c r="J413" s="230"/>
      <c r="K413" s="363"/>
      <c r="L413" s="364"/>
      <c r="M413" s="365"/>
      <c r="N413" s="366"/>
      <c r="O413" s="367"/>
      <c r="P413" s="368"/>
      <c r="Q413" s="587"/>
      <c r="R413" s="370"/>
      <c r="S413" s="370"/>
      <c r="T413" s="371"/>
      <c r="U413" s="372"/>
      <c r="V413" s="373"/>
      <c r="W413" s="374"/>
      <c r="X413" s="404"/>
      <c r="Y413" s="372"/>
      <c r="Z413" s="381"/>
      <c r="AA413" s="359"/>
      <c r="AB413" s="230"/>
      <c r="AC413" s="381"/>
      <c r="AD413" s="225"/>
      <c r="AE413" s="361"/>
      <c r="AF413" s="533"/>
      <c r="AG413" s="225"/>
      <c r="AH413" s="361"/>
      <c r="AI413" s="533"/>
      <c r="AJ413" s="225"/>
      <c r="AK413" s="361"/>
      <c r="AL413" s="533"/>
      <c r="AM413" s="225"/>
      <c r="AN413" s="361"/>
      <c r="AO413" s="533"/>
      <c r="AP413" s="225"/>
      <c r="AQ413" s="361"/>
      <c r="AR413" s="533"/>
      <c r="AS413" s="320"/>
    </row>
    <row r="414" spans="1:45" ht="13.5" hidden="1" customHeight="1">
      <c r="A414" s="12"/>
      <c r="B414" s="358"/>
      <c r="C414" s="359"/>
      <c r="D414" s="359"/>
      <c r="E414" s="360"/>
      <c r="F414" s="524"/>
      <c r="G414" s="378"/>
      <c r="H414" s="362"/>
      <c r="I414" s="230"/>
      <c r="J414" s="230"/>
      <c r="K414" s="363"/>
      <c r="L414" s="364"/>
      <c r="M414" s="365"/>
      <c r="N414" s="366"/>
      <c r="O414" s="367"/>
      <c r="P414" s="368"/>
      <c r="Q414" s="587"/>
      <c r="R414" s="370"/>
      <c r="S414" s="370"/>
      <c r="T414" s="371"/>
      <c r="U414" s="372"/>
      <c r="V414" s="373"/>
      <c r="W414" s="398"/>
      <c r="X414" s="404"/>
      <c r="Y414" s="372"/>
      <c r="Z414" s="381"/>
      <c r="AA414" s="359"/>
      <c r="AB414" s="230"/>
      <c r="AC414" s="381"/>
      <c r="AD414" s="241"/>
      <c r="AE414" s="411"/>
      <c r="AF414" s="577"/>
      <c r="AG414" s="241"/>
      <c r="AH414" s="411"/>
      <c r="AI414" s="577"/>
      <c r="AJ414" s="241"/>
      <c r="AK414" s="411"/>
      <c r="AL414" s="577"/>
      <c r="AM414" s="241"/>
      <c r="AN414" s="411"/>
      <c r="AO414" s="577"/>
      <c r="AP414" s="241"/>
      <c r="AQ414" s="411"/>
      <c r="AR414" s="577"/>
      <c r="AS414" s="202"/>
    </row>
    <row r="415" spans="1:45" ht="13.5" hidden="1" customHeight="1">
      <c r="A415" s="12"/>
      <c r="B415" s="358" t="s">
        <v>2570</v>
      </c>
      <c r="C415" s="359">
        <v>4</v>
      </c>
      <c r="D415" s="359">
        <v>22</v>
      </c>
      <c r="E415" s="360"/>
      <c r="F415" s="524"/>
      <c r="G415" s="361"/>
      <c r="H415" s="362"/>
      <c r="I415" s="230"/>
      <c r="J415" s="230"/>
      <c r="K415" s="363"/>
      <c r="L415" s="364"/>
      <c r="M415" s="365"/>
      <c r="N415" s="366"/>
      <c r="O415" s="367"/>
      <c r="P415" s="368"/>
      <c r="Q415" s="587"/>
      <c r="R415" s="370"/>
      <c r="S415" s="370"/>
      <c r="T415" s="371"/>
      <c r="U415" s="372"/>
      <c r="V415" s="373"/>
      <c r="W415" s="374"/>
      <c r="X415" s="404"/>
      <c r="Y415" s="372"/>
      <c r="Z415" s="381"/>
      <c r="AA415" s="359"/>
      <c r="AB415" s="230"/>
      <c r="AC415" s="381"/>
      <c r="AD415" s="225"/>
      <c r="AE415" s="361"/>
      <c r="AF415" s="533"/>
      <c r="AG415" s="225"/>
      <c r="AH415" s="361"/>
      <c r="AI415" s="533"/>
      <c r="AJ415" s="225"/>
      <c r="AK415" s="361"/>
      <c r="AL415" s="533"/>
      <c r="AM415" s="225"/>
      <c r="AN415" s="361"/>
      <c r="AO415" s="533"/>
      <c r="AP415" s="225"/>
      <c r="AQ415" s="361"/>
      <c r="AR415" s="533"/>
      <c r="AS415" s="320"/>
    </row>
    <row r="416" spans="1:45" ht="13.5" hidden="1" customHeight="1">
      <c r="A416" s="12"/>
      <c r="B416" s="358"/>
      <c r="C416" s="359"/>
      <c r="D416" s="359"/>
      <c r="E416" s="360"/>
      <c r="F416" s="524"/>
      <c r="G416" s="378"/>
      <c r="H416" s="362"/>
      <c r="I416" s="230"/>
      <c r="J416" s="230"/>
      <c r="K416" s="363"/>
      <c r="L416" s="364"/>
      <c r="M416" s="365"/>
      <c r="N416" s="366"/>
      <c r="O416" s="367"/>
      <c r="P416" s="368"/>
      <c r="Q416" s="587"/>
      <c r="R416" s="370"/>
      <c r="S416" s="370"/>
      <c r="T416" s="371"/>
      <c r="U416" s="372"/>
      <c r="V416" s="373"/>
      <c r="W416" s="398"/>
      <c r="X416" s="404"/>
      <c r="Y416" s="372"/>
      <c r="Z416" s="381"/>
      <c r="AA416" s="359"/>
      <c r="AB416" s="230"/>
      <c r="AC416" s="381"/>
      <c r="AD416" s="241"/>
      <c r="AE416" s="411"/>
      <c r="AF416" s="577"/>
      <c r="AG416" s="241"/>
      <c r="AH416" s="411"/>
      <c r="AI416" s="577"/>
      <c r="AJ416" s="241"/>
      <c r="AK416" s="411"/>
      <c r="AL416" s="577"/>
      <c r="AM416" s="241"/>
      <c r="AN416" s="411"/>
      <c r="AO416" s="577"/>
      <c r="AP416" s="241"/>
      <c r="AQ416" s="411"/>
      <c r="AR416" s="577"/>
      <c r="AS416" s="202"/>
    </row>
    <row r="417" spans="1:45" ht="13.5" hidden="1" customHeight="1">
      <c r="A417" s="12"/>
      <c r="B417" s="358" t="s">
        <v>2570</v>
      </c>
      <c r="C417" s="359">
        <v>5</v>
      </c>
      <c r="D417" s="359">
        <v>23</v>
      </c>
      <c r="E417" s="360"/>
      <c r="F417" s="524"/>
      <c r="G417" s="361"/>
      <c r="H417" s="362"/>
      <c r="I417" s="230"/>
      <c r="J417" s="230"/>
      <c r="K417" s="363"/>
      <c r="L417" s="364"/>
      <c r="M417" s="365"/>
      <c r="N417" s="366"/>
      <c r="O417" s="367"/>
      <c r="P417" s="368"/>
      <c r="Q417" s="587"/>
      <c r="R417" s="370"/>
      <c r="S417" s="370"/>
      <c r="T417" s="371"/>
      <c r="U417" s="372"/>
      <c r="V417" s="373"/>
      <c r="W417" s="374"/>
      <c r="X417" s="404"/>
      <c r="Y417" s="372"/>
      <c r="Z417" s="381"/>
      <c r="AA417" s="359"/>
      <c r="AB417" s="230"/>
      <c r="AC417" s="381"/>
      <c r="AD417" s="225"/>
      <c r="AE417" s="361"/>
      <c r="AF417" s="533"/>
      <c r="AG417" s="225"/>
      <c r="AH417" s="361"/>
      <c r="AI417" s="533"/>
      <c r="AJ417" s="225"/>
      <c r="AK417" s="361"/>
      <c r="AL417" s="533"/>
      <c r="AM417" s="225"/>
      <c r="AN417" s="361"/>
      <c r="AO417" s="533"/>
      <c r="AP417" s="225"/>
      <c r="AQ417" s="361"/>
      <c r="AR417" s="533"/>
      <c r="AS417" s="320"/>
    </row>
    <row r="418" spans="1:45" ht="13.5" hidden="1" customHeight="1">
      <c r="A418" s="12"/>
      <c r="B418" s="358"/>
      <c r="C418" s="359"/>
      <c r="D418" s="359"/>
      <c r="E418" s="360"/>
      <c r="F418" s="524"/>
      <c r="G418" s="378"/>
      <c r="H418" s="362"/>
      <c r="I418" s="230"/>
      <c r="J418" s="230"/>
      <c r="K418" s="363"/>
      <c r="L418" s="364"/>
      <c r="M418" s="365"/>
      <c r="N418" s="366"/>
      <c r="O418" s="367"/>
      <c r="P418" s="368"/>
      <c r="Q418" s="587"/>
      <c r="R418" s="370"/>
      <c r="S418" s="370"/>
      <c r="T418" s="371"/>
      <c r="U418" s="372"/>
      <c r="V418" s="373"/>
      <c r="W418" s="398"/>
      <c r="X418" s="404"/>
      <c r="Y418" s="372"/>
      <c r="Z418" s="381"/>
      <c r="AA418" s="359"/>
      <c r="AB418" s="230"/>
      <c r="AC418" s="381"/>
      <c r="AD418" s="241"/>
      <c r="AE418" s="411"/>
      <c r="AF418" s="577"/>
      <c r="AG418" s="241"/>
      <c r="AH418" s="411"/>
      <c r="AI418" s="577"/>
      <c r="AJ418" s="241"/>
      <c r="AK418" s="411"/>
      <c r="AL418" s="577"/>
      <c r="AM418" s="241"/>
      <c r="AN418" s="411"/>
      <c r="AO418" s="577"/>
      <c r="AP418" s="241"/>
      <c r="AQ418" s="411"/>
      <c r="AR418" s="577"/>
      <c r="AS418" s="202"/>
    </row>
    <row r="419" spans="1:45" ht="13.5" hidden="1" customHeight="1">
      <c r="A419" s="12"/>
      <c r="B419" s="358" t="s">
        <v>2570</v>
      </c>
      <c r="C419" s="359">
        <v>6</v>
      </c>
      <c r="D419" s="359">
        <v>24</v>
      </c>
      <c r="E419" s="360"/>
      <c r="F419" s="524"/>
      <c r="G419" s="361"/>
      <c r="H419" s="362"/>
      <c r="I419" s="230"/>
      <c r="J419" s="230"/>
      <c r="K419" s="363"/>
      <c r="L419" s="364"/>
      <c r="M419" s="365"/>
      <c r="N419" s="366"/>
      <c r="O419" s="367"/>
      <c r="P419" s="368"/>
      <c r="Q419" s="587"/>
      <c r="R419" s="370"/>
      <c r="S419" s="370"/>
      <c r="T419" s="371"/>
      <c r="U419" s="372"/>
      <c r="V419" s="373"/>
      <c r="W419" s="374"/>
      <c r="X419" s="404"/>
      <c r="Y419" s="372"/>
      <c r="Z419" s="381"/>
      <c r="AA419" s="359"/>
      <c r="AB419" s="230"/>
      <c r="AC419" s="381"/>
      <c r="AD419" s="225"/>
      <c r="AE419" s="361"/>
      <c r="AF419" s="533"/>
      <c r="AG419" s="225"/>
      <c r="AH419" s="361"/>
      <c r="AI419" s="533"/>
      <c r="AJ419" s="225"/>
      <c r="AK419" s="361"/>
      <c r="AL419" s="533"/>
      <c r="AM419" s="225"/>
      <c r="AN419" s="361"/>
      <c r="AO419" s="533"/>
      <c r="AP419" s="225"/>
      <c r="AQ419" s="361"/>
      <c r="AR419" s="533"/>
      <c r="AS419" s="320"/>
    </row>
    <row r="420" spans="1:45" ht="13.5" hidden="1" customHeight="1">
      <c r="A420" s="12"/>
      <c r="B420" s="358"/>
      <c r="C420" s="359"/>
      <c r="D420" s="359"/>
      <c r="E420" s="360"/>
      <c r="F420" s="524"/>
      <c r="G420" s="378"/>
      <c r="H420" s="362"/>
      <c r="I420" s="230"/>
      <c r="J420" s="230"/>
      <c r="K420" s="363"/>
      <c r="L420" s="364"/>
      <c r="M420" s="365"/>
      <c r="N420" s="366"/>
      <c r="O420" s="367"/>
      <c r="P420" s="368"/>
      <c r="Q420" s="587"/>
      <c r="R420" s="370"/>
      <c r="S420" s="370"/>
      <c r="T420" s="371"/>
      <c r="U420" s="372"/>
      <c r="V420" s="373"/>
      <c r="W420" s="398"/>
      <c r="X420" s="404"/>
      <c r="Y420" s="372"/>
      <c r="Z420" s="381"/>
      <c r="AA420" s="359"/>
      <c r="AB420" s="230"/>
      <c r="AC420" s="381"/>
      <c r="AD420" s="241"/>
      <c r="AE420" s="411"/>
      <c r="AF420" s="577"/>
      <c r="AG420" s="241"/>
      <c r="AH420" s="411"/>
      <c r="AI420" s="577"/>
      <c r="AJ420" s="241"/>
      <c r="AK420" s="411"/>
      <c r="AL420" s="577"/>
      <c r="AM420" s="241"/>
      <c r="AN420" s="411"/>
      <c r="AO420" s="577"/>
      <c r="AP420" s="241"/>
      <c r="AQ420" s="411"/>
      <c r="AR420" s="577"/>
      <c r="AS420" s="202"/>
    </row>
    <row r="421" spans="1:45" ht="13.5" hidden="1" customHeight="1">
      <c r="A421" s="12"/>
      <c r="B421" s="358" t="s">
        <v>2570</v>
      </c>
      <c r="C421" s="359">
        <v>7</v>
      </c>
      <c r="D421" s="359">
        <v>25</v>
      </c>
      <c r="E421" s="360"/>
      <c r="F421" s="524"/>
      <c r="G421" s="361"/>
      <c r="H421" s="362"/>
      <c r="I421" s="230"/>
      <c r="J421" s="230"/>
      <c r="K421" s="363"/>
      <c r="L421" s="364"/>
      <c r="M421" s="365"/>
      <c r="N421" s="366"/>
      <c r="O421" s="367"/>
      <c r="P421" s="368"/>
      <c r="Q421" s="587"/>
      <c r="R421" s="370"/>
      <c r="S421" s="370"/>
      <c r="T421" s="371"/>
      <c r="U421" s="372"/>
      <c r="V421" s="373"/>
      <c r="W421" s="374"/>
      <c r="X421" s="404"/>
      <c r="Y421" s="372"/>
      <c r="Z421" s="381"/>
      <c r="AA421" s="359"/>
      <c r="AB421" s="230"/>
      <c r="AC421" s="381"/>
      <c r="AD421" s="225"/>
      <c r="AE421" s="361"/>
      <c r="AF421" s="533"/>
      <c r="AG421" s="225"/>
      <c r="AH421" s="361"/>
      <c r="AI421" s="533"/>
      <c r="AJ421" s="225"/>
      <c r="AK421" s="361"/>
      <c r="AL421" s="533"/>
      <c r="AM421" s="225"/>
      <c r="AN421" s="361"/>
      <c r="AO421" s="533"/>
      <c r="AP421" s="225"/>
      <c r="AQ421" s="361"/>
      <c r="AR421" s="533"/>
      <c r="AS421" s="320"/>
    </row>
    <row r="422" spans="1:45" ht="13.5" hidden="1" customHeight="1">
      <c r="A422" s="12"/>
      <c r="B422" s="358"/>
      <c r="C422" s="359"/>
      <c r="D422" s="359"/>
      <c r="E422" s="360"/>
      <c r="F422" s="524"/>
      <c r="G422" s="378"/>
      <c r="H422" s="362"/>
      <c r="I422" s="230"/>
      <c r="J422" s="230"/>
      <c r="K422" s="363"/>
      <c r="L422" s="364"/>
      <c r="M422" s="365"/>
      <c r="N422" s="366"/>
      <c r="O422" s="367"/>
      <c r="P422" s="368"/>
      <c r="Q422" s="587"/>
      <c r="R422" s="370"/>
      <c r="S422" s="370"/>
      <c r="T422" s="371"/>
      <c r="U422" s="372"/>
      <c r="V422" s="373"/>
      <c r="W422" s="398"/>
      <c r="X422" s="404"/>
      <c r="Y422" s="372"/>
      <c r="Z422" s="381"/>
      <c r="AA422" s="359"/>
      <c r="AB422" s="230"/>
      <c r="AC422" s="381"/>
      <c r="AD422" s="241"/>
      <c r="AE422" s="411"/>
      <c r="AF422" s="577"/>
      <c r="AG422" s="241"/>
      <c r="AH422" s="411"/>
      <c r="AI422" s="577"/>
      <c r="AJ422" s="241"/>
      <c r="AK422" s="411"/>
      <c r="AL422" s="577"/>
      <c r="AM422" s="241"/>
      <c r="AN422" s="411"/>
      <c r="AO422" s="577"/>
      <c r="AP422" s="241"/>
      <c r="AQ422" s="411"/>
      <c r="AR422" s="577"/>
      <c r="AS422" s="202"/>
    </row>
    <row r="423" spans="1:45" ht="13.5" hidden="1" customHeight="1">
      <c r="A423" s="12"/>
      <c r="B423" s="358" t="s">
        <v>2570</v>
      </c>
      <c r="C423" s="359">
        <v>8</v>
      </c>
      <c r="D423" s="359">
        <v>26</v>
      </c>
      <c r="E423" s="360"/>
      <c r="F423" s="524"/>
      <c r="G423" s="361"/>
      <c r="H423" s="362"/>
      <c r="I423" s="230"/>
      <c r="J423" s="230"/>
      <c r="K423" s="363"/>
      <c r="L423" s="451"/>
      <c r="M423" s="365"/>
      <c r="N423" s="409"/>
      <c r="O423" s="453"/>
      <c r="P423" s="454"/>
      <c r="Q423" s="592"/>
      <c r="R423" s="420"/>
      <c r="S423" s="420"/>
      <c r="T423" s="421"/>
      <c r="U423" s="387"/>
      <c r="V423" s="373"/>
      <c r="W423" s="374"/>
      <c r="X423" s="404"/>
      <c r="Y423" s="372"/>
      <c r="Z423" s="381"/>
      <c r="AA423" s="359"/>
      <c r="AB423" s="230"/>
      <c r="AC423" s="381"/>
      <c r="AD423" s="225"/>
      <c r="AE423" s="361"/>
      <c r="AF423" s="533"/>
      <c r="AG423" s="225"/>
      <c r="AH423" s="361"/>
      <c r="AI423" s="533"/>
      <c r="AJ423" s="225"/>
      <c r="AK423" s="361"/>
      <c r="AL423" s="533"/>
      <c r="AM423" s="225"/>
      <c r="AN423" s="361"/>
      <c r="AO423" s="533"/>
      <c r="AP423" s="225"/>
      <c r="AQ423" s="361"/>
      <c r="AR423" s="533"/>
      <c r="AS423" s="320"/>
    </row>
    <row r="424" spans="1:45" ht="13.5" hidden="1" customHeight="1">
      <c r="A424" s="12"/>
      <c r="B424" s="358"/>
      <c r="C424" s="359"/>
      <c r="D424" s="359"/>
      <c r="E424" s="360"/>
      <c r="F424" s="524"/>
      <c r="G424" s="378"/>
      <c r="H424" s="362"/>
      <c r="I424" s="230"/>
      <c r="J424" s="230"/>
      <c r="K424" s="363"/>
      <c r="L424" s="413"/>
      <c r="M424" s="365"/>
      <c r="N424" s="415"/>
      <c r="O424" s="580"/>
      <c r="P424" s="581"/>
      <c r="Q424" s="608"/>
      <c r="R424" s="582"/>
      <c r="S424" s="582"/>
      <c r="T424" s="606"/>
      <c r="U424" s="607"/>
      <c r="V424" s="373"/>
      <c r="W424" s="398"/>
      <c r="X424" s="404"/>
      <c r="Y424" s="372"/>
      <c r="Z424" s="381"/>
      <c r="AA424" s="359"/>
      <c r="AB424" s="230"/>
      <c r="AC424" s="381"/>
      <c r="AD424" s="241"/>
      <c r="AE424" s="411"/>
      <c r="AF424" s="577"/>
      <c r="AG424" s="241"/>
      <c r="AH424" s="411"/>
      <c r="AI424" s="577"/>
      <c r="AJ424" s="241"/>
      <c r="AK424" s="411"/>
      <c r="AL424" s="577"/>
      <c r="AM424" s="241"/>
      <c r="AN424" s="411"/>
      <c r="AO424" s="577"/>
      <c r="AP424" s="241"/>
      <c r="AQ424" s="411"/>
      <c r="AR424" s="577"/>
      <c r="AS424" s="202"/>
    </row>
    <row r="425" spans="1:45" ht="13.5" hidden="1" customHeight="1">
      <c r="A425" s="12"/>
      <c r="B425" s="358" t="s">
        <v>2570</v>
      </c>
      <c r="C425" s="359">
        <v>9</v>
      </c>
      <c r="D425" s="359">
        <v>27</v>
      </c>
      <c r="E425" s="360"/>
      <c r="F425" s="524"/>
      <c r="G425" s="361"/>
      <c r="H425" s="362"/>
      <c r="I425" s="230"/>
      <c r="J425" s="230"/>
      <c r="K425" s="363"/>
      <c r="L425" s="413"/>
      <c r="M425" s="365"/>
      <c r="N425" s="415"/>
      <c r="O425" s="580"/>
      <c r="P425" s="581"/>
      <c r="Q425" s="608"/>
      <c r="R425" s="582"/>
      <c r="S425" s="582"/>
      <c r="T425" s="606"/>
      <c r="U425" s="607"/>
      <c r="V425" s="373"/>
      <c r="W425" s="374"/>
      <c r="X425" s="404"/>
      <c r="Y425" s="372"/>
      <c r="Z425" s="381"/>
      <c r="AA425" s="359"/>
      <c r="AB425" s="230"/>
      <c r="AC425" s="381"/>
      <c r="AD425" s="225"/>
      <c r="AE425" s="361"/>
      <c r="AF425" s="533"/>
      <c r="AG425" s="225"/>
      <c r="AH425" s="361"/>
      <c r="AI425" s="533"/>
      <c r="AJ425" s="225"/>
      <c r="AK425" s="361"/>
      <c r="AL425" s="533"/>
      <c r="AM425" s="225"/>
      <c r="AN425" s="361"/>
      <c r="AO425" s="533"/>
      <c r="AP425" s="225"/>
      <c r="AQ425" s="361"/>
      <c r="AR425" s="533"/>
      <c r="AS425" s="320"/>
    </row>
    <row r="426" spans="1:45" ht="13.5" hidden="1" customHeight="1">
      <c r="A426" s="12"/>
      <c r="B426" s="358"/>
      <c r="C426" s="359"/>
      <c r="D426" s="359"/>
      <c r="E426" s="360"/>
      <c r="F426" s="524"/>
      <c r="G426" s="378"/>
      <c r="H426" s="362"/>
      <c r="I426" s="230"/>
      <c r="J426" s="230"/>
      <c r="K426" s="363"/>
      <c r="L426" s="413"/>
      <c r="M426" s="365"/>
      <c r="N426" s="415"/>
      <c r="O426" s="580"/>
      <c r="P426" s="581"/>
      <c r="Q426" s="608"/>
      <c r="R426" s="582"/>
      <c r="S426" s="582"/>
      <c r="T426" s="606"/>
      <c r="U426" s="607"/>
      <c r="V426" s="373"/>
      <c r="W426" s="398"/>
      <c r="X426" s="404"/>
      <c r="Y426" s="372"/>
      <c r="Z426" s="381"/>
      <c r="AA426" s="359"/>
      <c r="AB426" s="230"/>
      <c r="AC426" s="381"/>
      <c r="AD426" s="241"/>
      <c r="AE426" s="411"/>
      <c r="AF426" s="577"/>
      <c r="AG426" s="241"/>
      <c r="AH426" s="411"/>
      <c r="AI426" s="577"/>
      <c r="AJ426" s="241"/>
      <c r="AK426" s="411"/>
      <c r="AL426" s="577"/>
      <c r="AM426" s="241"/>
      <c r="AN426" s="411"/>
      <c r="AO426" s="577"/>
      <c r="AP426" s="241"/>
      <c r="AQ426" s="411"/>
      <c r="AR426" s="577"/>
      <c r="AS426" s="202"/>
    </row>
    <row r="427" spans="1:45" ht="13.5" hidden="1" customHeight="1">
      <c r="A427" s="12"/>
      <c r="B427" s="358" t="s">
        <v>2570</v>
      </c>
      <c r="C427" s="359">
        <v>10</v>
      </c>
      <c r="D427" s="359">
        <v>28</v>
      </c>
      <c r="E427" s="360"/>
      <c r="F427" s="524"/>
      <c r="G427" s="361"/>
      <c r="H427" s="362"/>
      <c r="I427" s="230"/>
      <c r="J427" s="230"/>
      <c r="K427" s="363"/>
      <c r="L427" s="413"/>
      <c r="M427" s="365"/>
      <c r="N427" s="415"/>
      <c r="O427" s="580"/>
      <c r="P427" s="581"/>
      <c r="Q427" s="608"/>
      <c r="R427" s="582"/>
      <c r="S427" s="582"/>
      <c r="T427" s="606"/>
      <c r="U427" s="607"/>
      <c r="V427" s="373"/>
      <c r="W427" s="374"/>
      <c r="X427" s="404"/>
      <c r="Y427" s="372"/>
      <c r="Z427" s="381"/>
      <c r="AA427" s="359"/>
      <c r="AB427" s="230"/>
      <c r="AC427" s="381"/>
      <c r="AD427" s="225"/>
      <c r="AE427" s="361"/>
      <c r="AF427" s="533"/>
      <c r="AG427" s="225"/>
      <c r="AH427" s="361"/>
      <c r="AI427" s="533"/>
      <c r="AJ427" s="225"/>
      <c r="AK427" s="361"/>
      <c r="AL427" s="533"/>
      <c r="AM427" s="225"/>
      <c r="AN427" s="361"/>
      <c r="AO427" s="533"/>
      <c r="AP427" s="225"/>
      <c r="AQ427" s="361"/>
      <c r="AR427" s="533"/>
      <c r="AS427" s="320"/>
    </row>
    <row r="428" spans="1:45" ht="13.5" hidden="1" customHeight="1">
      <c r="A428" s="12"/>
      <c r="B428" s="358"/>
      <c r="C428" s="359"/>
      <c r="D428" s="359"/>
      <c r="E428" s="360"/>
      <c r="F428" s="524"/>
      <c r="G428" s="378"/>
      <c r="H428" s="362"/>
      <c r="I428" s="230"/>
      <c r="J428" s="230"/>
      <c r="K428" s="363"/>
      <c r="L428" s="427"/>
      <c r="M428" s="365"/>
      <c r="N428" s="425"/>
      <c r="O428" s="440"/>
      <c r="P428" s="429"/>
      <c r="Q428" s="609"/>
      <c r="R428" s="433"/>
      <c r="S428" s="433"/>
      <c r="T428" s="434"/>
      <c r="U428" s="376"/>
      <c r="V428" s="373"/>
      <c r="W428" s="398"/>
      <c r="X428" s="404"/>
      <c r="Y428" s="372"/>
      <c r="Z428" s="381"/>
      <c r="AA428" s="359"/>
      <c r="AB428" s="230"/>
      <c r="AC428" s="381"/>
      <c r="AD428" s="241"/>
      <c r="AE428" s="411"/>
      <c r="AF428" s="577"/>
      <c r="AG428" s="241"/>
      <c r="AH428" s="411"/>
      <c r="AI428" s="577"/>
      <c r="AJ428" s="241"/>
      <c r="AK428" s="411"/>
      <c r="AL428" s="577"/>
      <c r="AM428" s="241"/>
      <c r="AN428" s="411"/>
      <c r="AO428" s="577"/>
      <c r="AP428" s="241"/>
      <c r="AQ428" s="411"/>
      <c r="AR428" s="577"/>
      <c r="AS428" s="202"/>
    </row>
    <row r="429" spans="1:45" ht="13.5" hidden="1" customHeight="1">
      <c r="A429" s="12"/>
      <c r="B429" s="358" t="s">
        <v>2570</v>
      </c>
      <c r="C429" s="359">
        <v>11</v>
      </c>
      <c r="D429" s="359">
        <v>29</v>
      </c>
      <c r="E429" s="360"/>
      <c r="F429" s="524"/>
      <c r="G429" s="361"/>
      <c r="H429" s="362"/>
      <c r="I429" s="230"/>
      <c r="J429" s="230"/>
      <c r="K429" s="363"/>
      <c r="L429" s="364"/>
      <c r="M429" s="365"/>
      <c r="N429" s="366"/>
      <c r="O429" s="367"/>
      <c r="P429" s="368"/>
      <c r="Q429" s="587"/>
      <c r="R429" s="370"/>
      <c r="S429" s="370"/>
      <c r="T429" s="371"/>
      <c r="U429" s="372"/>
      <c r="V429" s="373"/>
      <c r="W429" s="374"/>
      <c r="X429" s="404"/>
      <c r="Y429" s="372"/>
      <c r="Z429" s="381"/>
      <c r="AA429" s="359"/>
      <c r="AB429" s="230"/>
      <c r="AC429" s="381"/>
      <c r="AD429" s="225"/>
      <c r="AE429" s="361"/>
      <c r="AF429" s="533"/>
      <c r="AG429" s="225"/>
      <c r="AH429" s="361"/>
      <c r="AI429" s="533"/>
      <c r="AJ429" s="225"/>
      <c r="AK429" s="361"/>
      <c r="AL429" s="533"/>
      <c r="AM429" s="225"/>
      <c r="AN429" s="361"/>
      <c r="AO429" s="533"/>
      <c r="AP429" s="225"/>
      <c r="AQ429" s="361"/>
      <c r="AR429" s="533"/>
      <c r="AS429" s="320"/>
    </row>
    <row r="430" spans="1:45" ht="13.5" hidden="1" customHeight="1">
      <c r="A430" s="12"/>
      <c r="B430" s="358"/>
      <c r="C430" s="359"/>
      <c r="D430" s="359"/>
      <c r="E430" s="360"/>
      <c r="F430" s="524"/>
      <c r="G430" s="378"/>
      <c r="H430" s="362"/>
      <c r="I430" s="230"/>
      <c r="J430" s="230"/>
      <c r="K430" s="363"/>
      <c r="L430" s="364"/>
      <c r="M430" s="365"/>
      <c r="N430" s="366"/>
      <c r="O430" s="367"/>
      <c r="P430" s="368"/>
      <c r="Q430" s="587"/>
      <c r="R430" s="370"/>
      <c r="S430" s="370"/>
      <c r="T430" s="371"/>
      <c r="U430" s="372"/>
      <c r="V430" s="373"/>
      <c r="W430" s="398"/>
      <c r="X430" s="404"/>
      <c r="Y430" s="372"/>
      <c r="Z430" s="381"/>
      <c r="AA430" s="359"/>
      <c r="AB430" s="230"/>
      <c r="AC430" s="381"/>
      <c r="AD430" s="241"/>
      <c r="AE430" s="411"/>
      <c r="AF430" s="577"/>
      <c r="AG430" s="241"/>
      <c r="AH430" s="411"/>
      <c r="AI430" s="577"/>
      <c r="AJ430" s="241"/>
      <c r="AK430" s="411"/>
      <c r="AL430" s="577"/>
      <c r="AM430" s="241"/>
      <c r="AN430" s="411"/>
      <c r="AO430" s="577"/>
      <c r="AP430" s="241"/>
      <c r="AQ430" s="411"/>
      <c r="AR430" s="577"/>
      <c r="AS430" s="202"/>
    </row>
    <row r="431" spans="1:45" ht="13.5" hidden="1" customHeight="1">
      <c r="A431" s="12"/>
      <c r="B431" s="358" t="s">
        <v>2570</v>
      </c>
      <c r="C431" s="359">
        <v>12</v>
      </c>
      <c r="D431" s="359">
        <v>30</v>
      </c>
      <c r="E431" s="360"/>
      <c r="F431" s="524"/>
      <c r="G431" s="361"/>
      <c r="H431" s="362"/>
      <c r="I431" s="230"/>
      <c r="J431" s="230"/>
      <c r="K431" s="363"/>
      <c r="L431" s="364"/>
      <c r="M431" s="365"/>
      <c r="N431" s="366"/>
      <c r="O431" s="367"/>
      <c r="P431" s="368"/>
      <c r="Q431" s="587"/>
      <c r="R431" s="370"/>
      <c r="S431" s="370"/>
      <c r="T431" s="371"/>
      <c r="U431" s="372"/>
      <c r="V431" s="373"/>
      <c r="W431" s="374"/>
      <c r="X431" s="404"/>
      <c r="Y431" s="372"/>
      <c r="Z431" s="381"/>
      <c r="AA431" s="359"/>
      <c r="AB431" s="230"/>
      <c r="AC431" s="381"/>
      <c r="AD431" s="225"/>
      <c r="AE431" s="361"/>
      <c r="AF431" s="533"/>
      <c r="AG431" s="225"/>
      <c r="AH431" s="361"/>
      <c r="AI431" s="533"/>
      <c r="AJ431" s="225"/>
      <c r="AK431" s="361"/>
      <c r="AL431" s="533"/>
      <c r="AM431" s="225"/>
      <c r="AN431" s="361"/>
      <c r="AO431" s="533"/>
      <c r="AP431" s="225"/>
      <c r="AQ431" s="361"/>
      <c r="AR431" s="533"/>
      <c r="AS431" s="320"/>
    </row>
    <row r="432" spans="1:45" ht="13.5" hidden="1" customHeight="1">
      <c r="A432" s="12"/>
      <c r="B432" s="358"/>
      <c r="C432" s="359"/>
      <c r="D432" s="359"/>
      <c r="E432" s="360"/>
      <c r="F432" s="524"/>
      <c r="G432" s="378"/>
      <c r="H432" s="362"/>
      <c r="I432" s="230"/>
      <c r="J432" s="230"/>
      <c r="K432" s="363"/>
      <c r="L432" s="364"/>
      <c r="M432" s="365"/>
      <c r="N432" s="366"/>
      <c r="O432" s="367"/>
      <c r="P432" s="368"/>
      <c r="Q432" s="587"/>
      <c r="R432" s="370"/>
      <c r="S432" s="370"/>
      <c r="T432" s="371"/>
      <c r="U432" s="372"/>
      <c r="V432" s="373"/>
      <c r="W432" s="398"/>
      <c r="X432" s="404"/>
      <c r="Y432" s="372"/>
      <c r="Z432" s="381"/>
      <c r="AA432" s="359"/>
      <c r="AB432" s="230"/>
      <c r="AC432" s="381"/>
      <c r="AD432" s="241"/>
      <c r="AE432" s="411"/>
      <c r="AF432" s="577"/>
      <c r="AG432" s="241"/>
      <c r="AH432" s="411"/>
      <c r="AI432" s="577"/>
      <c r="AJ432" s="241"/>
      <c r="AK432" s="411"/>
      <c r="AL432" s="577"/>
      <c r="AM432" s="241"/>
      <c r="AN432" s="411"/>
      <c r="AO432" s="577"/>
      <c r="AP432" s="241"/>
      <c r="AQ432" s="411"/>
      <c r="AR432" s="577"/>
      <c r="AS432" s="202"/>
    </row>
    <row r="433" spans="1:45" ht="13.5" hidden="1" customHeight="1">
      <c r="A433" s="12"/>
      <c r="B433" s="358" t="s">
        <v>2570</v>
      </c>
      <c r="C433" s="359">
        <v>13</v>
      </c>
      <c r="D433" s="359">
        <v>31</v>
      </c>
      <c r="E433" s="360"/>
      <c r="F433" s="524"/>
      <c r="G433" s="361"/>
      <c r="H433" s="362"/>
      <c r="I433" s="230"/>
      <c r="J433" s="230"/>
      <c r="K433" s="363"/>
      <c r="L433" s="364"/>
      <c r="M433" s="365"/>
      <c r="N433" s="366"/>
      <c r="O433" s="367"/>
      <c r="P433" s="368"/>
      <c r="Q433" s="587"/>
      <c r="R433" s="370"/>
      <c r="S433" s="370"/>
      <c r="T433" s="371"/>
      <c r="U433" s="372"/>
      <c r="V433" s="373"/>
      <c r="W433" s="374"/>
      <c r="X433" s="404"/>
      <c r="Y433" s="372"/>
      <c r="Z433" s="381"/>
      <c r="AA433" s="359"/>
      <c r="AB433" s="230"/>
      <c r="AC433" s="381"/>
      <c r="AD433" s="225"/>
      <c r="AE433" s="361"/>
      <c r="AF433" s="533"/>
      <c r="AG433" s="225"/>
      <c r="AH433" s="361"/>
      <c r="AI433" s="533"/>
      <c r="AJ433" s="225"/>
      <c r="AK433" s="361"/>
      <c r="AL433" s="533"/>
      <c r="AM433" s="225"/>
      <c r="AN433" s="361"/>
      <c r="AO433" s="533"/>
      <c r="AP433" s="225"/>
      <c r="AQ433" s="361"/>
      <c r="AR433" s="533"/>
      <c r="AS433" s="320"/>
    </row>
    <row r="434" spans="1:45" ht="13.5" hidden="1" customHeight="1">
      <c r="A434" s="12"/>
      <c r="B434" s="358"/>
      <c r="C434" s="359"/>
      <c r="D434" s="359"/>
      <c r="E434" s="360"/>
      <c r="F434" s="524"/>
      <c r="G434" s="378"/>
      <c r="H434" s="362"/>
      <c r="I434" s="230"/>
      <c r="J434" s="230"/>
      <c r="K434" s="363"/>
      <c r="L434" s="364"/>
      <c r="M434" s="365"/>
      <c r="N434" s="366"/>
      <c r="O434" s="367"/>
      <c r="P434" s="368"/>
      <c r="Q434" s="587"/>
      <c r="R434" s="370"/>
      <c r="S434" s="370"/>
      <c r="T434" s="371"/>
      <c r="U434" s="372"/>
      <c r="V434" s="373"/>
      <c r="W434" s="398"/>
      <c r="X434" s="404"/>
      <c r="Y434" s="372"/>
      <c r="Z434" s="381"/>
      <c r="AA434" s="359"/>
      <c r="AB434" s="230"/>
      <c r="AC434" s="381"/>
      <c r="AD434" s="241"/>
      <c r="AE434" s="411"/>
      <c r="AF434" s="577"/>
      <c r="AG434" s="241"/>
      <c r="AH434" s="411"/>
      <c r="AI434" s="577"/>
      <c r="AJ434" s="241"/>
      <c r="AK434" s="411"/>
      <c r="AL434" s="577"/>
      <c r="AM434" s="241"/>
      <c r="AN434" s="411"/>
      <c r="AO434" s="577"/>
      <c r="AP434" s="241"/>
      <c r="AQ434" s="411"/>
      <c r="AR434" s="577"/>
      <c r="AS434" s="202"/>
    </row>
    <row r="435" spans="1:45" ht="13.5" hidden="1" customHeight="1">
      <c r="A435" s="12"/>
      <c r="B435" s="358" t="s">
        <v>2570</v>
      </c>
      <c r="C435" s="359">
        <v>14</v>
      </c>
      <c r="D435" s="359">
        <v>32</v>
      </c>
      <c r="E435" s="360"/>
      <c r="F435" s="524"/>
      <c r="G435" s="524"/>
      <c r="H435" s="362"/>
      <c r="I435" s="230"/>
      <c r="J435" s="230"/>
      <c r="K435" s="363"/>
      <c r="L435" s="364"/>
      <c r="M435" s="365"/>
      <c r="N435" s="366"/>
      <c r="O435" s="367"/>
      <c r="P435" s="368"/>
      <c r="Q435" s="587"/>
      <c r="R435" s="370"/>
      <c r="S435" s="370"/>
      <c r="T435" s="371"/>
      <c r="U435" s="372"/>
      <c r="V435" s="373"/>
      <c r="W435" s="374"/>
      <c r="X435" s="404"/>
      <c r="Y435" s="372"/>
      <c r="Z435" s="381"/>
      <c r="AA435" s="359"/>
      <c r="AB435" s="230"/>
      <c r="AC435" s="381"/>
      <c r="AD435" s="225"/>
      <c r="AE435" s="361"/>
      <c r="AF435" s="533"/>
      <c r="AG435" s="225"/>
      <c r="AH435" s="361"/>
      <c r="AI435" s="533"/>
      <c r="AJ435" s="225"/>
      <c r="AK435" s="361"/>
      <c r="AL435" s="533"/>
      <c r="AM435" s="225"/>
      <c r="AN435" s="361"/>
      <c r="AO435" s="533"/>
      <c r="AP435" s="225"/>
      <c r="AQ435" s="361"/>
      <c r="AR435" s="533"/>
      <c r="AS435" s="320"/>
    </row>
    <row r="436" spans="1:45" ht="13.5" hidden="1" customHeight="1">
      <c r="A436" s="12"/>
      <c r="B436" s="358"/>
      <c r="C436" s="359"/>
      <c r="D436" s="359"/>
      <c r="E436" s="360"/>
      <c r="F436" s="524"/>
      <c r="G436" s="524"/>
      <c r="H436" s="362"/>
      <c r="I436" s="230"/>
      <c r="J436" s="230"/>
      <c r="K436" s="363"/>
      <c r="L436" s="364"/>
      <c r="M436" s="365"/>
      <c r="N436" s="366"/>
      <c r="O436" s="367"/>
      <c r="P436" s="368"/>
      <c r="Q436" s="587"/>
      <c r="R436" s="370"/>
      <c r="S436" s="370"/>
      <c r="T436" s="371"/>
      <c r="U436" s="372"/>
      <c r="V436" s="373"/>
      <c r="W436" s="398"/>
      <c r="X436" s="404"/>
      <c r="Y436" s="372"/>
      <c r="Z436" s="381"/>
      <c r="AA436" s="359"/>
      <c r="AB436" s="230"/>
      <c r="AC436" s="381"/>
      <c r="AD436" s="241"/>
      <c r="AE436" s="411"/>
      <c r="AF436" s="577"/>
      <c r="AG436" s="241"/>
      <c r="AH436" s="411"/>
      <c r="AI436" s="577"/>
      <c r="AJ436" s="241"/>
      <c r="AK436" s="411"/>
      <c r="AL436" s="577"/>
      <c r="AM436" s="241"/>
      <c r="AN436" s="411"/>
      <c r="AO436" s="577"/>
      <c r="AP436" s="241"/>
      <c r="AQ436" s="411"/>
      <c r="AR436" s="577"/>
      <c r="AS436" s="202"/>
    </row>
    <row r="437" spans="1:45" ht="13.5" hidden="1" customHeight="1">
      <c r="A437" s="12"/>
      <c r="B437" s="358" t="s">
        <v>2570</v>
      </c>
      <c r="C437" s="359">
        <v>15</v>
      </c>
      <c r="D437" s="359">
        <v>33</v>
      </c>
      <c r="E437" s="360"/>
      <c r="F437" s="524"/>
      <c r="G437" s="524"/>
      <c r="H437" s="362"/>
      <c r="I437" s="230"/>
      <c r="J437" s="230"/>
      <c r="K437" s="363"/>
      <c r="L437" s="364"/>
      <c r="M437" s="365"/>
      <c r="N437" s="366"/>
      <c r="O437" s="367"/>
      <c r="P437" s="368"/>
      <c r="Q437" s="587"/>
      <c r="R437" s="370"/>
      <c r="S437" s="370"/>
      <c r="T437" s="371"/>
      <c r="U437" s="372"/>
      <c r="V437" s="373"/>
      <c r="W437" s="374"/>
      <c r="X437" s="404"/>
      <c r="Y437" s="372"/>
      <c r="Z437" s="381"/>
      <c r="AA437" s="359"/>
      <c r="AB437" s="230"/>
      <c r="AC437" s="381"/>
      <c r="AD437" s="225"/>
      <c r="AE437" s="361"/>
      <c r="AF437" s="533"/>
      <c r="AG437" s="225"/>
      <c r="AH437" s="361"/>
      <c r="AI437" s="533"/>
      <c r="AJ437" s="225"/>
      <c r="AK437" s="361"/>
      <c r="AL437" s="533"/>
      <c r="AM437" s="225"/>
      <c r="AN437" s="361"/>
      <c r="AO437" s="533"/>
      <c r="AP437" s="225"/>
      <c r="AQ437" s="361"/>
      <c r="AR437" s="533"/>
      <c r="AS437" s="320"/>
    </row>
    <row r="438" spans="1:45" ht="13.5" hidden="1" customHeight="1">
      <c r="A438" s="12"/>
      <c r="B438" s="358"/>
      <c r="C438" s="359"/>
      <c r="D438" s="359"/>
      <c r="E438" s="360"/>
      <c r="F438" s="524"/>
      <c r="G438" s="524"/>
      <c r="H438" s="362"/>
      <c r="I438" s="230"/>
      <c r="J438" s="230"/>
      <c r="K438" s="363"/>
      <c r="L438" s="364"/>
      <c r="M438" s="365"/>
      <c r="N438" s="366"/>
      <c r="O438" s="367"/>
      <c r="P438" s="368"/>
      <c r="Q438" s="587"/>
      <c r="R438" s="370"/>
      <c r="S438" s="370"/>
      <c r="T438" s="371"/>
      <c r="U438" s="372"/>
      <c r="V438" s="373"/>
      <c r="W438" s="398"/>
      <c r="X438" s="404"/>
      <c r="Y438" s="372"/>
      <c r="Z438" s="381"/>
      <c r="AA438" s="359"/>
      <c r="AB438" s="230"/>
      <c r="AC438" s="381"/>
      <c r="AD438" s="241"/>
      <c r="AE438" s="411"/>
      <c r="AF438" s="577"/>
      <c r="AG438" s="241"/>
      <c r="AH438" s="411"/>
      <c r="AI438" s="577"/>
      <c r="AJ438" s="241"/>
      <c r="AK438" s="411"/>
      <c r="AL438" s="577"/>
      <c r="AM438" s="241"/>
      <c r="AN438" s="411"/>
      <c r="AO438" s="577"/>
      <c r="AP438" s="241"/>
      <c r="AQ438" s="411"/>
      <c r="AR438" s="577"/>
      <c r="AS438" s="202"/>
    </row>
    <row r="439" spans="1:45" ht="13.5" hidden="1" customHeight="1">
      <c r="A439" s="12"/>
      <c r="B439" s="358" t="s">
        <v>2570</v>
      </c>
      <c r="C439" s="359">
        <v>16</v>
      </c>
      <c r="D439" s="359">
        <v>34</v>
      </c>
      <c r="E439" s="360"/>
      <c r="F439" s="610"/>
      <c r="G439" s="610"/>
      <c r="H439" s="362"/>
      <c r="I439" s="230"/>
      <c r="J439" s="230"/>
      <c r="K439" s="363"/>
      <c r="L439" s="364"/>
      <c r="M439" s="365"/>
      <c r="N439" s="366"/>
      <c r="O439" s="367"/>
      <c r="P439" s="368"/>
      <c r="Q439" s="587"/>
      <c r="R439" s="370"/>
      <c r="S439" s="370"/>
      <c r="T439" s="371"/>
      <c r="U439" s="372"/>
      <c r="V439" s="373"/>
      <c r="W439" s="374"/>
      <c r="X439" s="404"/>
      <c r="Y439" s="372"/>
      <c r="Z439" s="381"/>
      <c r="AA439" s="359"/>
      <c r="AB439" s="230"/>
      <c r="AC439" s="381"/>
      <c r="AD439" s="225"/>
      <c r="AE439" s="361"/>
      <c r="AF439" s="533"/>
      <c r="AG439" s="225"/>
      <c r="AH439" s="361"/>
      <c r="AI439" s="533"/>
      <c r="AJ439" s="225"/>
      <c r="AK439" s="361"/>
      <c r="AL439" s="533"/>
      <c r="AM439" s="225"/>
      <c r="AN439" s="361"/>
      <c r="AO439" s="533"/>
      <c r="AP439" s="225"/>
      <c r="AQ439" s="361"/>
      <c r="AR439" s="533"/>
      <c r="AS439" s="320"/>
    </row>
    <row r="440" spans="1:45" ht="13.5" hidden="1" customHeight="1">
      <c r="A440" s="12"/>
      <c r="B440" s="358"/>
      <c r="C440" s="359"/>
      <c r="D440" s="359"/>
      <c r="E440" s="360"/>
      <c r="F440" s="8"/>
      <c r="G440" s="8"/>
      <c r="H440" s="230"/>
      <c r="I440" s="230"/>
      <c r="J440" s="230"/>
      <c r="K440" s="363"/>
      <c r="L440" s="364"/>
      <c r="M440" s="365"/>
      <c r="N440" s="366"/>
      <c r="O440" s="367"/>
      <c r="P440" s="368"/>
      <c r="Q440" s="587"/>
      <c r="R440" s="370"/>
      <c r="S440" s="370"/>
      <c r="T440" s="371"/>
      <c r="U440" s="372"/>
      <c r="V440" s="373"/>
      <c r="W440" s="398"/>
      <c r="X440" s="404"/>
      <c r="Y440" s="372"/>
      <c r="Z440" s="381"/>
      <c r="AA440" s="359"/>
      <c r="AB440" s="230"/>
      <c r="AC440" s="381"/>
      <c r="AD440" s="241"/>
      <c r="AE440" s="411"/>
      <c r="AF440" s="577"/>
      <c r="AG440" s="241"/>
      <c r="AH440" s="411"/>
      <c r="AI440" s="577"/>
      <c r="AJ440" s="241"/>
      <c r="AK440" s="411"/>
      <c r="AL440" s="577"/>
      <c r="AM440" s="241"/>
      <c r="AN440" s="411"/>
      <c r="AO440" s="577"/>
      <c r="AP440" s="241"/>
      <c r="AQ440" s="411"/>
      <c r="AR440" s="577"/>
      <c r="AS440" s="202"/>
    </row>
    <row r="441" spans="1:45" ht="13.5" hidden="1" customHeight="1">
      <c r="A441" s="12"/>
      <c r="B441" s="358" t="s">
        <v>2570</v>
      </c>
      <c r="C441" s="359">
        <v>17</v>
      </c>
      <c r="D441" s="359">
        <v>35</v>
      </c>
      <c r="E441" s="360"/>
      <c r="F441" s="524"/>
      <c r="G441" s="524"/>
      <c r="H441" s="362"/>
      <c r="I441" s="230"/>
      <c r="J441" s="230"/>
      <c r="K441" s="363"/>
      <c r="L441" s="364"/>
      <c r="M441" s="365"/>
      <c r="N441" s="366"/>
      <c r="O441" s="367"/>
      <c r="P441" s="368"/>
      <c r="Q441" s="587"/>
      <c r="R441" s="370"/>
      <c r="S441" s="370"/>
      <c r="T441" s="371"/>
      <c r="U441" s="372"/>
      <c r="V441" s="373"/>
      <c r="W441" s="374"/>
      <c r="X441" s="404"/>
      <c r="Y441" s="372"/>
      <c r="Z441" s="381"/>
      <c r="AA441" s="359"/>
      <c r="AB441" s="230"/>
      <c r="AC441" s="381"/>
      <c r="AD441" s="225"/>
      <c r="AE441" s="361"/>
      <c r="AF441" s="533"/>
      <c r="AG441" s="225"/>
      <c r="AH441" s="361"/>
      <c r="AI441" s="533"/>
      <c r="AJ441" s="225"/>
      <c r="AK441" s="361"/>
      <c r="AL441" s="533"/>
      <c r="AM441" s="225"/>
      <c r="AN441" s="361"/>
      <c r="AO441" s="533"/>
      <c r="AP441" s="225"/>
      <c r="AQ441" s="361"/>
      <c r="AR441" s="533"/>
      <c r="AS441" s="320"/>
    </row>
    <row r="442" spans="1:45" ht="13.5" hidden="1" customHeight="1">
      <c r="A442" s="12"/>
      <c r="B442" s="358"/>
      <c r="C442" s="359"/>
      <c r="D442" s="359"/>
      <c r="E442" s="360"/>
      <c r="F442" s="524"/>
      <c r="G442" s="524"/>
      <c r="H442" s="362"/>
      <c r="I442" s="230"/>
      <c r="J442" s="230"/>
      <c r="K442" s="363"/>
      <c r="L442" s="364"/>
      <c r="M442" s="365"/>
      <c r="N442" s="366"/>
      <c r="O442" s="367"/>
      <c r="P442" s="368"/>
      <c r="Q442" s="587"/>
      <c r="R442" s="370"/>
      <c r="S442" s="370"/>
      <c r="T442" s="371"/>
      <c r="U442" s="372"/>
      <c r="V442" s="373"/>
      <c r="W442" s="398"/>
      <c r="X442" s="404"/>
      <c r="Y442" s="372"/>
      <c r="Z442" s="381"/>
      <c r="AA442" s="359"/>
      <c r="AB442" s="230"/>
      <c r="AC442" s="381"/>
      <c r="AD442" s="241"/>
      <c r="AE442" s="411"/>
      <c r="AF442" s="577"/>
      <c r="AG442" s="241"/>
      <c r="AH442" s="411"/>
      <c r="AI442" s="577"/>
      <c r="AJ442" s="241"/>
      <c r="AK442" s="411"/>
      <c r="AL442" s="577"/>
      <c r="AM442" s="241"/>
      <c r="AN442" s="411"/>
      <c r="AO442" s="577"/>
      <c r="AP442" s="241"/>
      <c r="AQ442" s="411"/>
      <c r="AR442" s="577"/>
      <c r="AS442" s="202"/>
    </row>
    <row r="443" spans="1:45" ht="13.5" hidden="1" customHeight="1">
      <c r="A443" s="12"/>
      <c r="B443" s="358" t="s">
        <v>2570</v>
      </c>
      <c r="C443" s="359">
        <v>18</v>
      </c>
      <c r="D443" s="359">
        <v>36</v>
      </c>
      <c r="E443" s="360"/>
      <c r="F443" s="524"/>
      <c r="G443" s="524"/>
      <c r="H443" s="362"/>
      <c r="I443" s="230"/>
      <c r="J443" s="230"/>
      <c r="K443" s="363"/>
      <c r="L443" s="364"/>
      <c r="M443" s="365"/>
      <c r="N443" s="366"/>
      <c r="O443" s="367"/>
      <c r="P443" s="368"/>
      <c r="Q443" s="587"/>
      <c r="R443" s="370"/>
      <c r="S443" s="370"/>
      <c r="T443" s="371"/>
      <c r="U443" s="372"/>
      <c r="V443" s="373"/>
      <c r="W443" s="374"/>
      <c r="X443" s="404"/>
      <c r="Y443" s="372"/>
      <c r="Z443" s="381"/>
      <c r="AA443" s="359"/>
      <c r="AB443" s="230"/>
      <c r="AC443" s="381"/>
      <c r="AD443" s="225"/>
      <c r="AE443" s="361"/>
      <c r="AF443" s="533"/>
      <c r="AG443" s="225"/>
      <c r="AH443" s="361"/>
      <c r="AI443" s="533"/>
      <c r="AJ443" s="225"/>
      <c r="AK443" s="361"/>
      <c r="AL443" s="533"/>
      <c r="AM443" s="225"/>
      <c r="AN443" s="361"/>
      <c r="AO443" s="533"/>
      <c r="AP443" s="225"/>
      <c r="AQ443" s="361"/>
      <c r="AR443" s="533"/>
      <c r="AS443" s="320"/>
    </row>
    <row r="444" spans="1:45" ht="13.5" hidden="1" customHeight="1">
      <c r="A444" s="12"/>
      <c r="B444" s="358"/>
      <c r="C444" s="359"/>
      <c r="D444" s="359"/>
      <c r="E444" s="360"/>
      <c r="F444" s="524"/>
      <c r="G444" s="524"/>
      <c r="H444" s="362"/>
      <c r="I444" s="230"/>
      <c r="J444" s="230"/>
      <c r="K444" s="363"/>
      <c r="L444" s="364"/>
      <c r="M444" s="365"/>
      <c r="N444" s="366"/>
      <c r="O444" s="367"/>
      <c r="P444" s="368"/>
      <c r="Q444" s="587"/>
      <c r="R444" s="370"/>
      <c r="S444" s="370"/>
      <c r="T444" s="371"/>
      <c r="U444" s="372"/>
      <c r="V444" s="373"/>
      <c r="W444" s="398"/>
      <c r="X444" s="404"/>
      <c r="Y444" s="372"/>
      <c r="Z444" s="381"/>
      <c r="AA444" s="359"/>
      <c r="AB444" s="230"/>
      <c r="AC444" s="381"/>
      <c r="AD444" s="241"/>
      <c r="AE444" s="411"/>
      <c r="AF444" s="577"/>
      <c r="AG444" s="241"/>
      <c r="AH444" s="411"/>
      <c r="AI444" s="577"/>
      <c r="AJ444" s="241"/>
      <c r="AK444" s="411"/>
      <c r="AL444" s="577"/>
      <c r="AM444" s="241"/>
      <c r="AN444" s="411"/>
      <c r="AO444" s="577"/>
      <c r="AP444" s="241"/>
      <c r="AQ444" s="411"/>
      <c r="AR444" s="577"/>
      <c r="AS444" s="202"/>
    </row>
    <row r="445" spans="1:45" ht="13.5" hidden="1" customHeight="1">
      <c r="A445" s="12"/>
      <c r="B445" s="358" t="s">
        <v>2570</v>
      </c>
      <c r="C445" s="359">
        <v>19</v>
      </c>
      <c r="D445" s="359">
        <v>37</v>
      </c>
      <c r="E445" s="360"/>
      <c r="F445" s="524"/>
      <c r="G445" s="524"/>
      <c r="H445" s="362"/>
      <c r="I445" s="230"/>
      <c r="J445" s="230"/>
      <c r="K445" s="363"/>
      <c r="L445" s="364"/>
      <c r="M445" s="365"/>
      <c r="N445" s="366"/>
      <c r="O445" s="367"/>
      <c r="P445" s="368"/>
      <c r="Q445" s="587"/>
      <c r="R445" s="370"/>
      <c r="S445" s="370"/>
      <c r="T445" s="371"/>
      <c r="U445" s="372"/>
      <c r="V445" s="373"/>
      <c r="W445" s="374"/>
      <c r="X445" s="404"/>
      <c r="Y445" s="372"/>
      <c r="Z445" s="381"/>
      <c r="AA445" s="359"/>
      <c r="AB445" s="230"/>
      <c r="AC445" s="381"/>
      <c r="AD445" s="225"/>
      <c r="AE445" s="361"/>
      <c r="AF445" s="533"/>
      <c r="AG445" s="225"/>
      <c r="AH445" s="361"/>
      <c r="AI445" s="533"/>
      <c r="AJ445" s="225"/>
      <c r="AK445" s="361"/>
      <c r="AL445" s="533"/>
      <c r="AM445" s="225"/>
      <c r="AN445" s="361"/>
      <c r="AO445" s="533"/>
      <c r="AP445" s="225"/>
      <c r="AQ445" s="361"/>
      <c r="AR445" s="533"/>
      <c r="AS445" s="320"/>
    </row>
    <row r="446" spans="1:45" ht="13.5" hidden="1" customHeight="1">
      <c r="A446" s="12"/>
      <c r="B446" s="358"/>
      <c r="C446" s="359"/>
      <c r="D446" s="359"/>
      <c r="E446" s="360"/>
      <c r="F446" s="524"/>
      <c r="G446" s="524"/>
      <c r="H446" s="362"/>
      <c r="I446" s="230"/>
      <c r="J446" s="230"/>
      <c r="K446" s="363"/>
      <c r="L446" s="364"/>
      <c r="M446" s="365"/>
      <c r="N446" s="366"/>
      <c r="O446" s="367"/>
      <c r="P446" s="368"/>
      <c r="Q446" s="587"/>
      <c r="R446" s="370"/>
      <c r="S446" s="370"/>
      <c r="T446" s="371"/>
      <c r="U446" s="372"/>
      <c r="V446" s="373"/>
      <c r="W446" s="398"/>
      <c r="X446" s="404"/>
      <c r="Y446" s="372"/>
      <c r="Z446" s="381"/>
      <c r="AA446" s="359"/>
      <c r="AB446" s="230"/>
      <c r="AC446" s="381"/>
      <c r="AD446" s="241"/>
      <c r="AE446" s="411"/>
      <c r="AF446" s="577"/>
      <c r="AG446" s="241"/>
      <c r="AH446" s="411"/>
      <c r="AI446" s="577"/>
      <c r="AJ446" s="241"/>
      <c r="AK446" s="411"/>
      <c r="AL446" s="577"/>
      <c r="AM446" s="241"/>
      <c r="AN446" s="411"/>
      <c r="AO446" s="577"/>
      <c r="AP446" s="241"/>
      <c r="AQ446" s="411"/>
      <c r="AR446" s="577"/>
      <c r="AS446" s="202"/>
    </row>
    <row r="447" spans="1:45" ht="13.5" hidden="1" customHeight="1">
      <c r="A447" s="12"/>
      <c r="B447" s="358" t="s">
        <v>2570</v>
      </c>
      <c r="C447" s="359">
        <v>20</v>
      </c>
      <c r="D447" s="359">
        <v>38</v>
      </c>
      <c r="E447" s="360"/>
      <c r="F447" s="524"/>
      <c r="G447" s="524"/>
      <c r="H447" s="362"/>
      <c r="I447" s="230"/>
      <c r="J447" s="230"/>
      <c r="K447" s="363"/>
      <c r="L447" s="364"/>
      <c r="M447" s="365"/>
      <c r="N447" s="366"/>
      <c r="O447" s="367"/>
      <c r="P447" s="368"/>
      <c r="Q447" s="587"/>
      <c r="R447" s="370"/>
      <c r="S447" s="370"/>
      <c r="T447" s="371"/>
      <c r="U447" s="372"/>
      <c r="V447" s="373"/>
      <c r="W447" s="374"/>
      <c r="X447" s="404"/>
      <c r="Y447" s="372"/>
      <c r="Z447" s="381"/>
      <c r="AA447" s="359"/>
      <c r="AB447" s="230"/>
      <c r="AC447" s="381"/>
      <c r="AD447" s="225"/>
      <c r="AE447" s="361"/>
      <c r="AF447" s="533"/>
      <c r="AG447" s="225"/>
      <c r="AH447" s="361"/>
      <c r="AI447" s="533"/>
      <c r="AJ447" s="225"/>
      <c r="AK447" s="361"/>
      <c r="AL447" s="533"/>
      <c r="AM447" s="225"/>
      <c r="AN447" s="361"/>
      <c r="AO447" s="533"/>
      <c r="AP447" s="225"/>
      <c r="AQ447" s="361"/>
      <c r="AR447" s="533"/>
      <c r="AS447" s="320"/>
    </row>
    <row r="448" spans="1:45" ht="13.5" hidden="1" customHeight="1">
      <c r="A448" s="12"/>
      <c r="B448" s="358"/>
      <c r="C448" s="359"/>
      <c r="D448" s="359"/>
      <c r="E448" s="360"/>
      <c r="F448" s="524"/>
      <c r="G448" s="524"/>
      <c r="H448" s="362"/>
      <c r="I448" s="230"/>
      <c r="J448" s="230"/>
      <c r="K448" s="363"/>
      <c r="L448" s="364"/>
      <c r="M448" s="365"/>
      <c r="N448" s="366"/>
      <c r="O448" s="367"/>
      <c r="P448" s="368"/>
      <c r="Q448" s="587"/>
      <c r="R448" s="370"/>
      <c r="S448" s="370"/>
      <c r="T448" s="371"/>
      <c r="U448" s="372"/>
      <c r="V448" s="373"/>
      <c r="W448" s="398"/>
      <c r="X448" s="404"/>
      <c r="Y448" s="372"/>
      <c r="Z448" s="381"/>
      <c r="AA448" s="359"/>
      <c r="AB448" s="230"/>
      <c r="AC448" s="381"/>
      <c r="AD448" s="241"/>
      <c r="AE448" s="411"/>
      <c r="AF448" s="577"/>
      <c r="AG448" s="241"/>
      <c r="AH448" s="411"/>
      <c r="AI448" s="577"/>
      <c r="AJ448" s="241"/>
      <c r="AK448" s="411"/>
      <c r="AL448" s="577"/>
      <c r="AM448" s="241"/>
      <c r="AN448" s="411"/>
      <c r="AO448" s="577"/>
      <c r="AP448" s="241"/>
      <c r="AQ448" s="411"/>
      <c r="AR448" s="577"/>
      <c r="AS448" s="202"/>
    </row>
    <row r="449" spans="1:45" ht="13.5" hidden="1" customHeight="1">
      <c r="A449" s="12"/>
      <c r="B449" s="358" t="s">
        <v>2571</v>
      </c>
      <c r="C449" s="359">
        <v>1</v>
      </c>
      <c r="D449" s="359">
        <v>39</v>
      </c>
      <c r="E449" s="360"/>
      <c r="F449" s="524"/>
      <c r="G449" s="524"/>
      <c r="H449" s="362"/>
      <c r="I449" s="230"/>
      <c r="J449" s="230"/>
      <c r="K449" s="363"/>
      <c r="L449" s="364"/>
      <c r="M449" s="365"/>
      <c r="N449" s="366"/>
      <c r="O449" s="367"/>
      <c r="P449" s="368"/>
      <c r="Q449" s="587"/>
      <c r="R449" s="370"/>
      <c r="S449" s="370"/>
      <c r="T449" s="371"/>
      <c r="U449" s="372"/>
      <c r="V449" s="373"/>
      <c r="W449" s="374"/>
      <c r="X449" s="404"/>
      <c r="Y449" s="372"/>
      <c r="Z449" s="381"/>
      <c r="AA449" s="359"/>
      <c r="AB449" s="230"/>
      <c r="AC449" s="381"/>
      <c r="AD449" s="225"/>
      <c r="AE449" s="361"/>
      <c r="AF449" s="533"/>
      <c r="AG449" s="225"/>
      <c r="AH449" s="361"/>
      <c r="AI449" s="533"/>
      <c r="AJ449" s="225"/>
      <c r="AK449" s="361"/>
      <c r="AL449" s="533"/>
      <c r="AM449" s="225"/>
      <c r="AN449" s="361"/>
      <c r="AO449" s="533"/>
      <c r="AP449" s="225"/>
      <c r="AQ449" s="361"/>
      <c r="AR449" s="533"/>
      <c r="AS449" s="320"/>
    </row>
    <row r="450" spans="1:45" ht="13.5" hidden="1" customHeight="1">
      <c r="A450" s="12"/>
      <c r="B450" s="358"/>
      <c r="C450" s="359"/>
      <c r="D450" s="359"/>
      <c r="E450" s="360"/>
      <c r="F450" s="524"/>
      <c r="G450" s="524"/>
      <c r="H450" s="362"/>
      <c r="I450" s="230"/>
      <c r="J450" s="230"/>
      <c r="K450" s="363"/>
      <c r="L450" s="364"/>
      <c r="M450" s="365"/>
      <c r="N450" s="366"/>
      <c r="O450" s="367"/>
      <c r="P450" s="368"/>
      <c r="Q450" s="587"/>
      <c r="R450" s="370"/>
      <c r="S450" s="370"/>
      <c r="T450" s="371"/>
      <c r="U450" s="372"/>
      <c r="V450" s="373"/>
      <c r="W450" s="398"/>
      <c r="X450" s="404"/>
      <c r="Y450" s="372"/>
      <c r="Z450" s="381"/>
      <c r="AA450" s="359"/>
      <c r="AB450" s="230"/>
      <c r="AC450" s="381"/>
      <c r="AD450" s="241"/>
      <c r="AE450" s="411"/>
      <c r="AF450" s="577"/>
      <c r="AG450" s="241"/>
      <c r="AH450" s="411"/>
      <c r="AI450" s="577"/>
      <c r="AJ450" s="241"/>
      <c r="AK450" s="411"/>
      <c r="AL450" s="577"/>
      <c r="AM450" s="241"/>
      <c r="AN450" s="411"/>
      <c r="AO450" s="577"/>
      <c r="AP450" s="241"/>
      <c r="AQ450" s="411"/>
      <c r="AR450" s="577"/>
      <c r="AS450" s="202"/>
    </row>
    <row r="451" spans="1:45" ht="13.5" hidden="1" customHeight="1">
      <c r="A451" s="12"/>
      <c r="B451" s="358" t="s">
        <v>2571</v>
      </c>
      <c r="C451" s="359">
        <v>2</v>
      </c>
      <c r="D451" s="359">
        <v>40</v>
      </c>
      <c r="E451" s="360"/>
      <c r="F451" s="524"/>
      <c r="G451" s="524"/>
      <c r="H451" s="362"/>
      <c r="I451" s="230"/>
      <c r="J451" s="230"/>
      <c r="K451" s="363"/>
      <c r="L451" s="364"/>
      <c r="M451" s="365"/>
      <c r="N451" s="366"/>
      <c r="O451" s="367"/>
      <c r="P451" s="368"/>
      <c r="Q451" s="587"/>
      <c r="R451" s="370"/>
      <c r="S451" s="370"/>
      <c r="T451" s="371"/>
      <c r="U451" s="372"/>
      <c r="V451" s="373"/>
      <c r="W451" s="374"/>
      <c r="X451" s="404"/>
      <c r="Y451" s="372"/>
      <c r="Z451" s="381"/>
      <c r="AA451" s="359"/>
      <c r="AB451" s="230"/>
      <c r="AC451" s="381"/>
      <c r="AD451" s="225"/>
      <c r="AE451" s="361"/>
      <c r="AF451" s="533"/>
      <c r="AG451" s="225"/>
      <c r="AH451" s="361"/>
      <c r="AI451" s="533"/>
      <c r="AJ451" s="225"/>
      <c r="AK451" s="361"/>
      <c r="AL451" s="533"/>
      <c r="AM451" s="225"/>
      <c r="AN451" s="361"/>
      <c r="AO451" s="533"/>
      <c r="AP451" s="225"/>
      <c r="AQ451" s="361"/>
      <c r="AR451" s="533"/>
      <c r="AS451" s="320"/>
    </row>
    <row r="452" spans="1:45" ht="13.5" hidden="1" customHeight="1">
      <c r="A452" s="12"/>
      <c r="B452" s="358"/>
      <c r="C452" s="359"/>
      <c r="D452" s="359"/>
      <c r="E452" s="360"/>
      <c r="F452" s="524"/>
      <c r="G452" s="524"/>
      <c r="H452" s="362"/>
      <c r="I452" s="230"/>
      <c r="J452" s="230"/>
      <c r="K452" s="363"/>
      <c r="L452" s="364"/>
      <c r="M452" s="365"/>
      <c r="N452" s="366"/>
      <c r="O452" s="367"/>
      <c r="P452" s="368"/>
      <c r="Q452" s="587"/>
      <c r="R452" s="370"/>
      <c r="S452" s="370"/>
      <c r="T452" s="371"/>
      <c r="U452" s="372"/>
      <c r="V452" s="373"/>
      <c r="W452" s="398"/>
      <c r="X452" s="404"/>
      <c r="Y452" s="372"/>
      <c r="Z452" s="381"/>
      <c r="AA452" s="359"/>
      <c r="AB452" s="230"/>
      <c r="AC452" s="381"/>
      <c r="AD452" s="241"/>
      <c r="AE452" s="411"/>
      <c r="AF452" s="577"/>
      <c r="AG452" s="241"/>
      <c r="AH452" s="411"/>
      <c r="AI452" s="577"/>
      <c r="AJ452" s="241"/>
      <c r="AK452" s="411"/>
      <c r="AL452" s="577"/>
      <c r="AM452" s="241"/>
      <c r="AN452" s="411"/>
      <c r="AO452" s="577"/>
      <c r="AP452" s="241"/>
      <c r="AQ452" s="411"/>
      <c r="AR452" s="577"/>
      <c r="AS452" s="202"/>
    </row>
    <row r="453" spans="1:45" ht="13.5" hidden="1" customHeight="1">
      <c r="A453" s="12"/>
      <c r="B453" s="358" t="s">
        <v>2571</v>
      </c>
      <c r="C453" s="359">
        <v>3</v>
      </c>
      <c r="D453" s="359">
        <v>41</v>
      </c>
      <c r="E453" s="360"/>
      <c r="F453" s="524"/>
      <c r="G453" s="524"/>
      <c r="H453" s="362"/>
      <c r="I453" s="230"/>
      <c r="J453" s="230"/>
      <c r="K453" s="363"/>
      <c r="L453" s="364"/>
      <c r="M453" s="452"/>
      <c r="N453" s="611"/>
      <c r="O453" s="612"/>
      <c r="P453" s="455"/>
      <c r="Q453" s="611"/>
      <c r="R453" s="420"/>
      <c r="S453" s="420"/>
      <c r="T453" s="420"/>
      <c r="U453" s="420"/>
      <c r="V453" s="613"/>
      <c r="W453" s="374"/>
      <c r="X453" s="404"/>
      <c r="Y453" s="372"/>
      <c r="Z453" s="381"/>
      <c r="AA453" s="359"/>
      <c r="AB453" s="230"/>
      <c r="AC453" s="381"/>
      <c r="AD453" s="225"/>
      <c r="AE453" s="361"/>
      <c r="AF453" s="533"/>
      <c r="AG453" s="225"/>
      <c r="AH453" s="361"/>
      <c r="AI453" s="533"/>
      <c r="AJ453" s="225"/>
      <c r="AK453" s="361"/>
      <c r="AL453" s="533"/>
      <c r="AM453" s="225"/>
      <c r="AN453" s="361"/>
      <c r="AO453" s="533"/>
      <c r="AP453" s="225"/>
      <c r="AQ453" s="361"/>
      <c r="AR453" s="533"/>
      <c r="AS453" s="320"/>
    </row>
    <row r="454" spans="1:45" ht="13.5" hidden="1" customHeight="1">
      <c r="A454" s="12"/>
      <c r="B454" s="358"/>
      <c r="C454" s="359"/>
      <c r="D454" s="359"/>
      <c r="E454" s="360"/>
      <c r="F454" s="524"/>
      <c r="G454" s="524"/>
      <c r="H454" s="362"/>
      <c r="I454" s="230"/>
      <c r="J454" s="230"/>
      <c r="K454" s="363"/>
      <c r="L454" s="364"/>
      <c r="M454" s="604"/>
      <c r="N454" s="614"/>
      <c r="O454" s="615"/>
      <c r="P454" s="417"/>
      <c r="Q454" s="614"/>
      <c r="R454" s="582"/>
      <c r="S454" s="582"/>
      <c r="T454" s="582"/>
      <c r="U454" s="582"/>
      <c r="V454" s="616"/>
      <c r="W454" s="398"/>
      <c r="X454" s="404"/>
      <c r="Y454" s="372"/>
      <c r="Z454" s="381"/>
      <c r="AA454" s="359"/>
      <c r="AB454" s="230"/>
      <c r="AC454" s="381"/>
      <c r="AD454" s="241"/>
      <c r="AE454" s="411"/>
      <c r="AF454" s="577"/>
      <c r="AG454" s="241"/>
      <c r="AH454" s="411"/>
      <c r="AI454" s="577"/>
      <c r="AJ454" s="241"/>
      <c r="AK454" s="411"/>
      <c r="AL454" s="577"/>
      <c r="AM454" s="241"/>
      <c r="AN454" s="411"/>
      <c r="AO454" s="577"/>
      <c r="AP454" s="241"/>
      <c r="AQ454" s="411"/>
      <c r="AR454" s="577"/>
      <c r="AS454" s="202"/>
    </row>
    <row r="455" spans="1:45" ht="13.5" hidden="1" customHeight="1">
      <c r="A455" s="12"/>
      <c r="B455" s="358" t="s">
        <v>2571</v>
      </c>
      <c r="C455" s="359">
        <v>4</v>
      </c>
      <c r="D455" s="359">
        <v>42</v>
      </c>
      <c r="E455" s="360"/>
      <c r="F455" s="524"/>
      <c r="G455" s="524"/>
      <c r="H455" s="362"/>
      <c r="I455" s="230"/>
      <c r="J455" s="230"/>
      <c r="K455" s="363"/>
      <c r="L455" s="364"/>
      <c r="M455" s="604"/>
      <c r="N455" s="614"/>
      <c r="O455" s="615"/>
      <c r="P455" s="417"/>
      <c r="Q455" s="614"/>
      <c r="R455" s="582"/>
      <c r="S455" s="582"/>
      <c r="T455" s="582"/>
      <c r="U455" s="582"/>
      <c r="V455" s="616"/>
      <c r="W455" s="374"/>
      <c r="X455" s="404"/>
      <c r="Y455" s="372"/>
      <c r="Z455" s="381"/>
      <c r="AA455" s="359"/>
      <c r="AB455" s="230"/>
      <c r="AC455" s="381"/>
      <c r="AD455" s="225"/>
      <c r="AE455" s="361"/>
      <c r="AF455" s="533"/>
      <c r="AG455" s="225"/>
      <c r="AH455" s="361"/>
      <c r="AI455" s="533"/>
      <c r="AJ455" s="225"/>
      <c r="AK455" s="361"/>
      <c r="AL455" s="533"/>
      <c r="AM455" s="225"/>
      <c r="AN455" s="361"/>
      <c r="AO455" s="533"/>
      <c r="AP455" s="225"/>
      <c r="AQ455" s="361"/>
      <c r="AR455" s="533"/>
      <c r="AS455" s="320"/>
    </row>
    <row r="456" spans="1:45" ht="13.5" hidden="1" customHeight="1">
      <c r="A456" s="12"/>
      <c r="B456" s="358"/>
      <c r="C456" s="359"/>
      <c r="D456" s="359"/>
      <c r="E456" s="360"/>
      <c r="F456" s="524"/>
      <c r="G456" s="524"/>
      <c r="H456" s="362"/>
      <c r="I456" s="230"/>
      <c r="J456" s="230"/>
      <c r="K456" s="363"/>
      <c r="L456" s="364"/>
      <c r="M456" s="439"/>
      <c r="N456" s="617"/>
      <c r="O456" s="618"/>
      <c r="P456" s="430"/>
      <c r="Q456" s="617"/>
      <c r="R456" s="433"/>
      <c r="S456" s="433"/>
      <c r="T456" s="433"/>
      <c r="U456" s="433"/>
      <c r="V456" s="619"/>
      <c r="W456" s="398"/>
      <c r="X456" s="404"/>
      <c r="Y456" s="372"/>
      <c r="Z456" s="381"/>
      <c r="AA456" s="359"/>
      <c r="AB456" s="230"/>
      <c r="AC456" s="381"/>
      <c r="AD456" s="241"/>
      <c r="AE456" s="411"/>
      <c r="AF456" s="577"/>
      <c r="AG456" s="241"/>
      <c r="AH456" s="411"/>
      <c r="AI456" s="577"/>
      <c r="AJ456" s="241"/>
      <c r="AK456" s="411"/>
      <c r="AL456" s="577"/>
      <c r="AM456" s="241"/>
      <c r="AN456" s="411"/>
      <c r="AO456" s="577"/>
      <c r="AP456" s="241"/>
      <c r="AQ456" s="411"/>
      <c r="AR456" s="577"/>
      <c r="AS456" s="202"/>
    </row>
    <row r="457" spans="1:45" ht="13.5" hidden="1" customHeight="1">
      <c r="A457" s="12"/>
      <c r="B457" s="358" t="s">
        <v>2571</v>
      </c>
      <c r="C457" s="359">
        <v>5</v>
      </c>
      <c r="D457" s="359">
        <v>43</v>
      </c>
      <c r="E457" s="360"/>
      <c r="F457" s="524"/>
      <c r="G457" s="524"/>
      <c r="H457" s="362"/>
      <c r="I457" s="230"/>
      <c r="J457" s="230"/>
      <c r="K457" s="363"/>
      <c r="L457" s="364"/>
      <c r="M457" s="365"/>
      <c r="N457" s="366"/>
      <c r="O457" s="367"/>
      <c r="P457" s="368"/>
      <c r="Q457" s="587"/>
      <c r="R457" s="370"/>
      <c r="S457" s="370"/>
      <c r="T457" s="371"/>
      <c r="U457" s="372"/>
      <c r="V457" s="373"/>
      <c r="W457" s="374"/>
      <c r="X457" s="404"/>
      <c r="Y457" s="372"/>
      <c r="Z457" s="381"/>
      <c r="AA457" s="359"/>
      <c r="AB457" s="230"/>
      <c r="AC457" s="381"/>
      <c r="AD457" s="225"/>
      <c r="AE457" s="361"/>
      <c r="AF457" s="533"/>
      <c r="AG457" s="225"/>
      <c r="AH457" s="361"/>
      <c r="AI457" s="533"/>
      <c r="AJ457" s="225"/>
      <c r="AK457" s="361"/>
      <c r="AL457" s="533"/>
      <c r="AM457" s="225"/>
      <c r="AN457" s="361"/>
      <c r="AO457" s="533"/>
      <c r="AP457" s="225"/>
      <c r="AQ457" s="361"/>
      <c r="AR457" s="533"/>
      <c r="AS457" s="320"/>
    </row>
    <row r="458" spans="1:45" ht="13.5" hidden="1" customHeight="1">
      <c r="A458" s="12"/>
      <c r="B458" s="358"/>
      <c r="C458" s="359"/>
      <c r="D458" s="359"/>
      <c r="E458" s="360"/>
      <c r="F458" s="524"/>
      <c r="G458" s="524"/>
      <c r="H458" s="362"/>
      <c r="I458" s="230"/>
      <c r="J458" s="230"/>
      <c r="K458" s="363"/>
      <c r="L458" s="364"/>
      <c r="M458" s="365"/>
      <c r="N458" s="366"/>
      <c r="O458" s="367"/>
      <c r="P458" s="368"/>
      <c r="Q458" s="587"/>
      <c r="R458" s="370"/>
      <c r="S458" s="370"/>
      <c r="T458" s="371"/>
      <c r="U458" s="372"/>
      <c r="V458" s="373"/>
      <c r="W458" s="398"/>
      <c r="X458" s="404"/>
      <c r="Y458" s="372"/>
      <c r="Z458" s="381"/>
      <c r="AA458" s="359"/>
      <c r="AB458" s="230"/>
      <c r="AC458" s="381"/>
      <c r="AD458" s="241"/>
      <c r="AE458" s="411"/>
      <c r="AF458" s="577"/>
      <c r="AG458" s="241"/>
      <c r="AH458" s="411"/>
      <c r="AI458" s="577"/>
      <c r="AJ458" s="241"/>
      <c r="AK458" s="411"/>
      <c r="AL458" s="577"/>
      <c r="AM458" s="241"/>
      <c r="AN458" s="411"/>
      <c r="AO458" s="577"/>
      <c r="AP458" s="241"/>
      <c r="AQ458" s="411"/>
      <c r="AR458" s="577"/>
      <c r="AS458" s="202"/>
    </row>
    <row r="459" spans="1:45" ht="13.5" hidden="1" customHeight="1">
      <c r="A459" s="12"/>
      <c r="B459" s="358" t="s">
        <v>2571</v>
      </c>
      <c r="C459" s="359">
        <v>6</v>
      </c>
      <c r="D459" s="359">
        <v>44</v>
      </c>
      <c r="E459" s="360"/>
      <c r="F459" s="524"/>
      <c r="G459" s="524"/>
      <c r="H459" s="362"/>
      <c r="I459" s="230"/>
      <c r="J459" s="230"/>
      <c r="K459" s="363"/>
      <c r="L459" s="364"/>
      <c r="M459" s="365"/>
      <c r="N459" s="484"/>
      <c r="O459" s="620"/>
      <c r="P459" s="620"/>
      <c r="Q459" s="621"/>
      <c r="R459" s="370"/>
      <c r="S459" s="370"/>
      <c r="T459" s="371"/>
      <c r="U459" s="372"/>
      <c r="V459" s="373"/>
      <c r="W459" s="374"/>
      <c r="X459" s="404"/>
      <c r="Y459" s="372"/>
      <c r="Z459" s="381"/>
      <c r="AA459" s="359"/>
      <c r="AB459" s="230"/>
      <c r="AC459" s="381"/>
      <c r="AD459" s="225"/>
      <c r="AE459" s="361"/>
      <c r="AF459" s="533"/>
      <c r="AG459" s="225"/>
      <c r="AH459" s="361"/>
      <c r="AI459" s="533"/>
      <c r="AJ459" s="225"/>
      <c r="AK459" s="361"/>
      <c r="AL459" s="533"/>
      <c r="AM459" s="225"/>
      <c r="AN459" s="361"/>
      <c r="AO459" s="533"/>
      <c r="AP459" s="225"/>
      <c r="AQ459" s="361"/>
      <c r="AR459" s="533"/>
      <c r="AS459" s="320"/>
    </row>
    <row r="460" spans="1:45" ht="13.5" hidden="1" customHeight="1">
      <c r="A460" s="12"/>
      <c r="B460" s="358"/>
      <c r="C460" s="359"/>
      <c r="D460" s="359"/>
      <c r="E460" s="360"/>
      <c r="F460" s="524"/>
      <c r="G460" s="524"/>
      <c r="H460" s="362"/>
      <c r="I460" s="230"/>
      <c r="J460" s="230"/>
      <c r="K460" s="363"/>
      <c r="L460" s="364"/>
      <c r="M460" s="365"/>
      <c r="N460" s="490"/>
      <c r="O460" s="622"/>
      <c r="P460" s="622"/>
      <c r="Q460" s="623"/>
      <c r="R460" s="370"/>
      <c r="S460" s="370"/>
      <c r="T460" s="371"/>
      <c r="U460" s="372"/>
      <c r="V460" s="373"/>
      <c r="W460" s="398"/>
      <c r="X460" s="404"/>
      <c r="Y460" s="372"/>
      <c r="Z460" s="381"/>
      <c r="AA460" s="359"/>
      <c r="AB460" s="230"/>
      <c r="AC460" s="381"/>
      <c r="AD460" s="241"/>
      <c r="AE460" s="411"/>
      <c r="AF460" s="577"/>
      <c r="AG460" s="241"/>
      <c r="AH460" s="411"/>
      <c r="AI460" s="577"/>
      <c r="AJ460" s="241"/>
      <c r="AK460" s="411"/>
      <c r="AL460" s="577"/>
      <c r="AM460" s="241"/>
      <c r="AN460" s="411"/>
      <c r="AO460" s="577"/>
      <c r="AP460" s="241"/>
      <c r="AQ460" s="411"/>
      <c r="AR460" s="577"/>
      <c r="AS460" s="202"/>
    </row>
    <row r="461" spans="1:45" ht="13.5" hidden="1" customHeight="1">
      <c r="A461" s="12"/>
      <c r="B461" s="358" t="s">
        <v>2571</v>
      </c>
      <c r="C461" s="359">
        <v>7</v>
      </c>
      <c r="D461" s="359">
        <v>45</v>
      </c>
      <c r="E461" s="360"/>
      <c r="F461" s="524"/>
      <c r="G461" s="524"/>
      <c r="H461" s="362"/>
      <c r="I461" s="230"/>
      <c r="J461" s="230"/>
      <c r="K461" s="363"/>
      <c r="L461" s="364"/>
      <c r="M461" s="452"/>
      <c r="N461" s="611"/>
      <c r="O461" s="612"/>
      <c r="P461" s="455"/>
      <c r="Q461" s="611"/>
      <c r="R461" s="420"/>
      <c r="S461" s="420"/>
      <c r="T461" s="420"/>
      <c r="U461" s="420"/>
      <c r="V461" s="613"/>
      <c r="W461" s="374"/>
      <c r="X461" s="404"/>
      <c r="Y461" s="372"/>
      <c r="Z461" s="381"/>
      <c r="AA461" s="359"/>
      <c r="AB461" s="230"/>
      <c r="AC461" s="381"/>
      <c r="AD461" s="225"/>
      <c r="AE461" s="361"/>
      <c r="AF461" s="533"/>
      <c r="AG461" s="225"/>
      <c r="AH461" s="361"/>
      <c r="AI461" s="533"/>
      <c r="AJ461" s="225"/>
      <c r="AK461" s="361"/>
      <c r="AL461" s="533"/>
      <c r="AM461" s="225"/>
      <c r="AN461" s="361"/>
      <c r="AO461" s="533"/>
      <c r="AP461" s="225"/>
      <c r="AQ461" s="361"/>
      <c r="AR461" s="533"/>
      <c r="AS461" s="320"/>
    </row>
    <row r="462" spans="1:45" ht="13.5" hidden="1" customHeight="1">
      <c r="A462" s="12"/>
      <c r="B462" s="358"/>
      <c r="C462" s="359"/>
      <c r="D462" s="359"/>
      <c r="E462" s="360"/>
      <c r="F462" s="524"/>
      <c r="G462" s="524"/>
      <c r="H462" s="362"/>
      <c r="I462" s="230"/>
      <c r="J462" s="230"/>
      <c r="K462" s="363"/>
      <c r="L462" s="364"/>
      <c r="M462" s="604"/>
      <c r="N462" s="614"/>
      <c r="O462" s="615"/>
      <c r="P462" s="417"/>
      <c r="Q462" s="614"/>
      <c r="R462" s="582"/>
      <c r="S462" s="582"/>
      <c r="T462" s="582"/>
      <c r="U462" s="582"/>
      <c r="V462" s="616"/>
      <c r="W462" s="398"/>
      <c r="X462" s="404"/>
      <c r="Y462" s="372"/>
      <c r="Z462" s="381"/>
      <c r="AA462" s="359"/>
      <c r="AB462" s="230"/>
      <c r="AC462" s="381"/>
      <c r="AD462" s="241"/>
      <c r="AE462" s="411"/>
      <c r="AF462" s="577"/>
      <c r="AG462" s="241"/>
      <c r="AH462" s="411"/>
      <c r="AI462" s="577"/>
      <c r="AJ462" s="241"/>
      <c r="AK462" s="411"/>
      <c r="AL462" s="577"/>
      <c r="AM462" s="241"/>
      <c r="AN462" s="411"/>
      <c r="AO462" s="577"/>
      <c r="AP462" s="241"/>
      <c r="AQ462" s="411"/>
      <c r="AR462" s="577"/>
      <c r="AS462" s="202"/>
    </row>
    <row r="463" spans="1:45" ht="13.5" hidden="1" customHeight="1">
      <c r="A463" s="12"/>
      <c r="B463" s="358" t="s">
        <v>2571</v>
      </c>
      <c r="C463" s="359">
        <v>8</v>
      </c>
      <c r="D463" s="359">
        <v>46</v>
      </c>
      <c r="E463" s="360"/>
      <c r="F463" s="524"/>
      <c r="G463" s="524"/>
      <c r="H463" s="362"/>
      <c r="I463" s="230"/>
      <c r="J463" s="230"/>
      <c r="K463" s="363"/>
      <c r="L463" s="364"/>
      <c r="M463" s="604"/>
      <c r="N463" s="614"/>
      <c r="O463" s="615"/>
      <c r="P463" s="417"/>
      <c r="Q463" s="614"/>
      <c r="R463" s="582"/>
      <c r="S463" s="582"/>
      <c r="T463" s="582"/>
      <c r="U463" s="582"/>
      <c r="V463" s="616"/>
      <c r="W463" s="374"/>
      <c r="X463" s="404"/>
      <c r="Y463" s="372"/>
      <c r="Z463" s="381"/>
      <c r="AA463" s="359"/>
      <c r="AB463" s="230"/>
      <c r="AC463" s="381"/>
      <c r="AD463" s="225"/>
      <c r="AE463" s="361"/>
      <c r="AF463" s="533"/>
      <c r="AG463" s="225"/>
      <c r="AH463" s="361"/>
      <c r="AI463" s="533"/>
      <c r="AJ463" s="225"/>
      <c r="AK463" s="361"/>
      <c r="AL463" s="533"/>
      <c r="AM463" s="225"/>
      <c r="AN463" s="361"/>
      <c r="AO463" s="533"/>
      <c r="AP463" s="225"/>
      <c r="AQ463" s="361"/>
      <c r="AR463" s="533"/>
      <c r="AS463" s="320"/>
    </row>
    <row r="464" spans="1:45" ht="13.5" hidden="1" customHeight="1">
      <c r="A464" s="12"/>
      <c r="B464" s="358"/>
      <c r="C464" s="359"/>
      <c r="D464" s="359"/>
      <c r="E464" s="360"/>
      <c r="F464" s="524"/>
      <c r="G464" s="524"/>
      <c r="H464" s="362"/>
      <c r="I464" s="230"/>
      <c r="J464" s="230"/>
      <c r="K464" s="363"/>
      <c r="L464" s="364"/>
      <c r="M464" s="439"/>
      <c r="N464" s="617"/>
      <c r="O464" s="618"/>
      <c r="P464" s="430"/>
      <c r="Q464" s="617"/>
      <c r="R464" s="433"/>
      <c r="S464" s="433"/>
      <c r="T464" s="433"/>
      <c r="U464" s="433"/>
      <c r="V464" s="619"/>
      <c r="W464" s="398"/>
      <c r="X464" s="404"/>
      <c r="Y464" s="372"/>
      <c r="Z464" s="381"/>
      <c r="AA464" s="359"/>
      <c r="AB464" s="230"/>
      <c r="AC464" s="381"/>
      <c r="AD464" s="241"/>
      <c r="AE464" s="411"/>
      <c r="AF464" s="577"/>
      <c r="AG464" s="241"/>
      <c r="AH464" s="411"/>
      <c r="AI464" s="577"/>
      <c r="AJ464" s="241"/>
      <c r="AK464" s="411"/>
      <c r="AL464" s="577"/>
      <c r="AM464" s="241"/>
      <c r="AN464" s="411"/>
      <c r="AO464" s="577"/>
      <c r="AP464" s="241"/>
      <c r="AQ464" s="411"/>
      <c r="AR464" s="577"/>
      <c r="AS464" s="202"/>
    </row>
    <row r="465" spans="1:45" ht="13.5" hidden="1" customHeight="1">
      <c r="A465" s="12"/>
      <c r="B465" s="358" t="s">
        <v>2571</v>
      </c>
      <c r="C465" s="359">
        <v>9</v>
      </c>
      <c r="D465" s="359">
        <v>47</v>
      </c>
      <c r="E465" s="360"/>
      <c r="F465" s="524"/>
      <c r="G465" s="524"/>
      <c r="H465" s="362"/>
      <c r="I465" s="230"/>
      <c r="J465" s="230"/>
      <c r="K465" s="363"/>
      <c r="L465" s="364"/>
      <c r="M465" s="365"/>
      <c r="N465" s="366"/>
      <c r="O465" s="367"/>
      <c r="P465" s="368"/>
      <c r="Q465" s="587"/>
      <c r="R465" s="370"/>
      <c r="S465" s="370"/>
      <c r="T465" s="371"/>
      <c r="U465" s="372"/>
      <c r="V465" s="373"/>
      <c r="W465" s="374"/>
      <c r="X465" s="404"/>
      <c r="Y465" s="372"/>
      <c r="Z465" s="381"/>
      <c r="AA465" s="359"/>
      <c r="AB465" s="230"/>
      <c r="AC465" s="381"/>
      <c r="AD465" s="225"/>
      <c r="AE465" s="361"/>
      <c r="AF465" s="533"/>
      <c r="AG465" s="225"/>
      <c r="AH465" s="361"/>
      <c r="AI465" s="533"/>
      <c r="AJ465" s="225"/>
      <c r="AK465" s="361"/>
      <c r="AL465" s="533"/>
      <c r="AM465" s="225"/>
      <c r="AN465" s="361"/>
      <c r="AO465" s="533"/>
      <c r="AP465" s="225"/>
      <c r="AQ465" s="361"/>
      <c r="AR465" s="533"/>
      <c r="AS465" s="320"/>
    </row>
    <row r="466" spans="1:45" ht="13.5" hidden="1" customHeight="1">
      <c r="A466" s="12"/>
      <c r="B466" s="358"/>
      <c r="C466" s="359"/>
      <c r="D466" s="359"/>
      <c r="E466" s="360"/>
      <c r="F466" s="524"/>
      <c r="G466" s="524"/>
      <c r="H466" s="362"/>
      <c r="I466" s="230"/>
      <c r="J466" s="230"/>
      <c r="K466" s="363"/>
      <c r="L466" s="364"/>
      <c r="M466" s="365"/>
      <c r="N466" s="366"/>
      <c r="O466" s="367"/>
      <c r="P466" s="368"/>
      <c r="Q466" s="587"/>
      <c r="R466" s="370"/>
      <c r="S466" s="370"/>
      <c r="T466" s="371"/>
      <c r="U466" s="372"/>
      <c r="V466" s="373"/>
      <c r="W466" s="398"/>
      <c r="X466" s="404"/>
      <c r="Y466" s="372"/>
      <c r="Z466" s="381"/>
      <c r="AA466" s="359"/>
      <c r="AB466" s="230"/>
      <c r="AC466" s="381"/>
      <c r="AD466" s="241"/>
      <c r="AE466" s="411"/>
      <c r="AF466" s="577"/>
      <c r="AG466" s="241"/>
      <c r="AH466" s="411"/>
      <c r="AI466" s="577"/>
      <c r="AJ466" s="241"/>
      <c r="AK466" s="411"/>
      <c r="AL466" s="577"/>
      <c r="AM466" s="241"/>
      <c r="AN466" s="411"/>
      <c r="AO466" s="577"/>
      <c r="AP466" s="241"/>
      <c r="AQ466" s="411"/>
      <c r="AR466" s="577"/>
      <c r="AS466" s="202"/>
    </row>
    <row r="467" spans="1:45" ht="13.5" hidden="1" customHeight="1">
      <c r="A467" s="12"/>
      <c r="B467" s="358" t="s">
        <v>2571</v>
      </c>
      <c r="C467" s="359">
        <v>10</v>
      </c>
      <c r="D467" s="359">
        <v>48</v>
      </c>
      <c r="E467" s="360"/>
      <c r="F467" s="524"/>
      <c r="G467" s="524"/>
      <c r="H467" s="362"/>
      <c r="I467" s="230"/>
      <c r="J467" s="230"/>
      <c r="K467" s="363"/>
      <c r="L467" s="364"/>
      <c r="M467" s="365"/>
      <c r="N467" s="366"/>
      <c r="O467" s="367"/>
      <c r="P467" s="368"/>
      <c r="Q467" s="587"/>
      <c r="R467" s="370"/>
      <c r="S467" s="370"/>
      <c r="T467" s="371"/>
      <c r="U467" s="372"/>
      <c r="V467" s="373"/>
      <c r="W467" s="374"/>
      <c r="X467" s="404"/>
      <c r="Y467" s="372"/>
      <c r="Z467" s="381"/>
      <c r="AA467" s="359"/>
      <c r="AB467" s="230"/>
      <c r="AC467" s="381"/>
      <c r="AD467" s="225"/>
      <c r="AE467" s="361"/>
      <c r="AF467" s="533"/>
      <c r="AG467" s="225"/>
      <c r="AH467" s="361"/>
      <c r="AI467" s="533"/>
      <c r="AJ467" s="225"/>
      <c r="AK467" s="361"/>
      <c r="AL467" s="533"/>
      <c r="AM467" s="225"/>
      <c r="AN467" s="361"/>
      <c r="AO467" s="533"/>
      <c r="AP467" s="225"/>
      <c r="AQ467" s="361"/>
      <c r="AR467" s="533"/>
      <c r="AS467" s="320"/>
    </row>
    <row r="468" spans="1:45" ht="13.5" hidden="1" customHeight="1">
      <c r="A468" s="12"/>
      <c r="B468" s="358"/>
      <c r="C468" s="359"/>
      <c r="D468" s="359"/>
      <c r="E468" s="360"/>
      <c r="F468" s="524"/>
      <c r="G468" s="524"/>
      <c r="H468" s="362"/>
      <c r="I468" s="230"/>
      <c r="J468" s="230"/>
      <c r="K468" s="363"/>
      <c r="L468" s="364"/>
      <c r="M468" s="365"/>
      <c r="N468" s="366"/>
      <c r="O468" s="367"/>
      <c r="P468" s="368"/>
      <c r="Q468" s="587"/>
      <c r="R468" s="370"/>
      <c r="S468" s="370"/>
      <c r="T468" s="371"/>
      <c r="U468" s="372"/>
      <c r="V468" s="373"/>
      <c r="W468" s="398"/>
      <c r="X468" s="404"/>
      <c r="Y468" s="372"/>
      <c r="Z468" s="381"/>
      <c r="AA468" s="359"/>
      <c r="AB468" s="230"/>
      <c r="AC468" s="381"/>
      <c r="AD468" s="241"/>
      <c r="AE468" s="411"/>
      <c r="AF468" s="577"/>
      <c r="AG468" s="241"/>
      <c r="AH468" s="411"/>
      <c r="AI468" s="577"/>
      <c r="AJ468" s="241"/>
      <c r="AK468" s="411"/>
      <c r="AL468" s="577"/>
      <c r="AM468" s="241"/>
      <c r="AN468" s="411"/>
      <c r="AO468" s="577"/>
      <c r="AP468" s="241"/>
      <c r="AQ468" s="411"/>
      <c r="AR468" s="577"/>
      <c r="AS468" s="202"/>
    </row>
    <row r="469" spans="1:45" ht="13.5" hidden="1" customHeight="1">
      <c r="A469" s="12"/>
      <c r="B469" s="358" t="s">
        <v>2571</v>
      </c>
      <c r="C469" s="359">
        <v>11</v>
      </c>
      <c r="D469" s="359">
        <v>49</v>
      </c>
      <c r="E469" s="360"/>
      <c r="F469" s="524"/>
      <c r="G469" s="524"/>
      <c r="H469" s="362"/>
      <c r="I469" s="230"/>
      <c r="J469" s="230"/>
      <c r="K469" s="363"/>
      <c r="L469" s="364"/>
      <c r="M469" s="365"/>
      <c r="N469" s="366"/>
      <c r="O469" s="367"/>
      <c r="P469" s="368"/>
      <c r="Q469" s="587"/>
      <c r="R469" s="370"/>
      <c r="S469" s="370"/>
      <c r="T469" s="371"/>
      <c r="U469" s="372"/>
      <c r="V469" s="373"/>
      <c r="W469" s="374"/>
      <c r="X469" s="404"/>
      <c r="Y469" s="372"/>
      <c r="Z469" s="381"/>
      <c r="AA469" s="359"/>
      <c r="AB469" s="230"/>
      <c r="AC469" s="381"/>
      <c r="AD469" s="225"/>
      <c r="AE469" s="361"/>
      <c r="AF469" s="533"/>
      <c r="AG469" s="225"/>
      <c r="AH469" s="361"/>
      <c r="AI469" s="533"/>
      <c r="AJ469" s="225"/>
      <c r="AK469" s="361"/>
      <c r="AL469" s="533"/>
      <c r="AM469" s="225"/>
      <c r="AN469" s="361"/>
      <c r="AO469" s="533"/>
      <c r="AP469" s="225"/>
      <c r="AQ469" s="361"/>
      <c r="AR469" s="533"/>
      <c r="AS469" s="320"/>
    </row>
    <row r="470" spans="1:45" ht="13.5" hidden="1" customHeight="1">
      <c r="A470" s="12"/>
      <c r="B470" s="358"/>
      <c r="C470" s="359"/>
      <c r="D470" s="359"/>
      <c r="E470" s="360"/>
      <c r="F470" s="524"/>
      <c r="G470" s="524"/>
      <c r="H470" s="362"/>
      <c r="I470" s="230"/>
      <c r="J470" s="230"/>
      <c r="K470" s="363"/>
      <c r="L470" s="364"/>
      <c r="M470" s="365"/>
      <c r="N470" s="366"/>
      <c r="O470" s="367"/>
      <c r="P470" s="368"/>
      <c r="Q470" s="587"/>
      <c r="R470" s="370"/>
      <c r="S470" s="370"/>
      <c r="T470" s="371"/>
      <c r="U470" s="372"/>
      <c r="V470" s="373"/>
      <c r="W470" s="398"/>
      <c r="X470" s="404"/>
      <c r="Y470" s="372"/>
      <c r="Z470" s="381"/>
      <c r="AA470" s="359"/>
      <c r="AB470" s="230"/>
      <c r="AC470" s="381"/>
      <c r="AD470" s="241"/>
      <c r="AE470" s="411"/>
      <c r="AF470" s="577"/>
      <c r="AG470" s="241"/>
      <c r="AH470" s="411"/>
      <c r="AI470" s="577"/>
      <c r="AJ470" s="241"/>
      <c r="AK470" s="411"/>
      <c r="AL470" s="577"/>
      <c r="AM470" s="241"/>
      <c r="AN470" s="411"/>
      <c r="AO470" s="577"/>
      <c r="AP470" s="241"/>
      <c r="AQ470" s="411"/>
      <c r="AR470" s="577"/>
      <c r="AS470" s="202"/>
    </row>
    <row r="471" spans="1:45" ht="13.5" hidden="1" customHeight="1">
      <c r="A471" s="12"/>
      <c r="B471" s="358" t="s">
        <v>2571</v>
      </c>
      <c r="C471" s="359">
        <v>12</v>
      </c>
      <c r="D471" s="359">
        <v>50</v>
      </c>
      <c r="E471" s="360"/>
      <c r="F471" s="524"/>
      <c r="G471" s="524"/>
      <c r="H471" s="362"/>
      <c r="I471" s="230"/>
      <c r="J471" s="230"/>
      <c r="K471" s="363"/>
      <c r="L471" s="451"/>
      <c r="M471" s="452"/>
      <c r="N471" s="409"/>
      <c r="O471" s="225"/>
      <c r="P471" s="424"/>
      <c r="Q471" s="624"/>
      <c r="R471" s="421"/>
      <c r="S471" s="421"/>
      <c r="T471" s="421"/>
      <c r="U471" s="421"/>
      <c r="V471" s="613"/>
      <c r="W471" s="374"/>
      <c r="X471" s="404"/>
      <c r="Y471" s="372"/>
      <c r="Z471" s="381"/>
      <c r="AA471" s="359"/>
      <c r="AB471" s="230"/>
      <c r="AC471" s="381"/>
      <c r="AD471" s="225"/>
      <c r="AE471" s="361"/>
      <c r="AF471" s="533"/>
      <c r="AG471" s="225"/>
      <c r="AH471" s="361"/>
      <c r="AI471" s="533"/>
      <c r="AJ471" s="225"/>
      <c r="AK471" s="361"/>
      <c r="AL471" s="533"/>
      <c r="AM471" s="225"/>
      <c r="AN471" s="361"/>
      <c r="AO471" s="533"/>
      <c r="AP471" s="225"/>
      <c r="AQ471" s="361"/>
      <c r="AR471" s="533"/>
      <c r="AS471" s="320"/>
    </row>
    <row r="472" spans="1:45" ht="13.5" hidden="1" customHeight="1">
      <c r="A472" s="12"/>
      <c r="B472" s="358"/>
      <c r="C472" s="359"/>
      <c r="D472" s="359"/>
      <c r="E472" s="360"/>
      <c r="F472" s="524"/>
      <c r="G472" s="524"/>
      <c r="H472" s="362"/>
      <c r="I472" s="230"/>
      <c r="J472" s="230"/>
      <c r="K472" s="363"/>
      <c r="L472" s="413"/>
      <c r="M472" s="604"/>
      <c r="N472" s="415"/>
      <c r="O472" s="241"/>
      <c r="P472" s="625"/>
      <c r="Q472" s="415"/>
      <c r="R472" s="606"/>
      <c r="S472" s="606"/>
      <c r="T472" s="606"/>
      <c r="U472" s="606"/>
      <c r="V472" s="616"/>
      <c r="W472" s="398"/>
      <c r="X472" s="404"/>
      <c r="Y472" s="372"/>
      <c r="Z472" s="381"/>
      <c r="AA472" s="359"/>
      <c r="AB472" s="230"/>
      <c r="AC472" s="381"/>
      <c r="AD472" s="241"/>
      <c r="AE472" s="411"/>
      <c r="AF472" s="577"/>
      <c r="AG472" s="241"/>
      <c r="AH472" s="411"/>
      <c r="AI472" s="577"/>
      <c r="AJ472" s="241"/>
      <c r="AK472" s="411"/>
      <c r="AL472" s="577"/>
      <c r="AM472" s="241"/>
      <c r="AN472" s="411"/>
      <c r="AO472" s="577"/>
      <c r="AP472" s="241"/>
      <c r="AQ472" s="411"/>
      <c r="AR472" s="577"/>
      <c r="AS472" s="202"/>
    </row>
    <row r="473" spans="1:45" ht="13.5" hidden="1" customHeight="1">
      <c r="A473" s="12"/>
      <c r="B473" s="358" t="s">
        <v>2571</v>
      </c>
      <c r="C473" s="359">
        <v>13</v>
      </c>
      <c r="D473" s="359">
        <v>51</v>
      </c>
      <c r="E473" s="360"/>
      <c r="F473" s="524"/>
      <c r="G473" s="524"/>
      <c r="H473" s="362"/>
      <c r="I473" s="230"/>
      <c r="J473" s="230"/>
      <c r="K473" s="363"/>
      <c r="L473" s="413"/>
      <c r="M473" s="604"/>
      <c r="N473" s="415"/>
      <c r="O473" s="241"/>
      <c r="P473" s="625"/>
      <c r="Q473" s="415"/>
      <c r="R473" s="606"/>
      <c r="S473" s="606"/>
      <c r="T473" s="606"/>
      <c r="U473" s="606"/>
      <c r="V473" s="616"/>
      <c r="W473" s="374"/>
      <c r="X473" s="404"/>
      <c r="Y473" s="372"/>
      <c r="Z473" s="381"/>
      <c r="AA473" s="359"/>
      <c r="AB473" s="230"/>
      <c r="AC473" s="381"/>
      <c r="AD473" s="225"/>
      <c r="AE473" s="361"/>
      <c r="AF473" s="533"/>
      <c r="AG473" s="225"/>
      <c r="AH473" s="361"/>
      <c r="AI473" s="533"/>
      <c r="AJ473" s="225"/>
      <c r="AK473" s="361"/>
      <c r="AL473" s="533"/>
      <c r="AM473" s="225"/>
      <c r="AN473" s="361"/>
      <c r="AO473" s="533"/>
      <c r="AP473" s="225"/>
      <c r="AQ473" s="361"/>
      <c r="AR473" s="533"/>
      <c r="AS473" s="320"/>
    </row>
    <row r="474" spans="1:45" ht="13.5" hidden="1" customHeight="1">
      <c r="A474" s="12"/>
      <c r="B474" s="358"/>
      <c r="C474" s="359"/>
      <c r="D474" s="359"/>
      <c r="E474" s="360"/>
      <c r="F474" s="524"/>
      <c r="G474" s="524"/>
      <c r="H474" s="362"/>
      <c r="I474" s="230"/>
      <c r="J474" s="230"/>
      <c r="K474" s="363"/>
      <c r="L474" s="427"/>
      <c r="M474" s="439"/>
      <c r="N474" s="425"/>
      <c r="O474" s="325"/>
      <c r="P474" s="375"/>
      <c r="Q474" s="425"/>
      <c r="R474" s="434"/>
      <c r="S474" s="434"/>
      <c r="T474" s="434"/>
      <c r="U474" s="434"/>
      <c r="V474" s="619"/>
      <c r="W474" s="398"/>
      <c r="X474" s="404"/>
      <c r="Y474" s="372"/>
      <c r="Z474" s="381"/>
      <c r="AA474" s="359"/>
      <c r="AB474" s="230"/>
      <c r="AC474" s="381"/>
      <c r="AD474" s="241"/>
      <c r="AE474" s="411"/>
      <c r="AF474" s="577"/>
      <c r="AG474" s="241"/>
      <c r="AH474" s="411"/>
      <c r="AI474" s="577"/>
      <c r="AJ474" s="241"/>
      <c r="AK474" s="411"/>
      <c r="AL474" s="577"/>
      <c r="AM474" s="241"/>
      <c r="AN474" s="411"/>
      <c r="AO474" s="577"/>
      <c r="AP474" s="241"/>
      <c r="AQ474" s="411"/>
      <c r="AR474" s="577"/>
      <c r="AS474" s="202"/>
    </row>
    <row r="475" spans="1:45" ht="13.5" hidden="1" customHeight="1">
      <c r="A475" s="12"/>
      <c r="B475" s="358" t="s">
        <v>2571</v>
      </c>
      <c r="C475" s="359">
        <v>14</v>
      </c>
      <c r="D475" s="359">
        <v>52</v>
      </c>
      <c r="E475" s="360"/>
      <c r="F475" s="524"/>
      <c r="G475" s="524"/>
      <c r="H475" s="362"/>
      <c r="I475" s="230"/>
      <c r="J475" s="230"/>
      <c r="K475" s="363"/>
      <c r="L475" s="364"/>
      <c r="M475" s="365"/>
      <c r="N475" s="366"/>
      <c r="O475" s="367"/>
      <c r="P475" s="368"/>
      <c r="Q475" s="587"/>
      <c r="R475" s="370"/>
      <c r="S475" s="370"/>
      <c r="T475" s="371"/>
      <c r="U475" s="372"/>
      <c r="V475" s="373"/>
      <c r="W475" s="374"/>
      <c r="X475" s="404"/>
      <c r="Y475" s="372"/>
      <c r="Z475" s="381"/>
      <c r="AA475" s="359"/>
      <c r="AB475" s="230"/>
      <c r="AC475" s="381"/>
      <c r="AD475" s="225"/>
      <c r="AE475" s="361"/>
      <c r="AF475" s="533"/>
      <c r="AG475" s="225"/>
      <c r="AH475" s="361"/>
      <c r="AI475" s="533"/>
      <c r="AJ475" s="225"/>
      <c r="AK475" s="361"/>
      <c r="AL475" s="533"/>
      <c r="AM475" s="225"/>
      <c r="AN475" s="361"/>
      <c r="AO475" s="533"/>
      <c r="AP475" s="225"/>
      <c r="AQ475" s="361"/>
      <c r="AR475" s="533"/>
      <c r="AS475" s="320"/>
    </row>
    <row r="476" spans="1:45" ht="13.5" hidden="1" customHeight="1">
      <c r="A476" s="12"/>
      <c r="B476" s="358"/>
      <c r="C476" s="359"/>
      <c r="D476" s="359"/>
      <c r="E476" s="360"/>
      <c r="F476" s="524"/>
      <c r="G476" s="524"/>
      <c r="H476" s="362"/>
      <c r="I476" s="230"/>
      <c r="J476" s="230"/>
      <c r="K476" s="363"/>
      <c r="L476" s="364"/>
      <c r="M476" s="365"/>
      <c r="N476" s="366"/>
      <c r="O476" s="367"/>
      <c r="P476" s="368"/>
      <c r="Q476" s="587"/>
      <c r="R476" s="370"/>
      <c r="S476" s="370"/>
      <c r="T476" s="371"/>
      <c r="U476" s="372"/>
      <c r="V476" s="373"/>
      <c r="W476" s="398"/>
      <c r="X476" s="404"/>
      <c r="Y476" s="372"/>
      <c r="Z476" s="381"/>
      <c r="AA476" s="359"/>
      <c r="AB476" s="230"/>
      <c r="AC476" s="381"/>
      <c r="AD476" s="241"/>
      <c r="AE476" s="411"/>
      <c r="AF476" s="577"/>
      <c r="AG476" s="241"/>
      <c r="AH476" s="411"/>
      <c r="AI476" s="577"/>
      <c r="AJ476" s="241"/>
      <c r="AK476" s="411"/>
      <c r="AL476" s="577"/>
      <c r="AM476" s="241"/>
      <c r="AN476" s="411"/>
      <c r="AO476" s="577"/>
      <c r="AP476" s="241"/>
      <c r="AQ476" s="411"/>
      <c r="AR476" s="577"/>
      <c r="AS476" s="202"/>
    </row>
    <row r="477" spans="1:45" ht="13.5" hidden="1" customHeight="1">
      <c r="A477" s="12"/>
      <c r="B477" s="358" t="s">
        <v>2571</v>
      </c>
      <c r="C477" s="359">
        <v>15</v>
      </c>
      <c r="D477" s="359">
        <v>53</v>
      </c>
      <c r="E477" s="360"/>
      <c r="F477" s="524"/>
      <c r="G477" s="524"/>
      <c r="H477" s="362"/>
      <c r="I477" s="230"/>
      <c r="J477" s="230"/>
      <c r="K477" s="363"/>
      <c r="L477" s="364"/>
      <c r="M477" s="452"/>
      <c r="N477" s="409"/>
      <c r="O477" s="225"/>
      <c r="P477" s="424"/>
      <c r="Q477" s="624"/>
      <c r="R477" s="421"/>
      <c r="S477" s="421"/>
      <c r="T477" s="421"/>
      <c r="U477" s="421"/>
      <c r="V477" s="613"/>
      <c r="W477" s="374"/>
      <c r="X477" s="404"/>
      <c r="Y477" s="372"/>
      <c r="Z477" s="381"/>
      <c r="AA477" s="359"/>
      <c r="AB477" s="230"/>
      <c r="AC477" s="381"/>
      <c r="AD477" s="225"/>
      <c r="AE477" s="361"/>
      <c r="AF477" s="533"/>
      <c r="AG477" s="225"/>
      <c r="AH477" s="361"/>
      <c r="AI477" s="533"/>
      <c r="AJ477" s="225"/>
      <c r="AK477" s="361"/>
      <c r="AL477" s="533"/>
      <c r="AM477" s="225"/>
      <c r="AN477" s="361"/>
      <c r="AO477" s="533"/>
      <c r="AP477" s="225"/>
      <c r="AQ477" s="361"/>
      <c r="AR477" s="533"/>
      <c r="AS477" s="320"/>
    </row>
    <row r="478" spans="1:45" ht="13.5" hidden="1" customHeight="1">
      <c r="A478" s="12"/>
      <c r="B478" s="358"/>
      <c r="C478" s="359"/>
      <c r="D478" s="359"/>
      <c r="E478" s="360"/>
      <c r="F478" s="524"/>
      <c r="G478" s="524"/>
      <c r="H478" s="362"/>
      <c r="I478" s="230"/>
      <c r="J478" s="230"/>
      <c r="K478" s="363"/>
      <c r="L478" s="364"/>
      <c r="M478" s="604"/>
      <c r="N478" s="415"/>
      <c r="O478" s="241"/>
      <c r="P478" s="625"/>
      <c r="Q478" s="415"/>
      <c r="R478" s="606"/>
      <c r="S478" s="606"/>
      <c r="T478" s="606"/>
      <c r="U478" s="606"/>
      <c r="V478" s="616"/>
      <c r="W478" s="398"/>
      <c r="X478" s="404"/>
      <c r="Y478" s="372"/>
      <c r="Z478" s="381"/>
      <c r="AA478" s="359"/>
      <c r="AB478" s="230"/>
      <c r="AC478" s="381"/>
      <c r="AD478" s="241"/>
      <c r="AE478" s="411"/>
      <c r="AF478" s="577"/>
      <c r="AG478" s="241"/>
      <c r="AH478" s="411"/>
      <c r="AI478" s="577"/>
      <c r="AJ478" s="241"/>
      <c r="AK478" s="411"/>
      <c r="AL478" s="577"/>
      <c r="AM478" s="241"/>
      <c r="AN478" s="411"/>
      <c r="AO478" s="577"/>
      <c r="AP478" s="241"/>
      <c r="AQ478" s="411"/>
      <c r="AR478" s="577"/>
      <c r="AS478" s="202"/>
    </row>
    <row r="479" spans="1:45" ht="13.5" hidden="1" customHeight="1">
      <c r="A479" s="12"/>
      <c r="B479" s="358" t="s">
        <v>2571</v>
      </c>
      <c r="C479" s="359">
        <v>16</v>
      </c>
      <c r="D479" s="359">
        <v>54</v>
      </c>
      <c r="E479" s="360"/>
      <c r="F479" s="524"/>
      <c r="G479" s="524"/>
      <c r="H479" s="362"/>
      <c r="I479" s="230"/>
      <c r="J479" s="230"/>
      <c r="K479" s="363"/>
      <c r="L479" s="364"/>
      <c r="M479" s="604"/>
      <c r="N479" s="415"/>
      <c r="O479" s="241"/>
      <c r="P479" s="625"/>
      <c r="Q479" s="415"/>
      <c r="R479" s="606"/>
      <c r="S479" s="606"/>
      <c r="T479" s="606"/>
      <c r="U479" s="606"/>
      <c r="V479" s="616"/>
      <c r="W479" s="374"/>
      <c r="X479" s="404"/>
      <c r="Y479" s="372"/>
      <c r="Z479" s="381"/>
      <c r="AA479" s="359"/>
      <c r="AB479" s="230"/>
      <c r="AC479" s="381"/>
      <c r="AD479" s="225"/>
      <c r="AE479" s="361"/>
      <c r="AF479" s="533"/>
      <c r="AG479" s="225"/>
      <c r="AH479" s="361"/>
      <c r="AI479" s="533"/>
      <c r="AJ479" s="225"/>
      <c r="AK479" s="361"/>
      <c r="AL479" s="533"/>
      <c r="AM479" s="225"/>
      <c r="AN479" s="361"/>
      <c r="AO479" s="533"/>
      <c r="AP479" s="225"/>
      <c r="AQ479" s="361"/>
      <c r="AR479" s="533"/>
      <c r="AS479" s="320"/>
    </row>
    <row r="480" spans="1:45" ht="13.5" hidden="1" customHeight="1">
      <c r="A480" s="12"/>
      <c r="B480" s="358"/>
      <c r="C480" s="359"/>
      <c r="D480" s="359"/>
      <c r="E480" s="360"/>
      <c r="F480" s="524"/>
      <c r="G480" s="524"/>
      <c r="H480" s="362"/>
      <c r="I480" s="230"/>
      <c r="J480" s="230"/>
      <c r="K480" s="363"/>
      <c r="L480" s="364"/>
      <c r="M480" s="439"/>
      <c r="N480" s="425"/>
      <c r="O480" s="325"/>
      <c r="P480" s="375"/>
      <c r="Q480" s="425"/>
      <c r="R480" s="434"/>
      <c r="S480" s="434"/>
      <c r="T480" s="434"/>
      <c r="U480" s="434"/>
      <c r="V480" s="619"/>
      <c r="W480" s="398"/>
      <c r="X480" s="404"/>
      <c r="Y480" s="372"/>
      <c r="Z480" s="381"/>
      <c r="AA480" s="359"/>
      <c r="AB480" s="230"/>
      <c r="AC480" s="381"/>
      <c r="AD480" s="241"/>
      <c r="AE480" s="411"/>
      <c r="AF480" s="577"/>
      <c r="AG480" s="241"/>
      <c r="AH480" s="411"/>
      <c r="AI480" s="577"/>
      <c r="AJ480" s="241"/>
      <c r="AK480" s="411"/>
      <c r="AL480" s="577"/>
      <c r="AM480" s="241"/>
      <c r="AN480" s="411"/>
      <c r="AO480" s="577"/>
      <c r="AP480" s="241"/>
      <c r="AQ480" s="411"/>
      <c r="AR480" s="577"/>
      <c r="AS480" s="202"/>
    </row>
    <row r="481" spans="1:45" ht="13.5" hidden="1" customHeight="1">
      <c r="A481" s="12"/>
      <c r="B481" s="358" t="s">
        <v>2571</v>
      </c>
      <c r="C481" s="359">
        <v>17</v>
      </c>
      <c r="D481" s="359">
        <v>55</v>
      </c>
      <c r="E481" s="360"/>
      <c r="F481" s="524"/>
      <c r="G481" s="524"/>
      <c r="H481" s="362"/>
      <c r="I481" s="230"/>
      <c r="J481" s="230"/>
      <c r="K481" s="363"/>
      <c r="L481" s="364"/>
      <c r="M481" s="365"/>
      <c r="N481" s="366"/>
      <c r="O481" s="367"/>
      <c r="P481" s="368"/>
      <c r="Q481" s="587"/>
      <c r="R481" s="370"/>
      <c r="S481" s="370"/>
      <c r="T481" s="371"/>
      <c r="U481" s="372"/>
      <c r="V481" s="373"/>
      <c r="W481" s="374"/>
      <c r="X481" s="404"/>
      <c r="Y481" s="372"/>
      <c r="Z481" s="381"/>
      <c r="AA481" s="359"/>
      <c r="AB481" s="230"/>
      <c r="AC481" s="381"/>
      <c r="AD481" s="225"/>
      <c r="AE481" s="361"/>
      <c r="AF481" s="533"/>
      <c r="AG481" s="225"/>
      <c r="AH481" s="361"/>
      <c r="AI481" s="533"/>
      <c r="AJ481" s="225"/>
      <c r="AK481" s="361"/>
      <c r="AL481" s="533"/>
      <c r="AM481" s="225"/>
      <c r="AN481" s="361"/>
      <c r="AO481" s="533"/>
      <c r="AP481" s="225"/>
      <c r="AQ481" s="361"/>
      <c r="AR481" s="533"/>
      <c r="AS481" s="320"/>
    </row>
    <row r="482" spans="1:45" ht="13.5" hidden="1" customHeight="1">
      <c r="A482" s="12"/>
      <c r="B482" s="358"/>
      <c r="C482" s="359"/>
      <c r="D482" s="359"/>
      <c r="E482" s="360"/>
      <c r="F482" s="524"/>
      <c r="G482" s="524"/>
      <c r="H482" s="362"/>
      <c r="I482" s="230"/>
      <c r="J482" s="230"/>
      <c r="K482" s="363"/>
      <c r="L482" s="364"/>
      <c r="M482" s="365"/>
      <c r="N482" s="366"/>
      <c r="O482" s="367"/>
      <c r="P482" s="368"/>
      <c r="Q482" s="587"/>
      <c r="R482" s="370"/>
      <c r="S482" s="370"/>
      <c r="T482" s="371"/>
      <c r="U482" s="372"/>
      <c r="V482" s="373"/>
      <c r="W482" s="398"/>
      <c r="X482" s="404"/>
      <c r="Y482" s="372"/>
      <c r="Z482" s="381"/>
      <c r="AA482" s="241"/>
      <c r="AB482" s="411"/>
      <c r="AC482" s="577"/>
      <c r="AD482" s="241"/>
      <c r="AE482" s="411"/>
      <c r="AF482" s="577"/>
      <c r="AG482" s="241"/>
      <c r="AH482" s="411"/>
      <c r="AI482" s="577"/>
      <c r="AJ482" s="241"/>
      <c r="AK482" s="411"/>
      <c r="AL482" s="577"/>
      <c r="AM482" s="241"/>
      <c r="AN482" s="411"/>
      <c r="AO482" s="577"/>
      <c r="AP482" s="241"/>
      <c r="AQ482" s="411"/>
      <c r="AR482" s="577"/>
      <c r="AS482" s="202"/>
    </row>
    <row r="483" spans="1:45" ht="13.5" hidden="1" customHeight="1">
      <c r="A483" s="12"/>
      <c r="B483" s="358" t="s">
        <v>2571</v>
      </c>
      <c r="C483" s="359">
        <v>18</v>
      </c>
      <c r="D483" s="359">
        <v>56</v>
      </c>
      <c r="E483" s="626"/>
      <c r="F483" s="524"/>
      <c r="G483" s="524"/>
      <c r="H483" s="362"/>
      <c r="I483" s="230"/>
      <c r="J483" s="230"/>
      <c r="K483" s="368"/>
      <c r="L483" s="364"/>
      <c r="M483" s="365"/>
      <c r="N483" s="366"/>
      <c r="O483" s="367"/>
      <c r="P483" s="368"/>
      <c r="Q483" s="522"/>
      <c r="R483" s="370"/>
      <c r="S483" s="370"/>
      <c r="T483" s="371"/>
      <c r="U483" s="384"/>
      <c r="V483" s="627"/>
      <c r="W483" s="628"/>
      <c r="X483" s="404"/>
      <c r="Y483" s="384"/>
      <c r="Z483" s="513"/>
      <c r="AA483" s="402"/>
      <c r="AB483" s="403"/>
      <c r="AC483" s="401"/>
      <c r="AD483" s="402"/>
      <c r="AE483" s="403"/>
      <c r="AF483" s="401"/>
      <c r="AG483" s="402"/>
      <c r="AH483" s="403"/>
      <c r="AI483" s="401"/>
      <c r="AJ483" s="402"/>
      <c r="AK483" s="403"/>
      <c r="AL483" s="401"/>
      <c r="AM483" s="402"/>
      <c r="AN483" s="403"/>
      <c r="AO483" s="401"/>
      <c r="AP483" s="402"/>
      <c r="AQ483" s="403"/>
      <c r="AR483" s="401"/>
      <c r="AS483" s="202"/>
    </row>
    <row r="484" spans="1:45" ht="14.25" hidden="1" customHeight="1">
      <c r="A484" s="12"/>
      <c r="B484" s="358"/>
      <c r="C484" s="359"/>
      <c r="D484" s="359"/>
      <c r="E484" s="626"/>
      <c r="F484" s="524"/>
      <c r="G484" s="524"/>
      <c r="H484" s="362"/>
      <c r="I484" s="230"/>
      <c r="J484" s="230"/>
      <c r="K484" s="368"/>
      <c r="L484" s="364"/>
      <c r="M484" s="365"/>
      <c r="N484" s="366"/>
      <c r="O484" s="367"/>
      <c r="P484" s="368"/>
      <c r="Q484" s="522"/>
      <c r="R484" s="370"/>
      <c r="S484" s="370"/>
      <c r="T484" s="371"/>
      <c r="U484" s="384"/>
      <c r="V484" s="627"/>
      <c r="W484" s="628"/>
      <c r="X484" s="404"/>
      <c r="Y484" s="384"/>
      <c r="Z484" s="513"/>
      <c r="AA484" s="402"/>
      <c r="AB484" s="403"/>
      <c r="AC484" s="401"/>
      <c r="AD484" s="402"/>
      <c r="AE484" s="403"/>
      <c r="AF484" s="401"/>
      <c r="AG484" s="402"/>
      <c r="AH484" s="403"/>
      <c r="AI484" s="401"/>
      <c r="AJ484" s="402"/>
      <c r="AK484" s="403"/>
      <c r="AL484" s="401"/>
      <c r="AM484" s="402"/>
      <c r="AN484" s="403"/>
      <c r="AO484" s="401"/>
      <c r="AP484" s="402"/>
      <c r="AQ484" s="403"/>
      <c r="AR484" s="401"/>
      <c r="AS484" s="202"/>
    </row>
    <row r="485" spans="1:45" ht="13.5" hidden="1" customHeight="1">
      <c r="A485" s="12"/>
      <c r="B485" s="358" t="s">
        <v>2571</v>
      </c>
      <c r="C485" s="359">
        <v>19</v>
      </c>
      <c r="D485" s="359">
        <v>57</v>
      </c>
      <c r="E485" s="360"/>
      <c r="F485" s="524"/>
      <c r="G485" s="524"/>
      <c r="H485" s="362"/>
      <c r="I485" s="230"/>
      <c r="J485" s="230"/>
      <c r="K485" s="363"/>
      <c r="L485" s="364"/>
      <c r="M485" s="365"/>
      <c r="N485" s="366"/>
      <c r="O485" s="367"/>
      <c r="P485" s="368"/>
      <c r="Q485" s="587"/>
      <c r="R485" s="370"/>
      <c r="S485" s="370"/>
      <c r="T485" s="371"/>
      <c r="U485" s="372"/>
      <c r="V485" s="373"/>
      <c r="W485" s="374"/>
      <c r="X485" s="404"/>
      <c r="Y485" s="372"/>
      <c r="Z485" s="381"/>
      <c r="AA485" s="225"/>
      <c r="AB485" s="361"/>
      <c r="AC485" s="533"/>
      <c r="AD485" s="225"/>
      <c r="AE485" s="361"/>
      <c r="AF485" s="533"/>
      <c r="AG485" s="225"/>
      <c r="AH485" s="361"/>
      <c r="AI485" s="533"/>
      <c r="AJ485" s="225"/>
      <c r="AK485" s="361"/>
      <c r="AL485" s="533"/>
      <c r="AM485" s="225"/>
      <c r="AN485" s="361"/>
      <c r="AO485" s="533"/>
      <c r="AP485" s="225"/>
      <c r="AQ485" s="361"/>
      <c r="AR485" s="533"/>
      <c r="AS485" s="320"/>
    </row>
    <row r="486" spans="1:45" ht="13.5" hidden="1" customHeight="1">
      <c r="A486" s="12"/>
      <c r="B486" s="358"/>
      <c r="C486" s="359"/>
      <c r="D486" s="359"/>
      <c r="E486" s="360"/>
      <c r="F486" s="524"/>
      <c r="G486" s="524"/>
      <c r="H486" s="362"/>
      <c r="I486" s="230"/>
      <c r="J486" s="230"/>
      <c r="K486" s="363"/>
      <c r="L486" s="364"/>
      <c r="M486" s="365"/>
      <c r="N486" s="366"/>
      <c r="O486" s="367"/>
      <c r="P486" s="368"/>
      <c r="Q486" s="587"/>
      <c r="R486" s="370"/>
      <c r="S486" s="370"/>
      <c r="T486" s="371"/>
      <c r="U486" s="372"/>
      <c r="V486" s="373"/>
      <c r="W486" s="398"/>
      <c r="X486" s="404"/>
      <c r="Y486" s="372"/>
      <c r="Z486" s="381"/>
      <c r="AA486" s="241"/>
      <c r="AB486" s="411"/>
      <c r="AC486" s="577"/>
      <c r="AD486" s="241"/>
      <c r="AE486" s="411"/>
      <c r="AF486" s="577"/>
      <c r="AG486" s="241"/>
      <c r="AH486" s="411"/>
      <c r="AI486" s="577"/>
      <c r="AJ486" s="241"/>
      <c r="AK486" s="411"/>
      <c r="AL486" s="577"/>
      <c r="AM486" s="241"/>
      <c r="AN486" s="411"/>
      <c r="AO486" s="577"/>
      <c r="AP486" s="241"/>
      <c r="AQ486" s="411"/>
      <c r="AR486" s="577"/>
      <c r="AS486" s="202"/>
    </row>
    <row r="487" spans="1:45" ht="13.5" hidden="1" customHeight="1">
      <c r="A487" s="12"/>
      <c r="B487" s="358" t="s">
        <v>2571</v>
      </c>
      <c r="C487" s="359">
        <v>20</v>
      </c>
      <c r="D487" s="359">
        <v>58</v>
      </c>
      <c r="E487" s="360"/>
      <c r="F487" s="524"/>
      <c r="G487" s="524"/>
      <c r="H487" s="362"/>
      <c r="I487" s="230"/>
      <c r="J487" s="230"/>
      <c r="K487" s="363"/>
      <c r="L487" s="364"/>
      <c r="M487" s="365"/>
      <c r="N487" s="366"/>
      <c r="O487" s="367"/>
      <c r="P487" s="368"/>
      <c r="Q487" s="587"/>
      <c r="R487" s="370"/>
      <c r="S487" s="370"/>
      <c r="T487" s="371"/>
      <c r="U487" s="372"/>
      <c r="V487" s="373"/>
      <c r="W487" s="374"/>
      <c r="X487" s="404"/>
      <c r="Y487" s="372"/>
      <c r="Z487" s="381"/>
      <c r="AA487" s="225"/>
      <c r="AB487" s="361"/>
      <c r="AC487" s="533"/>
      <c r="AD487" s="225"/>
      <c r="AE487" s="361"/>
      <c r="AF487" s="533"/>
      <c r="AG487" s="225"/>
      <c r="AH487" s="361"/>
      <c r="AI487" s="533"/>
      <c r="AJ487" s="225"/>
      <c r="AK487" s="361"/>
      <c r="AL487" s="533"/>
      <c r="AM487" s="225"/>
      <c r="AN487" s="361"/>
      <c r="AO487" s="533"/>
      <c r="AP487" s="225"/>
      <c r="AQ487" s="361"/>
      <c r="AR487" s="533"/>
      <c r="AS487" s="320"/>
    </row>
    <row r="488" spans="1:45" ht="13.5" hidden="1" customHeight="1">
      <c r="A488" s="12"/>
      <c r="B488" s="358"/>
      <c r="C488" s="359"/>
      <c r="D488" s="359"/>
      <c r="E488" s="360"/>
      <c r="F488" s="524"/>
      <c r="G488" s="524"/>
      <c r="H488" s="362"/>
      <c r="I488" s="230"/>
      <c r="J488" s="230"/>
      <c r="K488" s="363"/>
      <c r="L488" s="364"/>
      <c r="M488" s="365"/>
      <c r="N488" s="366"/>
      <c r="O488" s="367"/>
      <c r="P488" s="368"/>
      <c r="Q488" s="587"/>
      <c r="R488" s="370"/>
      <c r="S488" s="370"/>
      <c r="T488" s="371"/>
      <c r="U488" s="372"/>
      <c r="V488" s="373"/>
      <c r="W488" s="398"/>
      <c r="X488" s="404"/>
      <c r="Y488" s="372"/>
      <c r="Z488" s="381"/>
      <c r="AA488" s="241"/>
      <c r="AB488" s="411"/>
      <c r="AC488" s="577"/>
      <c r="AD488" s="241"/>
      <c r="AE488" s="411"/>
      <c r="AF488" s="577"/>
      <c r="AG488" s="241"/>
      <c r="AH488" s="411"/>
      <c r="AI488" s="577"/>
      <c r="AJ488" s="241"/>
      <c r="AK488" s="411"/>
      <c r="AL488" s="577"/>
      <c r="AM488" s="241"/>
      <c r="AN488" s="411"/>
      <c r="AO488" s="577"/>
      <c r="AP488" s="241"/>
      <c r="AQ488" s="411"/>
      <c r="AR488" s="577"/>
      <c r="AS488" s="202"/>
    </row>
    <row r="489" spans="1:45" ht="13.5" hidden="1" customHeight="1">
      <c r="A489" s="12"/>
      <c r="B489" s="358" t="s">
        <v>2571</v>
      </c>
      <c r="C489" s="359">
        <v>21</v>
      </c>
      <c r="D489" s="359">
        <v>59</v>
      </c>
      <c r="E489" s="360"/>
      <c r="F489" s="524">
        <v>2</v>
      </c>
      <c r="G489" s="524"/>
      <c r="H489" s="362"/>
      <c r="I489" s="230"/>
      <c r="J489" s="230"/>
      <c r="K489" s="363"/>
      <c r="L489" s="364"/>
      <c r="M489" s="365"/>
      <c r="N489" s="366"/>
      <c r="O489" s="367"/>
      <c r="P489" s="368"/>
      <c r="Q489" s="587"/>
      <c r="R489" s="370"/>
      <c r="S489" s="370"/>
      <c r="T489" s="371"/>
      <c r="U489" s="372"/>
      <c r="V489" s="373"/>
      <c r="W489" s="374"/>
      <c r="X489" s="404"/>
      <c r="Y489" s="372"/>
      <c r="Z489" s="381"/>
      <c r="AA489" s="225"/>
      <c r="AB489" s="361"/>
      <c r="AC489" s="533"/>
      <c r="AD489" s="225"/>
      <c r="AE489" s="361"/>
      <c r="AF489" s="533"/>
      <c r="AG489" s="225"/>
      <c r="AH489" s="361"/>
      <c r="AI489" s="533"/>
      <c r="AJ489" s="225"/>
      <c r="AK489" s="361"/>
      <c r="AL489" s="533"/>
      <c r="AM489" s="225"/>
      <c r="AN489" s="361"/>
      <c r="AO489" s="533"/>
      <c r="AP489" s="225"/>
      <c r="AQ489" s="361"/>
      <c r="AR489" s="533"/>
      <c r="AS489" s="320"/>
    </row>
    <row r="490" spans="1:45" ht="13.5" hidden="1" customHeight="1">
      <c r="A490" s="12"/>
      <c r="B490" s="358"/>
      <c r="C490" s="359"/>
      <c r="D490" s="359"/>
      <c r="E490" s="360"/>
      <c r="F490" s="524"/>
      <c r="G490" s="524"/>
      <c r="H490" s="362"/>
      <c r="I490" s="230"/>
      <c r="J490" s="230"/>
      <c r="K490" s="363"/>
      <c r="L490" s="364"/>
      <c r="M490" s="365"/>
      <c r="N490" s="366"/>
      <c r="O490" s="367"/>
      <c r="P490" s="368"/>
      <c r="Q490" s="587"/>
      <c r="R490" s="370"/>
      <c r="S490" s="370"/>
      <c r="T490" s="371"/>
      <c r="U490" s="372"/>
      <c r="V490" s="373"/>
      <c r="W490" s="398"/>
      <c r="X490" s="404"/>
      <c r="Y490" s="372"/>
      <c r="Z490" s="381"/>
      <c r="AA490" s="241"/>
      <c r="AB490" s="411"/>
      <c r="AC490" s="577"/>
      <c r="AD490" s="241"/>
      <c r="AE490" s="411"/>
      <c r="AF490" s="577"/>
      <c r="AG490" s="241"/>
      <c r="AH490" s="411"/>
      <c r="AI490" s="577"/>
      <c r="AJ490" s="241"/>
      <c r="AK490" s="411"/>
      <c r="AL490" s="577"/>
      <c r="AM490" s="241"/>
      <c r="AN490" s="411"/>
      <c r="AO490" s="577"/>
      <c r="AP490" s="241"/>
      <c r="AQ490" s="411"/>
      <c r="AR490" s="577"/>
      <c r="AS490" s="202"/>
    </row>
    <row r="491" spans="1:45" ht="13.5" hidden="1" customHeight="1">
      <c r="A491" s="12"/>
      <c r="B491" s="358" t="s">
        <v>2571</v>
      </c>
      <c r="C491" s="359">
        <v>22</v>
      </c>
      <c r="D491" s="359">
        <v>60</v>
      </c>
      <c r="E491" s="360"/>
      <c r="F491" s="524"/>
      <c r="G491" s="524"/>
      <c r="H491" s="362"/>
      <c r="I491" s="230"/>
      <c r="J491" s="230"/>
      <c r="K491" s="363"/>
      <c r="L491" s="364"/>
      <c r="M491" s="365"/>
      <c r="N491" s="366"/>
      <c r="O491" s="367"/>
      <c r="P491" s="368"/>
      <c r="Q491" s="587"/>
      <c r="R491" s="370"/>
      <c r="S491" s="370"/>
      <c r="T491" s="371"/>
      <c r="U491" s="372"/>
      <c r="V491" s="373"/>
      <c r="W491" s="374"/>
      <c r="X491" s="404"/>
      <c r="Y491" s="372"/>
      <c r="Z491" s="381"/>
      <c r="AA491" s="225"/>
      <c r="AB491" s="361"/>
      <c r="AC491" s="533"/>
      <c r="AD491" s="225"/>
      <c r="AE491" s="361"/>
      <c r="AF491" s="533"/>
      <c r="AG491" s="225"/>
      <c r="AH491" s="361"/>
      <c r="AI491" s="533"/>
      <c r="AJ491" s="225"/>
      <c r="AK491" s="361"/>
      <c r="AL491" s="533"/>
      <c r="AM491" s="225"/>
      <c r="AN491" s="361"/>
      <c r="AO491" s="533"/>
      <c r="AP491" s="225"/>
      <c r="AQ491" s="361"/>
      <c r="AR491" s="533"/>
      <c r="AS491" s="320"/>
    </row>
    <row r="492" spans="1:45" ht="13.5" hidden="1" customHeight="1">
      <c r="A492" s="12"/>
      <c r="B492" s="358"/>
      <c r="C492" s="359"/>
      <c r="D492" s="359"/>
      <c r="E492" s="360"/>
      <c r="F492" s="524"/>
      <c r="G492" s="524"/>
      <c r="H492" s="362"/>
      <c r="I492" s="230"/>
      <c r="J492" s="230"/>
      <c r="K492" s="363"/>
      <c r="L492" s="364"/>
      <c r="M492" s="365"/>
      <c r="N492" s="366"/>
      <c r="O492" s="367"/>
      <c r="P492" s="368"/>
      <c r="Q492" s="587"/>
      <c r="R492" s="370"/>
      <c r="S492" s="370"/>
      <c r="T492" s="371"/>
      <c r="U492" s="372"/>
      <c r="V492" s="373"/>
      <c r="W492" s="398"/>
      <c r="X492" s="404"/>
      <c r="Y492" s="372"/>
      <c r="Z492" s="381"/>
      <c r="AA492" s="241"/>
      <c r="AB492" s="411"/>
      <c r="AC492" s="577"/>
      <c r="AD492" s="241"/>
      <c r="AE492" s="411"/>
      <c r="AF492" s="577"/>
      <c r="AG492" s="241"/>
      <c r="AH492" s="411"/>
      <c r="AI492" s="577"/>
      <c r="AJ492" s="241"/>
      <c r="AK492" s="411"/>
      <c r="AL492" s="577"/>
      <c r="AM492" s="241"/>
      <c r="AN492" s="411"/>
      <c r="AO492" s="577"/>
      <c r="AP492" s="241"/>
      <c r="AQ492" s="411"/>
      <c r="AR492" s="577"/>
      <c r="AS492" s="202"/>
    </row>
    <row r="493" spans="1:45" ht="13.5" hidden="1" customHeight="1">
      <c r="A493" s="12"/>
      <c r="B493" s="358" t="s">
        <v>2571</v>
      </c>
      <c r="C493" s="359">
        <v>23</v>
      </c>
      <c r="D493" s="359">
        <v>61</v>
      </c>
      <c r="E493" s="360"/>
      <c r="F493" s="524"/>
      <c r="G493" s="524"/>
      <c r="H493" s="362"/>
      <c r="I493" s="230"/>
      <c r="J493" s="230"/>
      <c r="K493" s="363"/>
      <c r="L493" s="364"/>
      <c r="M493" s="365"/>
      <c r="N493" s="366"/>
      <c r="O493" s="367"/>
      <c r="P493" s="368"/>
      <c r="Q493" s="587"/>
      <c r="R493" s="370"/>
      <c r="S493" s="370"/>
      <c r="T493" s="371"/>
      <c r="U493" s="372"/>
      <c r="V493" s="373"/>
      <c r="W493" s="374"/>
      <c r="X493" s="404"/>
      <c r="Y493" s="372"/>
      <c r="Z493" s="381"/>
      <c r="AA493" s="225"/>
      <c r="AB493" s="361"/>
      <c r="AC493" s="533"/>
      <c r="AD493" s="225"/>
      <c r="AE493" s="361"/>
      <c r="AF493" s="533"/>
      <c r="AG493" s="225"/>
      <c r="AH493" s="361"/>
      <c r="AI493" s="533"/>
      <c r="AJ493" s="225"/>
      <c r="AK493" s="361"/>
      <c r="AL493" s="533"/>
      <c r="AM493" s="225"/>
      <c r="AN493" s="361"/>
      <c r="AO493" s="533"/>
      <c r="AP493" s="225"/>
      <c r="AQ493" s="361"/>
      <c r="AR493" s="533"/>
      <c r="AS493" s="320"/>
    </row>
    <row r="494" spans="1:45" ht="13.5" hidden="1" customHeight="1">
      <c r="A494" s="12"/>
      <c r="B494" s="358"/>
      <c r="C494" s="359"/>
      <c r="D494" s="359"/>
      <c r="E494" s="360"/>
      <c r="F494" s="524"/>
      <c r="G494" s="524"/>
      <c r="H494" s="362"/>
      <c r="I494" s="230"/>
      <c r="J494" s="230"/>
      <c r="K494" s="363"/>
      <c r="L494" s="364"/>
      <c r="M494" s="365"/>
      <c r="N494" s="366"/>
      <c r="O494" s="367"/>
      <c r="P494" s="368"/>
      <c r="Q494" s="587"/>
      <c r="R494" s="370"/>
      <c r="S494" s="370"/>
      <c r="T494" s="371"/>
      <c r="U494" s="372"/>
      <c r="V494" s="373"/>
      <c r="W494" s="398"/>
      <c r="X494" s="404"/>
      <c r="Y494" s="372"/>
      <c r="Z494" s="381"/>
      <c r="AA494" s="241"/>
      <c r="AB494" s="411"/>
      <c r="AC494" s="577"/>
      <c r="AD494" s="241"/>
      <c r="AE494" s="411"/>
      <c r="AF494" s="577"/>
      <c r="AG494" s="241"/>
      <c r="AH494" s="411"/>
      <c r="AI494" s="577"/>
      <c r="AJ494" s="241"/>
      <c r="AK494" s="411"/>
      <c r="AL494" s="577"/>
      <c r="AM494" s="241"/>
      <c r="AN494" s="411"/>
      <c r="AO494" s="577"/>
      <c r="AP494" s="241"/>
      <c r="AQ494" s="411"/>
      <c r="AR494" s="577"/>
      <c r="AS494" s="202"/>
    </row>
    <row r="495" spans="1:45" ht="13.5" hidden="1" customHeight="1">
      <c r="A495" s="12"/>
      <c r="B495" s="358" t="s">
        <v>2571</v>
      </c>
      <c r="C495" s="359">
        <v>24</v>
      </c>
      <c r="D495" s="359">
        <v>62</v>
      </c>
      <c r="E495" s="360"/>
      <c r="F495" s="524"/>
      <c r="G495" s="524"/>
      <c r="H495" s="362"/>
      <c r="I495" s="230"/>
      <c r="J495" s="230"/>
      <c r="K495" s="363"/>
      <c r="L495" s="364"/>
      <c r="M495" s="365"/>
      <c r="N495" s="366"/>
      <c r="O495" s="367"/>
      <c r="P495" s="368"/>
      <c r="Q495" s="587"/>
      <c r="R495" s="370"/>
      <c r="S495" s="370"/>
      <c r="T495" s="371"/>
      <c r="U495" s="372"/>
      <c r="V495" s="373"/>
      <c r="W495" s="374"/>
      <c r="X495" s="404"/>
      <c r="Y495" s="372"/>
      <c r="Z495" s="381"/>
      <c r="AA495" s="225"/>
      <c r="AB495" s="361"/>
      <c r="AC495" s="533"/>
      <c r="AD495" s="225"/>
      <c r="AE495" s="361"/>
      <c r="AF495" s="533"/>
      <c r="AG495" s="225"/>
      <c r="AH495" s="361"/>
      <c r="AI495" s="533"/>
      <c r="AJ495" s="225"/>
      <c r="AK495" s="361"/>
      <c r="AL495" s="533"/>
      <c r="AM495" s="225"/>
      <c r="AN495" s="361"/>
      <c r="AO495" s="533"/>
      <c r="AP495" s="225"/>
      <c r="AQ495" s="361"/>
      <c r="AR495" s="533"/>
      <c r="AS495" s="320"/>
    </row>
    <row r="496" spans="1:45" ht="13.5" hidden="1" customHeight="1">
      <c r="A496" s="12"/>
      <c r="B496" s="358"/>
      <c r="C496" s="359"/>
      <c r="D496" s="359"/>
      <c r="E496" s="360"/>
      <c r="F496" s="524"/>
      <c r="G496" s="524"/>
      <c r="H496" s="362"/>
      <c r="I496" s="230"/>
      <c r="J496" s="230"/>
      <c r="K496" s="363"/>
      <c r="L496" s="364"/>
      <c r="M496" s="365"/>
      <c r="N496" s="366"/>
      <c r="O496" s="367"/>
      <c r="P496" s="368"/>
      <c r="Q496" s="587"/>
      <c r="R496" s="370"/>
      <c r="S496" s="370"/>
      <c r="T496" s="371"/>
      <c r="U496" s="372"/>
      <c r="V496" s="373"/>
      <c r="W496" s="398"/>
      <c r="X496" s="404"/>
      <c r="Y496" s="372"/>
      <c r="Z496" s="381"/>
      <c r="AA496" s="241"/>
      <c r="AB496" s="411"/>
      <c r="AC496" s="577"/>
      <c r="AD496" s="241"/>
      <c r="AE496" s="411"/>
      <c r="AF496" s="577"/>
      <c r="AG496" s="241"/>
      <c r="AH496" s="411"/>
      <c r="AI496" s="577"/>
      <c r="AJ496" s="241"/>
      <c r="AK496" s="411"/>
      <c r="AL496" s="577"/>
      <c r="AM496" s="241"/>
      <c r="AN496" s="411"/>
      <c r="AO496" s="577"/>
      <c r="AP496" s="241"/>
      <c r="AQ496" s="411"/>
      <c r="AR496" s="577"/>
      <c r="AS496" s="202"/>
    </row>
    <row r="497" spans="1:45" ht="13.5" hidden="1" customHeight="1">
      <c r="A497" s="12"/>
      <c r="B497" s="358" t="s">
        <v>2571</v>
      </c>
      <c r="C497" s="359">
        <v>25</v>
      </c>
      <c r="D497" s="359">
        <v>245</v>
      </c>
      <c r="E497" s="360"/>
      <c r="F497" s="524"/>
      <c r="G497" s="524"/>
      <c r="H497" s="362"/>
      <c r="I497" s="230"/>
      <c r="J497" s="230"/>
      <c r="K497" s="363"/>
      <c r="L497" s="364"/>
      <c r="M497" s="365"/>
      <c r="N497" s="366"/>
      <c r="O497" s="367"/>
      <c r="P497" s="368"/>
      <c r="Q497" s="587"/>
      <c r="R497" s="370"/>
      <c r="S497" s="370"/>
      <c r="T497" s="371"/>
      <c r="U497" s="372"/>
      <c r="V497" s="373"/>
      <c r="W497" s="374"/>
      <c r="X497" s="404"/>
      <c r="Y497" s="372"/>
      <c r="Z497" s="381"/>
      <c r="AA497" s="225"/>
      <c r="AB497" s="361"/>
      <c r="AC497" s="533"/>
      <c r="AD497" s="225"/>
      <c r="AE497" s="361"/>
      <c r="AF497" s="533"/>
      <c r="AG497" s="225"/>
      <c r="AH497" s="361"/>
      <c r="AI497" s="533"/>
      <c r="AJ497" s="225"/>
      <c r="AK497" s="361"/>
      <c r="AL497" s="533"/>
      <c r="AM497" s="225"/>
      <c r="AN497" s="361"/>
      <c r="AO497" s="533"/>
      <c r="AP497" s="225"/>
      <c r="AQ497" s="361"/>
      <c r="AR497" s="533"/>
      <c r="AS497" s="320"/>
    </row>
    <row r="498" spans="1:45" ht="13.5" hidden="1" customHeight="1">
      <c r="A498" s="12"/>
      <c r="B498" s="358"/>
      <c r="C498" s="359"/>
      <c r="D498" s="359"/>
      <c r="E498" s="360"/>
      <c r="F498" s="524"/>
      <c r="G498" s="524"/>
      <c r="H498" s="362"/>
      <c r="I498" s="230"/>
      <c r="J498" s="230"/>
      <c r="K498" s="363"/>
      <c r="L498" s="364"/>
      <c r="M498" s="365"/>
      <c r="N498" s="366"/>
      <c r="O498" s="367"/>
      <c r="P498" s="368"/>
      <c r="Q498" s="587"/>
      <c r="R498" s="370"/>
      <c r="S498" s="370"/>
      <c r="T498" s="371"/>
      <c r="U498" s="372"/>
      <c r="V498" s="373"/>
      <c r="W498" s="398"/>
      <c r="X498" s="404"/>
      <c r="Y498" s="372"/>
      <c r="Z498" s="381"/>
      <c r="AA498" s="241"/>
      <c r="AB498" s="411"/>
      <c r="AC498" s="577"/>
      <c r="AD498" s="241"/>
      <c r="AE498" s="411"/>
      <c r="AF498" s="577"/>
      <c r="AG498" s="241"/>
      <c r="AH498" s="411"/>
      <c r="AI498" s="577"/>
      <c r="AJ498" s="241"/>
      <c r="AK498" s="411"/>
      <c r="AL498" s="577"/>
      <c r="AM498" s="241"/>
      <c r="AN498" s="411"/>
      <c r="AO498" s="577"/>
      <c r="AP498" s="241"/>
      <c r="AQ498" s="411"/>
      <c r="AR498" s="577"/>
      <c r="AS498" s="202"/>
    </row>
    <row r="499" spans="1:45" ht="13.5" hidden="1" customHeight="1">
      <c r="A499" s="12"/>
      <c r="B499" s="358" t="s">
        <v>2571</v>
      </c>
      <c r="C499" s="359">
        <v>26</v>
      </c>
      <c r="D499" s="359">
        <v>246</v>
      </c>
      <c r="E499" s="360"/>
      <c r="F499" s="524"/>
      <c r="G499" s="524"/>
      <c r="H499" s="362"/>
      <c r="I499" s="230"/>
      <c r="J499" s="230"/>
      <c r="K499" s="363"/>
      <c r="L499" s="364"/>
      <c r="M499" s="365"/>
      <c r="N499" s="366"/>
      <c r="O499" s="367"/>
      <c r="P499" s="368"/>
      <c r="Q499" s="587"/>
      <c r="R499" s="370"/>
      <c r="S499" s="370"/>
      <c r="T499" s="371"/>
      <c r="U499" s="372"/>
      <c r="V499" s="373"/>
      <c r="W499" s="374"/>
      <c r="X499" s="404"/>
      <c r="Y499" s="372"/>
      <c r="Z499" s="381"/>
      <c r="AA499" s="225"/>
      <c r="AB499" s="361"/>
      <c r="AC499" s="533"/>
      <c r="AD499" s="225"/>
      <c r="AE499" s="361"/>
      <c r="AF499" s="533"/>
      <c r="AG499" s="225"/>
      <c r="AH499" s="361"/>
      <c r="AI499" s="533"/>
      <c r="AJ499" s="225"/>
      <c r="AK499" s="361"/>
      <c r="AL499" s="533"/>
      <c r="AM499" s="225"/>
      <c r="AN499" s="361"/>
      <c r="AO499" s="533"/>
      <c r="AP499" s="225"/>
      <c r="AQ499" s="361"/>
      <c r="AR499" s="533"/>
      <c r="AS499" s="320"/>
    </row>
    <row r="500" spans="1:45" ht="13.5" hidden="1" customHeight="1">
      <c r="A500" s="12"/>
      <c r="B500" s="358"/>
      <c r="C500" s="359"/>
      <c r="D500" s="359"/>
      <c r="E500" s="360"/>
      <c r="F500" s="524"/>
      <c r="G500" s="524"/>
      <c r="H500" s="362"/>
      <c r="I500" s="230"/>
      <c r="J500" s="230"/>
      <c r="K500" s="363"/>
      <c r="L500" s="364"/>
      <c r="M500" s="365"/>
      <c r="N500" s="366"/>
      <c r="O500" s="367"/>
      <c r="P500" s="368"/>
      <c r="Q500" s="587"/>
      <c r="R500" s="370"/>
      <c r="S500" s="370"/>
      <c r="T500" s="371"/>
      <c r="U500" s="372"/>
      <c r="V500" s="373"/>
      <c r="W500" s="398"/>
      <c r="X500" s="404"/>
      <c r="Y500" s="372"/>
      <c r="Z500" s="381"/>
      <c r="AA500" s="241"/>
      <c r="AB500" s="411"/>
      <c r="AC500" s="577"/>
      <c r="AD500" s="241"/>
      <c r="AE500" s="411"/>
      <c r="AF500" s="577"/>
      <c r="AG500" s="241"/>
      <c r="AH500" s="411"/>
      <c r="AI500" s="577"/>
      <c r="AJ500" s="241"/>
      <c r="AK500" s="411"/>
      <c r="AL500" s="577"/>
      <c r="AM500" s="241"/>
      <c r="AN500" s="411"/>
      <c r="AO500" s="577"/>
      <c r="AP500" s="241"/>
      <c r="AQ500" s="411"/>
      <c r="AR500" s="577"/>
      <c r="AS500" s="202"/>
    </row>
    <row r="501" spans="1:45" ht="13.5" hidden="1" customHeight="1">
      <c r="A501" s="12"/>
      <c r="B501" s="358" t="s">
        <v>2571</v>
      </c>
      <c r="C501" s="359">
        <v>27</v>
      </c>
      <c r="D501" s="359">
        <v>247</v>
      </c>
      <c r="E501" s="360"/>
      <c r="F501" s="524"/>
      <c r="G501" s="524"/>
      <c r="H501" s="362"/>
      <c r="I501" s="230"/>
      <c r="J501" s="230"/>
      <c r="K501" s="363"/>
      <c r="L501" s="364"/>
      <c r="M501" s="365"/>
      <c r="N501" s="366"/>
      <c r="O501" s="367"/>
      <c r="P501" s="368"/>
      <c r="Q501" s="587"/>
      <c r="R501" s="370"/>
      <c r="S501" s="370"/>
      <c r="T501" s="371"/>
      <c r="U501" s="372"/>
      <c r="V501" s="373"/>
      <c r="W501" s="374"/>
      <c r="X501" s="404"/>
      <c r="Y501" s="372"/>
      <c r="Z501" s="381"/>
      <c r="AA501" s="225"/>
      <c r="AB501" s="361"/>
      <c r="AC501" s="533"/>
      <c r="AD501" s="225"/>
      <c r="AE501" s="361"/>
      <c r="AF501" s="533"/>
      <c r="AG501" s="225"/>
      <c r="AH501" s="361"/>
      <c r="AI501" s="533"/>
      <c r="AJ501" s="225"/>
      <c r="AK501" s="361"/>
      <c r="AL501" s="533"/>
      <c r="AM501" s="225"/>
      <c r="AN501" s="361"/>
      <c r="AO501" s="533"/>
      <c r="AP501" s="225"/>
      <c r="AQ501" s="361"/>
      <c r="AR501" s="533"/>
      <c r="AS501" s="320"/>
    </row>
    <row r="502" spans="1:45" ht="13.5" hidden="1" customHeight="1">
      <c r="A502" s="12"/>
      <c r="B502" s="358"/>
      <c r="C502" s="359"/>
      <c r="D502" s="359"/>
      <c r="E502" s="360"/>
      <c r="F502" s="524"/>
      <c r="G502" s="524"/>
      <c r="H502" s="362"/>
      <c r="I502" s="230"/>
      <c r="J502" s="230"/>
      <c r="K502" s="363"/>
      <c r="L502" s="364"/>
      <c r="M502" s="365"/>
      <c r="N502" s="366"/>
      <c r="O502" s="367"/>
      <c r="P502" s="368"/>
      <c r="Q502" s="587"/>
      <c r="R502" s="370"/>
      <c r="S502" s="370"/>
      <c r="T502" s="371"/>
      <c r="U502" s="372"/>
      <c r="V502" s="373"/>
      <c r="W502" s="398"/>
      <c r="X502" s="404"/>
      <c r="Y502" s="372"/>
      <c r="Z502" s="381"/>
      <c r="AA502" s="241"/>
      <c r="AB502" s="411"/>
      <c r="AC502" s="577"/>
      <c r="AD502" s="241"/>
      <c r="AE502" s="411"/>
      <c r="AF502" s="577"/>
      <c r="AG502" s="241"/>
      <c r="AH502" s="411"/>
      <c r="AI502" s="577"/>
      <c r="AJ502" s="241"/>
      <c r="AK502" s="411"/>
      <c r="AL502" s="577"/>
      <c r="AM502" s="241"/>
      <c r="AN502" s="411"/>
      <c r="AO502" s="577"/>
      <c r="AP502" s="241"/>
      <c r="AQ502" s="411"/>
      <c r="AR502" s="577"/>
      <c r="AS502" s="202"/>
    </row>
    <row r="503" spans="1:45" ht="13.5" hidden="1" customHeight="1">
      <c r="A503" s="12"/>
      <c r="B503" s="358" t="s">
        <v>2571</v>
      </c>
      <c r="C503" s="359">
        <v>28</v>
      </c>
      <c r="D503" s="359">
        <v>248</v>
      </c>
      <c r="E503" s="360"/>
      <c r="F503" s="524"/>
      <c r="G503" s="524"/>
      <c r="H503" s="362"/>
      <c r="I503" s="230"/>
      <c r="J503" s="230"/>
      <c r="K503" s="363"/>
      <c r="L503" s="364"/>
      <c r="M503" s="365"/>
      <c r="N503" s="366"/>
      <c r="O503" s="367"/>
      <c r="P503" s="368"/>
      <c r="Q503" s="587"/>
      <c r="R503" s="370"/>
      <c r="S503" s="370"/>
      <c r="T503" s="371"/>
      <c r="U503" s="372"/>
      <c r="V503" s="373"/>
      <c r="W503" s="374"/>
      <c r="X503" s="404"/>
      <c r="Y503" s="372"/>
      <c r="Z503" s="381"/>
      <c r="AA503" s="225"/>
      <c r="AB503" s="361"/>
      <c r="AC503" s="533"/>
      <c r="AD503" s="225"/>
      <c r="AE503" s="361"/>
      <c r="AF503" s="533"/>
      <c r="AG503" s="225"/>
      <c r="AH503" s="361"/>
      <c r="AI503" s="533"/>
      <c r="AJ503" s="225"/>
      <c r="AK503" s="361"/>
      <c r="AL503" s="533"/>
      <c r="AM503" s="225"/>
      <c r="AN503" s="361"/>
      <c r="AO503" s="533"/>
      <c r="AP503" s="225"/>
      <c r="AQ503" s="361"/>
      <c r="AR503" s="533"/>
      <c r="AS503" s="320"/>
    </row>
    <row r="504" spans="1:45" ht="13.5" hidden="1" customHeight="1">
      <c r="A504" s="12"/>
      <c r="B504" s="358"/>
      <c r="C504" s="359"/>
      <c r="D504" s="359"/>
      <c r="E504" s="360"/>
      <c r="F504" s="524"/>
      <c r="G504" s="524"/>
      <c r="H504" s="362"/>
      <c r="I504" s="230"/>
      <c r="J504" s="230"/>
      <c r="K504" s="363"/>
      <c r="L504" s="364"/>
      <c r="M504" s="365"/>
      <c r="N504" s="366"/>
      <c r="O504" s="367"/>
      <c r="P504" s="368"/>
      <c r="Q504" s="587"/>
      <c r="R504" s="370"/>
      <c r="S504" s="370"/>
      <c r="T504" s="371"/>
      <c r="U504" s="372"/>
      <c r="V504" s="373"/>
      <c r="W504" s="398"/>
      <c r="X504" s="404"/>
      <c r="Y504" s="372"/>
      <c r="Z504" s="381"/>
      <c r="AA504" s="241"/>
      <c r="AB504" s="411"/>
      <c r="AC504" s="577"/>
      <c r="AD504" s="241"/>
      <c r="AE504" s="411"/>
      <c r="AF504" s="577"/>
      <c r="AG504" s="241"/>
      <c r="AH504" s="411"/>
      <c r="AI504" s="577"/>
      <c r="AJ504" s="241"/>
      <c r="AK504" s="411"/>
      <c r="AL504" s="577"/>
      <c r="AM504" s="241"/>
      <c r="AN504" s="411"/>
      <c r="AO504" s="577"/>
      <c r="AP504" s="241"/>
      <c r="AQ504" s="411"/>
      <c r="AR504" s="577"/>
      <c r="AS504" s="202"/>
    </row>
    <row r="505" spans="1:45" ht="13.5" hidden="1" customHeight="1">
      <c r="A505" s="12"/>
      <c r="B505" s="358" t="s">
        <v>2571</v>
      </c>
      <c r="C505" s="359">
        <v>29</v>
      </c>
      <c r="D505" s="359">
        <v>249</v>
      </c>
      <c r="E505" s="360"/>
      <c r="F505" s="524"/>
      <c r="G505" s="524"/>
      <c r="H505" s="362"/>
      <c r="I505" s="230"/>
      <c r="J505" s="230"/>
      <c r="K505" s="363"/>
      <c r="L505" s="364"/>
      <c r="M505" s="365"/>
      <c r="N505" s="366"/>
      <c r="O505" s="367"/>
      <c r="P505" s="368"/>
      <c r="Q505" s="587"/>
      <c r="R505" s="370"/>
      <c r="S505" s="370"/>
      <c r="T505" s="371"/>
      <c r="U505" s="372"/>
      <c r="V505" s="373"/>
      <c r="W505" s="374"/>
      <c r="X505" s="404"/>
      <c r="Y505" s="372"/>
      <c r="Z505" s="381"/>
      <c r="AA505" s="225"/>
      <c r="AB505" s="361"/>
      <c r="AC505" s="533"/>
      <c r="AD505" s="225"/>
      <c r="AE505" s="361"/>
      <c r="AF505" s="533"/>
      <c r="AG505" s="225"/>
      <c r="AH505" s="361"/>
      <c r="AI505" s="533"/>
      <c r="AJ505" s="225"/>
      <c r="AK505" s="361"/>
      <c r="AL505" s="533"/>
      <c r="AM505" s="225"/>
      <c r="AN505" s="361"/>
      <c r="AO505" s="533"/>
      <c r="AP505" s="225"/>
      <c r="AQ505" s="361"/>
      <c r="AR505" s="533"/>
      <c r="AS505" s="320"/>
    </row>
    <row r="506" spans="1:45" ht="13.5" hidden="1" customHeight="1">
      <c r="A506" s="12"/>
      <c r="B506" s="358"/>
      <c r="C506" s="359"/>
      <c r="D506" s="359"/>
      <c r="E506" s="360"/>
      <c r="F506" s="524"/>
      <c r="G506" s="524"/>
      <c r="H506" s="362"/>
      <c r="I506" s="230"/>
      <c r="J506" s="230"/>
      <c r="K506" s="363"/>
      <c r="L506" s="364"/>
      <c r="M506" s="365"/>
      <c r="N506" s="366"/>
      <c r="O506" s="367"/>
      <c r="P506" s="368"/>
      <c r="Q506" s="587"/>
      <c r="R506" s="370"/>
      <c r="S506" s="370"/>
      <c r="T506" s="371"/>
      <c r="U506" s="372"/>
      <c r="V506" s="373"/>
      <c r="W506" s="398"/>
      <c r="X506" s="404"/>
      <c r="Y506" s="372"/>
      <c r="Z506" s="381"/>
      <c r="AA506" s="241"/>
      <c r="AB506" s="411"/>
      <c r="AC506" s="577"/>
      <c r="AD506" s="241"/>
      <c r="AE506" s="411"/>
      <c r="AF506" s="577"/>
      <c r="AG506" s="241"/>
      <c r="AH506" s="411"/>
      <c r="AI506" s="577"/>
      <c r="AJ506" s="241"/>
      <c r="AK506" s="411"/>
      <c r="AL506" s="577"/>
      <c r="AM506" s="241"/>
      <c r="AN506" s="411"/>
      <c r="AO506" s="577"/>
      <c r="AP506" s="241"/>
      <c r="AQ506" s="411"/>
      <c r="AR506" s="577"/>
      <c r="AS506" s="202"/>
    </row>
    <row r="507" spans="1:45" ht="13.5" hidden="1" customHeight="1">
      <c r="A507" s="12"/>
      <c r="B507" s="358" t="s">
        <v>2571</v>
      </c>
      <c r="C507" s="359">
        <v>30</v>
      </c>
      <c r="D507" s="359">
        <v>250</v>
      </c>
      <c r="E507" s="360"/>
      <c r="F507" s="524"/>
      <c r="G507" s="524"/>
      <c r="H507" s="362"/>
      <c r="I507" s="230"/>
      <c r="J507" s="230"/>
      <c r="K507" s="363"/>
      <c r="L507" s="364"/>
      <c r="M507" s="365"/>
      <c r="N507" s="366"/>
      <c r="O507" s="367"/>
      <c r="P507" s="368"/>
      <c r="Q507" s="587"/>
      <c r="R507" s="370"/>
      <c r="S507" s="370"/>
      <c r="T507" s="371"/>
      <c r="U507" s="372"/>
      <c r="V507" s="373"/>
      <c r="W507" s="374"/>
      <c r="X507" s="404"/>
      <c r="Y507" s="372"/>
      <c r="Z507" s="381"/>
      <c r="AA507" s="359"/>
      <c r="AB507" s="230"/>
      <c r="AC507" s="381"/>
      <c r="AD507" s="225"/>
      <c r="AE507" s="361"/>
      <c r="AF507" s="533"/>
      <c r="AG507" s="225"/>
      <c r="AH507" s="361"/>
      <c r="AI507" s="533"/>
      <c r="AJ507" s="225"/>
      <c r="AK507" s="361"/>
      <c r="AL507" s="533"/>
      <c r="AM507" s="225"/>
      <c r="AN507" s="361"/>
      <c r="AO507" s="533"/>
      <c r="AP507" s="225"/>
      <c r="AQ507" s="361"/>
      <c r="AR507" s="533"/>
      <c r="AS507" s="320"/>
    </row>
    <row r="508" spans="1:45" ht="13.5" hidden="1" customHeight="1">
      <c r="A508" s="12"/>
      <c r="B508" s="358"/>
      <c r="C508" s="359"/>
      <c r="D508" s="359"/>
      <c r="E508" s="360"/>
      <c r="F508" s="524"/>
      <c r="G508" s="524"/>
      <c r="H508" s="362"/>
      <c r="I508" s="230"/>
      <c r="J508" s="230"/>
      <c r="K508" s="363"/>
      <c r="L508" s="364"/>
      <c r="M508" s="365"/>
      <c r="N508" s="366"/>
      <c r="O508" s="367"/>
      <c r="P508" s="368"/>
      <c r="Q508" s="587"/>
      <c r="R508" s="370"/>
      <c r="S508" s="370"/>
      <c r="T508" s="371"/>
      <c r="U508" s="372"/>
      <c r="V508" s="373"/>
      <c r="W508" s="398"/>
      <c r="X508" s="404"/>
      <c r="Y508" s="372"/>
      <c r="Z508" s="381"/>
      <c r="AA508" s="359"/>
      <c r="AB508" s="230"/>
      <c r="AC508" s="381"/>
      <c r="AD508" s="241"/>
      <c r="AE508" s="411"/>
      <c r="AF508" s="577"/>
      <c r="AG508" s="241"/>
      <c r="AH508" s="411"/>
      <c r="AI508" s="577"/>
      <c r="AJ508" s="241"/>
      <c r="AK508" s="411"/>
      <c r="AL508" s="577"/>
      <c r="AM508" s="241"/>
      <c r="AN508" s="411"/>
      <c r="AO508" s="577"/>
      <c r="AP508" s="241"/>
      <c r="AQ508" s="411"/>
      <c r="AR508" s="577"/>
      <c r="AS508" s="202"/>
    </row>
    <row r="509" spans="1:45" ht="13.5" hidden="1" customHeight="1">
      <c r="A509" s="12"/>
      <c r="B509" s="358" t="s">
        <v>2572</v>
      </c>
      <c r="C509" s="359">
        <v>1</v>
      </c>
      <c r="D509" s="359">
        <v>251</v>
      </c>
      <c r="E509" s="360"/>
      <c r="F509" s="524"/>
      <c r="G509" s="524"/>
      <c r="H509" s="362"/>
      <c r="I509" s="230"/>
      <c r="J509" s="230"/>
      <c r="K509" s="363"/>
      <c r="L509" s="364"/>
      <c r="M509" s="365"/>
      <c r="N509" s="366"/>
      <c r="O509" s="367"/>
      <c r="P509" s="368"/>
      <c r="Q509" s="587"/>
      <c r="R509" s="370"/>
      <c r="S509" s="370"/>
      <c r="T509" s="371"/>
      <c r="U509" s="372"/>
      <c r="V509" s="373"/>
      <c r="W509" s="374"/>
      <c r="X509" s="404"/>
      <c r="Y509" s="372"/>
      <c r="Z509" s="381"/>
      <c r="AA509" s="225"/>
      <c r="AB509" s="361"/>
      <c r="AC509" s="533"/>
      <c r="AD509" s="225"/>
      <c r="AE509" s="361"/>
      <c r="AF509" s="533"/>
      <c r="AG509" s="225"/>
      <c r="AH509" s="361"/>
      <c r="AI509" s="533"/>
      <c r="AJ509" s="225"/>
      <c r="AK509" s="361"/>
      <c r="AL509" s="533"/>
      <c r="AM509" s="225"/>
      <c r="AN509" s="361"/>
      <c r="AO509" s="533"/>
      <c r="AP509" s="225"/>
      <c r="AQ509" s="361"/>
      <c r="AR509" s="533"/>
      <c r="AS509" s="320"/>
    </row>
    <row r="510" spans="1:45" ht="13.5" hidden="1" customHeight="1">
      <c r="A510" s="12"/>
      <c r="B510" s="358"/>
      <c r="C510" s="359"/>
      <c r="D510" s="359"/>
      <c r="E510" s="360"/>
      <c r="F510" s="524"/>
      <c r="G510" s="524"/>
      <c r="H510" s="362"/>
      <c r="I510" s="230"/>
      <c r="J510" s="230"/>
      <c r="K510" s="363"/>
      <c r="L510" s="364"/>
      <c r="M510" s="365"/>
      <c r="N510" s="366"/>
      <c r="O510" s="367"/>
      <c r="P510" s="368"/>
      <c r="Q510" s="587"/>
      <c r="R510" s="370"/>
      <c r="S510" s="370"/>
      <c r="T510" s="371"/>
      <c r="U510" s="372"/>
      <c r="V510" s="373"/>
      <c r="W510" s="398"/>
      <c r="X510" s="404"/>
      <c r="Y510" s="372"/>
      <c r="Z510" s="381"/>
      <c r="AA510" s="241"/>
      <c r="AB510" s="411"/>
      <c r="AC510" s="577"/>
      <c r="AD510" s="241"/>
      <c r="AE510" s="411"/>
      <c r="AF510" s="577"/>
      <c r="AG510" s="241"/>
      <c r="AH510" s="411"/>
      <c r="AI510" s="577"/>
      <c r="AJ510" s="241"/>
      <c r="AK510" s="411"/>
      <c r="AL510" s="577"/>
      <c r="AM510" s="241"/>
      <c r="AN510" s="411"/>
      <c r="AO510" s="577"/>
      <c r="AP510" s="241"/>
      <c r="AQ510" s="411"/>
      <c r="AR510" s="577"/>
      <c r="AS510" s="202"/>
    </row>
    <row r="511" spans="1:45" ht="13.5" hidden="1" customHeight="1">
      <c r="A511" s="12"/>
      <c r="B511" s="358" t="s">
        <v>2572</v>
      </c>
      <c r="C511" s="359">
        <v>2</v>
      </c>
      <c r="D511" s="359">
        <v>252</v>
      </c>
      <c r="E511" s="360"/>
      <c r="F511" s="524"/>
      <c r="G511" s="524"/>
      <c r="H511" s="362"/>
      <c r="I511" s="230"/>
      <c r="J511" s="230"/>
      <c r="K511" s="363"/>
      <c r="L511" s="364"/>
      <c r="M511" s="365"/>
      <c r="N511" s="366"/>
      <c r="O511" s="367"/>
      <c r="P511" s="368"/>
      <c r="Q511" s="587"/>
      <c r="R511" s="370"/>
      <c r="S511" s="370"/>
      <c r="T511" s="371"/>
      <c r="U511" s="372"/>
      <c r="V511" s="373"/>
      <c r="W511" s="374"/>
      <c r="X511" s="404"/>
      <c r="Y511" s="372"/>
      <c r="Z511" s="381"/>
      <c r="AA511" s="225"/>
      <c r="AB511" s="361"/>
      <c r="AC511" s="533"/>
      <c r="AD511" s="225"/>
      <c r="AE511" s="361"/>
      <c r="AF511" s="533"/>
      <c r="AG511" s="225"/>
      <c r="AH511" s="361"/>
      <c r="AI511" s="533"/>
      <c r="AJ511" s="225"/>
      <c r="AK511" s="361"/>
      <c r="AL511" s="533"/>
      <c r="AM511" s="225"/>
      <c r="AN511" s="361"/>
      <c r="AO511" s="533"/>
      <c r="AP511" s="225"/>
      <c r="AQ511" s="361"/>
      <c r="AR511" s="533"/>
      <c r="AS511" s="320"/>
    </row>
    <row r="512" spans="1:45" ht="13.5" hidden="1" customHeight="1">
      <c r="A512" s="12"/>
      <c r="B512" s="358"/>
      <c r="C512" s="359"/>
      <c r="D512" s="359"/>
      <c r="E512" s="360"/>
      <c r="F512" s="524"/>
      <c r="G512" s="524"/>
      <c r="H512" s="362"/>
      <c r="I512" s="230"/>
      <c r="J512" s="230"/>
      <c r="K512" s="363"/>
      <c r="L512" s="364"/>
      <c r="M512" s="365"/>
      <c r="N512" s="366"/>
      <c r="O512" s="367"/>
      <c r="P512" s="368"/>
      <c r="Q512" s="587"/>
      <c r="R512" s="370"/>
      <c r="S512" s="370"/>
      <c r="T512" s="371"/>
      <c r="U512" s="372"/>
      <c r="V512" s="373"/>
      <c r="W512" s="398"/>
      <c r="X512" s="404"/>
      <c r="Y512" s="372"/>
      <c r="Z512" s="381"/>
      <c r="AA512" s="241"/>
      <c r="AB512" s="411"/>
      <c r="AC512" s="577"/>
      <c r="AD512" s="241"/>
      <c r="AE512" s="411"/>
      <c r="AF512" s="577"/>
      <c r="AG512" s="241"/>
      <c r="AH512" s="411"/>
      <c r="AI512" s="577"/>
      <c r="AJ512" s="241"/>
      <c r="AK512" s="411"/>
      <c r="AL512" s="577"/>
      <c r="AM512" s="241"/>
      <c r="AN512" s="411"/>
      <c r="AO512" s="577"/>
      <c r="AP512" s="241"/>
      <c r="AQ512" s="411"/>
      <c r="AR512" s="577"/>
      <c r="AS512" s="202"/>
    </row>
    <row r="513" spans="1:45" ht="13.5" hidden="1" customHeight="1">
      <c r="A513" s="12"/>
      <c r="B513" s="358" t="s">
        <v>2572</v>
      </c>
      <c r="C513" s="359">
        <v>3</v>
      </c>
      <c r="D513" s="359">
        <v>253</v>
      </c>
      <c r="E513" s="360"/>
      <c r="F513" s="524"/>
      <c r="G513" s="524"/>
      <c r="H513" s="362"/>
      <c r="I513" s="230"/>
      <c r="J513" s="230"/>
      <c r="K513" s="363"/>
      <c r="L513" s="364"/>
      <c r="M513" s="365"/>
      <c r="N513" s="366"/>
      <c r="O513" s="367"/>
      <c r="P513" s="368"/>
      <c r="Q513" s="587"/>
      <c r="R513" s="370"/>
      <c r="S513" s="370"/>
      <c r="T513" s="371"/>
      <c r="U513" s="372"/>
      <c r="V513" s="373"/>
      <c r="W513" s="374"/>
      <c r="X513" s="404"/>
      <c r="Y513" s="372"/>
      <c r="Z513" s="381"/>
      <c r="AA513" s="225"/>
      <c r="AB513" s="361"/>
      <c r="AC513" s="533"/>
      <c r="AD513" s="225"/>
      <c r="AE513" s="361"/>
      <c r="AF513" s="533"/>
      <c r="AG513" s="225"/>
      <c r="AH513" s="361"/>
      <c r="AI513" s="533"/>
      <c r="AJ513" s="225"/>
      <c r="AK513" s="361"/>
      <c r="AL513" s="533"/>
      <c r="AM513" s="225"/>
      <c r="AN513" s="361"/>
      <c r="AO513" s="533"/>
      <c r="AP513" s="225"/>
      <c r="AQ513" s="361"/>
      <c r="AR513" s="533"/>
      <c r="AS513" s="320"/>
    </row>
    <row r="514" spans="1:45" ht="13.5" hidden="1" customHeight="1">
      <c r="A514" s="12"/>
      <c r="B514" s="358"/>
      <c r="C514" s="359"/>
      <c r="D514" s="359"/>
      <c r="E514" s="360"/>
      <c r="F514" s="524"/>
      <c r="G514" s="524"/>
      <c r="H514" s="362"/>
      <c r="I514" s="230"/>
      <c r="J514" s="230"/>
      <c r="K514" s="363"/>
      <c r="L514" s="364"/>
      <c r="M514" s="365"/>
      <c r="N514" s="366"/>
      <c r="O514" s="367"/>
      <c r="P514" s="368"/>
      <c r="Q514" s="587"/>
      <c r="R514" s="370"/>
      <c r="S514" s="370"/>
      <c r="T514" s="371"/>
      <c r="U514" s="372"/>
      <c r="V514" s="373"/>
      <c r="W514" s="398"/>
      <c r="X514" s="404"/>
      <c r="Y514" s="372"/>
      <c r="Z514" s="381"/>
      <c r="AA514" s="241"/>
      <c r="AB514" s="411"/>
      <c r="AC514" s="577"/>
      <c r="AD514" s="241"/>
      <c r="AE514" s="411"/>
      <c r="AF514" s="577"/>
      <c r="AG514" s="241"/>
      <c r="AH514" s="411"/>
      <c r="AI514" s="577"/>
      <c r="AJ514" s="241"/>
      <c r="AK514" s="411"/>
      <c r="AL514" s="577"/>
      <c r="AM514" s="241"/>
      <c r="AN514" s="411"/>
      <c r="AO514" s="577"/>
      <c r="AP514" s="241"/>
      <c r="AQ514" s="411"/>
      <c r="AR514" s="577"/>
      <c r="AS514" s="202"/>
    </row>
    <row r="515" spans="1:45" ht="13.5" hidden="1" customHeight="1">
      <c r="A515" s="12"/>
      <c r="B515" s="358" t="s">
        <v>2572</v>
      </c>
      <c r="C515" s="359">
        <v>4</v>
      </c>
      <c r="D515" s="359">
        <v>254</v>
      </c>
      <c r="E515" s="360"/>
      <c r="F515" s="524"/>
      <c r="G515" s="524"/>
      <c r="H515" s="362"/>
      <c r="I515" s="230"/>
      <c r="J515" s="230"/>
      <c r="K515" s="363"/>
      <c r="L515" s="364"/>
      <c r="M515" s="365"/>
      <c r="N515" s="366"/>
      <c r="O515" s="367"/>
      <c r="P515" s="368"/>
      <c r="Q515" s="587"/>
      <c r="R515" s="370"/>
      <c r="S515" s="370"/>
      <c r="T515" s="371"/>
      <c r="U515" s="372"/>
      <c r="V515" s="373"/>
      <c r="W515" s="374"/>
      <c r="X515" s="404"/>
      <c r="Y515" s="372"/>
      <c r="Z515" s="381"/>
      <c r="AA515" s="225"/>
      <c r="AB515" s="361"/>
      <c r="AC515" s="533"/>
      <c r="AD515" s="225"/>
      <c r="AE515" s="361"/>
      <c r="AF515" s="533"/>
      <c r="AG515" s="225"/>
      <c r="AH515" s="361"/>
      <c r="AI515" s="533"/>
      <c r="AJ515" s="225"/>
      <c r="AK515" s="361"/>
      <c r="AL515" s="533"/>
      <c r="AM515" s="225"/>
      <c r="AN515" s="361"/>
      <c r="AO515" s="533"/>
      <c r="AP515" s="225"/>
      <c r="AQ515" s="361"/>
      <c r="AR515" s="533"/>
      <c r="AS515" s="320"/>
    </row>
    <row r="516" spans="1:45" ht="13.5" hidden="1" customHeight="1">
      <c r="A516" s="12"/>
      <c r="B516" s="358"/>
      <c r="C516" s="359"/>
      <c r="D516" s="359"/>
      <c r="E516" s="360"/>
      <c r="F516" s="524"/>
      <c r="G516" s="524"/>
      <c r="H516" s="362"/>
      <c r="I516" s="230"/>
      <c r="J516" s="230"/>
      <c r="K516" s="363"/>
      <c r="L516" s="364"/>
      <c r="M516" s="365"/>
      <c r="N516" s="366"/>
      <c r="O516" s="367"/>
      <c r="P516" s="368"/>
      <c r="Q516" s="587"/>
      <c r="R516" s="370"/>
      <c r="S516" s="370"/>
      <c r="T516" s="371"/>
      <c r="U516" s="372"/>
      <c r="V516" s="373"/>
      <c r="W516" s="398"/>
      <c r="X516" s="404"/>
      <c r="Y516" s="372"/>
      <c r="Z516" s="381"/>
      <c r="AA516" s="241"/>
      <c r="AB516" s="411"/>
      <c r="AC516" s="577"/>
      <c r="AD516" s="241"/>
      <c r="AE516" s="411"/>
      <c r="AF516" s="577"/>
      <c r="AG516" s="241"/>
      <c r="AH516" s="411"/>
      <c r="AI516" s="577"/>
      <c r="AJ516" s="241"/>
      <c r="AK516" s="411"/>
      <c r="AL516" s="577"/>
      <c r="AM516" s="241"/>
      <c r="AN516" s="411"/>
      <c r="AO516" s="577"/>
      <c r="AP516" s="241"/>
      <c r="AQ516" s="411"/>
      <c r="AR516" s="577"/>
      <c r="AS516" s="202"/>
    </row>
    <row r="517" spans="1:45" ht="13.5" hidden="1" customHeight="1">
      <c r="A517" s="12"/>
      <c r="B517" s="358" t="s">
        <v>2572</v>
      </c>
      <c r="C517" s="359">
        <v>5</v>
      </c>
      <c r="D517" s="359">
        <v>255</v>
      </c>
      <c r="E517" s="360"/>
      <c r="F517" s="524"/>
      <c r="G517" s="524"/>
      <c r="H517" s="362"/>
      <c r="I517" s="230"/>
      <c r="J517" s="230"/>
      <c r="K517" s="363"/>
      <c r="L517" s="364"/>
      <c r="M517" s="365"/>
      <c r="N517" s="366"/>
      <c r="O517" s="367"/>
      <c r="P517" s="368"/>
      <c r="Q517" s="587"/>
      <c r="R517" s="370"/>
      <c r="S517" s="370"/>
      <c r="T517" s="371"/>
      <c r="U517" s="372"/>
      <c r="V517" s="373"/>
      <c r="W517" s="374"/>
      <c r="X517" s="404"/>
      <c r="Y517" s="372"/>
      <c r="Z517" s="381"/>
      <c r="AA517" s="225"/>
      <c r="AB517" s="361"/>
      <c r="AC517" s="533"/>
      <c r="AD517" s="225"/>
      <c r="AE517" s="361"/>
      <c r="AF517" s="533"/>
      <c r="AG517" s="225"/>
      <c r="AH517" s="361"/>
      <c r="AI517" s="533"/>
      <c r="AJ517" s="225"/>
      <c r="AK517" s="361"/>
      <c r="AL517" s="533"/>
      <c r="AM517" s="225"/>
      <c r="AN517" s="361"/>
      <c r="AO517" s="533"/>
      <c r="AP517" s="225"/>
      <c r="AQ517" s="361"/>
      <c r="AR517" s="533"/>
      <c r="AS517" s="320"/>
    </row>
    <row r="518" spans="1:45" ht="13.5" hidden="1" customHeight="1">
      <c r="A518" s="12"/>
      <c r="B518" s="358"/>
      <c r="C518" s="359"/>
      <c r="D518" s="359"/>
      <c r="E518" s="360"/>
      <c r="F518" s="524"/>
      <c r="G518" s="524"/>
      <c r="H518" s="362"/>
      <c r="I518" s="230"/>
      <c r="J518" s="230"/>
      <c r="K518" s="363"/>
      <c r="L518" s="364"/>
      <c r="M518" s="365"/>
      <c r="N518" s="366"/>
      <c r="O518" s="367"/>
      <c r="P518" s="368"/>
      <c r="Q518" s="587"/>
      <c r="R518" s="370"/>
      <c r="S518" s="370"/>
      <c r="T518" s="371"/>
      <c r="U518" s="372"/>
      <c r="V518" s="373"/>
      <c r="W518" s="398"/>
      <c r="X518" s="404"/>
      <c r="Y518" s="372"/>
      <c r="Z518" s="381"/>
      <c r="AA518" s="241"/>
      <c r="AB518" s="411"/>
      <c r="AC518" s="577"/>
      <c r="AD518" s="241"/>
      <c r="AE518" s="411"/>
      <c r="AF518" s="577"/>
      <c r="AG518" s="241"/>
      <c r="AH518" s="411"/>
      <c r="AI518" s="577"/>
      <c r="AJ518" s="241"/>
      <c r="AK518" s="411"/>
      <c r="AL518" s="577"/>
      <c r="AM518" s="241"/>
      <c r="AN518" s="411"/>
      <c r="AO518" s="577"/>
      <c r="AP518" s="241"/>
      <c r="AQ518" s="411"/>
      <c r="AR518" s="577"/>
      <c r="AS518" s="202"/>
    </row>
    <row r="519" spans="1:45" ht="13.5" hidden="1" customHeight="1">
      <c r="A519" s="12"/>
      <c r="B519" s="358" t="s">
        <v>2572</v>
      </c>
      <c r="C519" s="359">
        <v>6</v>
      </c>
      <c r="D519" s="359">
        <v>256</v>
      </c>
      <c r="E519" s="360"/>
      <c r="F519" s="524"/>
      <c r="G519" s="524"/>
      <c r="H519" s="362"/>
      <c r="I519" s="230"/>
      <c r="J519" s="230"/>
      <c r="K519" s="363"/>
      <c r="L519" s="364"/>
      <c r="M519" s="365"/>
      <c r="N519" s="366"/>
      <c r="O519" s="367"/>
      <c r="P519" s="368"/>
      <c r="Q519" s="587"/>
      <c r="R519" s="370"/>
      <c r="S519" s="370"/>
      <c r="T519" s="371"/>
      <c r="U519" s="372"/>
      <c r="V519" s="373"/>
      <c r="W519" s="374"/>
      <c r="X519" s="404"/>
      <c r="Y519" s="372"/>
      <c r="Z519" s="381"/>
      <c r="AA519" s="225"/>
      <c r="AB519" s="361"/>
      <c r="AC519" s="533"/>
      <c r="AD519" s="225"/>
      <c r="AE519" s="361"/>
      <c r="AF519" s="533"/>
      <c r="AG519" s="225"/>
      <c r="AH519" s="361"/>
      <c r="AI519" s="533"/>
      <c r="AJ519" s="225"/>
      <c r="AK519" s="361"/>
      <c r="AL519" s="533"/>
      <c r="AM519" s="225"/>
      <c r="AN519" s="361"/>
      <c r="AO519" s="533"/>
      <c r="AP519" s="225"/>
      <c r="AQ519" s="361"/>
      <c r="AR519" s="533"/>
      <c r="AS519" s="320"/>
    </row>
    <row r="520" spans="1:45" ht="13.5" hidden="1" customHeight="1">
      <c r="A520" s="12"/>
      <c r="B520" s="358"/>
      <c r="C520" s="359"/>
      <c r="D520" s="359"/>
      <c r="E520" s="360"/>
      <c r="F520" s="524"/>
      <c r="G520" s="524"/>
      <c r="H520" s="362"/>
      <c r="I520" s="230"/>
      <c r="J520" s="230"/>
      <c r="K520" s="363"/>
      <c r="L520" s="364"/>
      <c r="M520" s="365"/>
      <c r="N520" s="366"/>
      <c r="O520" s="367"/>
      <c r="P520" s="368"/>
      <c r="Q520" s="587"/>
      <c r="R520" s="370"/>
      <c r="S520" s="370"/>
      <c r="T520" s="371"/>
      <c r="U520" s="372"/>
      <c r="V520" s="373"/>
      <c r="W520" s="398"/>
      <c r="X520" s="404"/>
      <c r="Y520" s="372"/>
      <c r="Z520" s="381"/>
      <c r="AA520" s="241"/>
      <c r="AB520" s="411"/>
      <c r="AC520" s="577"/>
      <c r="AD520" s="241"/>
      <c r="AE520" s="411"/>
      <c r="AF520" s="577"/>
      <c r="AG520" s="241"/>
      <c r="AH520" s="411"/>
      <c r="AI520" s="577"/>
      <c r="AJ520" s="241"/>
      <c r="AK520" s="411"/>
      <c r="AL520" s="577"/>
      <c r="AM520" s="241"/>
      <c r="AN520" s="411"/>
      <c r="AO520" s="577"/>
      <c r="AP520" s="241"/>
      <c r="AQ520" s="411"/>
      <c r="AR520" s="577"/>
      <c r="AS520" s="202"/>
    </row>
    <row r="521" spans="1:45" ht="13.5" hidden="1" customHeight="1">
      <c r="A521" s="12"/>
      <c r="B521" s="358" t="s">
        <v>2572</v>
      </c>
      <c r="C521" s="359">
        <v>7</v>
      </c>
      <c r="D521" s="359">
        <v>257</v>
      </c>
      <c r="E521" s="360"/>
      <c r="F521" s="524"/>
      <c r="G521" s="524"/>
      <c r="H521" s="362"/>
      <c r="I521" s="230"/>
      <c r="J521" s="230"/>
      <c r="K521" s="363"/>
      <c r="L521" s="364"/>
      <c r="M521" s="365"/>
      <c r="N521" s="366"/>
      <c r="O521" s="367"/>
      <c r="P521" s="368"/>
      <c r="Q521" s="587"/>
      <c r="R521" s="370"/>
      <c r="S521" s="370"/>
      <c r="T521" s="371"/>
      <c r="U521" s="372"/>
      <c r="V521" s="373"/>
      <c r="W521" s="374"/>
      <c r="X521" s="404"/>
      <c r="Y521" s="372"/>
      <c r="Z521" s="381"/>
      <c r="AA521" s="225"/>
      <c r="AB521" s="361"/>
      <c r="AC521" s="533"/>
      <c r="AD521" s="225"/>
      <c r="AE521" s="361"/>
      <c r="AF521" s="533"/>
      <c r="AG521" s="225"/>
      <c r="AH521" s="361"/>
      <c r="AI521" s="533"/>
      <c r="AJ521" s="225"/>
      <c r="AK521" s="361"/>
      <c r="AL521" s="533"/>
      <c r="AM521" s="225"/>
      <c r="AN521" s="361"/>
      <c r="AO521" s="533"/>
      <c r="AP521" s="225"/>
      <c r="AQ521" s="361"/>
      <c r="AR521" s="533"/>
      <c r="AS521" s="320"/>
    </row>
    <row r="522" spans="1:45" ht="13.5" hidden="1" customHeight="1">
      <c r="A522" s="12"/>
      <c r="B522" s="358"/>
      <c r="C522" s="359"/>
      <c r="D522" s="359"/>
      <c r="E522" s="360"/>
      <c r="F522" s="524"/>
      <c r="G522" s="524"/>
      <c r="H522" s="362"/>
      <c r="I522" s="230"/>
      <c r="J522" s="230"/>
      <c r="K522" s="363"/>
      <c r="L522" s="364"/>
      <c r="M522" s="365"/>
      <c r="N522" s="366"/>
      <c r="O522" s="367"/>
      <c r="P522" s="368"/>
      <c r="Q522" s="587"/>
      <c r="R522" s="370"/>
      <c r="S522" s="370"/>
      <c r="T522" s="371"/>
      <c r="U522" s="372"/>
      <c r="V522" s="373"/>
      <c r="W522" s="398"/>
      <c r="X522" s="404"/>
      <c r="Y522" s="372"/>
      <c r="Z522" s="381"/>
      <c r="AA522" s="241"/>
      <c r="AB522" s="411"/>
      <c r="AC522" s="577"/>
      <c r="AD522" s="241"/>
      <c r="AE522" s="411"/>
      <c r="AF522" s="577"/>
      <c r="AG522" s="241"/>
      <c r="AH522" s="411"/>
      <c r="AI522" s="577"/>
      <c r="AJ522" s="241"/>
      <c r="AK522" s="411"/>
      <c r="AL522" s="577"/>
      <c r="AM522" s="241"/>
      <c r="AN522" s="411"/>
      <c r="AO522" s="577"/>
      <c r="AP522" s="241"/>
      <c r="AQ522" s="411"/>
      <c r="AR522" s="577"/>
      <c r="AS522" s="202"/>
    </row>
    <row r="523" spans="1:45" ht="13.5" hidden="1" customHeight="1">
      <c r="A523" s="12"/>
      <c r="B523" s="358" t="s">
        <v>2572</v>
      </c>
      <c r="C523" s="359">
        <v>8</v>
      </c>
      <c r="D523" s="359">
        <v>258</v>
      </c>
      <c r="E523" s="360"/>
      <c r="F523" s="524"/>
      <c r="G523" s="524"/>
      <c r="H523" s="362"/>
      <c r="I523" s="230"/>
      <c r="J523" s="230"/>
      <c r="K523" s="363"/>
      <c r="L523" s="364"/>
      <c r="M523" s="365"/>
      <c r="N523" s="366"/>
      <c r="O523" s="367"/>
      <c r="P523" s="368"/>
      <c r="Q523" s="587"/>
      <c r="R523" s="370"/>
      <c r="S523" s="370"/>
      <c r="T523" s="371"/>
      <c r="U523" s="372"/>
      <c r="V523" s="373"/>
      <c r="W523" s="374"/>
      <c r="X523" s="404"/>
      <c r="Y523" s="372"/>
      <c r="Z523" s="381"/>
      <c r="AA523" s="225"/>
      <c r="AB523" s="361"/>
      <c r="AC523" s="533"/>
      <c r="AD523" s="225"/>
      <c r="AE523" s="361"/>
      <c r="AF523" s="533"/>
      <c r="AG523" s="225"/>
      <c r="AH523" s="361"/>
      <c r="AI523" s="533"/>
      <c r="AJ523" s="225"/>
      <c r="AK523" s="361"/>
      <c r="AL523" s="533"/>
      <c r="AM523" s="225"/>
      <c r="AN523" s="361"/>
      <c r="AO523" s="533"/>
      <c r="AP523" s="225"/>
      <c r="AQ523" s="361"/>
      <c r="AR523" s="533"/>
      <c r="AS523" s="320"/>
    </row>
    <row r="524" spans="1:45" ht="13.5" hidden="1" customHeight="1">
      <c r="A524" s="12"/>
      <c r="B524" s="358"/>
      <c r="C524" s="359"/>
      <c r="D524" s="359"/>
      <c r="E524" s="360"/>
      <c r="F524" s="524"/>
      <c r="G524" s="524"/>
      <c r="H524" s="362"/>
      <c r="I524" s="230"/>
      <c r="J524" s="230"/>
      <c r="K524" s="363"/>
      <c r="L524" s="364"/>
      <c r="M524" s="365"/>
      <c r="N524" s="366"/>
      <c r="O524" s="367"/>
      <c r="P524" s="368"/>
      <c r="Q524" s="587"/>
      <c r="R524" s="370"/>
      <c r="S524" s="370"/>
      <c r="T524" s="371"/>
      <c r="U524" s="372"/>
      <c r="V524" s="373"/>
      <c r="W524" s="398"/>
      <c r="X524" s="404"/>
      <c r="Y524" s="372"/>
      <c r="Z524" s="381"/>
      <c r="AA524" s="241"/>
      <c r="AB524" s="411"/>
      <c r="AC524" s="577"/>
      <c r="AD524" s="241"/>
      <c r="AE524" s="411"/>
      <c r="AF524" s="577"/>
      <c r="AG524" s="241"/>
      <c r="AH524" s="411"/>
      <c r="AI524" s="577"/>
      <c r="AJ524" s="241"/>
      <c r="AK524" s="411"/>
      <c r="AL524" s="577"/>
      <c r="AM524" s="241"/>
      <c r="AN524" s="411"/>
      <c r="AO524" s="577"/>
      <c r="AP524" s="241"/>
      <c r="AQ524" s="411"/>
      <c r="AR524" s="577"/>
      <c r="AS524" s="202"/>
    </row>
    <row r="525" spans="1:45" ht="13.5" hidden="1" customHeight="1">
      <c r="A525" s="12"/>
      <c r="B525" s="358" t="s">
        <v>2572</v>
      </c>
      <c r="C525" s="359">
        <v>9</v>
      </c>
      <c r="D525" s="359">
        <v>259</v>
      </c>
      <c r="E525" s="360"/>
      <c r="F525" s="524"/>
      <c r="G525" s="524"/>
      <c r="H525" s="362"/>
      <c r="I525" s="230"/>
      <c r="J525" s="230"/>
      <c r="K525" s="363"/>
      <c r="L525" s="364"/>
      <c r="M525" s="365"/>
      <c r="N525" s="366"/>
      <c r="O525" s="367"/>
      <c r="P525" s="368"/>
      <c r="Q525" s="587"/>
      <c r="R525" s="370"/>
      <c r="S525" s="370"/>
      <c r="T525" s="371"/>
      <c r="U525" s="372"/>
      <c r="V525" s="373"/>
      <c r="W525" s="374"/>
      <c r="X525" s="404"/>
      <c r="Y525" s="372"/>
      <c r="Z525" s="381"/>
      <c r="AA525" s="225"/>
      <c r="AB525" s="361"/>
      <c r="AC525" s="533"/>
      <c r="AD525" s="225"/>
      <c r="AE525" s="361"/>
      <c r="AF525" s="533"/>
      <c r="AG525" s="225"/>
      <c r="AH525" s="361"/>
      <c r="AI525" s="533"/>
      <c r="AJ525" s="225"/>
      <c r="AK525" s="361"/>
      <c r="AL525" s="533"/>
      <c r="AM525" s="225"/>
      <c r="AN525" s="361"/>
      <c r="AO525" s="533"/>
      <c r="AP525" s="225"/>
      <c r="AQ525" s="361"/>
      <c r="AR525" s="533"/>
      <c r="AS525" s="320"/>
    </row>
    <row r="526" spans="1:45" ht="13.5" hidden="1" customHeight="1">
      <c r="A526" s="12"/>
      <c r="B526" s="358"/>
      <c r="C526" s="359"/>
      <c r="D526" s="359"/>
      <c r="E526" s="360"/>
      <c r="F526" s="524"/>
      <c r="G526" s="524"/>
      <c r="H526" s="362"/>
      <c r="I526" s="230"/>
      <c r="J526" s="230"/>
      <c r="K526" s="363"/>
      <c r="L526" s="364"/>
      <c r="M526" s="365"/>
      <c r="N526" s="366"/>
      <c r="O526" s="367"/>
      <c r="P526" s="368"/>
      <c r="Q526" s="587"/>
      <c r="R526" s="370"/>
      <c r="S526" s="370"/>
      <c r="T526" s="371"/>
      <c r="U526" s="372"/>
      <c r="V526" s="373"/>
      <c r="W526" s="398"/>
      <c r="X526" s="404"/>
      <c r="Y526" s="372"/>
      <c r="Z526" s="381"/>
      <c r="AA526" s="241"/>
      <c r="AB526" s="411"/>
      <c r="AC526" s="577"/>
      <c r="AD526" s="241"/>
      <c r="AE526" s="411"/>
      <c r="AF526" s="577"/>
      <c r="AG526" s="241"/>
      <c r="AH526" s="411"/>
      <c r="AI526" s="577"/>
      <c r="AJ526" s="241"/>
      <c r="AK526" s="411"/>
      <c r="AL526" s="577"/>
      <c r="AM526" s="241"/>
      <c r="AN526" s="411"/>
      <c r="AO526" s="577"/>
      <c r="AP526" s="241"/>
      <c r="AQ526" s="411"/>
      <c r="AR526" s="577"/>
      <c r="AS526" s="202"/>
    </row>
    <row r="527" spans="1:45" ht="13.5" hidden="1" customHeight="1">
      <c r="A527" s="12"/>
      <c r="B527" s="358" t="s">
        <v>2572</v>
      </c>
      <c r="C527" s="359">
        <v>10</v>
      </c>
      <c r="D527" s="359">
        <v>260</v>
      </c>
      <c r="E527" s="360"/>
      <c r="F527" s="524"/>
      <c r="G527" s="524"/>
      <c r="H527" s="362"/>
      <c r="I527" s="230"/>
      <c r="J527" s="230"/>
      <c r="K527" s="363"/>
      <c r="L527" s="364"/>
      <c r="M527" s="365"/>
      <c r="N527" s="366"/>
      <c r="O527" s="367"/>
      <c r="P527" s="368"/>
      <c r="Q527" s="587"/>
      <c r="R527" s="370"/>
      <c r="S527" s="370"/>
      <c r="T527" s="371"/>
      <c r="U527" s="372"/>
      <c r="V527" s="373"/>
      <c r="W527" s="374"/>
      <c r="X527" s="404"/>
      <c r="Y527" s="372"/>
      <c r="Z527" s="381"/>
      <c r="AA527" s="225"/>
      <c r="AB527" s="361"/>
      <c r="AC527" s="533"/>
      <c r="AD527" s="225"/>
      <c r="AE527" s="361"/>
      <c r="AF527" s="533"/>
      <c r="AG527" s="225"/>
      <c r="AH527" s="361"/>
      <c r="AI527" s="533"/>
      <c r="AJ527" s="225"/>
      <c r="AK527" s="361"/>
      <c r="AL527" s="533"/>
      <c r="AM527" s="225"/>
      <c r="AN527" s="361"/>
      <c r="AO527" s="533"/>
      <c r="AP527" s="225"/>
      <c r="AQ527" s="361"/>
      <c r="AR527" s="533"/>
      <c r="AS527" s="320"/>
    </row>
    <row r="528" spans="1:45" ht="13.5" hidden="1" customHeight="1">
      <c r="A528" s="12"/>
      <c r="B528" s="358"/>
      <c r="C528" s="359"/>
      <c r="D528" s="359"/>
      <c r="E528" s="360"/>
      <c r="F528" s="524"/>
      <c r="G528" s="524"/>
      <c r="H528" s="362"/>
      <c r="I528" s="230"/>
      <c r="J528" s="230"/>
      <c r="K528" s="363"/>
      <c r="L528" s="364"/>
      <c r="M528" s="365"/>
      <c r="N528" s="366"/>
      <c r="O528" s="367"/>
      <c r="P528" s="368"/>
      <c r="Q528" s="587"/>
      <c r="R528" s="370"/>
      <c r="S528" s="370"/>
      <c r="T528" s="371"/>
      <c r="U528" s="372"/>
      <c r="V528" s="373"/>
      <c r="W528" s="398"/>
      <c r="X528" s="404"/>
      <c r="Y528" s="372"/>
      <c r="Z528" s="381"/>
      <c r="AA528" s="241"/>
      <c r="AB528" s="411"/>
      <c r="AC528" s="577"/>
      <c r="AD528" s="241"/>
      <c r="AE528" s="411"/>
      <c r="AF528" s="577"/>
      <c r="AG528" s="241"/>
      <c r="AH528" s="411"/>
      <c r="AI528" s="577"/>
      <c r="AJ528" s="241"/>
      <c r="AK528" s="411"/>
      <c r="AL528" s="577"/>
      <c r="AM528" s="241"/>
      <c r="AN528" s="411"/>
      <c r="AO528" s="577"/>
      <c r="AP528" s="241"/>
      <c r="AQ528" s="411"/>
      <c r="AR528" s="577"/>
      <c r="AS528" s="202"/>
    </row>
    <row r="529" spans="1:45" ht="13.5" hidden="1" customHeight="1">
      <c r="A529" s="12"/>
      <c r="B529" s="358" t="s">
        <v>2572</v>
      </c>
      <c r="C529" s="359">
        <v>11</v>
      </c>
      <c r="D529" s="359">
        <v>261</v>
      </c>
      <c r="E529" s="360"/>
      <c r="F529" s="524"/>
      <c r="G529" s="524"/>
      <c r="H529" s="362"/>
      <c r="I529" s="230"/>
      <c r="J529" s="230"/>
      <c r="K529" s="363"/>
      <c r="L529" s="364"/>
      <c r="M529" s="365"/>
      <c r="N529" s="366"/>
      <c r="O529" s="367"/>
      <c r="P529" s="368"/>
      <c r="Q529" s="587"/>
      <c r="R529" s="370"/>
      <c r="S529" s="629"/>
      <c r="T529" s="371"/>
      <c r="U529" s="372"/>
      <c r="V529" s="373"/>
      <c r="W529" s="374"/>
      <c r="X529" s="404"/>
      <c r="Y529" s="372"/>
      <c r="Z529" s="381"/>
      <c r="AA529" s="225"/>
      <c r="AB529" s="361"/>
      <c r="AC529" s="533"/>
      <c r="AD529" s="225"/>
      <c r="AE529" s="361"/>
      <c r="AF529" s="533"/>
      <c r="AG529" s="225"/>
      <c r="AH529" s="361"/>
      <c r="AI529" s="533"/>
      <c r="AJ529" s="225"/>
      <c r="AK529" s="361"/>
      <c r="AL529" s="533"/>
      <c r="AM529" s="225"/>
      <c r="AN529" s="361"/>
      <c r="AO529" s="533"/>
      <c r="AP529" s="225"/>
      <c r="AQ529" s="361"/>
      <c r="AR529" s="533"/>
      <c r="AS529" s="320"/>
    </row>
    <row r="530" spans="1:45" ht="13.5" hidden="1" customHeight="1">
      <c r="A530" s="12"/>
      <c r="B530" s="358"/>
      <c r="C530" s="359"/>
      <c r="D530" s="359"/>
      <c r="E530" s="360"/>
      <c r="F530" s="524"/>
      <c r="G530" s="524"/>
      <c r="H530" s="362"/>
      <c r="I530" s="230"/>
      <c r="J530" s="230"/>
      <c r="K530" s="363"/>
      <c r="L530" s="364"/>
      <c r="M530" s="365"/>
      <c r="N530" s="366"/>
      <c r="O530" s="367"/>
      <c r="P530" s="368"/>
      <c r="Q530" s="587"/>
      <c r="R530" s="370"/>
      <c r="S530" s="370"/>
      <c r="T530" s="371"/>
      <c r="U530" s="372"/>
      <c r="V530" s="373"/>
      <c r="W530" s="398"/>
      <c r="X530" s="404"/>
      <c r="Y530" s="372"/>
      <c r="Z530" s="381"/>
      <c r="AA530" s="241"/>
      <c r="AB530" s="411"/>
      <c r="AC530" s="577"/>
      <c r="AD530" s="241"/>
      <c r="AE530" s="411"/>
      <c r="AF530" s="577"/>
      <c r="AG530" s="241"/>
      <c r="AH530" s="411"/>
      <c r="AI530" s="577"/>
      <c r="AJ530" s="241"/>
      <c r="AK530" s="411"/>
      <c r="AL530" s="577"/>
      <c r="AM530" s="241"/>
      <c r="AN530" s="411"/>
      <c r="AO530" s="577"/>
      <c r="AP530" s="241"/>
      <c r="AQ530" s="411"/>
      <c r="AR530" s="577"/>
      <c r="AS530" s="202"/>
    </row>
    <row r="531" spans="1:45" ht="13.5" hidden="1" customHeight="1">
      <c r="A531" s="12"/>
      <c r="B531" s="358" t="s">
        <v>2572</v>
      </c>
      <c r="C531" s="359">
        <v>12</v>
      </c>
      <c r="D531" s="359">
        <v>262</v>
      </c>
      <c r="E531" s="360"/>
      <c r="F531" s="524"/>
      <c r="G531" s="524"/>
      <c r="H531" s="362"/>
      <c r="I531" s="230"/>
      <c r="J531" s="230"/>
      <c r="K531" s="363"/>
      <c r="L531" s="364"/>
      <c r="M531" s="365"/>
      <c r="N531" s="366"/>
      <c r="O531" s="367"/>
      <c r="P531" s="368"/>
      <c r="Q531" s="587"/>
      <c r="R531" s="370"/>
      <c r="S531" s="370"/>
      <c r="T531" s="371"/>
      <c r="U531" s="372"/>
      <c r="V531" s="373"/>
      <c r="W531" s="374"/>
      <c r="X531" s="404"/>
      <c r="Y531" s="372"/>
      <c r="Z531" s="381"/>
      <c r="AA531" s="225"/>
      <c r="AB531" s="361"/>
      <c r="AC531" s="533"/>
      <c r="AD531" s="225"/>
      <c r="AE531" s="361"/>
      <c r="AF531" s="533"/>
      <c r="AG531" s="225"/>
      <c r="AH531" s="361"/>
      <c r="AI531" s="533"/>
      <c r="AJ531" s="225"/>
      <c r="AK531" s="361"/>
      <c r="AL531" s="533"/>
      <c r="AM531" s="225"/>
      <c r="AN531" s="361"/>
      <c r="AO531" s="533"/>
      <c r="AP531" s="225"/>
      <c r="AQ531" s="361"/>
      <c r="AR531" s="533"/>
      <c r="AS531" s="320"/>
    </row>
    <row r="532" spans="1:45" ht="13.5" hidden="1" customHeight="1">
      <c r="A532" s="12"/>
      <c r="B532" s="358"/>
      <c r="C532" s="359"/>
      <c r="D532" s="359"/>
      <c r="E532" s="360"/>
      <c r="F532" s="524"/>
      <c r="G532" s="524"/>
      <c r="H532" s="362"/>
      <c r="I532" s="230"/>
      <c r="J532" s="230"/>
      <c r="K532" s="363"/>
      <c r="L532" s="364"/>
      <c r="M532" s="365"/>
      <c r="N532" s="366"/>
      <c r="O532" s="367"/>
      <c r="P532" s="368"/>
      <c r="Q532" s="587"/>
      <c r="R532" s="370"/>
      <c r="S532" s="370"/>
      <c r="T532" s="371"/>
      <c r="U532" s="372"/>
      <c r="V532" s="373"/>
      <c r="W532" s="398"/>
      <c r="X532" s="404"/>
      <c r="Y532" s="372"/>
      <c r="Z532" s="381"/>
      <c r="AA532" s="241"/>
      <c r="AB532" s="411"/>
      <c r="AC532" s="577"/>
      <c r="AD532" s="241"/>
      <c r="AE532" s="411"/>
      <c r="AF532" s="577"/>
      <c r="AG532" s="241"/>
      <c r="AH532" s="411"/>
      <c r="AI532" s="577"/>
      <c r="AJ532" s="241"/>
      <c r="AK532" s="411"/>
      <c r="AL532" s="577"/>
      <c r="AM532" s="241"/>
      <c r="AN532" s="411"/>
      <c r="AO532" s="577"/>
      <c r="AP532" s="241"/>
      <c r="AQ532" s="411"/>
      <c r="AR532" s="577"/>
      <c r="AS532" s="202"/>
    </row>
    <row r="533" spans="1:45" ht="13.5" hidden="1" customHeight="1">
      <c r="A533" s="12"/>
      <c r="B533" s="358" t="s">
        <v>2572</v>
      </c>
      <c r="C533" s="359">
        <v>13</v>
      </c>
      <c r="D533" s="359">
        <v>263</v>
      </c>
      <c r="E533" s="360"/>
      <c r="F533" s="524"/>
      <c r="G533" s="524"/>
      <c r="H533" s="362"/>
      <c r="I533" s="230"/>
      <c r="J533" s="230"/>
      <c r="K533" s="363"/>
      <c r="L533" s="364"/>
      <c r="M533" s="365"/>
      <c r="N533" s="366"/>
      <c r="O533" s="367"/>
      <c r="P533" s="368"/>
      <c r="Q533" s="587"/>
      <c r="R533" s="370"/>
      <c r="S533" s="370"/>
      <c r="T533" s="371"/>
      <c r="U533" s="372"/>
      <c r="V533" s="373"/>
      <c r="W533" s="374"/>
      <c r="X533" s="404"/>
      <c r="Y533" s="372"/>
      <c r="Z533" s="381"/>
      <c r="AA533" s="359"/>
      <c r="AB533" s="230"/>
      <c r="AC533" s="381"/>
      <c r="AD533" s="225"/>
      <c r="AE533" s="361"/>
      <c r="AF533" s="533"/>
      <c r="AG533" s="225"/>
      <c r="AH533" s="361"/>
      <c r="AI533" s="533"/>
      <c r="AJ533" s="225"/>
      <c r="AK533" s="361"/>
      <c r="AL533" s="533"/>
      <c r="AM533" s="225"/>
      <c r="AN533" s="361"/>
      <c r="AO533" s="533"/>
      <c r="AP533" s="225"/>
      <c r="AQ533" s="361"/>
      <c r="AR533" s="533"/>
      <c r="AS533" s="320"/>
    </row>
    <row r="534" spans="1:45" ht="13.5" hidden="1" customHeight="1">
      <c r="A534" s="12"/>
      <c r="B534" s="358"/>
      <c r="C534" s="359"/>
      <c r="D534" s="359"/>
      <c r="E534" s="360"/>
      <c r="F534" s="524"/>
      <c r="G534" s="524"/>
      <c r="H534" s="362"/>
      <c r="I534" s="230"/>
      <c r="J534" s="230"/>
      <c r="K534" s="363"/>
      <c r="L534" s="364"/>
      <c r="M534" s="365"/>
      <c r="N534" s="366"/>
      <c r="O534" s="367"/>
      <c r="P534" s="368"/>
      <c r="Q534" s="587"/>
      <c r="R534" s="370"/>
      <c r="S534" s="370"/>
      <c r="T534" s="371"/>
      <c r="U534" s="372"/>
      <c r="V534" s="373"/>
      <c r="W534" s="398"/>
      <c r="X534" s="404"/>
      <c r="Y534" s="372"/>
      <c r="Z534" s="381"/>
      <c r="AA534" s="359"/>
      <c r="AB534" s="230"/>
      <c r="AC534" s="381"/>
      <c r="AD534" s="241"/>
      <c r="AE534" s="411"/>
      <c r="AF534" s="577"/>
      <c r="AG534" s="241"/>
      <c r="AH534" s="411"/>
      <c r="AI534" s="577"/>
      <c r="AJ534" s="241"/>
      <c r="AK534" s="411"/>
      <c r="AL534" s="577"/>
      <c r="AM534" s="241"/>
      <c r="AN534" s="411"/>
      <c r="AO534" s="577"/>
      <c r="AP534" s="241"/>
      <c r="AQ534" s="411"/>
      <c r="AR534" s="577"/>
      <c r="AS534" s="202"/>
    </row>
    <row r="535" spans="1:45" ht="13.5" hidden="1" customHeight="1">
      <c r="A535" s="12"/>
      <c r="B535" s="358" t="s">
        <v>2572</v>
      </c>
      <c r="C535" s="359">
        <v>14</v>
      </c>
      <c r="D535" s="359">
        <v>264</v>
      </c>
      <c r="E535" s="360"/>
      <c r="F535" s="524"/>
      <c r="G535" s="524"/>
      <c r="H535" s="362"/>
      <c r="I535" s="230"/>
      <c r="J535" s="230"/>
      <c r="K535" s="363"/>
      <c r="L535" s="364"/>
      <c r="M535" s="365"/>
      <c r="N535" s="366"/>
      <c r="O535" s="367"/>
      <c r="P535" s="368"/>
      <c r="Q535" s="587"/>
      <c r="R535" s="370"/>
      <c r="S535" s="629"/>
      <c r="T535" s="371"/>
      <c r="U535" s="372"/>
      <c r="V535" s="373"/>
      <c r="W535" s="374"/>
      <c r="X535" s="404"/>
      <c r="Y535" s="372"/>
      <c r="Z535" s="381"/>
      <c r="AA535" s="225"/>
      <c r="AB535" s="361"/>
      <c r="AC535" s="533"/>
      <c r="AD535" s="225"/>
      <c r="AE535" s="361"/>
      <c r="AF535" s="533"/>
      <c r="AG535" s="225"/>
      <c r="AH535" s="361"/>
      <c r="AI535" s="533"/>
      <c r="AJ535" s="225"/>
      <c r="AK535" s="361"/>
      <c r="AL535" s="533"/>
      <c r="AM535" s="225"/>
      <c r="AN535" s="361"/>
      <c r="AO535" s="533"/>
      <c r="AP535" s="225"/>
      <c r="AQ535" s="361"/>
      <c r="AR535" s="533"/>
      <c r="AS535" s="320"/>
    </row>
    <row r="536" spans="1:45" ht="13.5" hidden="1" customHeight="1">
      <c r="A536" s="12"/>
      <c r="B536" s="358"/>
      <c r="C536" s="359"/>
      <c r="D536" s="359"/>
      <c r="E536" s="360"/>
      <c r="F536" s="524"/>
      <c r="G536" s="524"/>
      <c r="H536" s="362"/>
      <c r="I536" s="230"/>
      <c r="J536" s="230"/>
      <c r="K536" s="363"/>
      <c r="L536" s="364"/>
      <c r="M536" s="365"/>
      <c r="N536" s="366"/>
      <c r="O536" s="367"/>
      <c r="P536" s="368"/>
      <c r="Q536" s="587"/>
      <c r="R536" s="370"/>
      <c r="S536" s="370"/>
      <c r="T536" s="371"/>
      <c r="U536" s="372"/>
      <c r="V536" s="373"/>
      <c r="W536" s="398"/>
      <c r="X536" s="404"/>
      <c r="Y536" s="372"/>
      <c r="Z536" s="381"/>
      <c r="AA536" s="241"/>
      <c r="AB536" s="411"/>
      <c r="AC536" s="577"/>
      <c r="AD536" s="241"/>
      <c r="AE536" s="411"/>
      <c r="AF536" s="577"/>
      <c r="AG536" s="241"/>
      <c r="AH536" s="411"/>
      <c r="AI536" s="577"/>
      <c r="AJ536" s="241"/>
      <c r="AK536" s="411"/>
      <c r="AL536" s="577"/>
      <c r="AM536" s="241"/>
      <c r="AN536" s="411"/>
      <c r="AO536" s="577"/>
      <c r="AP536" s="241"/>
      <c r="AQ536" s="411"/>
      <c r="AR536" s="577"/>
      <c r="AS536" s="202"/>
    </row>
    <row r="537" spans="1:45" ht="13.5" hidden="1" customHeight="1">
      <c r="A537" s="12"/>
      <c r="B537" s="358" t="s">
        <v>2572</v>
      </c>
      <c r="C537" s="359">
        <v>15</v>
      </c>
      <c r="D537" s="359">
        <v>265</v>
      </c>
      <c r="E537" s="360"/>
      <c r="F537" s="524"/>
      <c r="G537" s="524"/>
      <c r="H537" s="362"/>
      <c r="I537" s="230"/>
      <c r="J537" s="230"/>
      <c r="K537" s="363"/>
      <c r="L537" s="364"/>
      <c r="M537" s="365"/>
      <c r="N537" s="366"/>
      <c r="O537" s="367"/>
      <c r="P537" s="368"/>
      <c r="Q537" s="587"/>
      <c r="R537" s="370"/>
      <c r="S537" s="370"/>
      <c r="T537" s="371"/>
      <c r="U537" s="372"/>
      <c r="V537" s="373"/>
      <c r="W537" s="374"/>
      <c r="X537" s="404"/>
      <c r="Y537" s="372"/>
      <c r="Z537" s="381"/>
      <c r="AA537" s="225"/>
      <c r="AB537" s="361"/>
      <c r="AC537" s="533"/>
      <c r="AD537" s="225"/>
      <c r="AE537" s="361"/>
      <c r="AF537" s="533"/>
      <c r="AG537" s="225"/>
      <c r="AH537" s="361"/>
      <c r="AI537" s="533"/>
      <c r="AJ537" s="225"/>
      <c r="AK537" s="361"/>
      <c r="AL537" s="533"/>
      <c r="AM537" s="225"/>
      <c r="AN537" s="361"/>
      <c r="AO537" s="533"/>
      <c r="AP537" s="225"/>
      <c r="AQ537" s="361"/>
      <c r="AR537" s="533"/>
      <c r="AS537" s="320"/>
    </row>
    <row r="538" spans="1:45" ht="13.5" hidden="1" customHeight="1">
      <c r="A538" s="12"/>
      <c r="B538" s="358"/>
      <c r="C538" s="359"/>
      <c r="D538" s="359"/>
      <c r="E538" s="360"/>
      <c r="F538" s="524"/>
      <c r="G538" s="524"/>
      <c r="H538" s="362"/>
      <c r="I538" s="230"/>
      <c r="J538" s="230"/>
      <c r="K538" s="363"/>
      <c r="L538" s="364"/>
      <c r="M538" s="365"/>
      <c r="N538" s="366"/>
      <c r="O538" s="367"/>
      <c r="P538" s="368"/>
      <c r="Q538" s="587"/>
      <c r="R538" s="370"/>
      <c r="S538" s="370"/>
      <c r="T538" s="371"/>
      <c r="U538" s="372"/>
      <c r="V538" s="373"/>
      <c r="W538" s="398"/>
      <c r="X538" s="404"/>
      <c r="Y538" s="372"/>
      <c r="Z538" s="381"/>
      <c r="AA538" s="241"/>
      <c r="AB538" s="411"/>
      <c r="AC538" s="577"/>
      <c r="AD538" s="241"/>
      <c r="AE538" s="411"/>
      <c r="AF538" s="577"/>
      <c r="AG538" s="241"/>
      <c r="AH538" s="411"/>
      <c r="AI538" s="577"/>
      <c r="AJ538" s="241"/>
      <c r="AK538" s="411"/>
      <c r="AL538" s="577"/>
      <c r="AM538" s="241"/>
      <c r="AN538" s="411"/>
      <c r="AO538" s="577"/>
      <c r="AP538" s="241"/>
      <c r="AQ538" s="411"/>
      <c r="AR538" s="577"/>
      <c r="AS538" s="202"/>
    </row>
    <row r="539" spans="1:45" ht="13.5" hidden="1" customHeight="1">
      <c r="A539" s="12"/>
      <c r="B539" s="358" t="s">
        <v>2572</v>
      </c>
      <c r="C539" s="359">
        <v>16</v>
      </c>
      <c r="D539" s="359">
        <v>266</v>
      </c>
      <c r="E539" s="360"/>
      <c r="F539" s="524"/>
      <c r="G539" s="524"/>
      <c r="H539" s="362"/>
      <c r="I539" s="230"/>
      <c r="J539" s="230"/>
      <c r="K539" s="363"/>
      <c r="L539" s="364"/>
      <c r="M539" s="365"/>
      <c r="N539" s="366"/>
      <c r="O539" s="367"/>
      <c r="P539" s="368"/>
      <c r="Q539" s="587"/>
      <c r="R539" s="370"/>
      <c r="S539" s="370"/>
      <c r="T539" s="371"/>
      <c r="U539" s="372"/>
      <c r="V539" s="373"/>
      <c r="W539" s="374"/>
      <c r="X539" s="404"/>
      <c r="Y539" s="372"/>
      <c r="Z539" s="381"/>
      <c r="AA539" s="225"/>
      <c r="AB539" s="361"/>
      <c r="AC539" s="533"/>
      <c r="AD539" s="225"/>
      <c r="AE539" s="361"/>
      <c r="AF539" s="533"/>
      <c r="AG539" s="225"/>
      <c r="AH539" s="361"/>
      <c r="AI539" s="533"/>
      <c r="AJ539" s="225"/>
      <c r="AK539" s="361"/>
      <c r="AL539" s="533"/>
      <c r="AM539" s="225"/>
      <c r="AN539" s="361"/>
      <c r="AO539" s="533"/>
      <c r="AP539" s="225"/>
      <c r="AQ539" s="361"/>
      <c r="AR539" s="533"/>
      <c r="AS539" s="320"/>
    </row>
    <row r="540" spans="1:45" ht="13.5" hidden="1" customHeight="1">
      <c r="A540" s="12"/>
      <c r="B540" s="358"/>
      <c r="C540" s="359"/>
      <c r="D540" s="359"/>
      <c r="E540" s="360"/>
      <c r="F540" s="524"/>
      <c r="G540" s="524"/>
      <c r="H540" s="362"/>
      <c r="I540" s="230"/>
      <c r="J540" s="230"/>
      <c r="K540" s="363"/>
      <c r="L540" s="364"/>
      <c r="M540" s="365"/>
      <c r="N540" s="366"/>
      <c r="O540" s="367"/>
      <c r="P540" s="368"/>
      <c r="Q540" s="587"/>
      <c r="R540" s="370"/>
      <c r="S540" s="370"/>
      <c r="T540" s="371"/>
      <c r="U540" s="372"/>
      <c r="V540" s="373"/>
      <c r="W540" s="398"/>
      <c r="X540" s="404"/>
      <c r="Y540" s="372"/>
      <c r="Z540" s="381"/>
      <c r="AA540" s="241"/>
      <c r="AB540" s="411"/>
      <c r="AC540" s="577"/>
      <c r="AD540" s="241"/>
      <c r="AE540" s="411"/>
      <c r="AF540" s="577"/>
      <c r="AG540" s="241"/>
      <c r="AH540" s="411"/>
      <c r="AI540" s="577"/>
      <c r="AJ540" s="241"/>
      <c r="AK540" s="411"/>
      <c r="AL540" s="577"/>
      <c r="AM540" s="241"/>
      <c r="AN540" s="411"/>
      <c r="AO540" s="577"/>
      <c r="AP540" s="241"/>
      <c r="AQ540" s="411"/>
      <c r="AR540" s="577"/>
      <c r="AS540" s="202"/>
    </row>
    <row r="541" spans="1:45" ht="13.5" hidden="1" customHeight="1">
      <c r="A541" s="12"/>
      <c r="B541" s="358" t="s">
        <v>2572</v>
      </c>
      <c r="C541" s="359">
        <v>17</v>
      </c>
      <c r="D541" s="359">
        <v>267</v>
      </c>
      <c r="E541" s="360"/>
      <c r="F541" s="524"/>
      <c r="G541" s="524"/>
      <c r="H541" s="362"/>
      <c r="I541" s="230"/>
      <c r="J541" s="230"/>
      <c r="K541" s="363"/>
      <c r="L541" s="364"/>
      <c r="M541" s="365"/>
      <c r="N541" s="630"/>
      <c r="O541" s="367"/>
      <c r="P541" s="368"/>
      <c r="Q541" s="587"/>
      <c r="R541" s="370"/>
      <c r="S541" s="370"/>
      <c r="T541" s="371"/>
      <c r="U541" s="372"/>
      <c r="V541" s="373"/>
      <c r="W541" s="374"/>
      <c r="X541" s="404"/>
      <c r="Y541" s="372"/>
      <c r="Z541" s="381"/>
      <c r="AA541" s="225"/>
      <c r="AB541" s="361"/>
      <c r="AC541" s="533"/>
      <c r="AD541" s="225"/>
      <c r="AE541" s="361"/>
      <c r="AF541" s="533"/>
      <c r="AG541" s="225"/>
      <c r="AH541" s="361"/>
      <c r="AI541" s="533"/>
      <c r="AJ541" s="225"/>
      <c r="AK541" s="361"/>
      <c r="AL541" s="533"/>
      <c r="AM541" s="225"/>
      <c r="AN541" s="361"/>
      <c r="AO541" s="533"/>
      <c r="AP541" s="225"/>
      <c r="AQ541" s="361"/>
      <c r="AR541" s="533"/>
      <c r="AS541" s="320"/>
    </row>
    <row r="542" spans="1:45" ht="13.5" hidden="1" customHeight="1">
      <c r="A542" s="12"/>
      <c r="B542" s="358"/>
      <c r="C542" s="359"/>
      <c r="D542" s="359"/>
      <c r="E542" s="360"/>
      <c r="F542" s="524"/>
      <c r="G542" s="524"/>
      <c r="H542" s="362"/>
      <c r="I542" s="230"/>
      <c r="J542" s="230"/>
      <c r="K542" s="363"/>
      <c r="L542" s="364"/>
      <c r="M542" s="365"/>
      <c r="N542" s="630"/>
      <c r="O542" s="367"/>
      <c r="P542" s="368"/>
      <c r="Q542" s="587"/>
      <c r="R542" s="370"/>
      <c r="S542" s="370"/>
      <c r="T542" s="371"/>
      <c r="U542" s="372"/>
      <c r="V542" s="373"/>
      <c r="W542" s="398"/>
      <c r="X542" s="404"/>
      <c r="Y542" s="372"/>
      <c r="Z542" s="381"/>
      <c r="AA542" s="241"/>
      <c r="AB542" s="411"/>
      <c r="AC542" s="577"/>
      <c r="AD542" s="241"/>
      <c r="AE542" s="411"/>
      <c r="AF542" s="577"/>
      <c r="AG542" s="241"/>
      <c r="AH542" s="411"/>
      <c r="AI542" s="577"/>
      <c r="AJ542" s="241"/>
      <c r="AK542" s="411"/>
      <c r="AL542" s="577"/>
      <c r="AM542" s="241"/>
      <c r="AN542" s="411"/>
      <c r="AO542" s="577"/>
      <c r="AP542" s="241"/>
      <c r="AQ542" s="411"/>
      <c r="AR542" s="577"/>
      <c r="AS542" s="202"/>
    </row>
    <row r="543" spans="1:45" ht="13.5" hidden="1" customHeight="1">
      <c r="A543" s="12"/>
      <c r="B543" s="358" t="s">
        <v>2572</v>
      </c>
      <c r="C543" s="359">
        <v>18</v>
      </c>
      <c r="D543" s="359">
        <v>268</v>
      </c>
      <c r="E543" s="360"/>
      <c r="F543" s="524"/>
      <c r="G543" s="524"/>
      <c r="H543" s="362"/>
      <c r="I543" s="230"/>
      <c r="J543" s="230"/>
      <c r="K543" s="363"/>
      <c r="L543" s="364"/>
      <c r="M543" s="365"/>
      <c r="N543" s="366"/>
      <c r="O543" s="367"/>
      <c r="P543" s="368"/>
      <c r="Q543" s="587"/>
      <c r="R543" s="370"/>
      <c r="S543" s="370"/>
      <c r="T543" s="371"/>
      <c r="U543" s="372"/>
      <c r="V543" s="373"/>
      <c r="W543" s="374"/>
      <c r="X543" s="404"/>
      <c r="Y543" s="372"/>
      <c r="Z543" s="381"/>
      <c r="AA543" s="225"/>
      <c r="AB543" s="361"/>
      <c r="AC543" s="533"/>
      <c r="AD543" s="225"/>
      <c r="AE543" s="361"/>
      <c r="AF543" s="533"/>
      <c r="AG543" s="225"/>
      <c r="AH543" s="361"/>
      <c r="AI543" s="533"/>
      <c r="AJ543" s="225"/>
      <c r="AK543" s="361"/>
      <c r="AL543" s="533"/>
      <c r="AM543" s="225"/>
      <c r="AN543" s="361"/>
      <c r="AO543" s="533"/>
      <c r="AP543" s="225"/>
      <c r="AQ543" s="361"/>
      <c r="AR543" s="533"/>
      <c r="AS543" s="320"/>
    </row>
    <row r="544" spans="1:45" ht="13.5" hidden="1" customHeight="1">
      <c r="A544" s="12"/>
      <c r="B544" s="358"/>
      <c r="C544" s="359"/>
      <c r="D544" s="359"/>
      <c r="E544" s="360"/>
      <c r="F544" s="524"/>
      <c r="G544" s="524"/>
      <c r="H544" s="362"/>
      <c r="I544" s="230"/>
      <c r="J544" s="230"/>
      <c r="K544" s="363"/>
      <c r="L544" s="364"/>
      <c r="M544" s="365"/>
      <c r="N544" s="366"/>
      <c r="O544" s="367"/>
      <c r="P544" s="368"/>
      <c r="Q544" s="587"/>
      <c r="R544" s="370"/>
      <c r="S544" s="370"/>
      <c r="T544" s="371"/>
      <c r="U544" s="372"/>
      <c r="V544" s="373"/>
      <c r="W544" s="398"/>
      <c r="X544" s="404"/>
      <c r="Y544" s="372"/>
      <c r="Z544" s="381"/>
      <c r="AA544" s="241"/>
      <c r="AB544" s="411"/>
      <c r="AC544" s="577"/>
      <c r="AD544" s="241"/>
      <c r="AE544" s="411"/>
      <c r="AF544" s="577"/>
      <c r="AG544" s="241"/>
      <c r="AH544" s="411"/>
      <c r="AI544" s="577"/>
      <c r="AJ544" s="241"/>
      <c r="AK544" s="411"/>
      <c r="AL544" s="577"/>
      <c r="AM544" s="241"/>
      <c r="AN544" s="411"/>
      <c r="AO544" s="577"/>
      <c r="AP544" s="241"/>
      <c r="AQ544" s="411"/>
      <c r="AR544" s="577"/>
      <c r="AS544" s="202"/>
    </row>
    <row r="545" spans="1:45" ht="13.5" hidden="1" customHeight="1">
      <c r="A545" s="12"/>
      <c r="B545" s="358" t="s">
        <v>2572</v>
      </c>
      <c r="C545" s="359">
        <v>19</v>
      </c>
      <c r="D545" s="359">
        <v>269</v>
      </c>
      <c r="E545" s="360"/>
      <c r="F545" s="524"/>
      <c r="G545" s="524"/>
      <c r="H545" s="362"/>
      <c r="I545" s="230"/>
      <c r="J545" s="230"/>
      <c r="K545" s="363"/>
      <c r="L545" s="364"/>
      <c r="M545" s="365"/>
      <c r="N545" s="630"/>
      <c r="O545" s="367"/>
      <c r="P545" s="368"/>
      <c r="Q545" s="587"/>
      <c r="R545" s="370"/>
      <c r="S545" s="370"/>
      <c r="T545" s="371"/>
      <c r="U545" s="372"/>
      <c r="V545" s="373"/>
      <c r="W545" s="374"/>
      <c r="X545" s="404"/>
      <c r="Y545" s="372"/>
      <c r="Z545" s="381"/>
      <c r="AA545" s="225"/>
      <c r="AB545" s="361"/>
      <c r="AC545" s="533"/>
      <c r="AD545" s="225"/>
      <c r="AE545" s="361"/>
      <c r="AF545" s="533"/>
      <c r="AG545" s="225"/>
      <c r="AH545" s="361"/>
      <c r="AI545" s="533"/>
      <c r="AJ545" s="225"/>
      <c r="AK545" s="361"/>
      <c r="AL545" s="533"/>
      <c r="AM545" s="225"/>
      <c r="AN545" s="361"/>
      <c r="AO545" s="533"/>
      <c r="AP545" s="225"/>
      <c r="AQ545" s="361"/>
      <c r="AR545" s="533"/>
      <c r="AS545" s="320"/>
    </row>
    <row r="546" spans="1:45" ht="13.5" hidden="1" customHeight="1">
      <c r="A546" s="12"/>
      <c r="B546" s="358"/>
      <c r="C546" s="359"/>
      <c r="D546" s="359"/>
      <c r="E546" s="360"/>
      <c r="F546" s="524"/>
      <c r="G546" s="524"/>
      <c r="H546" s="362"/>
      <c r="I546" s="230"/>
      <c r="J546" s="230"/>
      <c r="K546" s="363"/>
      <c r="L546" s="364"/>
      <c r="M546" s="365"/>
      <c r="N546" s="630"/>
      <c r="O546" s="367"/>
      <c r="P546" s="368"/>
      <c r="Q546" s="587"/>
      <c r="R546" s="370"/>
      <c r="S546" s="370"/>
      <c r="T546" s="371"/>
      <c r="U546" s="372"/>
      <c r="V546" s="373"/>
      <c r="W546" s="398"/>
      <c r="X546" s="404"/>
      <c r="Y546" s="372"/>
      <c r="Z546" s="381"/>
      <c r="AA546" s="241"/>
      <c r="AB546" s="411"/>
      <c r="AC546" s="577"/>
      <c r="AD546" s="241"/>
      <c r="AE546" s="411"/>
      <c r="AF546" s="577"/>
      <c r="AG546" s="241"/>
      <c r="AH546" s="411"/>
      <c r="AI546" s="577"/>
      <c r="AJ546" s="241"/>
      <c r="AK546" s="411"/>
      <c r="AL546" s="577"/>
      <c r="AM546" s="241"/>
      <c r="AN546" s="411"/>
      <c r="AO546" s="577"/>
      <c r="AP546" s="241"/>
      <c r="AQ546" s="411"/>
      <c r="AR546" s="577"/>
      <c r="AS546" s="202"/>
    </row>
    <row r="547" spans="1:45" ht="13.5" hidden="1" customHeight="1">
      <c r="A547" s="12"/>
      <c r="B547" s="358" t="s">
        <v>2572</v>
      </c>
      <c r="C547" s="359">
        <v>20</v>
      </c>
      <c r="D547" s="359">
        <v>270</v>
      </c>
      <c r="E547" s="360"/>
      <c r="F547" s="524"/>
      <c r="G547" s="524"/>
      <c r="H547" s="362"/>
      <c r="I547" s="230"/>
      <c r="J547" s="230"/>
      <c r="K547" s="363"/>
      <c r="L547" s="364"/>
      <c r="M547" s="365"/>
      <c r="N547" s="366"/>
      <c r="O547" s="367"/>
      <c r="P547" s="368"/>
      <c r="Q547" s="587"/>
      <c r="R547" s="370"/>
      <c r="S547" s="370"/>
      <c r="T547" s="371"/>
      <c r="U547" s="372"/>
      <c r="V547" s="373"/>
      <c r="W547" s="374"/>
      <c r="X547" s="404"/>
      <c r="Y547" s="372"/>
      <c r="Z547" s="381"/>
      <c r="AA547" s="225"/>
      <c r="AB547" s="361"/>
      <c r="AC547" s="533"/>
      <c r="AD547" s="225"/>
      <c r="AE547" s="361"/>
      <c r="AF547" s="533"/>
      <c r="AG547" s="225"/>
      <c r="AH547" s="361"/>
      <c r="AI547" s="533"/>
      <c r="AJ547" s="225"/>
      <c r="AK547" s="361"/>
      <c r="AL547" s="533"/>
      <c r="AM547" s="225"/>
      <c r="AN547" s="361"/>
      <c r="AO547" s="533"/>
      <c r="AP547" s="225"/>
      <c r="AQ547" s="361"/>
      <c r="AR547" s="533"/>
      <c r="AS547" s="320"/>
    </row>
    <row r="548" spans="1:45" ht="13.5" hidden="1" customHeight="1">
      <c r="A548" s="12"/>
      <c r="B548" s="358"/>
      <c r="C548" s="359"/>
      <c r="D548" s="359"/>
      <c r="E548" s="360"/>
      <c r="F548" s="524"/>
      <c r="G548" s="524"/>
      <c r="H548" s="362"/>
      <c r="I548" s="230"/>
      <c r="J548" s="230"/>
      <c r="K548" s="363"/>
      <c r="L548" s="364"/>
      <c r="M548" s="365"/>
      <c r="N548" s="366"/>
      <c r="O548" s="367"/>
      <c r="P548" s="368"/>
      <c r="Q548" s="587"/>
      <c r="R548" s="370"/>
      <c r="S548" s="370"/>
      <c r="T548" s="371"/>
      <c r="U548" s="372"/>
      <c r="V548" s="373"/>
      <c r="W548" s="398"/>
      <c r="X548" s="404"/>
      <c r="Y548" s="372"/>
      <c r="Z548" s="381"/>
      <c r="AA548" s="241"/>
      <c r="AB548" s="411"/>
      <c r="AC548" s="577"/>
      <c r="AD548" s="241"/>
      <c r="AE548" s="411"/>
      <c r="AF548" s="577"/>
      <c r="AG548" s="241"/>
      <c r="AH548" s="411"/>
      <c r="AI548" s="577"/>
      <c r="AJ548" s="241"/>
      <c r="AK548" s="411"/>
      <c r="AL548" s="577"/>
      <c r="AM548" s="241"/>
      <c r="AN548" s="411"/>
      <c r="AO548" s="577"/>
      <c r="AP548" s="241"/>
      <c r="AQ548" s="411"/>
      <c r="AR548" s="577"/>
      <c r="AS548" s="202"/>
    </row>
    <row r="549" spans="1:45" ht="13.5" hidden="1" customHeight="1">
      <c r="A549" s="12"/>
      <c r="B549" s="358" t="s">
        <v>2572</v>
      </c>
      <c r="C549" s="359">
        <v>21</v>
      </c>
      <c r="D549" s="359">
        <v>271</v>
      </c>
      <c r="E549" s="360"/>
      <c r="F549" s="524"/>
      <c r="G549" s="524"/>
      <c r="H549" s="362"/>
      <c r="I549" s="230"/>
      <c r="J549" s="230"/>
      <c r="K549" s="363"/>
      <c r="L549" s="364"/>
      <c r="M549" s="365"/>
      <c r="N549" s="366"/>
      <c r="O549" s="367"/>
      <c r="P549" s="368"/>
      <c r="Q549" s="587"/>
      <c r="R549" s="370"/>
      <c r="S549" s="370"/>
      <c r="T549" s="371"/>
      <c r="U549" s="372"/>
      <c r="V549" s="373"/>
      <c r="W549" s="374"/>
      <c r="X549" s="404"/>
      <c r="Y549" s="372"/>
      <c r="Z549" s="381"/>
      <c r="AA549" s="225"/>
      <c r="AB549" s="361"/>
      <c r="AC549" s="533"/>
      <c r="AD549" s="225"/>
      <c r="AE549" s="361"/>
      <c r="AF549" s="533"/>
      <c r="AG549" s="225"/>
      <c r="AH549" s="361"/>
      <c r="AI549" s="533"/>
      <c r="AJ549" s="225"/>
      <c r="AK549" s="361"/>
      <c r="AL549" s="533"/>
      <c r="AM549" s="225"/>
      <c r="AN549" s="361"/>
      <c r="AO549" s="533"/>
      <c r="AP549" s="225"/>
      <c r="AQ549" s="361"/>
      <c r="AR549" s="533"/>
      <c r="AS549" s="320"/>
    </row>
    <row r="550" spans="1:45" ht="13.5" hidden="1" customHeight="1">
      <c r="A550" s="12"/>
      <c r="B550" s="358"/>
      <c r="C550" s="359"/>
      <c r="D550" s="359"/>
      <c r="E550" s="360"/>
      <c r="F550" s="524"/>
      <c r="G550" s="524"/>
      <c r="H550" s="362"/>
      <c r="I550" s="230"/>
      <c r="J550" s="230"/>
      <c r="K550" s="363"/>
      <c r="L550" s="364"/>
      <c r="M550" s="365"/>
      <c r="N550" s="366"/>
      <c r="O550" s="367"/>
      <c r="P550" s="368"/>
      <c r="Q550" s="587"/>
      <c r="R550" s="370"/>
      <c r="S550" s="370"/>
      <c r="T550" s="371"/>
      <c r="U550" s="372"/>
      <c r="V550" s="373"/>
      <c r="W550" s="398"/>
      <c r="X550" s="404"/>
      <c r="Y550" s="372"/>
      <c r="Z550" s="381"/>
      <c r="AA550" s="241"/>
      <c r="AB550" s="411"/>
      <c r="AC550" s="577"/>
      <c r="AD550" s="241"/>
      <c r="AE550" s="411"/>
      <c r="AF550" s="577"/>
      <c r="AG550" s="241"/>
      <c r="AH550" s="411"/>
      <c r="AI550" s="577"/>
      <c r="AJ550" s="241"/>
      <c r="AK550" s="411"/>
      <c r="AL550" s="577"/>
      <c r="AM550" s="241"/>
      <c r="AN550" s="411"/>
      <c r="AO550" s="577"/>
      <c r="AP550" s="241"/>
      <c r="AQ550" s="411"/>
      <c r="AR550" s="577"/>
      <c r="AS550" s="202"/>
    </row>
    <row r="551" spans="1:45" ht="13.5" hidden="1" customHeight="1">
      <c r="A551" s="12"/>
      <c r="B551" s="358" t="s">
        <v>2572</v>
      </c>
      <c r="C551" s="359">
        <v>22</v>
      </c>
      <c r="D551" s="359">
        <v>272</v>
      </c>
      <c r="E551" s="360"/>
      <c r="F551" s="524"/>
      <c r="G551" s="524"/>
      <c r="H551" s="362"/>
      <c r="I551" s="230"/>
      <c r="J551" s="230"/>
      <c r="K551" s="363"/>
      <c r="L551" s="364"/>
      <c r="M551" s="365"/>
      <c r="N551" s="366"/>
      <c r="O551" s="367"/>
      <c r="P551" s="368"/>
      <c r="Q551" s="587"/>
      <c r="R551" s="370"/>
      <c r="S551" s="370"/>
      <c r="T551" s="371"/>
      <c r="U551" s="372"/>
      <c r="V551" s="373"/>
      <c r="W551" s="374"/>
      <c r="X551" s="404"/>
      <c r="Y551" s="372"/>
      <c r="Z551" s="381"/>
      <c r="AA551" s="225"/>
      <c r="AB551" s="361"/>
      <c r="AC551" s="533"/>
      <c r="AD551" s="225"/>
      <c r="AE551" s="361"/>
      <c r="AF551" s="533"/>
      <c r="AG551" s="225"/>
      <c r="AH551" s="361"/>
      <c r="AI551" s="533"/>
      <c r="AJ551" s="225"/>
      <c r="AK551" s="361"/>
      <c r="AL551" s="533"/>
      <c r="AM551" s="225"/>
      <c r="AN551" s="361"/>
      <c r="AO551" s="533"/>
      <c r="AP551" s="225"/>
      <c r="AQ551" s="361"/>
      <c r="AR551" s="533"/>
      <c r="AS551" s="320"/>
    </row>
    <row r="552" spans="1:45" ht="13.5" hidden="1" customHeight="1">
      <c r="A552" s="12"/>
      <c r="B552" s="358"/>
      <c r="C552" s="359"/>
      <c r="D552" s="359"/>
      <c r="E552" s="360"/>
      <c r="F552" s="524"/>
      <c r="G552" s="524"/>
      <c r="H552" s="362"/>
      <c r="I552" s="230"/>
      <c r="J552" s="230"/>
      <c r="K552" s="363"/>
      <c r="L552" s="364"/>
      <c r="M552" s="365"/>
      <c r="N552" s="366"/>
      <c r="O552" s="367"/>
      <c r="P552" s="368"/>
      <c r="Q552" s="587"/>
      <c r="R552" s="370"/>
      <c r="S552" s="370"/>
      <c r="T552" s="371"/>
      <c r="U552" s="372"/>
      <c r="V552" s="373"/>
      <c r="W552" s="398"/>
      <c r="X552" s="404"/>
      <c r="Y552" s="372"/>
      <c r="Z552" s="381"/>
      <c r="AA552" s="241"/>
      <c r="AB552" s="411"/>
      <c r="AC552" s="577"/>
      <c r="AD552" s="241"/>
      <c r="AE552" s="411"/>
      <c r="AF552" s="577"/>
      <c r="AG552" s="241"/>
      <c r="AH552" s="411"/>
      <c r="AI552" s="577"/>
      <c r="AJ552" s="241"/>
      <c r="AK552" s="411"/>
      <c r="AL552" s="577"/>
      <c r="AM552" s="241"/>
      <c r="AN552" s="411"/>
      <c r="AO552" s="577"/>
      <c r="AP552" s="241"/>
      <c r="AQ552" s="411"/>
      <c r="AR552" s="577"/>
      <c r="AS552" s="202"/>
    </row>
    <row r="553" spans="1:45" ht="13.5" hidden="1" customHeight="1">
      <c r="A553" s="12"/>
      <c r="B553" s="358" t="s">
        <v>2572</v>
      </c>
      <c r="C553" s="359">
        <v>23</v>
      </c>
      <c r="D553" s="359">
        <v>273</v>
      </c>
      <c r="E553" s="360"/>
      <c r="F553" s="524"/>
      <c r="G553" s="524"/>
      <c r="H553" s="362"/>
      <c r="I553" s="230"/>
      <c r="J553" s="230"/>
      <c r="K553" s="363"/>
      <c r="L553" s="364"/>
      <c r="M553" s="365"/>
      <c r="N553" s="366"/>
      <c r="O553" s="367"/>
      <c r="P553" s="368"/>
      <c r="Q553" s="587"/>
      <c r="R553" s="370"/>
      <c r="S553" s="370"/>
      <c r="T553" s="371"/>
      <c r="U553" s="372"/>
      <c r="V553" s="373"/>
      <c r="W553" s="374"/>
      <c r="X553" s="404"/>
      <c r="Y553" s="372"/>
      <c r="Z553" s="381"/>
      <c r="AA553" s="225"/>
      <c r="AB553" s="361"/>
      <c r="AC553" s="533"/>
      <c r="AD553" s="225"/>
      <c r="AE553" s="361"/>
      <c r="AF553" s="533"/>
      <c r="AG553" s="225"/>
      <c r="AH553" s="361"/>
      <c r="AI553" s="533"/>
      <c r="AJ553" s="225"/>
      <c r="AK553" s="361"/>
      <c r="AL553" s="533"/>
      <c r="AM553" s="225"/>
      <c r="AN553" s="361"/>
      <c r="AO553" s="533"/>
      <c r="AP553" s="225"/>
      <c r="AQ553" s="361"/>
      <c r="AR553" s="533"/>
      <c r="AS553" s="320"/>
    </row>
    <row r="554" spans="1:45" ht="13.5" hidden="1" customHeight="1">
      <c r="A554" s="12"/>
      <c r="B554" s="358"/>
      <c r="C554" s="359"/>
      <c r="D554" s="359"/>
      <c r="E554" s="360"/>
      <c r="F554" s="524"/>
      <c r="G554" s="524"/>
      <c r="H554" s="362"/>
      <c r="I554" s="230"/>
      <c r="J554" s="230"/>
      <c r="K554" s="363"/>
      <c r="L554" s="364"/>
      <c r="M554" s="365"/>
      <c r="N554" s="366"/>
      <c r="O554" s="367"/>
      <c r="P554" s="368"/>
      <c r="Q554" s="587"/>
      <c r="R554" s="370"/>
      <c r="S554" s="370"/>
      <c r="T554" s="371"/>
      <c r="U554" s="372"/>
      <c r="V554" s="373"/>
      <c r="W554" s="398"/>
      <c r="X554" s="404"/>
      <c r="Y554" s="372"/>
      <c r="Z554" s="381"/>
      <c r="AA554" s="325"/>
      <c r="AB554" s="378"/>
      <c r="AC554" s="377"/>
      <c r="AD554" s="241"/>
      <c r="AE554" s="411"/>
      <c r="AF554" s="577"/>
      <c r="AG554" s="241"/>
      <c r="AH554" s="411"/>
      <c r="AI554" s="577"/>
      <c r="AJ554" s="241"/>
      <c r="AK554" s="411"/>
      <c r="AL554" s="577"/>
      <c r="AM554" s="241"/>
      <c r="AN554" s="411"/>
      <c r="AO554" s="577"/>
      <c r="AP554" s="241"/>
      <c r="AQ554" s="411"/>
      <c r="AR554" s="577"/>
      <c r="AS554" s="202"/>
    </row>
    <row r="555" spans="1:45" ht="13.5" hidden="1" customHeight="1">
      <c r="A555" s="12"/>
      <c r="B555" s="358" t="s">
        <v>2572</v>
      </c>
      <c r="C555" s="359">
        <v>24</v>
      </c>
      <c r="D555" s="359">
        <v>276</v>
      </c>
      <c r="E555" s="360"/>
      <c r="F555" s="524"/>
      <c r="G555" s="524"/>
      <c r="H555" s="362"/>
      <c r="I555" s="230"/>
      <c r="J555" s="230"/>
      <c r="K555" s="363"/>
      <c r="L555" s="364"/>
      <c r="M555" s="365"/>
      <c r="N555" s="366"/>
      <c r="O555" s="367"/>
      <c r="P555" s="368"/>
      <c r="Q555" s="589"/>
      <c r="R555" s="370"/>
      <c r="S555" s="370"/>
      <c r="T555" s="371"/>
      <c r="U555" s="372"/>
      <c r="V555" s="373"/>
      <c r="W555" s="374"/>
      <c r="X555" s="404"/>
      <c r="Y555" s="372"/>
      <c r="Z555" s="381"/>
      <c r="AA555" s="225"/>
      <c r="AB555" s="361"/>
      <c r="AC555" s="533"/>
      <c r="AD555" s="225"/>
      <c r="AE555" s="361"/>
      <c r="AF555" s="533"/>
      <c r="AG555" s="225"/>
      <c r="AH555" s="361"/>
      <c r="AI555" s="533"/>
      <c r="AJ555" s="225"/>
      <c r="AK555" s="361"/>
      <c r="AL555" s="533"/>
      <c r="AM555" s="225"/>
      <c r="AN555" s="361"/>
      <c r="AO555" s="533"/>
      <c r="AP555" s="225"/>
      <c r="AQ555" s="361"/>
      <c r="AR555" s="533"/>
      <c r="AS555" s="320"/>
    </row>
    <row r="556" spans="1:45" ht="13.5" hidden="1" customHeight="1">
      <c r="A556" s="12"/>
      <c r="B556" s="358"/>
      <c r="C556" s="359"/>
      <c r="D556" s="359"/>
      <c r="E556" s="360"/>
      <c r="F556" s="524"/>
      <c r="G556" s="524"/>
      <c r="H556" s="362"/>
      <c r="I556" s="230"/>
      <c r="J556" s="230"/>
      <c r="K556" s="363"/>
      <c r="L556" s="364"/>
      <c r="M556" s="365"/>
      <c r="N556" s="366"/>
      <c r="O556" s="367"/>
      <c r="P556" s="368"/>
      <c r="Q556" s="589"/>
      <c r="R556" s="370"/>
      <c r="S556" s="370"/>
      <c r="T556" s="371"/>
      <c r="U556" s="372"/>
      <c r="V556" s="373"/>
      <c r="W556" s="398"/>
      <c r="X556" s="404"/>
      <c r="Y556" s="372"/>
      <c r="Z556" s="381"/>
      <c r="AA556" s="241"/>
      <c r="AB556" s="411"/>
      <c r="AC556" s="377"/>
      <c r="AD556" s="241"/>
      <c r="AE556" s="411"/>
      <c r="AF556" s="577"/>
      <c r="AG556" s="241"/>
      <c r="AH556" s="411"/>
      <c r="AI556" s="577"/>
      <c r="AJ556" s="241"/>
      <c r="AK556" s="411"/>
      <c r="AL556" s="577"/>
      <c r="AM556" s="241"/>
      <c r="AN556" s="411"/>
      <c r="AO556" s="577"/>
      <c r="AP556" s="241"/>
      <c r="AQ556" s="411"/>
      <c r="AR556" s="577"/>
      <c r="AS556" s="202"/>
    </row>
    <row r="557" spans="1:45" ht="13.5" hidden="1" customHeight="1">
      <c r="A557" s="12"/>
      <c r="B557" s="358" t="s">
        <v>2572</v>
      </c>
      <c r="C557" s="359">
        <v>25</v>
      </c>
      <c r="D557" s="359">
        <v>277</v>
      </c>
      <c r="E557" s="360"/>
      <c r="F557" s="524"/>
      <c r="G557" s="524"/>
      <c r="H557" s="362"/>
      <c r="I557" s="230"/>
      <c r="J557" s="230"/>
      <c r="K557" s="363"/>
      <c r="L557" s="364"/>
      <c r="M557" s="365"/>
      <c r="N557" s="366"/>
      <c r="O557" s="367"/>
      <c r="P557" s="368"/>
      <c r="Q557" s="587"/>
      <c r="R557" s="370"/>
      <c r="S557" s="370"/>
      <c r="T557" s="371"/>
      <c r="U557" s="372"/>
      <c r="V557" s="373"/>
      <c r="W557" s="374"/>
      <c r="X557" s="404"/>
      <c r="Y557" s="372"/>
      <c r="Z557" s="381"/>
      <c r="AA557" s="225"/>
      <c r="AB557" s="361"/>
      <c r="AC557" s="533"/>
      <c r="AD557" s="225"/>
      <c r="AE557" s="361"/>
      <c r="AF557" s="533"/>
      <c r="AG557" s="225"/>
      <c r="AH557" s="361"/>
      <c r="AI557" s="533"/>
      <c r="AJ557" s="225"/>
      <c r="AK557" s="361"/>
      <c r="AL557" s="533"/>
      <c r="AM557" s="225"/>
      <c r="AN557" s="361"/>
      <c r="AO557" s="533"/>
      <c r="AP557" s="225"/>
      <c r="AQ557" s="361"/>
      <c r="AR557" s="533"/>
      <c r="AS557" s="320"/>
    </row>
    <row r="558" spans="1:45" ht="13.5" hidden="1" customHeight="1">
      <c r="A558" s="12"/>
      <c r="B558" s="358"/>
      <c r="C558" s="359"/>
      <c r="D558" s="359"/>
      <c r="E558" s="360"/>
      <c r="F558" s="524"/>
      <c r="G558" s="524"/>
      <c r="H558" s="362"/>
      <c r="I558" s="230"/>
      <c r="J558" s="230"/>
      <c r="K558" s="363"/>
      <c r="L558" s="364"/>
      <c r="M558" s="365"/>
      <c r="N558" s="366"/>
      <c r="O558" s="367"/>
      <c r="P558" s="368"/>
      <c r="Q558" s="587"/>
      <c r="R558" s="370"/>
      <c r="S558" s="370"/>
      <c r="T558" s="371"/>
      <c r="U558" s="372"/>
      <c r="V558" s="373"/>
      <c r="W558" s="398"/>
      <c r="X558" s="404"/>
      <c r="Y558" s="372"/>
      <c r="Z558" s="381"/>
      <c r="AA558" s="241"/>
      <c r="AB558" s="411"/>
      <c r="AC558" s="577"/>
      <c r="AD558" s="241"/>
      <c r="AE558" s="411"/>
      <c r="AF558" s="577"/>
      <c r="AG558" s="241"/>
      <c r="AH558" s="411"/>
      <c r="AI558" s="577"/>
      <c r="AJ558" s="241"/>
      <c r="AK558" s="411"/>
      <c r="AL558" s="577"/>
      <c r="AM558" s="241"/>
      <c r="AN558" s="411"/>
      <c r="AO558" s="577"/>
      <c r="AP558" s="241"/>
      <c r="AQ558" s="411"/>
      <c r="AR558" s="577"/>
      <c r="AS558" s="202"/>
    </row>
    <row r="559" spans="1:45" ht="13.5" hidden="1" customHeight="1">
      <c r="A559" s="12"/>
      <c r="B559" s="631" t="s">
        <v>2572</v>
      </c>
      <c r="C559" s="632">
        <v>26</v>
      </c>
      <c r="D559" s="632">
        <v>278</v>
      </c>
      <c r="E559" s="633"/>
      <c r="F559" s="524"/>
      <c r="G559" s="524"/>
      <c r="H559" s="362"/>
      <c r="I559" s="230"/>
      <c r="J559" s="230"/>
      <c r="K559" s="363"/>
      <c r="L559" s="364"/>
      <c r="M559" s="365"/>
      <c r="N559" s="366"/>
      <c r="O559" s="634"/>
      <c r="P559" s="368"/>
      <c r="Q559" s="587"/>
      <c r="R559" s="635"/>
      <c r="S559" s="629"/>
      <c r="T559" s="371"/>
      <c r="U559" s="372"/>
      <c r="V559" s="373"/>
      <c r="W559" s="374"/>
      <c r="X559" s="404"/>
      <c r="Y559" s="372"/>
      <c r="Z559" s="381"/>
      <c r="AA559" s="225"/>
      <c r="AB559" s="361"/>
      <c r="AC559" s="533"/>
      <c r="AD559" s="225"/>
      <c r="AE559" s="361"/>
      <c r="AF559" s="533"/>
      <c r="AG559" s="225"/>
      <c r="AH559" s="361"/>
      <c r="AI559" s="533"/>
      <c r="AJ559" s="225"/>
      <c r="AK559" s="361"/>
      <c r="AL559" s="533"/>
      <c r="AM559" s="225"/>
      <c r="AN559" s="361"/>
      <c r="AO559" s="533"/>
      <c r="AP559" s="225"/>
      <c r="AQ559" s="361"/>
      <c r="AR559" s="533"/>
      <c r="AS559" s="320"/>
    </row>
    <row r="560" spans="1:45" ht="13.5" hidden="1" customHeight="1">
      <c r="A560" s="12"/>
      <c r="B560" s="631"/>
      <c r="C560" s="632"/>
      <c r="D560" s="632"/>
      <c r="E560" s="633"/>
      <c r="F560" s="524"/>
      <c r="G560" s="524"/>
      <c r="H560" s="362"/>
      <c r="I560" s="230"/>
      <c r="J560" s="230"/>
      <c r="K560" s="363"/>
      <c r="L560" s="364"/>
      <c r="M560" s="365"/>
      <c r="N560" s="366"/>
      <c r="O560" s="634"/>
      <c r="P560" s="368"/>
      <c r="Q560" s="587"/>
      <c r="R560" s="635"/>
      <c r="S560" s="370"/>
      <c r="T560" s="371"/>
      <c r="U560" s="372"/>
      <c r="V560" s="373"/>
      <c r="W560" s="636"/>
      <c r="X560" s="404"/>
      <c r="Y560" s="372"/>
      <c r="Z560" s="381"/>
      <c r="AA560" s="241"/>
      <c r="AB560" s="411"/>
      <c r="AC560" s="577"/>
      <c r="AD560" s="241"/>
      <c r="AE560" s="411"/>
      <c r="AF560" s="577"/>
      <c r="AG560" s="241"/>
      <c r="AH560" s="411"/>
      <c r="AI560" s="577"/>
      <c r="AJ560" s="241"/>
      <c r="AK560" s="411"/>
      <c r="AL560" s="577"/>
      <c r="AM560" s="241"/>
      <c r="AN560" s="411"/>
      <c r="AO560" s="577"/>
      <c r="AP560" s="241"/>
      <c r="AQ560" s="411"/>
      <c r="AR560" s="577"/>
    </row>
    <row r="561" spans="1:45" ht="13.5" hidden="1" customHeight="1">
      <c r="A561" s="12"/>
      <c r="B561" s="631" t="s">
        <v>2572</v>
      </c>
      <c r="C561" s="632">
        <v>27</v>
      </c>
      <c r="D561" s="632">
        <v>274</v>
      </c>
      <c r="E561" s="633"/>
      <c r="F561" s="524"/>
      <c r="G561" s="524"/>
      <c r="H561" s="362"/>
      <c r="I561" s="230"/>
      <c r="J561" s="230"/>
      <c r="K561" s="363"/>
      <c r="L561" s="364"/>
      <c r="M561" s="452"/>
      <c r="N561" s="637"/>
      <c r="O561" s="638"/>
      <c r="P561" s="454"/>
      <c r="Q561" s="592"/>
      <c r="R561" s="639"/>
      <c r="S561" s="420"/>
      <c r="T561" s="421"/>
      <c r="U561" s="387"/>
      <c r="V561" s="373"/>
      <c r="W561" s="640"/>
      <c r="X561" s="404"/>
      <c r="Y561" s="372"/>
      <c r="Z561" s="381"/>
      <c r="AA561" s="225"/>
      <c r="AB561" s="361"/>
      <c r="AC561" s="533"/>
      <c r="AD561" s="225"/>
      <c r="AE561" s="361"/>
      <c r="AF561" s="533"/>
      <c r="AG561" s="225"/>
      <c r="AH561" s="361"/>
      <c r="AI561" s="533"/>
      <c r="AJ561" s="225"/>
      <c r="AK561" s="361"/>
      <c r="AL561" s="533"/>
      <c r="AM561" s="225"/>
      <c r="AN561" s="361"/>
      <c r="AO561" s="533"/>
      <c r="AP561" s="225"/>
      <c r="AQ561" s="361"/>
      <c r="AR561" s="533"/>
      <c r="AS561" s="320"/>
    </row>
    <row r="562" spans="1:45" ht="13.5" hidden="1" customHeight="1">
      <c r="A562" s="12"/>
      <c r="B562" s="631"/>
      <c r="C562" s="632"/>
      <c r="D562" s="632"/>
      <c r="E562" s="633"/>
      <c r="F562" s="524"/>
      <c r="G562" s="524"/>
      <c r="H562" s="362"/>
      <c r="I562" s="230"/>
      <c r="J562" s="230"/>
      <c r="K562" s="363"/>
      <c r="L562" s="364"/>
      <c r="M562" s="604"/>
      <c r="N562" s="641"/>
      <c r="O562" s="642"/>
      <c r="P562" s="581"/>
      <c r="Q562" s="608"/>
      <c r="R562" s="643"/>
      <c r="S562" s="582"/>
      <c r="T562" s="606"/>
      <c r="U562" s="607"/>
      <c r="V562" s="373"/>
      <c r="W562" s="636"/>
      <c r="X562" s="404"/>
      <c r="Y562" s="372"/>
      <c r="Z562" s="381"/>
      <c r="AA562" s="241"/>
      <c r="AB562" s="411"/>
      <c r="AC562" s="577"/>
      <c r="AD562" s="241"/>
      <c r="AE562" s="411"/>
      <c r="AF562" s="577"/>
      <c r="AG562" s="241"/>
      <c r="AH562" s="411"/>
      <c r="AI562" s="577"/>
      <c r="AJ562" s="241"/>
      <c r="AK562" s="411"/>
      <c r="AL562" s="577"/>
      <c r="AM562" s="241"/>
      <c r="AN562" s="411"/>
      <c r="AO562" s="577"/>
      <c r="AP562" s="241"/>
      <c r="AQ562" s="411"/>
      <c r="AR562" s="577"/>
    </row>
    <row r="563" spans="1:45" ht="13.5" hidden="1" customHeight="1">
      <c r="A563" s="12"/>
      <c r="B563" s="631" t="s">
        <v>2572</v>
      </c>
      <c r="C563" s="632">
        <v>28</v>
      </c>
      <c r="D563" s="632">
        <v>275</v>
      </c>
      <c r="E563" s="633"/>
      <c r="F563" s="524"/>
      <c r="G563" s="524"/>
      <c r="H563" s="362"/>
      <c r="I563" s="230"/>
      <c r="J563" s="230"/>
      <c r="K563" s="363"/>
      <c r="L563" s="364"/>
      <c r="M563" s="604"/>
      <c r="N563" s="641"/>
      <c r="O563" s="642"/>
      <c r="P563" s="581"/>
      <c r="Q563" s="608"/>
      <c r="R563" s="643"/>
      <c r="S563" s="582"/>
      <c r="T563" s="606"/>
      <c r="U563" s="607"/>
      <c r="V563" s="373"/>
      <c r="W563" s="640"/>
      <c r="X563" s="404"/>
      <c r="Y563" s="372"/>
      <c r="Z563" s="381"/>
      <c r="AA563" s="225"/>
      <c r="AB563" s="361"/>
      <c r="AC563" s="533"/>
      <c r="AD563" s="225"/>
      <c r="AE563" s="361"/>
      <c r="AF563" s="533"/>
      <c r="AG563" s="225"/>
      <c r="AH563" s="361"/>
      <c r="AI563" s="533"/>
      <c r="AJ563" s="225"/>
      <c r="AK563" s="361"/>
      <c r="AL563" s="533"/>
      <c r="AM563" s="225"/>
      <c r="AN563" s="361"/>
      <c r="AO563" s="533"/>
      <c r="AP563" s="225"/>
      <c r="AQ563" s="361"/>
      <c r="AR563" s="533"/>
      <c r="AS563" s="320"/>
    </row>
    <row r="564" spans="1:45" ht="13.5" hidden="1" customHeight="1">
      <c r="A564" s="12"/>
      <c r="B564" s="631"/>
      <c r="C564" s="632"/>
      <c r="D564" s="632"/>
      <c r="E564" s="633"/>
      <c r="F564" s="524"/>
      <c r="G564" s="524"/>
      <c r="H564" s="362"/>
      <c r="I564" s="230"/>
      <c r="J564" s="230"/>
      <c r="K564" s="363"/>
      <c r="L564" s="364"/>
      <c r="M564" s="439"/>
      <c r="N564" s="644"/>
      <c r="O564" s="645"/>
      <c r="P564" s="429"/>
      <c r="Q564" s="609"/>
      <c r="R564" s="646"/>
      <c r="S564" s="433"/>
      <c r="T564" s="434"/>
      <c r="U564" s="376"/>
      <c r="V564" s="373"/>
      <c r="W564" s="636"/>
      <c r="X564" s="404"/>
      <c r="Y564" s="372"/>
      <c r="Z564" s="381"/>
      <c r="AA564" s="241"/>
      <c r="AB564" s="411"/>
      <c r="AC564" s="577"/>
      <c r="AD564" s="241"/>
      <c r="AE564" s="411"/>
      <c r="AF564" s="577"/>
      <c r="AG564" s="241"/>
      <c r="AH564" s="411"/>
      <c r="AI564" s="577"/>
      <c r="AJ564" s="241"/>
      <c r="AK564" s="411"/>
      <c r="AL564" s="577"/>
      <c r="AM564" s="241"/>
      <c r="AN564" s="411"/>
      <c r="AO564" s="577"/>
      <c r="AP564" s="241"/>
      <c r="AQ564" s="411"/>
      <c r="AR564" s="577"/>
    </row>
    <row r="565" spans="1:45" ht="13.5" hidden="1" customHeight="1">
      <c r="A565" s="12"/>
      <c r="B565" s="631" t="s">
        <v>2572</v>
      </c>
      <c r="C565" s="632">
        <v>29</v>
      </c>
      <c r="D565" s="632">
        <v>279</v>
      </c>
      <c r="E565" s="633"/>
      <c r="F565" s="524"/>
      <c r="G565" s="524"/>
      <c r="H565" s="362"/>
      <c r="I565" s="230"/>
      <c r="J565" s="230"/>
      <c r="K565" s="363"/>
      <c r="L565" s="364"/>
      <c r="M565" s="365"/>
      <c r="N565" s="366"/>
      <c r="O565" s="634"/>
      <c r="P565" s="368"/>
      <c r="Q565" s="587"/>
      <c r="R565" s="635"/>
      <c r="S565" s="370"/>
      <c r="T565" s="371"/>
      <c r="U565" s="372"/>
      <c r="V565" s="373"/>
      <c r="W565" s="640"/>
      <c r="X565" s="404"/>
      <c r="Y565" s="372"/>
      <c r="Z565" s="381"/>
      <c r="AA565" s="225"/>
      <c r="AB565" s="361"/>
      <c r="AC565" s="533"/>
      <c r="AD565" s="225"/>
      <c r="AE565" s="361"/>
      <c r="AF565" s="533"/>
      <c r="AG565" s="225"/>
      <c r="AH565" s="361"/>
      <c r="AI565" s="533"/>
      <c r="AJ565" s="225"/>
      <c r="AK565" s="361"/>
      <c r="AL565" s="533"/>
      <c r="AM565" s="225"/>
      <c r="AN565" s="361"/>
      <c r="AO565" s="533"/>
      <c r="AP565" s="225"/>
      <c r="AQ565" s="361"/>
      <c r="AR565" s="533"/>
      <c r="AS565" s="320"/>
    </row>
    <row r="566" spans="1:45" ht="13.5" hidden="1" customHeight="1">
      <c r="A566" s="12"/>
      <c r="B566" s="631"/>
      <c r="C566" s="632"/>
      <c r="D566" s="632"/>
      <c r="E566" s="633"/>
      <c r="F566" s="524"/>
      <c r="G566" s="524"/>
      <c r="H566" s="362"/>
      <c r="I566" s="230"/>
      <c r="J566" s="230"/>
      <c r="K566" s="363"/>
      <c r="L566" s="364"/>
      <c r="M566" s="365"/>
      <c r="N566" s="366"/>
      <c r="O566" s="634"/>
      <c r="P566" s="368"/>
      <c r="Q566" s="587"/>
      <c r="R566" s="635"/>
      <c r="S566" s="370"/>
      <c r="T566" s="371"/>
      <c r="U566" s="372"/>
      <c r="V566" s="373"/>
      <c r="W566" s="636"/>
      <c r="X566" s="404"/>
      <c r="Y566" s="372"/>
      <c r="Z566" s="381"/>
      <c r="AA566" s="241"/>
      <c r="AB566" s="411"/>
      <c r="AC566" s="577"/>
      <c r="AD566" s="241"/>
      <c r="AE566" s="411"/>
      <c r="AF566" s="577"/>
      <c r="AG566" s="241"/>
      <c r="AH566" s="411"/>
      <c r="AI566" s="577"/>
      <c r="AJ566" s="241"/>
      <c r="AK566" s="411"/>
      <c r="AL566" s="577"/>
      <c r="AM566" s="241"/>
      <c r="AN566" s="411"/>
      <c r="AO566" s="577"/>
      <c r="AP566" s="241"/>
      <c r="AQ566" s="411"/>
      <c r="AR566" s="577"/>
    </row>
    <row r="567" spans="1:45" ht="13.5" hidden="1" customHeight="1">
      <c r="A567" s="12"/>
      <c r="B567" s="631" t="s">
        <v>2572</v>
      </c>
      <c r="C567" s="632">
        <v>30</v>
      </c>
      <c r="D567" s="632">
        <v>280</v>
      </c>
      <c r="E567" s="633"/>
      <c r="F567" s="524"/>
      <c r="G567" s="524"/>
      <c r="H567" s="362"/>
      <c r="I567" s="230"/>
      <c r="J567" s="230"/>
      <c r="K567" s="363"/>
      <c r="L567" s="364"/>
      <c r="M567" s="365"/>
      <c r="N567" s="366"/>
      <c r="O567" s="634"/>
      <c r="P567" s="368"/>
      <c r="Q567" s="587"/>
      <c r="R567" s="635"/>
      <c r="S567" s="370"/>
      <c r="T567" s="371"/>
      <c r="U567" s="372"/>
      <c r="V567" s="373"/>
      <c r="W567" s="640"/>
      <c r="X567" s="404"/>
      <c r="Y567" s="372"/>
      <c r="Z567" s="381"/>
      <c r="AA567" s="225"/>
      <c r="AB567" s="361"/>
      <c r="AC567" s="533"/>
      <c r="AD567" s="225"/>
      <c r="AE567" s="361"/>
      <c r="AF567" s="533"/>
      <c r="AG567" s="225"/>
      <c r="AH567" s="361"/>
      <c r="AI567" s="533"/>
      <c r="AJ567" s="225"/>
      <c r="AK567" s="361"/>
      <c r="AL567" s="533"/>
      <c r="AM567" s="225"/>
      <c r="AN567" s="361"/>
      <c r="AO567" s="533"/>
      <c r="AP567" s="225"/>
      <c r="AQ567" s="361"/>
      <c r="AR567" s="533"/>
      <c r="AS567" s="320"/>
    </row>
    <row r="568" spans="1:45" ht="13.5" hidden="1" customHeight="1">
      <c r="A568" s="12"/>
      <c r="B568" s="631"/>
      <c r="C568" s="632"/>
      <c r="D568" s="632"/>
      <c r="E568" s="633"/>
      <c r="F568" s="524"/>
      <c r="G568" s="524"/>
      <c r="H568" s="362"/>
      <c r="I568" s="230"/>
      <c r="J568" s="230"/>
      <c r="K568" s="363"/>
      <c r="L568" s="364"/>
      <c r="M568" s="365"/>
      <c r="N568" s="366"/>
      <c r="O568" s="634"/>
      <c r="P568" s="368"/>
      <c r="Q568" s="587"/>
      <c r="R568" s="635"/>
      <c r="S568" s="370"/>
      <c r="T568" s="371"/>
      <c r="U568" s="372"/>
      <c r="V568" s="373"/>
      <c r="W568" s="636"/>
      <c r="X568" s="404"/>
      <c r="Y568" s="372"/>
      <c r="Z568" s="381"/>
      <c r="AA568" s="241"/>
      <c r="AB568" s="411"/>
      <c r="AC568" s="577"/>
      <c r="AD568" s="241"/>
      <c r="AE568" s="411"/>
      <c r="AF568" s="577"/>
      <c r="AG568" s="241"/>
      <c r="AH568" s="411"/>
      <c r="AI568" s="577"/>
      <c r="AJ568" s="241"/>
      <c r="AK568" s="411"/>
      <c r="AL568" s="577"/>
      <c r="AM568" s="241"/>
      <c r="AN568" s="411"/>
      <c r="AO568" s="577"/>
      <c r="AP568" s="241"/>
      <c r="AQ568" s="411"/>
      <c r="AR568" s="577"/>
    </row>
    <row r="569" spans="1:45" ht="13.5" hidden="1" customHeight="1">
      <c r="A569" s="12"/>
      <c r="B569" s="647" t="s">
        <v>1935</v>
      </c>
      <c r="C569" s="632">
        <v>1</v>
      </c>
      <c r="D569" s="632">
        <v>281</v>
      </c>
      <c r="E569" s="633"/>
      <c r="F569" s="524"/>
      <c r="G569" s="524"/>
      <c r="H569" s="362"/>
      <c r="I569" s="230"/>
      <c r="J569" s="230"/>
      <c r="K569" s="363"/>
      <c r="L569" s="364"/>
      <c r="M569" s="365"/>
      <c r="N569" s="630"/>
      <c r="O569" s="634"/>
      <c r="P569" s="368"/>
      <c r="Q569" s="587"/>
      <c r="R569" s="635"/>
      <c r="S569" s="370"/>
      <c r="T569" s="371"/>
      <c r="U569" s="372"/>
      <c r="V569" s="373"/>
      <c r="W569" s="640"/>
      <c r="X569" s="404"/>
      <c r="Y569" s="372"/>
      <c r="Z569" s="381"/>
      <c r="AA569" s="225"/>
      <c r="AB569" s="361"/>
      <c r="AC569" s="533"/>
      <c r="AD569" s="225"/>
      <c r="AE569" s="361"/>
      <c r="AF569" s="533"/>
      <c r="AG569" s="225"/>
      <c r="AH569" s="361"/>
      <c r="AI569" s="533"/>
      <c r="AJ569" s="225"/>
      <c r="AK569" s="361"/>
      <c r="AL569" s="533"/>
      <c r="AM569" s="225"/>
      <c r="AN569" s="361"/>
      <c r="AO569" s="533"/>
      <c r="AP569" s="225"/>
      <c r="AQ569" s="361"/>
      <c r="AR569" s="533"/>
      <c r="AS569" s="320"/>
    </row>
    <row r="570" spans="1:45" ht="13.5" hidden="1" customHeight="1">
      <c r="A570" s="12"/>
      <c r="B570" s="647"/>
      <c r="C570" s="632"/>
      <c r="D570" s="632"/>
      <c r="E570" s="633"/>
      <c r="F570" s="524"/>
      <c r="G570" s="524"/>
      <c r="H570" s="362"/>
      <c r="I570" s="230"/>
      <c r="J570" s="230"/>
      <c r="K570" s="363"/>
      <c r="L570" s="364"/>
      <c r="M570" s="365"/>
      <c r="N570" s="630"/>
      <c r="O570" s="634"/>
      <c r="P570" s="368"/>
      <c r="Q570" s="587"/>
      <c r="R570" s="635"/>
      <c r="S570" s="370"/>
      <c r="T570" s="371"/>
      <c r="U570" s="372"/>
      <c r="V570" s="373"/>
      <c r="W570" s="636"/>
      <c r="X570" s="404"/>
      <c r="Y570" s="372"/>
      <c r="Z570" s="381"/>
      <c r="AA570" s="241"/>
      <c r="AB570" s="411"/>
      <c r="AC570" s="577"/>
      <c r="AD570" s="241"/>
      <c r="AE570" s="411"/>
      <c r="AF570" s="577"/>
      <c r="AG570" s="241"/>
      <c r="AH570" s="411"/>
      <c r="AI570" s="577"/>
      <c r="AJ570" s="241"/>
      <c r="AK570" s="411"/>
      <c r="AL570" s="577"/>
      <c r="AM570" s="241"/>
      <c r="AN570" s="411"/>
      <c r="AO570" s="577"/>
      <c r="AP570" s="241"/>
      <c r="AQ570" s="411"/>
      <c r="AR570" s="577"/>
    </row>
    <row r="571" spans="1:45" ht="13.5" hidden="1" customHeight="1">
      <c r="A571" s="12"/>
      <c r="B571" s="647" t="s">
        <v>1935</v>
      </c>
      <c r="C571" s="632">
        <v>2</v>
      </c>
      <c r="D571" s="632">
        <v>282</v>
      </c>
      <c r="E571" s="633"/>
      <c r="F571" s="524"/>
      <c r="G571" s="524"/>
      <c r="H571" s="362"/>
      <c r="I571" s="230"/>
      <c r="J571" s="230"/>
      <c r="K571" s="363"/>
      <c r="L571" s="364"/>
      <c r="M571" s="365"/>
      <c r="N571" s="630"/>
      <c r="O571" s="634"/>
      <c r="P571" s="368"/>
      <c r="Q571" s="587"/>
      <c r="R571" s="635"/>
      <c r="S571" s="370"/>
      <c r="T571" s="371"/>
      <c r="U571" s="372"/>
      <c r="V571" s="373"/>
      <c r="W571" s="640"/>
      <c r="X571" s="404"/>
      <c r="Y571" s="372"/>
      <c r="Z571" s="381"/>
      <c r="AA571" s="225"/>
      <c r="AB571" s="361"/>
      <c r="AC571" s="533"/>
      <c r="AD571" s="225"/>
      <c r="AE571" s="361"/>
      <c r="AF571" s="533"/>
      <c r="AG571" s="225"/>
      <c r="AH571" s="361"/>
      <c r="AI571" s="533"/>
      <c r="AJ571" s="225"/>
      <c r="AK571" s="361"/>
      <c r="AL571" s="533"/>
      <c r="AM571" s="225"/>
      <c r="AN571" s="361"/>
      <c r="AO571" s="533"/>
      <c r="AP571" s="225"/>
      <c r="AQ571" s="361"/>
      <c r="AR571" s="533"/>
      <c r="AS571" s="320"/>
    </row>
    <row r="572" spans="1:45" ht="13.5" hidden="1" customHeight="1">
      <c r="A572" s="12"/>
      <c r="B572" s="647"/>
      <c r="C572" s="632"/>
      <c r="D572" s="632"/>
      <c r="E572" s="633"/>
      <c r="F572" s="524"/>
      <c r="G572" s="524"/>
      <c r="H572" s="362"/>
      <c r="I572" s="230"/>
      <c r="J572" s="230"/>
      <c r="K572" s="363"/>
      <c r="L572" s="364"/>
      <c r="M572" s="365"/>
      <c r="N572" s="630"/>
      <c r="O572" s="634"/>
      <c r="P572" s="368"/>
      <c r="Q572" s="587"/>
      <c r="R572" s="635"/>
      <c r="S572" s="370"/>
      <c r="T572" s="371"/>
      <c r="U572" s="372"/>
      <c r="V572" s="373"/>
      <c r="W572" s="636"/>
      <c r="X572" s="404"/>
      <c r="Y572" s="372"/>
      <c r="Z572" s="381"/>
      <c r="AA572" s="241"/>
      <c r="AB572" s="411"/>
      <c r="AC572" s="577"/>
      <c r="AD572" s="241"/>
      <c r="AE572" s="411"/>
      <c r="AF572" s="577"/>
      <c r="AG572" s="241"/>
      <c r="AH572" s="411"/>
      <c r="AI572" s="577"/>
      <c r="AJ572" s="241"/>
      <c r="AK572" s="411"/>
      <c r="AL572" s="577"/>
      <c r="AM572" s="241"/>
      <c r="AN572" s="411"/>
      <c r="AO572" s="577"/>
      <c r="AP572" s="241"/>
      <c r="AQ572" s="411"/>
      <c r="AR572" s="577"/>
    </row>
    <row r="573" spans="1:45" ht="13.5" hidden="1" customHeight="1">
      <c r="A573" s="12"/>
      <c r="B573" s="647" t="s">
        <v>1935</v>
      </c>
      <c r="C573" s="632">
        <v>3</v>
      </c>
      <c r="D573" s="632">
        <v>283</v>
      </c>
      <c r="E573" s="633"/>
      <c r="F573" s="524"/>
      <c r="G573" s="524"/>
      <c r="H573" s="362"/>
      <c r="I573" s="230"/>
      <c r="J573" s="230"/>
      <c r="K573" s="363"/>
      <c r="L573" s="364"/>
      <c r="M573" s="365"/>
      <c r="N573" s="366"/>
      <c r="O573" s="634"/>
      <c r="P573" s="368"/>
      <c r="Q573" s="587"/>
      <c r="R573" s="635"/>
      <c r="S573" s="370"/>
      <c r="T573" s="371"/>
      <c r="U573" s="372"/>
      <c r="V573" s="373"/>
      <c r="W573" s="640"/>
      <c r="X573" s="404"/>
      <c r="Y573" s="372"/>
      <c r="Z573" s="381"/>
      <c r="AA573" s="225"/>
      <c r="AB573" s="361"/>
      <c r="AC573" s="533"/>
      <c r="AD573" s="225"/>
      <c r="AE573" s="361"/>
      <c r="AF573" s="533"/>
      <c r="AG573" s="225"/>
      <c r="AH573" s="361"/>
      <c r="AI573" s="533"/>
      <c r="AJ573" s="225"/>
      <c r="AK573" s="361"/>
      <c r="AL573" s="533"/>
      <c r="AM573" s="225"/>
      <c r="AN573" s="361"/>
      <c r="AO573" s="533"/>
      <c r="AP573" s="225"/>
      <c r="AQ573" s="361"/>
      <c r="AR573" s="533"/>
      <c r="AS573" s="320"/>
    </row>
    <row r="574" spans="1:45" ht="13.5" hidden="1" customHeight="1">
      <c r="A574" s="12"/>
      <c r="B574" s="647"/>
      <c r="C574" s="632"/>
      <c r="D574" s="632"/>
      <c r="E574" s="633"/>
      <c r="F574" s="524"/>
      <c r="G574" s="524"/>
      <c r="H574" s="362"/>
      <c r="I574" s="230"/>
      <c r="J574" s="230"/>
      <c r="K574" s="363"/>
      <c r="L574" s="364"/>
      <c r="M574" s="365"/>
      <c r="N574" s="366"/>
      <c r="O574" s="634"/>
      <c r="P574" s="368"/>
      <c r="Q574" s="587"/>
      <c r="R574" s="635"/>
      <c r="S574" s="370"/>
      <c r="T574" s="371"/>
      <c r="U574" s="372"/>
      <c r="V574" s="373"/>
      <c r="W574" s="636"/>
      <c r="X574" s="404"/>
      <c r="Y574" s="372"/>
      <c r="Z574" s="381"/>
      <c r="AA574" s="241"/>
      <c r="AB574" s="411"/>
      <c r="AC574" s="577"/>
      <c r="AD574" s="241"/>
      <c r="AE574" s="411"/>
      <c r="AF574" s="577"/>
      <c r="AG574" s="241"/>
      <c r="AH574" s="411"/>
      <c r="AI574" s="577"/>
      <c r="AJ574" s="241"/>
      <c r="AK574" s="411"/>
      <c r="AL574" s="577"/>
      <c r="AM574" s="241"/>
      <c r="AN574" s="411"/>
      <c r="AO574" s="577"/>
      <c r="AP574" s="241"/>
      <c r="AQ574" s="411"/>
      <c r="AR574" s="577"/>
    </row>
    <row r="575" spans="1:45" ht="13.5" hidden="1" customHeight="1">
      <c r="A575" s="12"/>
      <c r="B575" s="647" t="s">
        <v>1935</v>
      </c>
      <c r="C575" s="632">
        <v>4</v>
      </c>
      <c r="D575" s="632">
        <v>284</v>
      </c>
      <c r="E575" s="633"/>
      <c r="F575" s="524"/>
      <c r="G575" s="524"/>
      <c r="H575" s="362"/>
      <c r="I575" s="230"/>
      <c r="J575" s="230"/>
      <c r="K575" s="363"/>
      <c r="L575" s="364"/>
      <c r="M575" s="365"/>
      <c r="N575" s="366"/>
      <c r="O575" s="634"/>
      <c r="P575" s="368"/>
      <c r="Q575" s="587"/>
      <c r="R575" s="635"/>
      <c r="S575" s="370"/>
      <c r="T575" s="371"/>
      <c r="U575" s="372"/>
      <c r="V575" s="373"/>
      <c r="W575" s="640"/>
      <c r="X575" s="404"/>
      <c r="Y575" s="372"/>
      <c r="Z575" s="381"/>
      <c r="AA575" s="225"/>
      <c r="AB575" s="361"/>
      <c r="AC575" s="533"/>
      <c r="AD575" s="225"/>
      <c r="AE575" s="361"/>
      <c r="AF575" s="533"/>
      <c r="AG575" s="225"/>
      <c r="AH575" s="361"/>
      <c r="AI575" s="533"/>
      <c r="AJ575" s="225"/>
      <c r="AK575" s="361"/>
      <c r="AL575" s="533"/>
      <c r="AM575" s="225"/>
      <c r="AN575" s="361"/>
      <c r="AO575" s="533"/>
      <c r="AP575" s="225"/>
      <c r="AQ575" s="361"/>
      <c r="AR575" s="533"/>
      <c r="AS575" s="320"/>
    </row>
    <row r="576" spans="1:45" ht="13.5" hidden="1" customHeight="1">
      <c r="A576" s="12"/>
      <c r="B576" s="647"/>
      <c r="C576" s="632"/>
      <c r="D576" s="632"/>
      <c r="E576" s="633"/>
      <c r="F576" s="524"/>
      <c r="G576" s="524"/>
      <c r="H576" s="362"/>
      <c r="I576" s="230"/>
      <c r="J576" s="230"/>
      <c r="K576" s="363"/>
      <c r="L576" s="364"/>
      <c r="M576" s="365"/>
      <c r="N576" s="366"/>
      <c r="O576" s="634"/>
      <c r="P576" s="368"/>
      <c r="Q576" s="587"/>
      <c r="R576" s="635"/>
      <c r="S576" s="370"/>
      <c r="T576" s="371"/>
      <c r="U576" s="372"/>
      <c r="V576" s="373"/>
      <c r="W576" s="636"/>
      <c r="X576" s="404"/>
      <c r="Y576" s="372"/>
      <c r="Z576" s="381"/>
      <c r="AA576" s="241"/>
      <c r="AB576" s="411"/>
      <c r="AC576" s="577"/>
      <c r="AD576" s="241"/>
      <c r="AE576" s="411"/>
      <c r="AF576" s="577"/>
      <c r="AG576" s="241"/>
      <c r="AH576" s="411"/>
      <c r="AI576" s="577"/>
      <c r="AJ576" s="241"/>
      <c r="AK576" s="411"/>
      <c r="AL576" s="577"/>
      <c r="AM576" s="241"/>
      <c r="AN576" s="411"/>
      <c r="AO576" s="577"/>
      <c r="AP576" s="241"/>
      <c r="AQ576" s="411"/>
      <c r="AR576" s="577"/>
    </row>
    <row r="577" spans="1:45" ht="13.5" hidden="1" customHeight="1">
      <c r="A577" s="12"/>
      <c r="B577" s="647" t="s">
        <v>1935</v>
      </c>
      <c r="C577" s="632">
        <v>5</v>
      </c>
      <c r="D577" s="632">
        <v>285</v>
      </c>
      <c r="E577" s="633"/>
      <c r="F577" s="524"/>
      <c r="G577" s="524"/>
      <c r="H577" s="362"/>
      <c r="I577" s="230"/>
      <c r="J577" s="230"/>
      <c r="K577" s="363"/>
      <c r="L577" s="364"/>
      <c r="M577" s="365"/>
      <c r="N577" s="366"/>
      <c r="O577" s="634"/>
      <c r="P577" s="368"/>
      <c r="Q577" s="587"/>
      <c r="R577" s="635"/>
      <c r="S577" s="370"/>
      <c r="T577" s="371"/>
      <c r="U577" s="372"/>
      <c r="V577" s="373"/>
      <c r="W577" s="640"/>
      <c r="X577" s="404"/>
      <c r="Y577" s="372"/>
      <c r="Z577" s="381"/>
      <c r="AA577" s="225"/>
      <c r="AB577" s="361"/>
      <c r="AC577" s="533"/>
      <c r="AD577" s="225"/>
      <c r="AE577" s="361"/>
      <c r="AF577" s="533"/>
      <c r="AG577" s="225"/>
      <c r="AH577" s="361"/>
      <c r="AI577" s="533"/>
      <c r="AJ577" s="225"/>
      <c r="AK577" s="361"/>
      <c r="AL577" s="533"/>
      <c r="AM577" s="225"/>
      <c r="AN577" s="361"/>
      <c r="AO577" s="533"/>
      <c r="AP577" s="225"/>
      <c r="AQ577" s="361"/>
      <c r="AR577" s="533"/>
      <c r="AS577" s="320"/>
    </row>
    <row r="578" spans="1:45" ht="13.5" hidden="1" customHeight="1">
      <c r="A578" s="12"/>
      <c r="B578" s="647"/>
      <c r="C578" s="632"/>
      <c r="D578" s="632"/>
      <c r="E578" s="633"/>
      <c r="F578" s="524"/>
      <c r="G578" s="524"/>
      <c r="H578" s="362"/>
      <c r="I578" s="230"/>
      <c r="J578" s="230"/>
      <c r="K578" s="363"/>
      <c r="L578" s="364"/>
      <c r="M578" s="365"/>
      <c r="N578" s="366"/>
      <c r="O578" s="634"/>
      <c r="P578" s="368"/>
      <c r="Q578" s="587"/>
      <c r="R578" s="635"/>
      <c r="S578" s="370"/>
      <c r="T578" s="371"/>
      <c r="U578" s="372"/>
      <c r="V578" s="373"/>
      <c r="W578" s="636"/>
      <c r="X578" s="404"/>
      <c r="Y578" s="372"/>
      <c r="Z578" s="381"/>
      <c r="AA578" s="241"/>
      <c r="AB578" s="411"/>
      <c r="AC578" s="577"/>
      <c r="AD578" s="241"/>
      <c r="AE578" s="411"/>
      <c r="AF578" s="577"/>
      <c r="AG578" s="241"/>
      <c r="AH578" s="411"/>
      <c r="AI578" s="577"/>
      <c r="AJ578" s="241"/>
      <c r="AK578" s="411"/>
      <c r="AL578" s="577"/>
      <c r="AM578" s="241"/>
      <c r="AN578" s="411"/>
      <c r="AO578" s="577"/>
      <c r="AP578" s="241"/>
      <c r="AQ578" s="411"/>
      <c r="AR578" s="577"/>
    </row>
    <row r="579" spans="1:45" ht="13.5" hidden="1" customHeight="1">
      <c r="A579" s="12"/>
      <c r="B579" s="647" t="s">
        <v>1935</v>
      </c>
      <c r="C579" s="632">
        <v>6</v>
      </c>
      <c r="D579" s="632">
        <v>286</v>
      </c>
      <c r="E579" s="633"/>
      <c r="F579" s="524"/>
      <c r="G579" s="524"/>
      <c r="H579" s="362"/>
      <c r="I579" s="230"/>
      <c r="J579" s="230"/>
      <c r="K579" s="363"/>
      <c r="L579" s="364"/>
      <c r="M579" s="365"/>
      <c r="N579" s="366"/>
      <c r="O579" s="634"/>
      <c r="P579" s="368"/>
      <c r="Q579" s="587"/>
      <c r="R579" s="635"/>
      <c r="S579" s="370"/>
      <c r="T579" s="371"/>
      <c r="U579" s="387"/>
      <c r="V579" s="648"/>
      <c r="W579" s="640"/>
      <c r="X579" s="404"/>
      <c r="Y579" s="372"/>
      <c r="Z579" s="381"/>
      <c r="AA579" s="225"/>
      <c r="AB579" s="361"/>
      <c r="AC579" s="533"/>
      <c r="AD579" s="225"/>
      <c r="AE579" s="361"/>
      <c r="AF579" s="533"/>
      <c r="AG579" s="225"/>
      <c r="AH579" s="361"/>
      <c r="AI579" s="533"/>
      <c r="AJ579" s="225"/>
      <c r="AK579" s="361"/>
      <c r="AL579" s="533"/>
      <c r="AM579" s="225"/>
      <c r="AN579" s="361"/>
      <c r="AO579" s="533"/>
      <c r="AP579" s="225"/>
      <c r="AQ579" s="361"/>
      <c r="AR579" s="533"/>
      <c r="AS579" s="320"/>
    </row>
    <row r="580" spans="1:45" ht="13.5" hidden="1" customHeight="1">
      <c r="A580" s="12"/>
      <c r="B580" s="647"/>
      <c r="C580" s="632"/>
      <c r="D580" s="632"/>
      <c r="E580" s="633"/>
      <c r="F580" s="524"/>
      <c r="G580" s="524"/>
      <c r="H580" s="362"/>
      <c r="I580" s="230"/>
      <c r="J580" s="230"/>
      <c r="K580" s="363"/>
      <c r="L580" s="364"/>
      <c r="M580" s="365"/>
      <c r="N580" s="366"/>
      <c r="O580" s="634"/>
      <c r="P580" s="368"/>
      <c r="Q580" s="587"/>
      <c r="R580" s="635"/>
      <c r="S580" s="370"/>
      <c r="T580" s="371"/>
      <c r="U580" s="376"/>
      <c r="V580" s="649"/>
      <c r="W580" s="636"/>
      <c r="X580" s="404"/>
      <c r="Y580" s="372"/>
      <c r="Z580" s="381"/>
      <c r="AA580" s="241"/>
      <c r="AB580" s="411"/>
      <c r="AC580" s="577"/>
      <c r="AD580" s="241"/>
      <c r="AE580" s="411"/>
      <c r="AF580" s="577"/>
      <c r="AG580" s="241"/>
      <c r="AH580" s="411"/>
      <c r="AI580" s="577"/>
      <c r="AJ580" s="241"/>
      <c r="AK580" s="411"/>
      <c r="AL580" s="577"/>
      <c r="AM580" s="241"/>
      <c r="AN580" s="411"/>
      <c r="AO580" s="577"/>
      <c r="AP580" s="241"/>
      <c r="AQ580" s="411"/>
      <c r="AR580" s="577"/>
    </row>
    <row r="581" spans="1:45" ht="13.5" hidden="1" customHeight="1">
      <c r="A581" s="12"/>
      <c r="B581" s="647" t="s">
        <v>1935</v>
      </c>
      <c r="C581" s="632">
        <v>7</v>
      </c>
      <c r="D581" s="632">
        <v>287</v>
      </c>
      <c r="E581" s="633"/>
      <c r="F581" s="524"/>
      <c r="G581" s="524"/>
      <c r="H581" s="362"/>
      <c r="I581" s="230"/>
      <c r="J581" s="230"/>
      <c r="K581" s="363"/>
      <c r="L581" s="364"/>
      <c r="M581" s="365"/>
      <c r="N581" s="366"/>
      <c r="O581" s="634"/>
      <c r="P581" s="368"/>
      <c r="Q581" s="587"/>
      <c r="R581" s="635"/>
      <c r="S581" s="370"/>
      <c r="T581" s="371"/>
      <c r="U581" s="372"/>
      <c r="V581" s="373"/>
      <c r="W581" s="640"/>
      <c r="X581" s="404"/>
      <c r="Y581" s="372"/>
      <c r="Z581" s="381"/>
      <c r="AA581" s="225"/>
      <c r="AB581" s="361"/>
      <c r="AC581" s="533"/>
      <c r="AD581" s="225"/>
      <c r="AE581" s="361"/>
      <c r="AF581" s="533"/>
      <c r="AG581" s="225"/>
      <c r="AH581" s="361"/>
      <c r="AI581" s="533"/>
      <c r="AJ581" s="225"/>
      <c r="AK581" s="361"/>
      <c r="AL581" s="533"/>
      <c r="AM581" s="225"/>
      <c r="AN581" s="361"/>
      <c r="AO581" s="533"/>
      <c r="AP581" s="225"/>
      <c r="AQ581" s="361"/>
      <c r="AR581" s="533"/>
      <c r="AS581" s="320"/>
    </row>
    <row r="582" spans="1:45" ht="13.5" hidden="1" customHeight="1">
      <c r="A582" s="12"/>
      <c r="B582" s="647"/>
      <c r="C582" s="632"/>
      <c r="D582" s="632"/>
      <c r="E582" s="633"/>
      <c r="F582" s="524"/>
      <c r="G582" s="524"/>
      <c r="H582" s="362"/>
      <c r="I582" s="230"/>
      <c r="J582" s="230"/>
      <c r="K582" s="363"/>
      <c r="L582" s="364"/>
      <c r="M582" s="365"/>
      <c r="N582" s="366"/>
      <c r="O582" s="634"/>
      <c r="P582" s="368"/>
      <c r="Q582" s="587"/>
      <c r="R582" s="635"/>
      <c r="S582" s="370"/>
      <c r="T582" s="371"/>
      <c r="U582" s="372"/>
      <c r="V582" s="373"/>
      <c r="W582" s="636"/>
      <c r="X582" s="404"/>
      <c r="Y582" s="372"/>
      <c r="Z582" s="381"/>
      <c r="AA582" s="241"/>
      <c r="AB582" s="411"/>
      <c r="AC582" s="577"/>
      <c r="AD582" s="241"/>
      <c r="AE582" s="411"/>
      <c r="AF582" s="577"/>
      <c r="AG582" s="241"/>
      <c r="AH582" s="411"/>
      <c r="AI582" s="577"/>
      <c r="AJ582" s="241"/>
      <c r="AK582" s="411"/>
      <c r="AL582" s="577"/>
      <c r="AM582" s="241"/>
      <c r="AN582" s="411"/>
      <c r="AO582" s="577"/>
      <c r="AP582" s="241"/>
      <c r="AQ582" s="411"/>
      <c r="AR582" s="577"/>
    </row>
    <row r="583" spans="1:45" ht="13.5" hidden="1" customHeight="1">
      <c r="A583" s="12"/>
      <c r="B583" s="647" t="s">
        <v>1935</v>
      </c>
      <c r="C583" s="632">
        <v>8</v>
      </c>
      <c r="D583" s="632">
        <v>288</v>
      </c>
      <c r="E583" s="633"/>
      <c r="F583" s="524"/>
      <c r="G583" s="524"/>
      <c r="H583" s="362"/>
      <c r="I583" s="230"/>
      <c r="J583" s="230"/>
      <c r="K583" s="597"/>
      <c r="L583" s="364"/>
      <c r="M583" s="365"/>
      <c r="N583" s="366"/>
      <c r="O583" s="359"/>
      <c r="P583" s="454"/>
      <c r="Q583" s="592"/>
      <c r="R583" s="639"/>
      <c r="S583" s="650"/>
      <c r="T583" s="421"/>
      <c r="U583" s="387"/>
      <c r="V583" s="648"/>
      <c r="W583" s="640"/>
      <c r="X583" s="404"/>
      <c r="Y583" s="372"/>
      <c r="Z583" s="381"/>
      <c r="AA583" s="225"/>
      <c r="AB583" s="361"/>
      <c r="AC583" s="533"/>
      <c r="AD583" s="225"/>
      <c r="AE583" s="361"/>
      <c r="AF583" s="533"/>
      <c r="AG583" s="225"/>
      <c r="AH583" s="361"/>
      <c r="AI583" s="533"/>
      <c r="AJ583" s="225"/>
      <c r="AK583" s="361"/>
      <c r="AL583" s="533"/>
      <c r="AM583" s="225"/>
      <c r="AN583" s="361"/>
      <c r="AO583" s="533"/>
      <c r="AP583" s="225"/>
      <c r="AQ583" s="361"/>
      <c r="AR583" s="533"/>
      <c r="AS583" s="320"/>
    </row>
    <row r="584" spans="1:45" ht="13.5" hidden="1" customHeight="1">
      <c r="A584" s="12"/>
      <c r="B584" s="647"/>
      <c r="C584" s="632"/>
      <c r="D584" s="632"/>
      <c r="E584" s="633"/>
      <c r="F584" s="524"/>
      <c r="G584" s="524"/>
      <c r="H584" s="362"/>
      <c r="I584" s="230"/>
      <c r="J584" s="230"/>
      <c r="K584" s="412"/>
      <c r="L584" s="364"/>
      <c r="M584" s="365"/>
      <c r="N584" s="366"/>
      <c r="O584" s="359"/>
      <c r="P584" s="581"/>
      <c r="Q584" s="608"/>
      <c r="R584" s="643"/>
      <c r="S584" s="651"/>
      <c r="T584" s="434"/>
      <c r="U584" s="376"/>
      <c r="V584" s="649"/>
      <c r="W584" s="636"/>
      <c r="X584" s="404"/>
      <c r="Y584" s="372"/>
      <c r="Z584" s="381"/>
      <c r="AA584" s="241"/>
      <c r="AB584" s="411"/>
      <c r="AC584" s="577"/>
      <c r="AD584" s="241"/>
      <c r="AE584" s="411"/>
      <c r="AF584" s="577"/>
      <c r="AG584" s="241"/>
      <c r="AH584" s="411"/>
      <c r="AI584" s="577"/>
      <c r="AJ584" s="241"/>
      <c r="AK584" s="411"/>
      <c r="AL584" s="577"/>
      <c r="AM584" s="241"/>
      <c r="AN584" s="411"/>
      <c r="AO584" s="577"/>
      <c r="AP584" s="241"/>
      <c r="AQ584" s="411"/>
      <c r="AR584" s="577"/>
    </row>
    <row r="585" spans="1:45" ht="13.5" hidden="1" customHeight="1">
      <c r="A585" s="12"/>
      <c r="B585" s="647" t="s">
        <v>1935</v>
      </c>
      <c r="C585" s="632">
        <v>9</v>
      </c>
      <c r="D585" s="632">
        <v>289</v>
      </c>
      <c r="E585" s="633"/>
      <c r="F585" s="524"/>
      <c r="G585" s="524"/>
      <c r="H585" s="362"/>
      <c r="I585" s="230"/>
      <c r="J585" s="230"/>
      <c r="K585" s="412"/>
      <c r="L585" s="364"/>
      <c r="M585" s="365"/>
      <c r="N585" s="366"/>
      <c r="O585" s="359"/>
      <c r="P585" s="581"/>
      <c r="Q585" s="608"/>
      <c r="R585" s="643"/>
      <c r="S585" s="651"/>
      <c r="T585" s="421"/>
      <c r="U585" s="372"/>
      <c r="V585" s="373"/>
      <c r="W585" s="640"/>
      <c r="X585" s="404"/>
      <c r="Y585" s="372"/>
      <c r="Z585" s="381"/>
      <c r="AA585" s="225"/>
      <c r="AB585" s="361"/>
      <c r="AC585" s="533"/>
      <c r="AD585" s="225"/>
      <c r="AE585" s="361"/>
      <c r="AF585" s="533"/>
      <c r="AG585" s="225"/>
      <c r="AH585" s="361"/>
      <c r="AI585" s="533"/>
      <c r="AJ585" s="225"/>
      <c r="AK585" s="361"/>
      <c r="AL585" s="533"/>
      <c r="AM585" s="225"/>
      <c r="AN585" s="361"/>
      <c r="AO585" s="533"/>
      <c r="AP585" s="225"/>
      <c r="AQ585" s="361"/>
      <c r="AR585" s="533"/>
      <c r="AS585" s="320"/>
    </row>
    <row r="586" spans="1:45" ht="13.5" hidden="1" customHeight="1">
      <c r="A586" s="12"/>
      <c r="B586" s="647"/>
      <c r="C586" s="632"/>
      <c r="D586" s="632"/>
      <c r="E586" s="633"/>
      <c r="F586" s="524"/>
      <c r="G586" s="524"/>
      <c r="H586" s="362"/>
      <c r="I586" s="230"/>
      <c r="J586" s="230"/>
      <c r="K586" s="438"/>
      <c r="L586" s="364"/>
      <c r="M586" s="365"/>
      <c r="N586" s="366"/>
      <c r="O586" s="359"/>
      <c r="P586" s="429"/>
      <c r="Q586" s="609"/>
      <c r="R586" s="646"/>
      <c r="S586" s="652"/>
      <c r="T586" s="434"/>
      <c r="U586" s="372"/>
      <c r="V586" s="373"/>
      <c r="W586" s="636"/>
      <c r="X586" s="404"/>
      <c r="Y586" s="372"/>
      <c r="Z586" s="381"/>
      <c r="AA586" s="241"/>
      <c r="AB586" s="411"/>
      <c r="AC586" s="577"/>
      <c r="AD586" s="241"/>
      <c r="AE586" s="411"/>
      <c r="AF586" s="577"/>
      <c r="AG586" s="241"/>
      <c r="AH586" s="411"/>
      <c r="AI586" s="577"/>
      <c r="AJ586" s="241"/>
      <c r="AK586" s="411"/>
      <c r="AL586" s="577"/>
      <c r="AM586" s="241"/>
      <c r="AN586" s="411"/>
      <c r="AO586" s="577"/>
      <c r="AP586" s="241"/>
      <c r="AQ586" s="411"/>
      <c r="AR586" s="577"/>
    </row>
    <row r="587" spans="1:45" ht="13.5" hidden="1" customHeight="1">
      <c r="A587" s="12"/>
      <c r="B587" s="647" t="s">
        <v>1935</v>
      </c>
      <c r="C587" s="632">
        <v>10</v>
      </c>
      <c r="D587" s="632">
        <v>290</v>
      </c>
      <c r="E587" s="633"/>
      <c r="F587" s="524"/>
      <c r="G587" s="524"/>
      <c r="H587" s="362"/>
      <c r="I587" s="230"/>
      <c r="J587" s="230"/>
      <c r="K587" s="363"/>
      <c r="L587" s="364"/>
      <c r="M587" s="365"/>
      <c r="N587" s="366"/>
      <c r="O587" s="634"/>
      <c r="P587" s="368"/>
      <c r="Q587" s="587"/>
      <c r="R587" s="635"/>
      <c r="S587" s="370"/>
      <c r="T587" s="371"/>
      <c r="U587" s="372"/>
      <c r="V587" s="373"/>
      <c r="W587" s="640"/>
      <c r="X587" s="404"/>
      <c r="Y587" s="372"/>
      <c r="Z587" s="381"/>
      <c r="AA587" s="225"/>
      <c r="AB587" s="361"/>
      <c r="AC587" s="533"/>
      <c r="AD587" s="225"/>
      <c r="AE587" s="361"/>
      <c r="AF587" s="533"/>
      <c r="AG587" s="225"/>
      <c r="AH587" s="361"/>
      <c r="AI587" s="533"/>
      <c r="AJ587" s="225"/>
      <c r="AK587" s="361"/>
      <c r="AL587" s="533"/>
      <c r="AM587" s="225"/>
      <c r="AN587" s="361"/>
      <c r="AO587" s="533"/>
      <c r="AP587" s="225"/>
      <c r="AQ587" s="361"/>
      <c r="AR587" s="533"/>
      <c r="AS587" s="320"/>
    </row>
    <row r="588" spans="1:45" ht="13.5" hidden="1" customHeight="1">
      <c r="A588" s="12"/>
      <c r="B588" s="647"/>
      <c r="C588" s="632"/>
      <c r="D588" s="632"/>
      <c r="E588" s="633"/>
      <c r="F588" s="524"/>
      <c r="G588" s="524"/>
      <c r="H588" s="362"/>
      <c r="I588" s="230"/>
      <c r="J588" s="230"/>
      <c r="K588" s="363"/>
      <c r="L588" s="364"/>
      <c r="M588" s="365"/>
      <c r="N588" s="366"/>
      <c r="O588" s="634"/>
      <c r="P588" s="368"/>
      <c r="Q588" s="587"/>
      <c r="R588" s="635"/>
      <c r="S588" s="370"/>
      <c r="T588" s="371"/>
      <c r="U588" s="372"/>
      <c r="V588" s="373"/>
      <c r="W588" s="636"/>
      <c r="X588" s="404"/>
      <c r="Y588" s="372"/>
      <c r="Z588" s="381"/>
      <c r="AA588" s="241"/>
      <c r="AB588" s="411"/>
      <c r="AC588" s="577"/>
      <c r="AD588" s="241"/>
      <c r="AE588" s="411"/>
      <c r="AF588" s="577"/>
      <c r="AG588" s="241"/>
      <c r="AH588" s="411"/>
      <c r="AI588" s="577"/>
      <c r="AJ588" s="241"/>
      <c r="AK588" s="411"/>
      <c r="AL588" s="577"/>
      <c r="AM588" s="241"/>
      <c r="AN588" s="411"/>
      <c r="AO588" s="577"/>
      <c r="AP588" s="241"/>
      <c r="AQ588" s="411"/>
      <c r="AR588" s="577"/>
    </row>
    <row r="589" spans="1:45" ht="13.5" hidden="1" customHeight="1">
      <c r="A589" s="12"/>
      <c r="B589" s="647" t="s">
        <v>1935</v>
      </c>
      <c r="C589" s="632">
        <v>11</v>
      </c>
      <c r="D589" s="632">
        <v>291</v>
      </c>
      <c r="E589" s="633"/>
      <c r="F589" s="524"/>
      <c r="G589" s="524"/>
      <c r="H589" s="362"/>
      <c r="I589" s="230"/>
      <c r="J589" s="230"/>
      <c r="K589" s="363"/>
      <c r="L589" s="364"/>
      <c r="M589" s="365"/>
      <c r="N589" s="366"/>
      <c r="O589" s="634"/>
      <c r="P589" s="368"/>
      <c r="Q589" s="587"/>
      <c r="R589" s="635"/>
      <c r="S589" s="370"/>
      <c r="T589" s="371"/>
      <c r="U589" s="372"/>
      <c r="V589" s="373"/>
      <c r="W589" s="640"/>
      <c r="X589" s="404"/>
      <c r="Y589" s="372"/>
      <c r="Z589" s="381"/>
      <c r="AA589" s="225"/>
      <c r="AB589" s="361"/>
      <c r="AC589" s="533"/>
      <c r="AD589" s="225"/>
      <c r="AE589" s="361"/>
      <c r="AF589" s="533"/>
      <c r="AG589" s="225"/>
      <c r="AH589" s="361"/>
      <c r="AI589" s="533"/>
      <c r="AJ589" s="225"/>
      <c r="AK589" s="361"/>
      <c r="AL589" s="533"/>
      <c r="AM589" s="225"/>
      <c r="AN589" s="361"/>
      <c r="AO589" s="533"/>
      <c r="AP589" s="225"/>
      <c r="AQ589" s="361"/>
      <c r="AR589" s="533"/>
      <c r="AS589" s="320"/>
    </row>
    <row r="590" spans="1:45" ht="13.5" hidden="1" customHeight="1">
      <c r="A590" s="12"/>
      <c r="B590" s="647"/>
      <c r="C590" s="632"/>
      <c r="D590" s="632"/>
      <c r="E590" s="633"/>
      <c r="F590" s="524"/>
      <c r="G590" s="524"/>
      <c r="H590" s="362"/>
      <c r="I590" s="230"/>
      <c r="J590" s="230"/>
      <c r="K590" s="363"/>
      <c r="L590" s="364"/>
      <c r="M590" s="365"/>
      <c r="N590" s="366"/>
      <c r="O590" s="634"/>
      <c r="P590" s="368"/>
      <c r="Q590" s="587"/>
      <c r="R590" s="635"/>
      <c r="S590" s="370"/>
      <c r="T590" s="371"/>
      <c r="U590" s="372"/>
      <c r="V590" s="373"/>
      <c r="W590" s="636"/>
      <c r="X590" s="404"/>
      <c r="Y590" s="372"/>
      <c r="Z590" s="381"/>
      <c r="AA590" s="241"/>
      <c r="AB590" s="411"/>
      <c r="AC590" s="577"/>
      <c r="AD590" s="241"/>
      <c r="AE590" s="411"/>
      <c r="AF590" s="577"/>
      <c r="AG590" s="241"/>
      <c r="AH590" s="411"/>
      <c r="AI590" s="577"/>
      <c r="AJ590" s="241"/>
      <c r="AK590" s="411"/>
      <c r="AL590" s="577"/>
      <c r="AM590" s="241"/>
      <c r="AN590" s="411"/>
      <c r="AO590" s="577"/>
      <c r="AP590" s="241"/>
      <c r="AQ590" s="411"/>
      <c r="AR590" s="577"/>
    </row>
    <row r="591" spans="1:45" ht="13.5" hidden="1" customHeight="1">
      <c r="A591" s="12"/>
      <c r="B591" s="647" t="s">
        <v>1935</v>
      </c>
      <c r="C591" s="632">
        <v>12</v>
      </c>
      <c r="D591" s="632">
        <v>292</v>
      </c>
      <c r="E591" s="633"/>
      <c r="F591" s="524"/>
      <c r="G591" s="524"/>
      <c r="H591" s="362"/>
      <c r="I591" s="230"/>
      <c r="J591" s="230"/>
      <c r="K591" s="363"/>
      <c r="L591" s="364"/>
      <c r="M591" s="365"/>
      <c r="N591" s="366"/>
      <c r="O591" s="634"/>
      <c r="P591" s="368"/>
      <c r="Q591" s="587"/>
      <c r="R591" s="635"/>
      <c r="S591" s="629"/>
      <c r="T591" s="371"/>
      <c r="U591" s="372"/>
      <c r="V591" s="373"/>
      <c r="W591" s="640"/>
      <c r="X591" s="404"/>
      <c r="Y591" s="372"/>
      <c r="Z591" s="381"/>
      <c r="AA591" s="225"/>
      <c r="AB591" s="361"/>
      <c r="AC591" s="533"/>
      <c r="AD591" s="225"/>
      <c r="AE591" s="361"/>
      <c r="AF591" s="533"/>
      <c r="AG591" s="225"/>
      <c r="AH591" s="361"/>
      <c r="AI591" s="533"/>
      <c r="AJ591" s="225"/>
      <c r="AK591" s="361"/>
      <c r="AL591" s="533"/>
      <c r="AM591" s="225"/>
      <c r="AN591" s="361"/>
      <c r="AO591" s="533"/>
      <c r="AP591" s="225"/>
      <c r="AQ591" s="361"/>
      <c r="AR591" s="533"/>
      <c r="AS591" s="320"/>
    </row>
    <row r="592" spans="1:45" ht="13.5" hidden="1" customHeight="1">
      <c r="A592" s="12"/>
      <c r="B592" s="647"/>
      <c r="C592" s="632"/>
      <c r="D592" s="632"/>
      <c r="E592" s="633"/>
      <c r="F592" s="524"/>
      <c r="G592" s="524"/>
      <c r="H592" s="362"/>
      <c r="I592" s="230"/>
      <c r="J592" s="230"/>
      <c r="K592" s="363"/>
      <c r="L592" s="364"/>
      <c r="M592" s="365"/>
      <c r="N592" s="366"/>
      <c r="O592" s="634"/>
      <c r="P592" s="368"/>
      <c r="Q592" s="587"/>
      <c r="R592" s="635"/>
      <c r="S592" s="370"/>
      <c r="T592" s="371"/>
      <c r="U592" s="372"/>
      <c r="V592" s="373"/>
      <c r="W592" s="636"/>
      <c r="X592" s="404"/>
      <c r="Y592" s="372"/>
      <c r="Z592" s="381"/>
      <c r="AA592" s="241"/>
      <c r="AB592" s="411"/>
      <c r="AC592" s="577"/>
      <c r="AD592" s="241"/>
      <c r="AE592" s="411"/>
      <c r="AF592" s="577"/>
      <c r="AG592" s="241"/>
      <c r="AH592" s="411"/>
      <c r="AI592" s="577"/>
      <c r="AJ592" s="241"/>
      <c r="AK592" s="411"/>
      <c r="AL592" s="577"/>
      <c r="AM592" s="241"/>
      <c r="AN592" s="411"/>
      <c r="AO592" s="577"/>
      <c r="AP592" s="241"/>
      <c r="AQ592" s="411"/>
      <c r="AR592" s="577"/>
    </row>
    <row r="593" spans="1:45" ht="13.5" hidden="1" customHeight="1">
      <c r="A593" s="12"/>
      <c r="B593" s="647" t="s">
        <v>1935</v>
      </c>
      <c r="C593" s="632">
        <v>13</v>
      </c>
      <c r="D593" s="632">
        <v>293</v>
      </c>
      <c r="E593" s="653"/>
      <c r="F593" s="524"/>
      <c r="G593" s="524"/>
      <c r="H593" s="362"/>
      <c r="I593" s="230"/>
      <c r="J593" s="230"/>
      <c r="K593" s="363"/>
      <c r="L593" s="364"/>
      <c r="M593" s="365"/>
      <c r="N593" s="366"/>
      <c r="O593" s="634"/>
      <c r="P593" s="368"/>
      <c r="Q593" s="587"/>
      <c r="R593" s="635"/>
      <c r="S593" s="370"/>
      <c r="T593" s="371"/>
      <c r="U593" s="372"/>
      <c r="V593" s="373"/>
      <c r="W593" s="640"/>
      <c r="X593" s="404"/>
      <c r="Y593" s="372"/>
      <c r="Z593" s="381"/>
      <c r="AA593" s="225"/>
      <c r="AB593" s="361"/>
      <c r="AC593" s="533"/>
      <c r="AD593" s="225"/>
      <c r="AE593" s="361"/>
      <c r="AF593" s="533"/>
      <c r="AG593" s="225"/>
      <c r="AH593" s="361"/>
      <c r="AI593" s="533"/>
      <c r="AJ593" s="225"/>
      <c r="AK593" s="361"/>
      <c r="AL593" s="533"/>
      <c r="AM593" s="225"/>
      <c r="AN593" s="361"/>
      <c r="AO593" s="533"/>
      <c r="AP593" s="225"/>
      <c r="AQ593" s="361"/>
      <c r="AR593" s="533"/>
      <c r="AS593" s="320"/>
    </row>
    <row r="594" spans="1:45" ht="13.5" hidden="1" customHeight="1">
      <c r="A594" s="12"/>
      <c r="B594" s="647"/>
      <c r="C594" s="632"/>
      <c r="D594" s="632"/>
      <c r="E594" s="653"/>
      <c r="F594" s="524"/>
      <c r="G594" s="524"/>
      <c r="H594" s="362"/>
      <c r="I594" s="230"/>
      <c r="J594" s="230"/>
      <c r="K594" s="363"/>
      <c r="L594" s="364"/>
      <c r="M594" s="365"/>
      <c r="N594" s="366"/>
      <c r="O594" s="634"/>
      <c r="P594" s="368"/>
      <c r="Q594" s="587"/>
      <c r="R594" s="635"/>
      <c r="S594" s="370"/>
      <c r="T594" s="371"/>
      <c r="U594" s="372"/>
      <c r="V594" s="373"/>
      <c r="W594" s="636"/>
      <c r="X594" s="404"/>
      <c r="Y594" s="372"/>
      <c r="Z594" s="381"/>
      <c r="AA594" s="241"/>
      <c r="AB594" s="411"/>
      <c r="AC594" s="577"/>
      <c r="AD594" s="241"/>
      <c r="AE594" s="411"/>
      <c r="AF594" s="577"/>
      <c r="AG594" s="241"/>
      <c r="AH594" s="411"/>
      <c r="AI594" s="577"/>
      <c r="AJ594" s="241"/>
      <c r="AK594" s="411"/>
      <c r="AL594" s="577"/>
      <c r="AM594" s="241"/>
      <c r="AN594" s="411"/>
      <c r="AO594" s="577"/>
      <c r="AP594" s="241"/>
      <c r="AQ594" s="411"/>
      <c r="AR594" s="577"/>
    </row>
    <row r="595" spans="1:45" ht="13.5" hidden="1" customHeight="1">
      <c r="A595" s="12"/>
      <c r="B595" s="647" t="s">
        <v>1935</v>
      </c>
      <c r="C595" s="632">
        <v>14</v>
      </c>
      <c r="D595" s="632">
        <v>294</v>
      </c>
      <c r="E595" s="633"/>
      <c r="F595" s="524"/>
      <c r="G595" s="524"/>
      <c r="H595" s="362"/>
      <c r="I595" s="230"/>
      <c r="J595" s="230"/>
      <c r="K595" s="363"/>
      <c r="L595" s="364"/>
      <c r="M595" s="365"/>
      <c r="N595" s="366"/>
      <c r="O595" s="634"/>
      <c r="P595" s="368"/>
      <c r="Q595" s="587"/>
      <c r="R595" s="635"/>
      <c r="S595" s="629"/>
      <c r="T595" s="371"/>
      <c r="U595" s="372"/>
      <c r="V595" s="373"/>
      <c r="W595" s="640"/>
      <c r="X595" s="404"/>
      <c r="Y595" s="372"/>
      <c r="Z595" s="381"/>
      <c r="AA595" s="225"/>
      <c r="AB595" s="361"/>
      <c r="AC595" s="533"/>
      <c r="AD595" s="225"/>
      <c r="AE595" s="361"/>
      <c r="AF595" s="533"/>
      <c r="AG595" s="225"/>
      <c r="AH595" s="361"/>
      <c r="AI595" s="533"/>
      <c r="AJ595" s="225"/>
      <c r="AK595" s="361"/>
      <c r="AL595" s="533"/>
      <c r="AM595" s="225"/>
      <c r="AN595" s="361"/>
      <c r="AO595" s="533"/>
      <c r="AP595" s="225"/>
      <c r="AQ595" s="361"/>
      <c r="AR595" s="533"/>
      <c r="AS595" s="320"/>
    </row>
    <row r="596" spans="1:45" ht="13.5" hidden="1" customHeight="1">
      <c r="A596" s="12"/>
      <c r="B596" s="647"/>
      <c r="C596" s="632"/>
      <c r="D596" s="632"/>
      <c r="E596" s="633"/>
      <c r="F596" s="524"/>
      <c r="G596" s="524"/>
      <c r="H596" s="362"/>
      <c r="I596" s="230"/>
      <c r="J596" s="230"/>
      <c r="K596" s="363"/>
      <c r="L596" s="364"/>
      <c r="M596" s="365"/>
      <c r="N596" s="366"/>
      <c r="O596" s="634"/>
      <c r="P596" s="368"/>
      <c r="Q596" s="587"/>
      <c r="R596" s="635"/>
      <c r="S596" s="370"/>
      <c r="T596" s="371"/>
      <c r="U596" s="372"/>
      <c r="V596" s="373"/>
      <c r="W596" s="636"/>
      <c r="X596" s="404"/>
      <c r="Y596" s="372"/>
      <c r="Z596" s="381"/>
      <c r="AA596" s="241"/>
      <c r="AB596" s="411"/>
      <c r="AC596" s="577"/>
      <c r="AD596" s="241"/>
      <c r="AE596" s="411"/>
      <c r="AF596" s="577"/>
      <c r="AG596" s="241"/>
      <c r="AH596" s="411"/>
      <c r="AI596" s="577"/>
      <c r="AJ596" s="241"/>
      <c r="AK596" s="411"/>
      <c r="AL596" s="577"/>
      <c r="AM596" s="241"/>
      <c r="AN596" s="411"/>
      <c r="AO596" s="577"/>
      <c r="AP596" s="241"/>
      <c r="AQ596" s="411"/>
      <c r="AR596" s="577"/>
    </row>
    <row r="597" spans="1:45" ht="13.5" hidden="1" customHeight="1">
      <c r="A597" s="12"/>
      <c r="B597" s="647" t="s">
        <v>1935</v>
      </c>
      <c r="C597" s="632">
        <v>15</v>
      </c>
      <c r="D597" s="632">
        <v>295</v>
      </c>
      <c r="E597" s="633"/>
      <c r="F597" s="524"/>
      <c r="G597" s="524"/>
      <c r="H597" s="362"/>
      <c r="I597" s="230"/>
      <c r="J597" s="230"/>
      <c r="K597" s="597"/>
      <c r="L597" s="451"/>
      <c r="M597" s="452"/>
      <c r="N597" s="366"/>
      <c r="O597" s="634"/>
      <c r="P597" s="368"/>
      <c r="Q597" s="587"/>
      <c r="R597" s="635"/>
      <c r="S597" s="370"/>
      <c r="T597" s="371"/>
      <c r="U597" s="372"/>
      <c r="V597" s="373"/>
      <c r="W597" s="640"/>
      <c r="X597" s="404"/>
      <c r="Y597" s="372"/>
      <c r="Z597" s="381"/>
      <c r="AA597" s="225"/>
      <c r="AB597" s="361"/>
      <c r="AC597" s="533"/>
      <c r="AD597" s="225"/>
      <c r="AE597" s="361"/>
      <c r="AF597" s="533"/>
      <c r="AG597" s="225"/>
      <c r="AH597" s="361"/>
      <c r="AI597" s="533"/>
      <c r="AJ597" s="225"/>
      <c r="AK597" s="361"/>
      <c r="AL597" s="533"/>
      <c r="AM597" s="225"/>
      <c r="AN597" s="361"/>
      <c r="AO597" s="533"/>
      <c r="AP597" s="225"/>
      <c r="AQ597" s="361"/>
      <c r="AR597" s="533"/>
      <c r="AS597" s="320"/>
    </row>
    <row r="598" spans="1:45" ht="13.5" hidden="1" customHeight="1">
      <c r="A598" s="12"/>
      <c r="B598" s="647"/>
      <c r="C598" s="632"/>
      <c r="D598" s="632"/>
      <c r="E598" s="633"/>
      <c r="F598" s="524"/>
      <c r="G598" s="524"/>
      <c r="H598" s="362"/>
      <c r="I598" s="230"/>
      <c r="J598" s="230"/>
      <c r="K598" s="412"/>
      <c r="L598" s="413"/>
      <c r="M598" s="604"/>
      <c r="N598" s="366"/>
      <c r="O598" s="634"/>
      <c r="P598" s="368"/>
      <c r="Q598" s="587"/>
      <c r="R598" s="635"/>
      <c r="S598" s="370"/>
      <c r="T598" s="371"/>
      <c r="U598" s="372"/>
      <c r="V598" s="373"/>
      <c r="W598" s="636"/>
      <c r="X598" s="404"/>
      <c r="Y598" s="372"/>
      <c r="Z598" s="381"/>
      <c r="AA598" s="241"/>
      <c r="AB598" s="411"/>
      <c r="AC598" s="577"/>
      <c r="AD598" s="241"/>
      <c r="AE598" s="411"/>
      <c r="AF598" s="577"/>
      <c r="AG598" s="241"/>
      <c r="AH598" s="411"/>
      <c r="AI598" s="577"/>
      <c r="AJ598" s="241"/>
      <c r="AK598" s="411"/>
      <c r="AL598" s="577"/>
      <c r="AM598" s="241"/>
      <c r="AN598" s="411"/>
      <c r="AO598" s="577"/>
      <c r="AP598" s="241"/>
      <c r="AQ598" s="411"/>
      <c r="AR598" s="577"/>
    </row>
    <row r="599" spans="1:45" ht="13.5" hidden="1" customHeight="1">
      <c r="A599" s="12"/>
      <c r="B599" s="647" t="s">
        <v>1935</v>
      </c>
      <c r="C599" s="632">
        <v>16</v>
      </c>
      <c r="D599" s="632">
        <v>296</v>
      </c>
      <c r="E599" s="633"/>
      <c r="F599" s="524"/>
      <c r="G599" s="524"/>
      <c r="H599" s="362"/>
      <c r="I599" s="230"/>
      <c r="J599" s="230"/>
      <c r="K599" s="412"/>
      <c r="L599" s="413"/>
      <c r="M599" s="604"/>
      <c r="N599" s="366"/>
      <c r="O599" s="634"/>
      <c r="P599" s="368"/>
      <c r="Q599" s="587"/>
      <c r="R599" s="635"/>
      <c r="S599" s="370"/>
      <c r="T599" s="371"/>
      <c r="U599" s="372"/>
      <c r="V599" s="373"/>
      <c r="W599" s="640"/>
      <c r="X599" s="404"/>
      <c r="Y599" s="372"/>
      <c r="Z599" s="381"/>
      <c r="AA599" s="225"/>
      <c r="AB599" s="361"/>
      <c r="AC599" s="533"/>
      <c r="AD599" s="225"/>
      <c r="AE599" s="361"/>
      <c r="AF599" s="533"/>
      <c r="AG599" s="225"/>
      <c r="AH599" s="361"/>
      <c r="AI599" s="533"/>
      <c r="AJ599" s="225"/>
      <c r="AK599" s="361"/>
      <c r="AL599" s="533"/>
      <c r="AM599" s="225"/>
      <c r="AN599" s="361"/>
      <c r="AO599" s="533"/>
      <c r="AP599" s="225"/>
      <c r="AQ599" s="361"/>
      <c r="AR599" s="533"/>
      <c r="AS599" s="320"/>
    </row>
    <row r="600" spans="1:45" ht="13.5" hidden="1" customHeight="1">
      <c r="A600" s="12"/>
      <c r="B600" s="647"/>
      <c r="C600" s="632"/>
      <c r="D600" s="632"/>
      <c r="E600" s="633"/>
      <c r="F600" s="524"/>
      <c r="G600" s="524"/>
      <c r="H600" s="362"/>
      <c r="I600" s="230"/>
      <c r="J600" s="230"/>
      <c r="K600" s="438"/>
      <c r="L600" s="427"/>
      <c r="M600" s="439"/>
      <c r="N600" s="366"/>
      <c r="O600" s="634"/>
      <c r="P600" s="368"/>
      <c r="Q600" s="587"/>
      <c r="R600" s="635"/>
      <c r="S600" s="370"/>
      <c r="T600" s="371"/>
      <c r="U600" s="372"/>
      <c r="V600" s="373"/>
      <c r="W600" s="636"/>
      <c r="X600" s="404"/>
      <c r="Y600" s="372"/>
      <c r="Z600" s="381"/>
      <c r="AA600" s="241"/>
      <c r="AB600" s="411"/>
      <c r="AC600" s="577"/>
      <c r="AD600" s="241"/>
      <c r="AE600" s="411"/>
      <c r="AF600" s="577"/>
      <c r="AG600" s="241"/>
      <c r="AH600" s="411"/>
      <c r="AI600" s="577"/>
      <c r="AJ600" s="241"/>
      <c r="AK600" s="411"/>
      <c r="AL600" s="577"/>
      <c r="AM600" s="241"/>
      <c r="AN600" s="411"/>
      <c r="AO600" s="577"/>
      <c r="AP600" s="241"/>
      <c r="AQ600" s="411"/>
      <c r="AR600" s="577"/>
    </row>
    <row r="601" spans="1:45" ht="13.5" hidden="1" customHeight="1">
      <c r="A601" s="12"/>
      <c r="B601" s="647" t="s">
        <v>1935</v>
      </c>
      <c r="C601" s="632">
        <v>17</v>
      </c>
      <c r="D601" s="632">
        <v>297</v>
      </c>
      <c r="E601" s="633"/>
      <c r="F601" s="524"/>
      <c r="G601" s="524"/>
      <c r="H601" s="362"/>
      <c r="I601" s="230"/>
      <c r="J601" s="230"/>
      <c r="K601" s="363"/>
      <c r="L601" s="364"/>
      <c r="M601" s="452"/>
      <c r="N601" s="409"/>
      <c r="O601" s="638"/>
      <c r="P601" s="454"/>
      <c r="Q601" s="592"/>
      <c r="R601" s="639"/>
      <c r="S601" s="650"/>
      <c r="T601" s="421"/>
      <c r="U601" s="372"/>
      <c r="V601" s="373"/>
      <c r="W601" s="640"/>
      <c r="X601" s="404"/>
      <c r="Y601" s="372"/>
      <c r="Z601" s="381"/>
      <c r="AA601" s="225"/>
      <c r="AB601" s="361"/>
      <c r="AC601" s="533"/>
      <c r="AD601" s="225"/>
      <c r="AE601" s="361"/>
      <c r="AF601" s="533"/>
      <c r="AG601" s="225"/>
      <c r="AH601" s="361"/>
      <c r="AI601" s="533"/>
      <c r="AJ601" s="225"/>
      <c r="AK601" s="361"/>
      <c r="AL601" s="533"/>
      <c r="AM601" s="225"/>
      <c r="AN601" s="361"/>
      <c r="AO601" s="533"/>
      <c r="AP601" s="225"/>
      <c r="AQ601" s="361"/>
      <c r="AR601" s="533"/>
      <c r="AS601" s="320"/>
    </row>
    <row r="602" spans="1:45" ht="13.5" hidden="1" customHeight="1">
      <c r="A602" s="12"/>
      <c r="B602" s="647"/>
      <c r="C602" s="632"/>
      <c r="D602" s="632"/>
      <c r="E602" s="633"/>
      <c r="F602" s="524"/>
      <c r="G602" s="524"/>
      <c r="H602" s="362"/>
      <c r="I602" s="230"/>
      <c r="J602" s="230"/>
      <c r="K602" s="363"/>
      <c r="L602" s="364"/>
      <c r="M602" s="604"/>
      <c r="N602" s="415"/>
      <c r="O602" s="642"/>
      <c r="P602" s="581"/>
      <c r="Q602" s="608"/>
      <c r="R602" s="643"/>
      <c r="S602" s="651"/>
      <c r="T602" s="606"/>
      <c r="U602" s="372"/>
      <c r="V602" s="373"/>
      <c r="W602" s="636"/>
      <c r="X602" s="404"/>
      <c r="Y602" s="372"/>
      <c r="Z602" s="381"/>
      <c r="AA602" s="241"/>
      <c r="AB602" s="411"/>
      <c r="AC602" s="577"/>
      <c r="AD602" s="241"/>
      <c r="AE602" s="411"/>
      <c r="AF602" s="577"/>
      <c r="AG602" s="241"/>
      <c r="AH602" s="411"/>
      <c r="AI602" s="577"/>
      <c r="AJ602" s="241"/>
      <c r="AK602" s="411"/>
      <c r="AL602" s="577"/>
      <c r="AM602" s="241"/>
      <c r="AN602" s="411"/>
      <c r="AO602" s="577"/>
      <c r="AP602" s="241"/>
      <c r="AQ602" s="411"/>
      <c r="AR602" s="577"/>
    </row>
    <row r="603" spans="1:45" ht="13.5" hidden="1" customHeight="1">
      <c r="A603" s="12"/>
      <c r="B603" s="647" t="s">
        <v>1935</v>
      </c>
      <c r="C603" s="632">
        <v>18</v>
      </c>
      <c r="D603" s="632">
        <v>298</v>
      </c>
      <c r="E603" s="633"/>
      <c r="F603" s="524"/>
      <c r="G603" s="524"/>
      <c r="H603" s="362"/>
      <c r="I603" s="230"/>
      <c r="J603" s="230"/>
      <c r="K603" s="363"/>
      <c r="L603" s="364"/>
      <c r="M603" s="604"/>
      <c r="N603" s="415"/>
      <c r="O603" s="642"/>
      <c r="P603" s="581"/>
      <c r="Q603" s="608"/>
      <c r="R603" s="643"/>
      <c r="S603" s="651"/>
      <c r="T603" s="606"/>
      <c r="U603" s="372"/>
      <c r="V603" s="373"/>
      <c r="W603" s="640"/>
      <c r="X603" s="404"/>
      <c r="Y603" s="372"/>
      <c r="Z603" s="381"/>
      <c r="AA603" s="225"/>
      <c r="AB603" s="361"/>
      <c r="AC603" s="533"/>
      <c r="AD603" s="225"/>
      <c r="AE603" s="361"/>
      <c r="AF603" s="533"/>
      <c r="AG603" s="225"/>
      <c r="AH603" s="361"/>
      <c r="AI603" s="533"/>
      <c r="AJ603" s="225"/>
      <c r="AK603" s="361"/>
      <c r="AL603" s="533"/>
      <c r="AM603" s="225"/>
      <c r="AN603" s="361"/>
      <c r="AO603" s="533"/>
      <c r="AP603" s="225"/>
      <c r="AQ603" s="361"/>
      <c r="AR603" s="533"/>
      <c r="AS603" s="320"/>
    </row>
    <row r="604" spans="1:45" ht="13.5" hidden="1" customHeight="1">
      <c r="A604" s="12"/>
      <c r="B604" s="647"/>
      <c r="C604" s="632"/>
      <c r="D604" s="632"/>
      <c r="E604" s="633"/>
      <c r="F604" s="524"/>
      <c r="G604" s="524"/>
      <c r="H604" s="362"/>
      <c r="I604" s="230"/>
      <c r="J604" s="230"/>
      <c r="K604" s="363"/>
      <c r="L604" s="364"/>
      <c r="M604" s="439"/>
      <c r="N604" s="425"/>
      <c r="O604" s="645"/>
      <c r="P604" s="429"/>
      <c r="Q604" s="609"/>
      <c r="R604" s="646"/>
      <c r="S604" s="652"/>
      <c r="T604" s="434"/>
      <c r="U604" s="372"/>
      <c r="V604" s="373"/>
      <c r="W604" s="636"/>
      <c r="X604" s="404"/>
      <c r="Y604" s="372"/>
      <c r="Z604" s="381"/>
      <c r="AA604" s="241"/>
      <c r="AB604" s="411"/>
      <c r="AC604" s="577"/>
      <c r="AD604" s="241"/>
      <c r="AE604" s="411"/>
      <c r="AF604" s="577"/>
      <c r="AG604" s="241"/>
      <c r="AH604" s="411"/>
      <c r="AI604" s="577"/>
      <c r="AJ604" s="241"/>
      <c r="AK604" s="411"/>
      <c r="AL604" s="577"/>
      <c r="AM604" s="241"/>
      <c r="AN604" s="411"/>
      <c r="AO604" s="577"/>
      <c r="AP604" s="241"/>
      <c r="AQ604" s="411"/>
      <c r="AR604" s="577"/>
    </row>
    <row r="605" spans="1:45" ht="13.5" hidden="1" customHeight="1">
      <c r="A605" s="12"/>
      <c r="B605" s="647" t="s">
        <v>1935</v>
      </c>
      <c r="C605" s="632">
        <v>19</v>
      </c>
      <c r="D605" s="632">
        <v>299</v>
      </c>
      <c r="E605" s="633"/>
      <c r="F605" s="524"/>
      <c r="G605" s="524"/>
      <c r="H605" s="362"/>
      <c r="I605" s="230"/>
      <c r="J605" s="230"/>
      <c r="K605" s="363"/>
      <c r="L605" s="364"/>
      <c r="M605" s="365"/>
      <c r="N605" s="366"/>
      <c r="O605" s="634"/>
      <c r="P605" s="368"/>
      <c r="Q605" s="587"/>
      <c r="R605" s="635"/>
      <c r="S605" s="629"/>
      <c r="T605" s="371"/>
      <c r="U605" s="372"/>
      <c r="V605" s="373"/>
      <c r="W605" s="640"/>
      <c r="X605" s="404"/>
      <c r="Y605" s="372"/>
      <c r="Z605" s="381"/>
      <c r="AA605" s="225"/>
      <c r="AB605" s="361"/>
      <c r="AC605" s="533"/>
      <c r="AD605" s="225"/>
      <c r="AE605" s="361"/>
      <c r="AF605" s="533"/>
      <c r="AG605" s="225"/>
      <c r="AH605" s="361"/>
      <c r="AI605" s="533"/>
      <c r="AJ605" s="225"/>
      <c r="AK605" s="361"/>
      <c r="AL605" s="533"/>
      <c r="AM605" s="225"/>
      <c r="AN605" s="361"/>
      <c r="AO605" s="533"/>
      <c r="AP605" s="225"/>
      <c r="AQ605" s="361"/>
      <c r="AR605" s="533"/>
      <c r="AS605" s="320"/>
    </row>
    <row r="606" spans="1:45" ht="13.5" hidden="1" customHeight="1">
      <c r="A606" s="12"/>
      <c r="B606" s="647"/>
      <c r="C606" s="632"/>
      <c r="D606" s="632"/>
      <c r="E606" s="633"/>
      <c r="F606" s="524"/>
      <c r="G606" s="524"/>
      <c r="H606" s="362"/>
      <c r="I606" s="230"/>
      <c r="J606" s="230"/>
      <c r="K606" s="363"/>
      <c r="L606" s="364"/>
      <c r="M606" s="365"/>
      <c r="N606" s="366"/>
      <c r="O606" s="634"/>
      <c r="P606" s="368"/>
      <c r="Q606" s="587"/>
      <c r="R606" s="635"/>
      <c r="S606" s="370"/>
      <c r="T606" s="371"/>
      <c r="U606" s="372"/>
      <c r="V606" s="373"/>
      <c r="W606" s="636"/>
      <c r="X606" s="404"/>
      <c r="Y606" s="372"/>
      <c r="Z606" s="381"/>
      <c r="AA606" s="241"/>
      <c r="AB606" s="411"/>
      <c r="AC606" s="577"/>
      <c r="AD606" s="241"/>
      <c r="AE606" s="411"/>
      <c r="AF606" s="577"/>
      <c r="AG606" s="241"/>
      <c r="AH606" s="411"/>
      <c r="AI606" s="577"/>
      <c r="AJ606" s="241"/>
      <c r="AK606" s="411"/>
      <c r="AL606" s="577"/>
      <c r="AM606" s="241"/>
      <c r="AN606" s="411"/>
      <c r="AO606" s="577"/>
      <c r="AP606" s="241"/>
      <c r="AQ606" s="411"/>
      <c r="AR606" s="577"/>
    </row>
    <row r="607" spans="1:45" ht="13.5" hidden="1" customHeight="1">
      <c r="A607" s="12"/>
      <c r="B607" s="647" t="s">
        <v>1935</v>
      </c>
      <c r="C607" s="632">
        <v>20</v>
      </c>
      <c r="D607" s="632">
        <v>300</v>
      </c>
      <c r="E607" s="633"/>
      <c r="F607" s="524"/>
      <c r="G607" s="524"/>
      <c r="H607" s="362"/>
      <c r="I607" s="230"/>
      <c r="J607" s="230"/>
      <c r="K607" s="363"/>
      <c r="L607" s="364"/>
      <c r="M607" s="365"/>
      <c r="N607" s="366"/>
      <c r="O607" s="634"/>
      <c r="P607" s="368"/>
      <c r="Q607" s="587"/>
      <c r="R607" s="635"/>
      <c r="S607" s="370"/>
      <c r="T607" s="371"/>
      <c r="U607" s="372"/>
      <c r="V607" s="373"/>
      <c r="W607" s="640"/>
      <c r="X607" s="404"/>
      <c r="Y607" s="372"/>
      <c r="Z607" s="381"/>
      <c r="AA607" s="225"/>
      <c r="AB607" s="361"/>
      <c r="AC607" s="533"/>
      <c r="AD607" s="225"/>
      <c r="AE607" s="361"/>
      <c r="AF607" s="533"/>
      <c r="AG607" s="225"/>
      <c r="AH607" s="361"/>
      <c r="AI607" s="533"/>
      <c r="AJ607" s="225"/>
      <c r="AK607" s="361"/>
      <c r="AL607" s="533"/>
      <c r="AM607" s="225"/>
      <c r="AN607" s="361"/>
      <c r="AO607" s="533"/>
      <c r="AP607" s="225"/>
      <c r="AQ607" s="361"/>
      <c r="AR607" s="533"/>
      <c r="AS607" s="320"/>
    </row>
    <row r="608" spans="1:45" ht="13.5" hidden="1" customHeight="1">
      <c r="A608" s="12"/>
      <c r="B608" s="647"/>
      <c r="C608" s="632"/>
      <c r="D608" s="632"/>
      <c r="E608" s="633"/>
      <c r="F608" s="524"/>
      <c r="G608" s="524"/>
      <c r="H608" s="362"/>
      <c r="I608" s="230"/>
      <c r="J608" s="230"/>
      <c r="K608" s="363"/>
      <c r="L608" s="364"/>
      <c r="M608" s="365"/>
      <c r="N608" s="366"/>
      <c r="O608" s="634"/>
      <c r="P608" s="368"/>
      <c r="Q608" s="587"/>
      <c r="R608" s="635"/>
      <c r="S608" s="370"/>
      <c r="T608" s="371"/>
      <c r="U608" s="372"/>
      <c r="V608" s="373"/>
      <c r="W608" s="636"/>
      <c r="X608" s="404"/>
      <c r="Y608" s="372"/>
      <c r="Z608" s="381"/>
      <c r="AA608" s="241"/>
      <c r="AB608" s="411"/>
      <c r="AC608" s="577"/>
      <c r="AD608" s="241"/>
      <c r="AE608" s="411"/>
      <c r="AF608" s="577"/>
      <c r="AG608" s="241"/>
      <c r="AH608" s="411"/>
      <c r="AI608" s="577"/>
      <c r="AJ608" s="241"/>
      <c r="AK608" s="411"/>
      <c r="AL608" s="577"/>
      <c r="AM608" s="241"/>
      <c r="AN608" s="411"/>
      <c r="AO608" s="577"/>
      <c r="AP608" s="241"/>
      <c r="AQ608" s="411"/>
      <c r="AR608" s="577"/>
    </row>
    <row r="609" spans="1:44" ht="15.75" hidden="1" customHeight="1">
      <c r="A609" s="309"/>
      <c r="B609" s="647" t="s">
        <v>1935</v>
      </c>
      <c r="C609" s="632">
        <v>25</v>
      </c>
      <c r="D609" s="632">
        <v>305</v>
      </c>
      <c r="E609" s="633"/>
      <c r="F609" s="524"/>
      <c r="G609" s="524"/>
      <c r="H609" s="362"/>
      <c r="I609" s="230"/>
      <c r="J609" s="230"/>
      <c r="K609" s="363"/>
      <c r="L609" s="364"/>
      <c r="M609" s="365"/>
      <c r="N609" s="630"/>
      <c r="O609" s="634"/>
      <c r="P609" s="368"/>
      <c r="Q609" s="587"/>
      <c r="R609" s="635"/>
      <c r="S609" s="370"/>
      <c r="T609" s="371"/>
      <c r="U609" s="372"/>
      <c r="V609" s="373"/>
      <c r="W609" s="640"/>
      <c r="X609" s="404"/>
      <c r="Y609" s="372"/>
      <c r="Z609" s="381"/>
      <c r="AA609" s="225"/>
      <c r="AB609" s="361"/>
      <c r="AC609" s="533"/>
      <c r="AD609" s="225"/>
      <c r="AE609" s="361"/>
      <c r="AF609" s="533"/>
      <c r="AG609" s="225"/>
      <c r="AH609" s="361"/>
      <c r="AI609" s="533"/>
      <c r="AJ609" s="225"/>
      <c r="AK609" s="361"/>
      <c r="AL609" s="533"/>
      <c r="AM609" s="225"/>
      <c r="AN609" s="361"/>
      <c r="AO609" s="533"/>
      <c r="AP609" s="225"/>
      <c r="AQ609" s="361"/>
      <c r="AR609" s="533"/>
    </row>
    <row r="610" spans="1:44" ht="15.75" hidden="1" customHeight="1">
      <c r="A610" s="309"/>
      <c r="B610" s="647"/>
      <c r="C610" s="632"/>
      <c r="D610" s="632"/>
      <c r="E610" s="633"/>
      <c r="F610" s="524"/>
      <c r="G610" s="524"/>
      <c r="H610" s="362"/>
      <c r="I610" s="230"/>
      <c r="J610" s="230"/>
      <c r="K610" s="363"/>
      <c r="L610" s="364"/>
      <c r="M610" s="365"/>
      <c r="N610" s="630"/>
      <c r="O610" s="634"/>
      <c r="P610" s="368"/>
      <c r="Q610" s="587"/>
      <c r="R610" s="635"/>
      <c r="S610" s="370"/>
      <c r="T610" s="371"/>
      <c r="U610" s="372"/>
      <c r="V610" s="373"/>
      <c r="W610" s="636"/>
      <c r="X610" s="404"/>
      <c r="Y610" s="372"/>
      <c r="Z610" s="381"/>
      <c r="AA610" s="241"/>
      <c r="AB610" s="411"/>
      <c r="AC610" s="577"/>
      <c r="AD610" s="241"/>
      <c r="AE610" s="411"/>
      <c r="AF610" s="577"/>
      <c r="AG610" s="241"/>
      <c r="AH610" s="411"/>
      <c r="AI610" s="577"/>
      <c r="AJ610" s="241"/>
      <c r="AK610" s="411"/>
      <c r="AL610" s="577"/>
      <c r="AM610" s="241"/>
      <c r="AN610" s="411"/>
      <c r="AO610" s="577"/>
      <c r="AP610" s="241"/>
      <c r="AQ610" s="411"/>
      <c r="AR610" s="577"/>
    </row>
    <row r="611" spans="1:44" ht="13.5" hidden="1" customHeight="1">
      <c r="A611" s="202"/>
      <c r="B611" s="647" t="s">
        <v>1935</v>
      </c>
      <c r="C611" s="632">
        <v>22</v>
      </c>
      <c r="D611" s="632">
        <v>302</v>
      </c>
      <c r="E611" s="633"/>
      <c r="F611" s="524"/>
      <c r="G611" s="524"/>
      <c r="H611" s="362"/>
      <c r="I611" s="230"/>
      <c r="J611" s="230"/>
      <c r="K611" s="363"/>
      <c r="L611" s="364"/>
      <c r="M611" s="365"/>
      <c r="N611" s="630"/>
      <c r="O611" s="634"/>
      <c r="P611" s="368"/>
      <c r="Q611" s="587"/>
      <c r="R611" s="635"/>
      <c r="S611" s="370"/>
      <c r="T611" s="371"/>
      <c r="U611" s="372"/>
      <c r="V611" s="373"/>
      <c r="W611" s="640"/>
      <c r="X611" s="404"/>
      <c r="Y611" s="372"/>
      <c r="Z611" s="381"/>
      <c r="AA611" s="225"/>
      <c r="AB611" s="361"/>
      <c r="AC611" s="533"/>
      <c r="AD611" s="225"/>
      <c r="AE611" s="361"/>
      <c r="AF611" s="533"/>
      <c r="AG611" s="225"/>
      <c r="AH611" s="361"/>
      <c r="AI611" s="533"/>
      <c r="AJ611" s="225"/>
      <c r="AK611" s="361"/>
      <c r="AL611" s="533"/>
      <c r="AM611" s="225"/>
      <c r="AN611" s="361"/>
      <c r="AO611" s="533"/>
      <c r="AP611" s="225"/>
      <c r="AQ611" s="361"/>
      <c r="AR611" s="533"/>
    </row>
    <row r="612" spans="1:44" ht="13.5" hidden="1" customHeight="1">
      <c r="A612" s="202"/>
      <c r="B612" s="647"/>
      <c r="C612" s="632"/>
      <c r="D612" s="632"/>
      <c r="E612" s="633"/>
      <c r="F612" s="524"/>
      <c r="G612" s="524"/>
      <c r="H612" s="362"/>
      <c r="I612" s="230"/>
      <c r="J612" s="230"/>
      <c r="K612" s="363"/>
      <c r="L612" s="364"/>
      <c r="M612" s="365"/>
      <c r="N612" s="630"/>
      <c r="O612" s="634"/>
      <c r="P612" s="368"/>
      <c r="Q612" s="587"/>
      <c r="R612" s="635"/>
      <c r="S612" s="370"/>
      <c r="T612" s="371"/>
      <c r="U612" s="372"/>
      <c r="V612" s="373"/>
      <c r="W612" s="636"/>
      <c r="X612" s="404"/>
      <c r="Y612" s="372"/>
      <c r="Z612" s="381"/>
      <c r="AA612" s="241"/>
      <c r="AB612" s="411"/>
      <c r="AC612" s="577"/>
      <c r="AD612" s="241"/>
      <c r="AE612" s="411"/>
      <c r="AF612" s="577"/>
      <c r="AG612" s="241"/>
      <c r="AH612" s="411"/>
      <c r="AI612" s="577"/>
      <c r="AJ612" s="241"/>
      <c r="AK612" s="411"/>
      <c r="AL612" s="577"/>
      <c r="AM612" s="241"/>
      <c r="AN612" s="411"/>
      <c r="AO612" s="577"/>
      <c r="AP612" s="241"/>
      <c r="AQ612" s="411"/>
      <c r="AR612" s="577"/>
    </row>
    <row r="613" spans="1:44" ht="13.5" hidden="1" customHeight="1">
      <c r="A613" s="202"/>
      <c r="B613" s="647" t="s">
        <v>1935</v>
      </c>
      <c r="C613" s="632">
        <v>21</v>
      </c>
      <c r="D613" s="632">
        <v>301</v>
      </c>
      <c r="E613" s="633"/>
      <c r="F613" s="524"/>
      <c r="G613" s="524"/>
      <c r="H613" s="362"/>
      <c r="I613" s="230"/>
      <c r="J613" s="230"/>
      <c r="K613" s="363"/>
      <c r="L613" s="364"/>
      <c r="M613" s="365"/>
      <c r="N613" s="366"/>
      <c r="O613" s="634"/>
      <c r="P613" s="368"/>
      <c r="Q613" s="587"/>
      <c r="R613" s="635"/>
      <c r="S613" s="629"/>
      <c r="T613" s="371"/>
      <c r="U613" s="372"/>
      <c r="V613" s="373"/>
      <c r="W613" s="640"/>
      <c r="X613" s="404"/>
      <c r="Y613" s="372"/>
      <c r="Z613" s="381"/>
      <c r="AA613" s="225"/>
      <c r="AB613" s="361"/>
      <c r="AC613" s="533"/>
      <c r="AD613" s="225"/>
      <c r="AE613" s="361"/>
      <c r="AF613" s="533"/>
      <c r="AG613" s="225"/>
      <c r="AH613" s="361"/>
      <c r="AI613" s="533"/>
      <c r="AJ613" s="225"/>
      <c r="AK613" s="361"/>
      <c r="AL613" s="533"/>
      <c r="AM613" s="225"/>
      <c r="AN613" s="361"/>
      <c r="AO613" s="533"/>
      <c r="AP613" s="225"/>
      <c r="AQ613" s="361"/>
      <c r="AR613" s="533"/>
    </row>
    <row r="614" spans="1:44" ht="13.5" hidden="1" customHeight="1">
      <c r="A614" s="202"/>
      <c r="B614" s="647"/>
      <c r="C614" s="632"/>
      <c r="D614" s="632"/>
      <c r="E614" s="633"/>
      <c r="F614" s="524"/>
      <c r="G614" s="524"/>
      <c r="H614" s="362"/>
      <c r="I614" s="230"/>
      <c r="J614" s="230"/>
      <c r="K614" s="363"/>
      <c r="L614" s="364"/>
      <c r="M614" s="365"/>
      <c r="N614" s="366"/>
      <c r="O614" s="634"/>
      <c r="P614" s="368"/>
      <c r="Q614" s="587"/>
      <c r="R614" s="635"/>
      <c r="S614" s="370"/>
      <c r="T614" s="371"/>
      <c r="U614" s="372"/>
      <c r="V614" s="373"/>
      <c r="W614" s="636"/>
      <c r="X614" s="404"/>
      <c r="Y614" s="372"/>
      <c r="Z614" s="381"/>
      <c r="AA614" s="241"/>
      <c r="AB614" s="411"/>
      <c r="AC614" s="577"/>
      <c r="AD614" s="241"/>
      <c r="AE614" s="411"/>
      <c r="AF614" s="577"/>
      <c r="AG614" s="241"/>
      <c r="AH614" s="411"/>
      <c r="AI614" s="577"/>
      <c r="AJ614" s="241"/>
      <c r="AK614" s="411"/>
      <c r="AL614" s="577"/>
      <c r="AM614" s="241"/>
      <c r="AN614" s="411"/>
      <c r="AO614" s="577"/>
      <c r="AP614" s="241"/>
      <c r="AQ614" s="411"/>
      <c r="AR614" s="577"/>
    </row>
    <row r="615" spans="1:44" ht="13.5" hidden="1" customHeight="1">
      <c r="A615" s="202"/>
      <c r="B615" s="647" t="s">
        <v>1935</v>
      </c>
      <c r="C615" s="632">
        <v>23</v>
      </c>
      <c r="D615" s="632">
        <v>303</v>
      </c>
      <c r="E615" s="633"/>
      <c r="F615" s="524"/>
      <c r="G615" s="524"/>
      <c r="H615" s="362"/>
      <c r="I615" s="230"/>
      <c r="J615" s="230"/>
      <c r="K615" s="363"/>
      <c r="L615" s="364"/>
      <c r="M615" s="365"/>
      <c r="N615" s="630"/>
      <c r="O615" s="634"/>
      <c r="P615" s="368"/>
      <c r="Q615" s="587"/>
      <c r="R615" s="635"/>
      <c r="S615" s="629"/>
      <c r="T615" s="371"/>
      <c r="U615" s="372"/>
      <c r="V615" s="373"/>
      <c r="W615" s="640"/>
      <c r="X615" s="404"/>
      <c r="Y615" s="372"/>
      <c r="Z615" s="381"/>
      <c r="AA615" s="225"/>
      <c r="AB615" s="361"/>
      <c r="AC615" s="533"/>
      <c r="AD615" s="225"/>
      <c r="AE615" s="361"/>
      <c r="AF615" s="533"/>
      <c r="AG615" s="225"/>
      <c r="AH615" s="361"/>
      <c r="AI615" s="533"/>
      <c r="AJ615" s="225"/>
      <c r="AK615" s="361"/>
      <c r="AL615" s="533"/>
      <c r="AM615" s="225"/>
      <c r="AN615" s="361"/>
      <c r="AO615" s="533"/>
      <c r="AP615" s="225"/>
      <c r="AQ615" s="361"/>
      <c r="AR615" s="533"/>
    </row>
    <row r="616" spans="1:44" ht="13.5" hidden="1" customHeight="1">
      <c r="A616" s="202"/>
      <c r="B616" s="647"/>
      <c r="C616" s="632"/>
      <c r="D616" s="632"/>
      <c r="E616" s="633"/>
      <c r="F616" s="524"/>
      <c r="G616" s="524"/>
      <c r="H616" s="362"/>
      <c r="I616" s="230"/>
      <c r="J616" s="230"/>
      <c r="K616" s="363"/>
      <c r="L616" s="364"/>
      <c r="M616" s="365"/>
      <c r="N616" s="630"/>
      <c r="O616" s="634"/>
      <c r="P616" s="368"/>
      <c r="Q616" s="587"/>
      <c r="R616" s="635"/>
      <c r="S616" s="370"/>
      <c r="T616" s="371"/>
      <c r="U616" s="372"/>
      <c r="V616" s="373"/>
      <c r="W616" s="636"/>
      <c r="X616" s="404"/>
      <c r="Y616" s="372"/>
      <c r="Z616" s="381"/>
      <c r="AA616" s="241"/>
      <c r="AB616" s="411"/>
      <c r="AC616" s="577"/>
      <c r="AD616" s="241"/>
      <c r="AE616" s="411"/>
      <c r="AF616" s="577"/>
      <c r="AG616" s="241"/>
      <c r="AH616" s="411"/>
      <c r="AI616" s="577"/>
      <c r="AJ616" s="241"/>
      <c r="AK616" s="411"/>
      <c r="AL616" s="577"/>
      <c r="AM616" s="241"/>
      <c r="AN616" s="411"/>
      <c r="AO616" s="577"/>
      <c r="AP616" s="241"/>
      <c r="AQ616" s="411"/>
      <c r="AR616" s="577"/>
    </row>
    <row r="617" spans="1:44" ht="13.5" hidden="1" customHeight="1">
      <c r="A617" s="202"/>
      <c r="B617" s="647" t="s">
        <v>1935</v>
      </c>
      <c r="C617" s="632">
        <v>24</v>
      </c>
      <c r="D617" s="632">
        <v>304</v>
      </c>
      <c r="E617" s="633"/>
      <c r="F617" s="524"/>
      <c r="G617" s="524"/>
      <c r="H617" s="362"/>
      <c r="I617" s="230"/>
      <c r="J617" s="230"/>
      <c r="K617" s="363"/>
      <c r="L617" s="364"/>
      <c r="M617" s="365"/>
      <c r="N617" s="366"/>
      <c r="O617" s="634"/>
      <c r="P617" s="368"/>
      <c r="Q617" s="587"/>
      <c r="R617" s="635"/>
      <c r="S617" s="370"/>
      <c r="T617" s="371"/>
      <c r="U617" s="372"/>
      <c r="V617" s="373"/>
      <c r="W617" s="640"/>
      <c r="X617" s="404"/>
      <c r="Y617" s="372"/>
      <c r="Z617" s="381"/>
      <c r="AA617" s="225"/>
      <c r="AB617" s="361"/>
      <c r="AC617" s="533"/>
      <c r="AD617" s="225"/>
      <c r="AE617" s="361"/>
      <c r="AF617" s="533"/>
      <c r="AG617" s="225"/>
      <c r="AH617" s="361"/>
      <c r="AI617" s="533"/>
      <c r="AJ617" s="225"/>
      <c r="AK617" s="361"/>
      <c r="AL617" s="533"/>
      <c r="AM617" s="225"/>
      <c r="AN617" s="361"/>
      <c r="AO617" s="533"/>
      <c r="AP617" s="225"/>
      <c r="AQ617" s="361"/>
      <c r="AR617" s="533"/>
    </row>
    <row r="618" spans="1:44" ht="13.5" hidden="1" customHeight="1">
      <c r="A618" s="202"/>
      <c r="B618" s="647"/>
      <c r="C618" s="632"/>
      <c r="D618" s="632"/>
      <c r="E618" s="633"/>
      <c r="F618" s="524"/>
      <c r="G618" s="524"/>
      <c r="H618" s="362"/>
      <c r="I618" s="230"/>
      <c r="J618" s="230"/>
      <c r="K618" s="363"/>
      <c r="L618" s="364"/>
      <c r="M618" s="365"/>
      <c r="N618" s="366"/>
      <c r="O618" s="634"/>
      <c r="P618" s="368"/>
      <c r="Q618" s="587"/>
      <c r="R618" s="635"/>
      <c r="S618" s="370"/>
      <c r="T618" s="371"/>
      <c r="U618" s="372"/>
      <c r="V618" s="373"/>
      <c r="W618" s="636"/>
      <c r="X618" s="404"/>
      <c r="Y618" s="372"/>
      <c r="Z618" s="381"/>
      <c r="AA618" s="241"/>
      <c r="AB618" s="411"/>
      <c r="AC618" s="577"/>
      <c r="AD618" s="241"/>
      <c r="AE618" s="411"/>
      <c r="AF618" s="577"/>
      <c r="AG618" s="241"/>
      <c r="AH618" s="411"/>
      <c r="AI618" s="577"/>
      <c r="AJ618" s="241"/>
      <c r="AK618" s="411"/>
      <c r="AL618" s="577"/>
      <c r="AM618" s="241"/>
      <c r="AN618" s="411"/>
      <c r="AO618" s="577"/>
      <c r="AP618" s="241"/>
      <c r="AQ618" s="411"/>
      <c r="AR618" s="577"/>
    </row>
    <row r="619" spans="1:44" ht="15.75" hidden="1" customHeight="1">
      <c r="A619" s="309"/>
      <c r="B619" s="647" t="s">
        <v>1935</v>
      </c>
      <c r="C619" s="632">
        <v>26</v>
      </c>
      <c r="D619" s="632">
        <v>306</v>
      </c>
      <c r="E619" s="633"/>
      <c r="F619" s="524"/>
      <c r="G619" s="524"/>
      <c r="H619" s="362"/>
      <c r="I619" s="230"/>
      <c r="J619" s="230"/>
      <c r="K619" s="363"/>
      <c r="L619" s="364"/>
      <c r="M619" s="365"/>
      <c r="N619" s="366"/>
      <c r="O619" s="634"/>
      <c r="P619" s="368"/>
      <c r="Q619" s="587"/>
      <c r="R619" s="635"/>
      <c r="S619" s="370"/>
      <c r="T619" s="371"/>
      <c r="U619" s="372"/>
      <c r="V619" s="373"/>
      <c r="W619" s="640"/>
      <c r="X619" s="404"/>
      <c r="Y619" s="372"/>
      <c r="Z619" s="381"/>
      <c r="AA619" s="225"/>
      <c r="AB619" s="361"/>
      <c r="AC619" s="533"/>
      <c r="AD619" s="225"/>
      <c r="AE619" s="361"/>
      <c r="AF619" s="533"/>
      <c r="AG619" s="225"/>
      <c r="AH619" s="361"/>
      <c r="AI619" s="533"/>
      <c r="AJ619" s="225"/>
      <c r="AK619" s="361"/>
      <c r="AL619" s="533"/>
      <c r="AM619" s="225"/>
      <c r="AN619" s="361"/>
      <c r="AO619" s="533"/>
      <c r="AP619" s="225"/>
      <c r="AQ619" s="361"/>
      <c r="AR619" s="533"/>
    </row>
    <row r="620" spans="1:44" ht="15.75" hidden="1" customHeight="1">
      <c r="A620" s="309"/>
      <c r="B620" s="647"/>
      <c r="C620" s="632"/>
      <c r="D620" s="632"/>
      <c r="E620" s="633"/>
      <c r="F620" s="524"/>
      <c r="G620" s="524"/>
      <c r="H620" s="362"/>
      <c r="I620" s="230"/>
      <c r="J620" s="230"/>
      <c r="K620" s="363"/>
      <c r="L620" s="364"/>
      <c r="M620" s="365"/>
      <c r="N620" s="366"/>
      <c r="O620" s="634"/>
      <c r="P620" s="368"/>
      <c r="Q620" s="587"/>
      <c r="R620" s="635"/>
      <c r="S620" s="370"/>
      <c r="T620" s="371"/>
      <c r="U620" s="372"/>
      <c r="V620" s="373"/>
      <c r="W620" s="636"/>
      <c r="X620" s="404"/>
      <c r="Y620" s="372"/>
      <c r="Z620" s="381"/>
      <c r="AA620" s="241"/>
      <c r="AB620" s="411"/>
      <c r="AC620" s="577"/>
      <c r="AD620" s="241"/>
      <c r="AE620" s="411"/>
      <c r="AF620" s="577"/>
      <c r="AG620" s="241"/>
      <c r="AH620" s="411"/>
      <c r="AI620" s="577"/>
      <c r="AJ620" s="241"/>
      <c r="AK620" s="411"/>
      <c r="AL620" s="577"/>
      <c r="AM620" s="241"/>
      <c r="AN620" s="411"/>
      <c r="AO620" s="577"/>
      <c r="AP620" s="241"/>
      <c r="AQ620" s="411"/>
      <c r="AR620" s="577"/>
    </row>
    <row r="621" spans="1:44" ht="15.75" hidden="1" customHeight="1">
      <c r="A621" s="309"/>
      <c r="B621" s="647" t="s">
        <v>1935</v>
      </c>
      <c r="C621" s="632">
        <v>27</v>
      </c>
      <c r="D621" s="632">
        <v>307</v>
      </c>
      <c r="E621" s="633"/>
      <c r="F621" s="524"/>
      <c r="G621" s="524"/>
      <c r="H621" s="362"/>
      <c r="I621" s="230"/>
      <c r="J621" s="230"/>
      <c r="K621" s="363"/>
      <c r="L621" s="364"/>
      <c r="M621" s="365"/>
      <c r="N621" s="630"/>
      <c r="O621" s="634"/>
      <c r="P621" s="368"/>
      <c r="Q621" s="587"/>
      <c r="R621" s="635"/>
      <c r="S621" s="629"/>
      <c r="T621" s="371"/>
      <c r="U621" s="372"/>
      <c r="V621" s="373"/>
      <c r="W621" s="640"/>
      <c r="X621" s="404"/>
      <c r="Y621" s="372"/>
      <c r="Z621" s="381"/>
      <c r="AA621" s="225"/>
      <c r="AB621" s="361"/>
      <c r="AC621" s="533"/>
      <c r="AD621" s="225"/>
      <c r="AE621" s="361"/>
      <c r="AF621" s="533"/>
      <c r="AG621" s="225"/>
      <c r="AH621" s="361"/>
      <c r="AI621" s="533"/>
      <c r="AJ621" s="225"/>
      <c r="AK621" s="361"/>
      <c r="AL621" s="533"/>
      <c r="AM621" s="225"/>
      <c r="AN621" s="361"/>
      <c r="AO621" s="533"/>
      <c r="AP621" s="225"/>
      <c r="AQ621" s="361"/>
      <c r="AR621" s="533"/>
    </row>
    <row r="622" spans="1:44" ht="15.75" hidden="1" customHeight="1">
      <c r="A622" s="309"/>
      <c r="B622" s="647"/>
      <c r="C622" s="632"/>
      <c r="D622" s="632"/>
      <c r="E622" s="633"/>
      <c r="F622" s="524"/>
      <c r="G622" s="524"/>
      <c r="H622" s="362"/>
      <c r="I622" s="230"/>
      <c r="J622" s="230"/>
      <c r="K622" s="363"/>
      <c r="L622" s="364"/>
      <c r="M622" s="365"/>
      <c r="N622" s="630"/>
      <c r="O622" s="634"/>
      <c r="P622" s="368"/>
      <c r="Q622" s="587"/>
      <c r="R622" s="635"/>
      <c r="S622" s="370"/>
      <c r="T622" s="371"/>
      <c r="U622" s="372"/>
      <c r="V622" s="373"/>
      <c r="W622" s="636"/>
      <c r="X622" s="404"/>
      <c r="Y622" s="372"/>
      <c r="Z622" s="381"/>
      <c r="AA622" s="241"/>
      <c r="AB622" s="411"/>
      <c r="AC622" s="577"/>
      <c r="AD622" s="241"/>
      <c r="AE622" s="411"/>
      <c r="AF622" s="577"/>
      <c r="AG622" s="241"/>
      <c r="AH622" s="411"/>
      <c r="AI622" s="577"/>
      <c r="AJ622" s="241"/>
      <c r="AK622" s="411"/>
      <c r="AL622" s="577"/>
      <c r="AM622" s="241"/>
      <c r="AN622" s="411"/>
      <c r="AO622" s="577"/>
      <c r="AP622" s="241"/>
      <c r="AQ622" s="411"/>
      <c r="AR622" s="577"/>
    </row>
    <row r="623" spans="1:44" ht="15.75" hidden="1" customHeight="1">
      <c r="A623" s="309"/>
      <c r="B623" s="647" t="s">
        <v>1935</v>
      </c>
      <c r="C623" s="632">
        <v>28</v>
      </c>
      <c r="D623" s="632">
        <v>308</v>
      </c>
      <c r="E623" s="633"/>
      <c r="F623" s="524"/>
      <c r="G623" s="524"/>
      <c r="H623" s="362"/>
      <c r="I623" s="230"/>
      <c r="J623" s="230"/>
      <c r="K623" s="363"/>
      <c r="L623" s="364"/>
      <c r="M623" s="365"/>
      <c r="N623" s="366"/>
      <c r="O623" s="634"/>
      <c r="P623" s="454"/>
      <c r="Q623" s="592"/>
      <c r="R623" s="639"/>
      <c r="S623" s="420"/>
      <c r="T623" s="421"/>
      <c r="U623" s="387"/>
      <c r="V623" s="648"/>
      <c r="W623" s="640"/>
      <c r="X623" s="404"/>
      <c r="Y623" s="372"/>
      <c r="Z623" s="381"/>
      <c r="AA623" s="225"/>
      <c r="AB623" s="361"/>
      <c r="AC623" s="533"/>
      <c r="AD623" s="225"/>
      <c r="AE623" s="361"/>
      <c r="AF623" s="533"/>
      <c r="AG623" s="225"/>
      <c r="AH623" s="361"/>
      <c r="AI623" s="533"/>
      <c r="AJ623" s="225"/>
      <c r="AK623" s="361"/>
      <c r="AL623" s="533"/>
      <c r="AM623" s="225"/>
      <c r="AN623" s="361"/>
      <c r="AO623" s="533"/>
      <c r="AP623" s="225"/>
      <c r="AQ623" s="361"/>
      <c r="AR623" s="533"/>
    </row>
    <row r="624" spans="1:44" ht="15.75" hidden="1" customHeight="1">
      <c r="A624" s="309"/>
      <c r="B624" s="647"/>
      <c r="C624" s="632"/>
      <c r="D624" s="632"/>
      <c r="E624" s="633"/>
      <c r="F624" s="524"/>
      <c r="G624" s="524"/>
      <c r="H624" s="362"/>
      <c r="I624" s="230"/>
      <c r="J624" s="230"/>
      <c r="K624" s="363"/>
      <c r="L624" s="364"/>
      <c r="M624" s="365"/>
      <c r="N624" s="366"/>
      <c r="O624" s="634"/>
      <c r="P624" s="429"/>
      <c r="Q624" s="609"/>
      <c r="R624" s="646"/>
      <c r="S624" s="433"/>
      <c r="T624" s="434"/>
      <c r="U624" s="376"/>
      <c r="V624" s="649"/>
      <c r="W624" s="636"/>
      <c r="X624" s="404"/>
      <c r="Y624" s="372"/>
      <c r="Z624" s="381"/>
      <c r="AA624" s="241"/>
      <c r="AB624" s="411"/>
      <c r="AC624" s="577"/>
      <c r="AD624" s="241"/>
      <c r="AE624" s="411"/>
      <c r="AF624" s="577"/>
      <c r="AG624" s="241"/>
      <c r="AH624" s="411"/>
      <c r="AI624" s="577"/>
      <c r="AJ624" s="241"/>
      <c r="AK624" s="411"/>
      <c r="AL624" s="577"/>
      <c r="AM624" s="241"/>
      <c r="AN624" s="411"/>
      <c r="AO624" s="577"/>
      <c r="AP624" s="241"/>
      <c r="AQ624" s="411"/>
      <c r="AR624" s="577"/>
    </row>
    <row r="625" spans="1:44" ht="15.75" hidden="1" customHeight="1">
      <c r="A625" s="309"/>
      <c r="B625" s="647" t="s">
        <v>1935</v>
      </c>
      <c r="C625" s="632">
        <v>29</v>
      </c>
      <c r="D625" s="632">
        <v>309</v>
      </c>
      <c r="E625" s="633"/>
      <c r="F625" s="524"/>
      <c r="G625" s="524"/>
      <c r="H625" s="362"/>
      <c r="I625" s="230"/>
      <c r="J625" s="230"/>
      <c r="K625" s="363"/>
      <c r="L625" s="364"/>
      <c r="M625" s="365"/>
      <c r="N625" s="366"/>
      <c r="O625" s="634"/>
      <c r="P625" s="454"/>
      <c r="Q625" s="654"/>
      <c r="R625" s="639"/>
      <c r="S625" s="420"/>
      <c r="T625" s="421"/>
      <c r="U625" s="387"/>
      <c r="V625" s="648"/>
      <c r="W625" s="640"/>
      <c r="X625" s="404"/>
      <c r="Y625" s="372"/>
      <c r="Z625" s="381"/>
      <c r="AA625" s="225"/>
      <c r="AB625" s="361"/>
      <c r="AC625" s="533"/>
      <c r="AD625" s="225"/>
      <c r="AE625" s="361"/>
      <c r="AF625" s="533"/>
      <c r="AG625" s="225"/>
      <c r="AH625" s="361"/>
      <c r="AI625" s="533"/>
      <c r="AJ625" s="225"/>
      <c r="AK625" s="361"/>
      <c r="AL625" s="533"/>
      <c r="AM625" s="225"/>
      <c r="AN625" s="361"/>
      <c r="AO625" s="533"/>
      <c r="AP625" s="225"/>
      <c r="AQ625" s="361"/>
      <c r="AR625" s="533"/>
    </row>
    <row r="626" spans="1:44" ht="15.75" hidden="1" customHeight="1">
      <c r="A626" s="309"/>
      <c r="B626" s="647"/>
      <c r="C626" s="632"/>
      <c r="D626" s="632"/>
      <c r="E626" s="633"/>
      <c r="F626" s="524"/>
      <c r="G626" s="524"/>
      <c r="H626" s="362"/>
      <c r="I626" s="230"/>
      <c r="J626" s="230"/>
      <c r="K626" s="363"/>
      <c r="L626" s="364"/>
      <c r="M626" s="365"/>
      <c r="N626" s="366"/>
      <c r="O626" s="634"/>
      <c r="P626" s="429"/>
      <c r="Q626" s="655"/>
      <c r="R626" s="646"/>
      <c r="S626" s="433"/>
      <c r="T626" s="434"/>
      <c r="U626" s="376"/>
      <c r="V626" s="649"/>
      <c r="W626" s="636"/>
      <c r="X626" s="404"/>
      <c r="Y626" s="372"/>
      <c r="Z626" s="381"/>
      <c r="AA626" s="241"/>
      <c r="AB626" s="411"/>
      <c r="AC626" s="577"/>
      <c r="AD626" s="241"/>
      <c r="AE626" s="411"/>
      <c r="AF626" s="577"/>
      <c r="AG626" s="241"/>
      <c r="AH626" s="411"/>
      <c r="AI626" s="577"/>
      <c r="AJ626" s="241"/>
      <c r="AK626" s="411"/>
      <c r="AL626" s="577"/>
      <c r="AM626" s="241"/>
      <c r="AN626" s="411"/>
      <c r="AO626" s="577"/>
      <c r="AP626" s="241"/>
      <c r="AQ626" s="411"/>
      <c r="AR626" s="577"/>
    </row>
    <row r="627" spans="1:44" ht="15.75" hidden="1" customHeight="1">
      <c r="A627" s="309"/>
      <c r="B627" s="647" t="s">
        <v>1935</v>
      </c>
      <c r="C627" s="632">
        <v>30</v>
      </c>
      <c r="D627" s="632">
        <v>310</v>
      </c>
      <c r="E627" s="633"/>
      <c r="F627" s="524"/>
      <c r="G627" s="524"/>
      <c r="H627" s="362"/>
      <c r="I627" s="230"/>
      <c r="J627" s="230"/>
      <c r="K627" s="597"/>
      <c r="L627" s="451"/>
      <c r="M627" s="452"/>
      <c r="N627" s="637"/>
      <c r="O627" s="638"/>
      <c r="P627" s="454"/>
      <c r="Q627" s="592"/>
      <c r="R627" s="639"/>
      <c r="S627" s="420"/>
      <c r="T627" s="421"/>
      <c r="U627" s="387"/>
      <c r="V627" s="648"/>
      <c r="W627" s="640"/>
      <c r="X627" s="404"/>
      <c r="Y627" s="372"/>
      <c r="Z627" s="381"/>
      <c r="AA627" s="225"/>
      <c r="AB627" s="361"/>
      <c r="AC627" s="533"/>
      <c r="AD627" s="225"/>
      <c r="AE627" s="361"/>
      <c r="AF627" s="533"/>
      <c r="AG627" s="225"/>
      <c r="AH627" s="361"/>
      <c r="AI627" s="533"/>
      <c r="AJ627" s="225"/>
      <c r="AK627" s="361"/>
      <c r="AL627" s="533"/>
      <c r="AM627" s="225"/>
      <c r="AN627" s="361"/>
      <c r="AO627" s="533"/>
      <c r="AP627" s="225"/>
      <c r="AQ627" s="361"/>
      <c r="AR627" s="533"/>
    </row>
    <row r="628" spans="1:44" ht="15.75" hidden="1" customHeight="1">
      <c r="A628" s="309"/>
      <c r="B628" s="647"/>
      <c r="C628" s="632"/>
      <c r="D628" s="632"/>
      <c r="E628" s="633"/>
      <c r="F628" s="524"/>
      <c r="G628" s="524"/>
      <c r="H628" s="362"/>
      <c r="I628" s="230"/>
      <c r="J628" s="230"/>
      <c r="K628" s="412"/>
      <c r="L628" s="413"/>
      <c r="M628" s="604"/>
      <c r="N628" s="641"/>
      <c r="O628" s="642"/>
      <c r="P628" s="581"/>
      <c r="Q628" s="608"/>
      <c r="R628" s="646"/>
      <c r="S628" s="433"/>
      <c r="T628" s="434"/>
      <c r="U628" s="376"/>
      <c r="V628" s="649"/>
      <c r="W628" s="636"/>
      <c r="X628" s="404"/>
      <c r="Y628" s="372"/>
      <c r="Z628" s="381"/>
      <c r="AA628" s="241"/>
      <c r="AB628" s="411"/>
      <c r="AC628" s="577"/>
      <c r="AD628" s="241"/>
      <c r="AE628" s="411"/>
      <c r="AF628" s="577"/>
      <c r="AG628" s="241"/>
      <c r="AH628" s="411"/>
      <c r="AI628" s="577"/>
      <c r="AJ628" s="241"/>
      <c r="AK628" s="411"/>
      <c r="AL628" s="577"/>
      <c r="AM628" s="241"/>
      <c r="AN628" s="411"/>
      <c r="AO628" s="577"/>
      <c r="AP628" s="241"/>
      <c r="AQ628" s="411"/>
      <c r="AR628" s="577"/>
    </row>
    <row r="629" spans="1:44" ht="15.75" hidden="1" customHeight="1">
      <c r="A629" s="309"/>
      <c r="B629" s="656" t="s">
        <v>2548</v>
      </c>
      <c r="C629" s="632">
        <v>1</v>
      </c>
      <c r="D629" s="632">
        <v>311</v>
      </c>
      <c r="E629" s="633"/>
      <c r="F629" s="524"/>
      <c r="G629" s="524"/>
      <c r="H629" s="362"/>
      <c r="I629" s="230"/>
      <c r="J629" s="230"/>
      <c r="K629" s="412"/>
      <c r="L629" s="413"/>
      <c r="M629" s="604"/>
      <c r="N629" s="641"/>
      <c r="O629" s="642"/>
      <c r="P629" s="581"/>
      <c r="Q629" s="608"/>
      <c r="R629" s="639"/>
      <c r="S629" s="420"/>
      <c r="T629" s="421"/>
      <c r="U629" s="387"/>
      <c r="V629" s="648"/>
      <c r="W629" s="640"/>
      <c r="X629" s="404"/>
      <c r="Y629" s="372"/>
      <c r="Z629" s="381"/>
      <c r="AA629" s="225"/>
      <c r="AB629" s="361"/>
      <c r="AC629" s="533"/>
      <c r="AD629" s="225"/>
      <c r="AE629" s="361"/>
      <c r="AF629" s="533"/>
      <c r="AG629" s="225"/>
      <c r="AH629" s="361"/>
      <c r="AI629" s="533"/>
      <c r="AJ629" s="225"/>
      <c r="AK629" s="361"/>
      <c r="AL629" s="533"/>
      <c r="AM629" s="225"/>
      <c r="AN629" s="361"/>
      <c r="AO629" s="533"/>
      <c r="AP629" s="225"/>
      <c r="AQ629" s="361"/>
      <c r="AR629" s="533"/>
    </row>
    <row r="630" spans="1:44" ht="15.75" hidden="1" customHeight="1">
      <c r="A630" s="309"/>
      <c r="B630" s="656"/>
      <c r="C630" s="632"/>
      <c r="D630" s="632"/>
      <c r="E630" s="633"/>
      <c r="F630" s="524"/>
      <c r="G630" s="524"/>
      <c r="H630" s="362"/>
      <c r="I630" s="230"/>
      <c r="J630" s="230"/>
      <c r="K630" s="438"/>
      <c r="L630" s="427"/>
      <c r="M630" s="439"/>
      <c r="N630" s="644"/>
      <c r="O630" s="645"/>
      <c r="P630" s="429"/>
      <c r="Q630" s="609"/>
      <c r="R630" s="646"/>
      <c r="S630" s="433"/>
      <c r="T630" s="434"/>
      <c r="U630" s="376"/>
      <c r="V630" s="649"/>
      <c r="W630" s="636"/>
      <c r="X630" s="404"/>
      <c r="Y630" s="372"/>
      <c r="Z630" s="381"/>
      <c r="AA630" s="241"/>
      <c r="AB630" s="411"/>
      <c r="AC630" s="577"/>
      <c r="AD630" s="241"/>
      <c r="AE630" s="411"/>
      <c r="AF630" s="577"/>
      <c r="AG630" s="241"/>
      <c r="AH630" s="411"/>
      <c r="AI630" s="577"/>
      <c r="AJ630" s="241"/>
      <c r="AK630" s="411"/>
      <c r="AL630" s="577"/>
      <c r="AM630" s="241"/>
      <c r="AN630" s="411"/>
      <c r="AO630" s="577"/>
      <c r="AP630" s="241"/>
      <c r="AQ630" s="411"/>
      <c r="AR630" s="577"/>
    </row>
    <row r="631" spans="1:44" ht="15.75" hidden="1" customHeight="1">
      <c r="A631" s="309"/>
      <c r="B631" s="656" t="s">
        <v>2548</v>
      </c>
      <c r="C631" s="632">
        <v>2</v>
      </c>
      <c r="D631" s="632">
        <v>312</v>
      </c>
      <c r="E631" s="633"/>
      <c r="F631" s="524"/>
      <c r="G631" s="524"/>
      <c r="H631" s="362"/>
      <c r="I631" s="230"/>
      <c r="J631" s="230"/>
      <c r="K631" s="363"/>
      <c r="L631" s="364"/>
      <c r="M631" s="365"/>
      <c r="N631" s="366"/>
      <c r="O631" s="634"/>
      <c r="P631" s="454"/>
      <c r="Q631" s="592"/>
      <c r="R631" s="639"/>
      <c r="S631" s="420"/>
      <c r="T631" s="421"/>
      <c r="U631" s="387"/>
      <c r="V631" s="648"/>
      <c r="W631" s="640"/>
      <c r="X631" s="404"/>
      <c r="Y631" s="372"/>
      <c r="Z631" s="381"/>
      <c r="AA631" s="225"/>
      <c r="AB631" s="361"/>
      <c r="AC631" s="533"/>
      <c r="AD631" s="225"/>
      <c r="AE631" s="361"/>
      <c r="AF631" s="533"/>
      <c r="AG631" s="225"/>
      <c r="AH631" s="361"/>
      <c r="AI631" s="533"/>
      <c r="AJ631" s="225"/>
      <c r="AK631" s="361"/>
      <c r="AL631" s="533"/>
      <c r="AM631" s="225"/>
      <c r="AN631" s="361"/>
      <c r="AO631" s="533"/>
      <c r="AP631" s="225"/>
      <c r="AQ631" s="361"/>
      <c r="AR631" s="533"/>
    </row>
    <row r="632" spans="1:44" ht="15.75" hidden="1" customHeight="1">
      <c r="A632" s="309"/>
      <c r="B632" s="656"/>
      <c r="C632" s="632"/>
      <c r="D632" s="632"/>
      <c r="E632" s="633"/>
      <c r="F632" s="524"/>
      <c r="G632" s="524"/>
      <c r="H632" s="362"/>
      <c r="I632" s="230"/>
      <c r="J632" s="230"/>
      <c r="K632" s="363"/>
      <c r="L632" s="364"/>
      <c r="M632" s="365"/>
      <c r="N632" s="366"/>
      <c r="O632" s="634"/>
      <c r="P632" s="429"/>
      <c r="Q632" s="609"/>
      <c r="R632" s="646"/>
      <c r="S632" s="433"/>
      <c r="T632" s="434"/>
      <c r="U632" s="376"/>
      <c r="V632" s="649"/>
      <c r="W632" s="636"/>
      <c r="X632" s="404"/>
      <c r="Y632" s="372"/>
      <c r="Z632" s="381"/>
      <c r="AA632" s="241"/>
      <c r="AB632" s="411"/>
      <c r="AC632" s="577"/>
      <c r="AD632" s="241"/>
      <c r="AE632" s="411"/>
      <c r="AF632" s="577"/>
      <c r="AG632" s="241"/>
      <c r="AH632" s="411"/>
      <c r="AI632" s="577"/>
      <c r="AJ632" s="241"/>
      <c r="AK632" s="411"/>
      <c r="AL632" s="577"/>
      <c r="AM632" s="241"/>
      <c r="AN632" s="411"/>
      <c r="AO632" s="577"/>
      <c r="AP632" s="241"/>
      <c r="AQ632" s="411"/>
      <c r="AR632" s="577"/>
    </row>
    <row r="633" spans="1:44" ht="15.75" hidden="1" customHeight="1">
      <c r="A633" s="309"/>
      <c r="B633" s="656" t="s">
        <v>2548</v>
      </c>
      <c r="C633" s="632">
        <v>3</v>
      </c>
      <c r="D633" s="632">
        <v>313</v>
      </c>
      <c r="E633" s="633"/>
      <c r="F633" s="524"/>
      <c r="G633" s="524"/>
      <c r="H633" s="362"/>
      <c r="I633" s="230"/>
      <c r="J633" s="230"/>
      <c r="K633" s="363"/>
      <c r="L633" s="364"/>
      <c r="M633" s="365"/>
      <c r="N633" s="366"/>
      <c r="O633" s="634"/>
      <c r="P633" s="454"/>
      <c r="Q633" s="592"/>
      <c r="R633" s="639"/>
      <c r="S633" s="420"/>
      <c r="T633" s="421"/>
      <c r="U633" s="387"/>
      <c r="V633" s="648"/>
      <c r="W633" s="640"/>
      <c r="X633" s="404"/>
      <c r="Y633" s="372"/>
      <c r="Z633" s="381"/>
      <c r="AA633" s="225"/>
      <c r="AB633" s="361"/>
      <c r="AC633" s="533"/>
      <c r="AD633" s="225"/>
      <c r="AE633" s="361"/>
      <c r="AF633" s="533"/>
      <c r="AG633" s="225"/>
      <c r="AH633" s="361"/>
      <c r="AI633" s="533"/>
      <c r="AJ633" s="225"/>
      <c r="AK633" s="361"/>
      <c r="AL633" s="533"/>
      <c r="AM633" s="225"/>
      <c r="AN633" s="361"/>
      <c r="AO633" s="533"/>
      <c r="AP633" s="225"/>
      <c r="AQ633" s="361"/>
      <c r="AR633" s="533"/>
    </row>
    <row r="634" spans="1:44" ht="15.75" hidden="1" customHeight="1">
      <c r="A634" s="309"/>
      <c r="B634" s="656"/>
      <c r="C634" s="632"/>
      <c r="D634" s="632"/>
      <c r="E634" s="633"/>
      <c r="F634" s="524"/>
      <c r="G634" s="524"/>
      <c r="H634" s="362"/>
      <c r="I634" s="230"/>
      <c r="J634" s="230"/>
      <c r="K634" s="363"/>
      <c r="L634" s="364"/>
      <c r="M634" s="365"/>
      <c r="N634" s="366"/>
      <c r="O634" s="634"/>
      <c r="P634" s="429"/>
      <c r="Q634" s="609"/>
      <c r="R634" s="646"/>
      <c r="S634" s="433"/>
      <c r="T634" s="434"/>
      <c r="U634" s="376"/>
      <c r="V634" s="649"/>
      <c r="W634" s="636"/>
      <c r="X634" s="404"/>
      <c r="Y634" s="372"/>
      <c r="Z634" s="381"/>
      <c r="AA634" s="241"/>
      <c r="AB634" s="411"/>
      <c r="AC634" s="577"/>
      <c r="AD634" s="241"/>
      <c r="AE634" s="411"/>
      <c r="AF634" s="577"/>
      <c r="AG634" s="241"/>
      <c r="AH634" s="411"/>
      <c r="AI634" s="577"/>
      <c r="AJ634" s="241"/>
      <c r="AK634" s="411"/>
      <c r="AL634" s="577"/>
      <c r="AM634" s="241"/>
      <c r="AN634" s="411"/>
      <c r="AO634" s="577"/>
      <c r="AP634" s="241"/>
      <c r="AQ634" s="411"/>
      <c r="AR634" s="577"/>
    </row>
    <row r="635" spans="1:44" ht="15.75" hidden="1" customHeight="1">
      <c r="A635" s="309"/>
      <c r="B635" s="656" t="s">
        <v>2548</v>
      </c>
      <c r="C635" s="632">
        <v>4</v>
      </c>
      <c r="D635" s="632">
        <v>314</v>
      </c>
      <c r="E635" s="633"/>
      <c r="F635" s="524"/>
      <c r="G635" s="524"/>
      <c r="H635" s="362"/>
      <c r="I635" s="230"/>
      <c r="J635" s="230"/>
      <c r="K635" s="363"/>
      <c r="L635" s="364"/>
      <c r="M635" s="365"/>
      <c r="N635" s="366"/>
      <c r="O635" s="634"/>
      <c r="P635" s="454"/>
      <c r="Q635" s="592"/>
      <c r="R635" s="639"/>
      <c r="S635" s="420"/>
      <c r="T635" s="421"/>
      <c r="U635" s="387"/>
      <c r="V635" s="648"/>
      <c r="W635" s="640"/>
      <c r="X635" s="404"/>
      <c r="Y635" s="372"/>
      <c r="Z635" s="381"/>
      <c r="AA635" s="225"/>
      <c r="AB635" s="361"/>
      <c r="AC635" s="533"/>
      <c r="AD635" s="225"/>
      <c r="AE635" s="361"/>
      <c r="AF635" s="533"/>
      <c r="AG635" s="225"/>
      <c r="AH635" s="361"/>
      <c r="AI635" s="533"/>
      <c r="AJ635" s="225"/>
      <c r="AK635" s="361"/>
      <c r="AL635" s="533"/>
      <c r="AM635" s="225"/>
      <c r="AN635" s="361"/>
      <c r="AO635" s="533"/>
      <c r="AP635" s="225"/>
      <c r="AQ635" s="361"/>
      <c r="AR635" s="533"/>
    </row>
    <row r="636" spans="1:44" ht="15.75" hidden="1" customHeight="1">
      <c r="A636" s="309"/>
      <c r="B636" s="656"/>
      <c r="C636" s="632"/>
      <c r="D636" s="632"/>
      <c r="E636" s="633"/>
      <c r="F636" s="524"/>
      <c r="G636" s="524"/>
      <c r="H636" s="362"/>
      <c r="I636" s="230"/>
      <c r="J636" s="230"/>
      <c r="K636" s="363"/>
      <c r="L636" s="364"/>
      <c r="M636" s="365"/>
      <c r="N636" s="366"/>
      <c r="O636" s="634"/>
      <c r="P636" s="429"/>
      <c r="Q636" s="609"/>
      <c r="R636" s="646"/>
      <c r="S636" s="433"/>
      <c r="T636" s="434"/>
      <c r="U636" s="376"/>
      <c r="V636" s="649"/>
      <c r="W636" s="636"/>
      <c r="X636" s="404"/>
      <c r="Y636" s="372"/>
      <c r="Z636" s="381"/>
      <c r="AA636" s="241"/>
      <c r="AB636" s="411"/>
      <c r="AC636" s="577"/>
      <c r="AD636" s="241"/>
      <c r="AE636" s="411"/>
      <c r="AF636" s="577"/>
      <c r="AG636" s="241"/>
      <c r="AH636" s="411"/>
      <c r="AI636" s="577"/>
      <c r="AJ636" s="241"/>
      <c r="AK636" s="411"/>
      <c r="AL636" s="577"/>
      <c r="AM636" s="241"/>
      <c r="AN636" s="411"/>
      <c r="AO636" s="577"/>
      <c r="AP636" s="241"/>
      <c r="AQ636" s="411"/>
      <c r="AR636" s="577"/>
    </row>
    <row r="637" spans="1:44" ht="15.75" hidden="1" customHeight="1">
      <c r="A637" s="309"/>
      <c r="B637" s="656" t="s">
        <v>2548</v>
      </c>
      <c r="C637" s="632">
        <v>5</v>
      </c>
      <c r="D637" s="632">
        <v>315</v>
      </c>
      <c r="E637" s="633"/>
      <c r="F637" s="524"/>
      <c r="G637" s="524"/>
      <c r="H637" s="362"/>
      <c r="I637" s="230"/>
      <c r="J637" s="230"/>
      <c r="K637" s="363"/>
      <c r="L637" s="364"/>
      <c r="M637" s="365"/>
      <c r="N637" s="366"/>
      <c r="O637" s="634"/>
      <c r="P637" s="454"/>
      <c r="Q637" s="592"/>
      <c r="R637" s="639"/>
      <c r="S637" s="420"/>
      <c r="T637" s="421"/>
      <c r="U637" s="387"/>
      <c r="V637" s="648"/>
      <c r="W637" s="640"/>
      <c r="X637" s="404"/>
      <c r="Y637" s="372"/>
      <c r="Z637" s="381"/>
      <c r="AA637" s="225"/>
      <c r="AB637" s="361"/>
      <c r="AC637" s="533"/>
      <c r="AD637" s="225"/>
      <c r="AE637" s="361"/>
      <c r="AF637" s="533"/>
      <c r="AG637" s="225"/>
      <c r="AH637" s="361"/>
      <c r="AI637" s="533"/>
      <c r="AJ637" s="225"/>
      <c r="AK637" s="361"/>
      <c r="AL637" s="533"/>
      <c r="AM637" s="225"/>
      <c r="AN637" s="361"/>
      <c r="AO637" s="533"/>
      <c r="AP637" s="225"/>
      <c r="AQ637" s="361"/>
      <c r="AR637" s="533"/>
    </row>
    <row r="638" spans="1:44" ht="15.75" hidden="1" customHeight="1">
      <c r="A638" s="309"/>
      <c r="B638" s="656"/>
      <c r="C638" s="632"/>
      <c r="D638" s="632"/>
      <c r="E638" s="633"/>
      <c r="F638" s="524"/>
      <c r="G638" s="524"/>
      <c r="H638" s="362"/>
      <c r="I638" s="230"/>
      <c r="J638" s="230"/>
      <c r="K638" s="363"/>
      <c r="L638" s="364"/>
      <c r="M638" s="365"/>
      <c r="N638" s="366"/>
      <c r="O638" s="634"/>
      <c r="P638" s="429"/>
      <c r="Q638" s="609"/>
      <c r="R638" s="646"/>
      <c r="S638" s="433"/>
      <c r="T638" s="434"/>
      <c r="U638" s="376"/>
      <c r="V638" s="649"/>
      <c r="W638" s="636"/>
      <c r="X638" s="404"/>
      <c r="Y638" s="372"/>
      <c r="Z638" s="381"/>
      <c r="AA638" s="241"/>
      <c r="AB638" s="411"/>
      <c r="AC638" s="577"/>
      <c r="AD638" s="241"/>
      <c r="AE638" s="411"/>
      <c r="AF638" s="577"/>
      <c r="AG638" s="241"/>
      <c r="AH638" s="411"/>
      <c r="AI638" s="577"/>
      <c r="AJ638" s="241"/>
      <c r="AK638" s="411"/>
      <c r="AL638" s="577"/>
      <c r="AM638" s="241"/>
      <c r="AN638" s="411"/>
      <c r="AO638" s="577"/>
      <c r="AP638" s="241"/>
      <c r="AQ638" s="411"/>
      <c r="AR638" s="577"/>
    </row>
    <row r="639" spans="1:44" ht="15.75" hidden="1" customHeight="1">
      <c r="A639" s="309"/>
      <c r="B639" s="656" t="s">
        <v>2548</v>
      </c>
      <c r="C639" s="632">
        <v>6</v>
      </c>
      <c r="D639" s="632">
        <v>316</v>
      </c>
      <c r="E639" s="633"/>
      <c r="F639" s="524"/>
      <c r="G639" s="524"/>
      <c r="H639" s="362"/>
      <c r="I639" s="230"/>
      <c r="J639" s="230"/>
      <c r="K639" s="363"/>
      <c r="L639" s="364"/>
      <c r="M639" s="365"/>
      <c r="N639" s="366"/>
      <c r="O639" s="634"/>
      <c r="P639" s="454"/>
      <c r="Q639" s="592"/>
      <c r="R639" s="639"/>
      <c r="S639" s="420"/>
      <c r="T639" s="421"/>
      <c r="U639" s="387"/>
      <c r="V639" s="648"/>
      <c r="W639" s="640"/>
      <c r="X639" s="404"/>
      <c r="Y639" s="372"/>
      <c r="Z639" s="381"/>
      <c r="AA639" s="225"/>
      <c r="AB639" s="361"/>
      <c r="AC639" s="533"/>
      <c r="AD639" s="225"/>
      <c r="AE639" s="361"/>
      <c r="AF639" s="533"/>
      <c r="AG639" s="225"/>
      <c r="AH639" s="361"/>
      <c r="AI639" s="533"/>
      <c r="AJ639" s="225"/>
      <c r="AK639" s="361"/>
      <c r="AL639" s="533"/>
      <c r="AM639" s="225"/>
      <c r="AN639" s="361"/>
      <c r="AO639" s="533"/>
      <c r="AP639" s="225"/>
      <c r="AQ639" s="361"/>
      <c r="AR639" s="533"/>
    </row>
    <row r="640" spans="1:44" ht="15.75" hidden="1" customHeight="1">
      <c r="A640" s="309"/>
      <c r="B640" s="656"/>
      <c r="C640" s="632"/>
      <c r="D640" s="632"/>
      <c r="E640" s="633"/>
      <c r="F640" s="524"/>
      <c r="G640" s="524"/>
      <c r="H640" s="362"/>
      <c r="I640" s="230"/>
      <c r="J640" s="230"/>
      <c r="K640" s="363"/>
      <c r="L640" s="364"/>
      <c r="M640" s="365"/>
      <c r="N640" s="366"/>
      <c r="O640" s="634"/>
      <c r="P640" s="429"/>
      <c r="Q640" s="609"/>
      <c r="R640" s="646"/>
      <c r="S640" s="433"/>
      <c r="T640" s="434"/>
      <c r="U640" s="376"/>
      <c r="V640" s="649"/>
      <c r="W640" s="636"/>
      <c r="X640" s="404"/>
      <c r="Y640" s="372"/>
      <c r="Z640" s="381"/>
      <c r="AA640" s="241"/>
      <c r="AB640" s="411"/>
      <c r="AC640" s="577"/>
      <c r="AD640" s="241"/>
      <c r="AE640" s="411"/>
      <c r="AF640" s="577"/>
      <c r="AG640" s="241"/>
      <c r="AH640" s="411"/>
      <c r="AI640" s="577"/>
      <c r="AJ640" s="241"/>
      <c r="AK640" s="411"/>
      <c r="AL640" s="577"/>
      <c r="AM640" s="241"/>
      <c r="AN640" s="411"/>
      <c r="AO640" s="577"/>
      <c r="AP640" s="241"/>
      <c r="AQ640" s="411"/>
      <c r="AR640" s="577"/>
    </row>
    <row r="641" spans="1:44" ht="15.75" hidden="1" customHeight="1">
      <c r="A641" s="309"/>
      <c r="B641" s="656" t="s">
        <v>2548</v>
      </c>
      <c r="C641" s="632">
        <v>7</v>
      </c>
      <c r="D641" s="632">
        <v>317</v>
      </c>
      <c r="E641" s="633"/>
      <c r="F641" s="524"/>
      <c r="G641" s="524"/>
      <c r="H641" s="362"/>
      <c r="I641" s="230"/>
      <c r="J641" s="230"/>
      <c r="K641" s="363"/>
      <c r="L641" s="364"/>
      <c r="M641" s="365"/>
      <c r="N641" s="366"/>
      <c r="O641" s="634"/>
      <c r="P641" s="454"/>
      <c r="Q641" s="592"/>
      <c r="R641" s="639"/>
      <c r="S641" s="420"/>
      <c r="T641" s="421"/>
      <c r="U641" s="387"/>
      <c r="V641" s="648"/>
      <c r="W641" s="640"/>
      <c r="X641" s="404"/>
      <c r="Y641" s="372"/>
      <c r="Z641" s="381"/>
      <c r="AA641" s="225"/>
      <c r="AB641" s="361"/>
      <c r="AC641" s="533"/>
      <c r="AD641" s="225"/>
      <c r="AE641" s="361"/>
      <c r="AF641" s="533"/>
      <c r="AG641" s="225"/>
      <c r="AH641" s="361"/>
      <c r="AI641" s="533"/>
      <c r="AJ641" s="225"/>
      <c r="AK641" s="361"/>
      <c r="AL641" s="533"/>
      <c r="AM641" s="225"/>
      <c r="AN641" s="361"/>
      <c r="AO641" s="533"/>
      <c r="AP641" s="225"/>
      <c r="AQ641" s="361"/>
      <c r="AR641" s="533"/>
    </row>
    <row r="642" spans="1:44" ht="15.75" hidden="1" customHeight="1">
      <c r="A642" s="309"/>
      <c r="B642" s="656"/>
      <c r="C642" s="632"/>
      <c r="D642" s="632"/>
      <c r="E642" s="633"/>
      <c r="F642" s="524"/>
      <c r="G642" s="524"/>
      <c r="H642" s="362"/>
      <c r="I642" s="230"/>
      <c r="J642" s="230"/>
      <c r="K642" s="363"/>
      <c r="L642" s="364"/>
      <c r="M642" s="365"/>
      <c r="N642" s="366"/>
      <c r="O642" s="634"/>
      <c r="P642" s="429"/>
      <c r="Q642" s="609"/>
      <c r="R642" s="646"/>
      <c r="S642" s="433"/>
      <c r="T642" s="434"/>
      <c r="U642" s="376"/>
      <c r="V642" s="649"/>
      <c r="W642" s="636"/>
      <c r="X642" s="404"/>
      <c r="Y642" s="372"/>
      <c r="Z642" s="381"/>
      <c r="AA642" s="241"/>
      <c r="AB642" s="411"/>
      <c r="AC642" s="577"/>
      <c r="AD642" s="241"/>
      <c r="AE642" s="411"/>
      <c r="AF642" s="577"/>
      <c r="AG642" s="241"/>
      <c r="AH642" s="411"/>
      <c r="AI642" s="577"/>
      <c r="AJ642" s="241"/>
      <c r="AK642" s="411"/>
      <c r="AL642" s="577"/>
      <c r="AM642" s="241"/>
      <c r="AN642" s="411"/>
      <c r="AO642" s="577"/>
      <c r="AP642" s="241"/>
      <c r="AQ642" s="411"/>
      <c r="AR642" s="577"/>
    </row>
    <row r="643" spans="1:44" ht="15.75" hidden="1" customHeight="1">
      <c r="A643" s="309"/>
      <c r="B643" s="656" t="s">
        <v>2548</v>
      </c>
      <c r="C643" s="632">
        <v>8</v>
      </c>
      <c r="D643" s="632">
        <v>318</v>
      </c>
      <c r="E643" s="633"/>
      <c r="F643" s="524"/>
      <c r="G643" s="524"/>
      <c r="H643" s="362"/>
      <c r="I643" s="230"/>
      <c r="J643" s="230"/>
      <c r="K643" s="363"/>
      <c r="L643" s="364"/>
      <c r="M643" s="365"/>
      <c r="N643" s="630"/>
      <c r="O643" s="634"/>
      <c r="P643" s="454"/>
      <c r="Q643" s="592"/>
      <c r="R643" s="639"/>
      <c r="S643" s="420"/>
      <c r="T643" s="421"/>
      <c r="U643" s="387"/>
      <c r="V643" s="648"/>
      <c r="W643" s="640"/>
      <c r="X643" s="404"/>
      <c r="Y643" s="372"/>
      <c r="Z643" s="381"/>
      <c r="AA643" s="225"/>
      <c r="AB643" s="361"/>
      <c r="AC643" s="533"/>
      <c r="AD643" s="225"/>
      <c r="AE643" s="361"/>
      <c r="AF643" s="533"/>
      <c r="AG643" s="225"/>
      <c r="AH643" s="361"/>
      <c r="AI643" s="533"/>
      <c r="AJ643" s="225"/>
      <c r="AK643" s="361"/>
      <c r="AL643" s="533"/>
      <c r="AM643" s="225"/>
      <c r="AN643" s="361"/>
      <c r="AO643" s="533"/>
      <c r="AP643" s="225"/>
      <c r="AQ643" s="361"/>
      <c r="AR643" s="533"/>
    </row>
    <row r="644" spans="1:44" ht="15.75" hidden="1" customHeight="1">
      <c r="A644" s="309"/>
      <c r="B644" s="656"/>
      <c r="C644" s="632"/>
      <c r="D644" s="632"/>
      <c r="E644" s="633"/>
      <c r="F644" s="524"/>
      <c r="G644" s="524"/>
      <c r="H644" s="362"/>
      <c r="I644" s="230"/>
      <c r="J644" s="230"/>
      <c r="K644" s="363"/>
      <c r="L644" s="364"/>
      <c r="M644" s="365"/>
      <c r="N644" s="630"/>
      <c r="O644" s="634"/>
      <c r="P644" s="429"/>
      <c r="Q644" s="609"/>
      <c r="R644" s="646"/>
      <c r="S644" s="433"/>
      <c r="T644" s="434"/>
      <c r="U644" s="376"/>
      <c r="V644" s="649"/>
      <c r="W644" s="636"/>
      <c r="X644" s="404"/>
      <c r="Y644" s="372"/>
      <c r="Z644" s="381"/>
      <c r="AA644" s="241"/>
      <c r="AB644" s="411"/>
      <c r="AC644" s="577"/>
      <c r="AD644" s="241"/>
      <c r="AE644" s="411"/>
      <c r="AF644" s="577"/>
      <c r="AG644" s="241"/>
      <c r="AH644" s="411"/>
      <c r="AI644" s="577"/>
      <c r="AJ644" s="241"/>
      <c r="AK644" s="411"/>
      <c r="AL644" s="577"/>
      <c r="AM644" s="241"/>
      <c r="AN644" s="411"/>
      <c r="AO644" s="577"/>
      <c r="AP644" s="241"/>
      <c r="AQ644" s="411"/>
      <c r="AR644" s="577"/>
    </row>
    <row r="645" spans="1:44" ht="15.75" hidden="1" customHeight="1">
      <c r="A645" s="309"/>
      <c r="B645" s="656" t="s">
        <v>2548</v>
      </c>
      <c r="C645" s="632">
        <v>9</v>
      </c>
      <c r="D645" s="632">
        <v>319</v>
      </c>
      <c r="E645" s="633"/>
      <c r="F645" s="524"/>
      <c r="G645" s="524"/>
      <c r="H645" s="362"/>
      <c r="I645" s="230"/>
      <c r="J645" s="230"/>
      <c r="K645" s="363"/>
      <c r="L645" s="364"/>
      <c r="M645" s="365"/>
      <c r="N645" s="366"/>
      <c r="O645" s="634"/>
      <c r="P645" s="454"/>
      <c r="Q645" s="592"/>
      <c r="R645" s="639"/>
      <c r="S645" s="420"/>
      <c r="T645" s="421"/>
      <c r="U645" s="387"/>
      <c r="V645" s="648"/>
      <c r="W645" s="640"/>
      <c r="X645" s="404"/>
      <c r="Y645" s="372"/>
      <c r="Z645" s="381"/>
      <c r="AA645" s="225"/>
      <c r="AB645" s="361"/>
      <c r="AC645" s="533"/>
      <c r="AD645" s="225"/>
      <c r="AE645" s="361"/>
      <c r="AF645" s="533"/>
      <c r="AG645" s="225"/>
      <c r="AH645" s="361"/>
      <c r="AI645" s="533"/>
      <c r="AJ645" s="225"/>
      <c r="AK645" s="361"/>
      <c r="AL645" s="533"/>
      <c r="AM645" s="225"/>
      <c r="AN645" s="361"/>
      <c r="AO645" s="533"/>
      <c r="AP645" s="225"/>
      <c r="AQ645" s="361"/>
      <c r="AR645" s="533"/>
    </row>
    <row r="646" spans="1:44" ht="15.75" hidden="1" customHeight="1">
      <c r="A646" s="309"/>
      <c r="B646" s="656"/>
      <c r="C646" s="632"/>
      <c r="D646" s="632"/>
      <c r="E646" s="633"/>
      <c r="F646" s="524"/>
      <c r="G646" s="524"/>
      <c r="H646" s="362"/>
      <c r="I646" s="230"/>
      <c r="J646" s="230"/>
      <c r="K646" s="363"/>
      <c r="L646" s="364"/>
      <c r="M646" s="365"/>
      <c r="N646" s="366"/>
      <c r="O646" s="634"/>
      <c r="P646" s="429"/>
      <c r="Q646" s="609"/>
      <c r="R646" s="646"/>
      <c r="S646" s="433"/>
      <c r="T646" s="434"/>
      <c r="U646" s="376"/>
      <c r="V646" s="649"/>
      <c r="W646" s="636"/>
      <c r="X646" s="404"/>
      <c r="Y646" s="372"/>
      <c r="Z646" s="381"/>
      <c r="AA646" s="241"/>
      <c r="AB646" s="411"/>
      <c r="AC646" s="577"/>
      <c r="AD646" s="241"/>
      <c r="AE646" s="411"/>
      <c r="AF646" s="577"/>
      <c r="AG646" s="241"/>
      <c r="AH646" s="411"/>
      <c r="AI646" s="577"/>
      <c r="AJ646" s="241"/>
      <c r="AK646" s="411"/>
      <c r="AL646" s="577"/>
      <c r="AM646" s="241"/>
      <c r="AN646" s="411"/>
      <c r="AO646" s="577"/>
      <c r="AP646" s="241"/>
      <c r="AQ646" s="411"/>
      <c r="AR646" s="577"/>
    </row>
    <row r="647" spans="1:44" ht="15.75" hidden="1" customHeight="1">
      <c r="A647" s="309"/>
      <c r="B647" s="656" t="s">
        <v>2548</v>
      </c>
      <c r="C647" s="632">
        <v>10</v>
      </c>
      <c r="D647" s="632">
        <v>320</v>
      </c>
      <c r="E647" s="633"/>
      <c r="F647" s="524"/>
      <c r="G647" s="524"/>
      <c r="H647" s="362"/>
      <c r="I647" s="230"/>
      <c r="J647" s="230"/>
      <c r="K647" s="363"/>
      <c r="L647" s="364"/>
      <c r="M647" s="365"/>
      <c r="N647" s="409"/>
      <c r="O647" s="638"/>
      <c r="P647" s="454"/>
      <c r="Q647" s="592"/>
      <c r="R647" s="639"/>
      <c r="S647" s="420"/>
      <c r="T647" s="421"/>
      <c r="U647" s="387"/>
      <c r="V647" s="648"/>
      <c r="W647" s="640"/>
      <c r="X647" s="404"/>
      <c r="Y647" s="372"/>
      <c r="Z647" s="381"/>
      <c r="AA647" s="225"/>
      <c r="AB647" s="361"/>
      <c r="AC647" s="533"/>
      <c r="AD647" s="225"/>
      <c r="AE647" s="361"/>
      <c r="AF647" s="533"/>
      <c r="AG647" s="225"/>
      <c r="AH647" s="361"/>
      <c r="AI647" s="533"/>
      <c r="AJ647" s="225"/>
      <c r="AK647" s="361"/>
      <c r="AL647" s="533"/>
      <c r="AM647" s="225"/>
      <c r="AN647" s="361"/>
      <c r="AO647" s="533"/>
      <c r="AP647" s="225"/>
      <c r="AQ647" s="361"/>
      <c r="AR647" s="533"/>
    </row>
    <row r="648" spans="1:44" ht="15.75" hidden="1" customHeight="1">
      <c r="A648" s="309"/>
      <c r="B648" s="656"/>
      <c r="C648" s="632"/>
      <c r="D648" s="632"/>
      <c r="E648" s="633"/>
      <c r="F648" s="524"/>
      <c r="G648" s="524"/>
      <c r="H648" s="362"/>
      <c r="I648" s="230"/>
      <c r="J648" s="230"/>
      <c r="K648" s="363"/>
      <c r="L648" s="364"/>
      <c r="M648" s="365"/>
      <c r="N648" s="415"/>
      <c r="O648" s="642"/>
      <c r="P648" s="581"/>
      <c r="Q648" s="608"/>
      <c r="R648" s="646"/>
      <c r="S648" s="433"/>
      <c r="T648" s="434"/>
      <c r="U648" s="376"/>
      <c r="V648" s="649"/>
      <c r="W648" s="636"/>
      <c r="X648" s="404"/>
      <c r="Y648" s="372"/>
      <c r="Z648" s="381"/>
      <c r="AA648" s="241"/>
      <c r="AB648" s="411"/>
      <c r="AC648" s="577"/>
      <c r="AD648" s="241"/>
      <c r="AE648" s="411"/>
      <c r="AF648" s="577"/>
      <c r="AG648" s="241"/>
      <c r="AH648" s="411"/>
      <c r="AI648" s="577"/>
      <c r="AJ648" s="241"/>
      <c r="AK648" s="411"/>
      <c r="AL648" s="577"/>
      <c r="AM648" s="241"/>
      <c r="AN648" s="411"/>
      <c r="AO648" s="577"/>
      <c r="AP648" s="241"/>
      <c r="AQ648" s="411"/>
      <c r="AR648" s="577"/>
    </row>
    <row r="649" spans="1:44" ht="15.75" hidden="1" customHeight="1">
      <c r="A649" s="309"/>
      <c r="B649" s="656" t="s">
        <v>2548</v>
      </c>
      <c r="C649" s="632">
        <v>11</v>
      </c>
      <c r="D649" s="632">
        <v>321</v>
      </c>
      <c r="E649" s="633"/>
      <c r="F649" s="524"/>
      <c r="G649" s="524"/>
      <c r="H649" s="362"/>
      <c r="I649" s="230"/>
      <c r="J649" s="230"/>
      <c r="K649" s="363"/>
      <c r="L649" s="364"/>
      <c r="M649" s="365"/>
      <c r="N649" s="415"/>
      <c r="O649" s="642"/>
      <c r="P649" s="581"/>
      <c r="Q649" s="608"/>
      <c r="R649" s="639"/>
      <c r="S649" s="420"/>
      <c r="T649" s="421"/>
      <c r="U649" s="387"/>
      <c r="V649" s="648"/>
      <c r="W649" s="640"/>
      <c r="X649" s="404"/>
      <c r="Y649" s="372"/>
      <c r="Z649" s="381"/>
      <c r="AA649" s="225"/>
      <c r="AB649" s="361"/>
      <c r="AC649" s="533"/>
      <c r="AD649" s="225"/>
      <c r="AE649" s="361"/>
      <c r="AF649" s="533"/>
      <c r="AG649" s="225"/>
      <c r="AH649" s="361"/>
      <c r="AI649" s="533"/>
      <c r="AJ649" s="225"/>
      <c r="AK649" s="361"/>
      <c r="AL649" s="533"/>
      <c r="AM649" s="225"/>
      <c r="AN649" s="361"/>
      <c r="AO649" s="533"/>
      <c r="AP649" s="225"/>
      <c r="AQ649" s="361"/>
      <c r="AR649" s="533"/>
    </row>
    <row r="650" spans="1:44" ht="15.75" hidden="1" customHeight="1">
      <c r="A650" s="309"/>
      <c r="B650" s="656"/>
      <c r="C650" s="632"/>
      <c r="D650" s="632"/>
      <c r="E650" s="633"/>
      <c r="F650" s="524"/>
      <c r="G650" s="524"/>
      <c r="H650" s="362"/>
      <c r="I650" s="230"/>
      <c r="J650" s="230"/>
      <c r="K650" s="363"/>
      <c r="L650" s="364"/>
      <c r="M650" s="365"/>
      <c r="N650" s="425"/>
      <c r="O650" s="645"/>
      <c r="P650" s="429"/>
      <c r="Q650" s="609"/>
      <c r="R650" s="646"/>
      <c r="S650" s="433"/>
      <c r="T650" s="434"/>
      <c r="U650" s="376"/>
      <c r="V650" s="649"/>
      <c r="W650" s="636"/>
      <c r="X650" s="404"/>
      <c r="Y650" s="372"/>
      <c r="Z650" s="381"/>
      <c r="AA650" s="241"/>
      <c r="AB650" s="411"/>
      <c r="AC650" s="577"/>
      <c r="AD650" s="241"/>
      <c r="AE650" s="411"/>
      <c r="AF650" s="577"/>
      <c r="AG650" s="241"/>
      <c r="AH650" s="411"/>
      <c r="AI650" s="577"/>
      <c r="AJ650" s="241"/>
      <c r="AK650" s="411"/>
      <c r="AL650" s="577"/>
      <c r="AM650" s="241"/>
      <c r="AN650" s="411"/>
      <c r="AO650" s="577"/>
      <c r="AP650" s="241"/>
      <c r="AQ650" s="411"/>
      <c r="AR650" s="577"/>
    </row>
    <row r="651" spans="1:44" ht="15.75" hidden="1" customHeight="1">
      <c r="A651" s="309"/>
      <c r="B651" s="656" t="s">
        <v>2548</v>
      </c>
      <c r="C651" s="632">
        <v>12</v>
      </c>
      <c r="D651" s="632">
        <v>322</v>
      </c>
      <c r="E651" s="633"/>
      <c r="F651" s="524"/>
      <c r="G651" s="524"/>
      <c r="H651" s="362"/>
      <c r="I651" s="230"/>
      <c r="J651" s="230"/>
      <c r="K651" s="363"/>
      <c r="L651" s="364"/>
      <c r="M651" s="365"/>
      <c r="N651" s="366"/>
      <c r="O651" s="634"/>
      <c r="P651" s="454"/>
      <c r="Q651" s="592"/>
      <c r="R651" s="639"/>
      <c r="S651" s="420"/>
      <c r="T651" s="421"/>
      <c r="U651" s="387"/>
      <c r="V651" s="648"/>
      <c r="W651" s="640"/>
      <c r="X651" s="404"/>
      <c r="Y651" s="372"/>
      <c r="Z651" s="381"/>
      <c r="AA651" s="225"/>
      <c r="AB651" s="361"/>
      <c r="AC651" s="533"/>
      <c r="AD651" s="225"/>
      <c r="AE651" s="361"/>
      <c r="AF651" s="533"/>
      <c r="AG651" s="225"/>
      <c r="AH651" s="361"/>
      <c r="AI651" s="533"/>
      <c r="AJ651" s="225"/>
      <c r="AK651" s="361"/>
      <c r="AL651" s="533"/>
      <c r="AM651" s="225"/>
      <c r="AN651" s="361"/>
      <c r="AO651" s="533"/>
      <c r="AP651" s="225"/>
      <c r="AQ651" s="361"/>
      <c r="AR651" s="533"/>
    </row>
    <row r="652" spans="1:44" ht="15.75" hidden="1" customHeight="1">
      <c r="A652" s="309"/>
      <c r="B652" s="656"/>
      <c r="C652" s="632"/>
      <c r="D652" s="632"/>
      <c r="E652" s="633"/>
      <c r="F652" s="524"/>
      <c r="G652" s="524"/>
      <c r="H652" s="362"/>
      <c r="I652" s="230"/>
      <c r="J652" s="230"/>
      <c r="K652" s="363"/>
      <c r="L652" s="364"/>
      <c r="M652" s="365"/>
      <c r="N652" s="366"/>
      <c r="O652" s="634"/>
      <c r="P652" s="429"/>
      <c r="Q652" s="609"/>
      <c r="R652" s="646"/>
      <c r="S652" s="433"/>
      <c r="T652" s="434"/>
      <c r="U652" s="376"/>
      <c r="V652" s="649"/>
      <c r="W652" s="636"/>
      <c r="X652" s="404"/>
      <c r="Y652" s="372"/>
      <c r="Z652" s="381"/>
      <c r="AA652" s="241"/>
      <c r="AB652" s="411"/>
      <c r="AC652" s="577"/>
      <c r="AD652" s="241"/>
      <c r="AE652" s="411"/>
      <c r="AF652" s="577"/>
      <c r="AG652" s="241"/>
      <c r="AH652" s="411"/>
      <c r="AI652" s="577"/>
      <c r="AJ652" s="241"/>
      <c r="AK652" s="411"/>
      <c r="AL652" s="577"/>
      <c r="AM652" s="241"/>
      <c r="AN652" s="411"/>
      <c r="AO652" s="577"/>
      <c r="AP652" s="241"/>
      <c r="AQ652" s="411"/>
      <c r="AR652" s="577"/>
    </row>
    <row r="653" spans="1:44" ht="15.75" hidden="1" customHeight="1">
      <c r="A653" s="309"/>
      <c r="B653" s="656" t="s">
        <v>2548</v>
      </c>
      <c r="C653" s="632">
        <v>13</v>
      </c>
      <c r="D653" s="632">
        <v>324</v>
      </c>
      <c r="E653" s="633"/>
      <c r="F653" s="524"/>
      <c r="G653" s="524"/>
      <c r="H653" s="362"/>
      <c r="I653" s="230"/>
      <c r="J653" s="230"/>
      <c r="K653" s="363"/>
      <c r="L653" s="364"/>
      <c r="M653" s="365"/>
      <c r="N653" s="366"/>
      <c r="O653" s="634"/>
      <c r="P653" s="454"/>
      <c r="Q653" s="592"/>
      <c r="R653" s="639"/>
      <c r="S653" s="420"/>
      <c r="T653" s="421"/>
      <c r="U653" s="387"/>
      <c r="V653" s="648"/>
      <c r="W653" s="640"/>
      <c r="X653" s="404"/>
      <c r="Y653" s="372"/>
      <c r="Z653" s="381"/>
      <c r="AA653" s="225"/>
      <c r="AB653" s="361"/>
      <c r="AC653" s="533"/>
      <c r="AD653" s="225"/>
      <c r="AE653" s="361"/>
      <c r="AF653" s="533"/>
      <c r="AG653" s="225"/>
      <c r="AH653" s="361"/>
      <c r="AI653" s="533"/>
      <c r="AJ653" s="225"/>
      <c r="AK653" s="361"/>
      <c r="AL653" s="533"/>
      <c r="AM653" s="225"/>
      <c r="AN653" s="361"/>
      <c r="AO653" s="533"/>
      <c r="AP653" s="225"/>
      <c r="AQ653" s="361"/>
      <c r="AR653" s="533"/>
    </row>
    <row r="654" spans="1:44" ht="15.75" hidden="1" customHeight="1">
      <c r="A654" s="309"/>
      <c r="B654" s="656"/>
      <c r="C654" s="632"/>
      <c r="D654" s="632"/>
      <c r="E654" s="633"/>
      <c r="F654" s="524"/>
      <c r="G654" s="524"/>
      <c r="H654" s="362"/>
      <c r="I654" s="230"/>
      <c r="J654" s="230"/>
      <c r="K654" s="363"/>
      <c r="L654" s="364"/>
      <c r="M654" s="365"/>
      <c r="N654" s="366"/>
      <c r="O654" s="634"/>
      <c r="P654" s="429"/>
      <c r="Q654" s="609"/>
      <c r="R654" s="646"/>
      <c r="S654" s="433"/>
      <c r="T654" s="434"/>
      <c r="U654" s="376"/>
      <c r="V654" s="649"/>
      <c r="W654" s="636"/>
      <c r="X654" s="404"/>
      <c r="Y654" s="372"/>
      <c r="Z654" s="381"/>
      <c r="AA654" s="241"/>
      <c r="AB654" s="411"/>
      <c r="AC654" s="577"/>
      <c r="AD654" s="241"/>
      <c r="AE654" s="411"/>
      <c r="AF654" s="577"/>
      <c r="AG654" s="241"/>
      <c r="AH654" s="411"/>
      <c r="AI654" s="577"/>
      <c r="AJ654" s="241"/>
      <c r="AK654" s="411"/>
      <c r="AL654" s="577"/>
      <c r="AM654" s="241"/>
      <c r="AN654" s="411"/>
      <c r="AO654" s="577"/>
      <c r="AP654" s="241"/>
      <c r="AQ654" s="411"/>
      <c r="AR654" s="577"/>
    </row>
    <row r="655" spans="1:44" ht="15.75" hidden="1" customHeight="1">
      <c r="A655" s="309"/>
      <c r="B655" s="656" t="s">
        <v>2548</v>
      </c>
      <c r="C655" s="632">
        <v>14</v>
      </c>
      <c r="D655" s="632">
        <v>325</v>
      </c>
      <c r="E655" s="633"/>
      <c r="F655" s="524"/>
      <c r="G655" s="524"/>
      <c r="H655" s="362"/>
      <c r="I655" s="230"/>
      <c r="J655" s="230"/>
      <c r="K655" s="363"/>
      <c r="L655" s="364"/>
      <c r="M655" s="365"/>
      <c r="N655" s="366"/>
      <c r="O655" s="634"/>
      <c r="P655" s="454"/>
      <c r="Q655" s="592"/>
      <c r="R655" s="639"/>
      <c r="S655" s="420"/>
      <c r="T655" s="421"/>
      <c r="U655" s="387"/>
      <c r="V655" s="648"/>
      <c r="W655" s="640"/>
      <c r="X655" s="404"/>
      <c r="Y655" s="372"/>
      <c r="Z655" s="381"/>
      <c r="AA655" s="225"/>
      <c r="AB655" s="361"/>
      <c r="AC655" s="533"/>
      <c r="AD655" s="225"/>
      <c r="AE655" s="361"/>
      <c r="AF655" s="533"/>
      <c r="AG655" s="225"/>
      <c r="AH655" s="361"/>
      <c r="AI655" s="533"/>
      <c r="AJ655" s="225"/>
      <c r="AK655" s="361"/>
      <c r="AL655" s="533"/>
      <c r="AM655" s="225"/>
      <c r="AN655" s="361"/>
      <c r="AO655" s="533"/>
      <c r="AP655" s="225"/>
      <c r="AQ655" s="361"/>
      <c r="AR655" s="533"/>
    </row>
    <row r="656" spans="1:44" ht="15.75" hidden="1" customHeight="1">
      <c r="A656" s="309"/>
      <c r="B656" s="656"/>
      <c r="C656" s="632"/>
      <c r="D656" s="632"/>
      <c r="E656" s="633"/>
      <c r="F656" s="524"/>
      <c r="G656" s="524"/>
      <c r="H656" s="362"/>
      <c r="I656" s="230"/>
      <c r="J656" s="230"/>
      <c r="K656" s="363"/>
      <c r="L656" s="364"/>
      <c r="M656" s="365"/>
      <c r="N656" s="366"/>
      <c r="O656" s="634"/>
      <c r="P656" s="429"/>
      <c r="Q656" s="609"/>
      <c r="R656" s="646"/>
      <c r="S656" s="433"/>
      <c r="T656" s="434"/>
      <c r="U656" s="376"/>
      <c r="V656" s="649"/>
      <c r="W656" s="636"/>
      <c r="X656" s="404"/>
      <c r="Y656" s="372"/>
      <c r="Z656" s="381"/>
      <c r="AA656" s="241"/>
      <c r="AB656" s="411"/>
      <c r="AC656" s="577"/>
      <c r="AD656" s="241"/>
      <c r="AE656" s="411"/>
      <c r="AF656" s="577"/>
      <c r="AG656" s="241"/>
      <c r="AH656" s="411"/>
      <c r="AI656" s="577"/>
      <c r="AJ656" s="241"/>
      <c r="AK656" s="411"/>
      <c r="AL656" s="577"/>
      <c r="AM656" s="241"/>
      <c r="AN656" s="411"/>
      <c r="AO656" s="577"/>
      <c r="AP656" s="241"/>
      <c r="AQ656" s="411"/>
      <c r="AR656" s="577"/>
    </row>
    <row r="657" spans="1:44" ht="15.75" hidden="1" customHeight="1">
      <c r="A657" s="309"/>
      <c r="B657" s="656" t="s">
        <v>2548</v>
      </c>
      <c r="C657" s="632">
        <v>15</v>
      </c>
      <c r="D657" s="632">
        <v>323</v>
      </c>
      <c r="E657" s="633"/>
      <c r="F657" s="524"/>
      <c r="G657" s="524"/>
      <c r="H657" s="362"/>
      <c r="I657" s="230"/>
      <c r="J657" s="230"/>
      <c r="K657" s="363"/>
      <c r="L657" s="364"/>
      <c r="M657" s="365"/>
      <c r="N657" s="366"/>
      <c r="O657" s="634"/>
      <c r="P657" s="454"/>
      <c r="Q657" s="592"/>
      <c r="R657" s="639"/>
      <c r="S657" s="420"/>
      <c r="T657" s="421"/>
      <c r="U657" s="387"/>
      <c r="V657" s="648"/>
      <c r="W657" s="640"/>
      <c r="X657" s="404"/>
      <c r="Y657" s="372"/>
      <c r="Z657" s="381"/>
      <c r="AA657" s="225"/>
      <c r="AB657" s="361"/>
      <c r="AC657" s="533"/>
      <c r="AD657" s="225"/>
      <c r="AE657" s="361"/>
      <c r="AF657" s="533"/>
      <c r="AG657" s="225"/>
      <c r="AH657" s="361"/>
      <c r="AI657" s="533"/>
      <c r="AJ657" s="225"/>
      <c r="AK657" s="361"/>
      <c r="AL657" s="533"/>
      <c r="AM657" s="225"/>
      <c r="AN657" s="361"/>
      <c r="AO657" s="533"/>
      <c r="AP657" s="225"/>
      <c r="AQ657" s="361"/>
      <c r="AR657" s="533"/>
    </row>
    <row r="658" spans="1:44" ht="15.75" hidden="1" customHeight="1">
      <c r="A658" s="309"/>
      <c r="B658" s="656"/>
      <c r="C658" s="632"/>
      <c r="D658" s="632"/>
      <c r="E658" s="633"/>
      <c r="F658" s="524"/>
      <c r="G658" s="524"/>
      <c r="H658" s="362"/>
      <c r="I658" s="230"/>
      <c r="J658" s="230"/>
      <c r="K658" s="363"/>
      <c r="L658" s="364"/>
      <c r="M658" s="365"/>
      <c r="N658" s="366"/>
      <c r="O658" s="634"/>
      <c r="P658" s="429"/>
      <c r="Q658" s="609"/>
      <c r="R658" s="646"/>
      <c r="S658" s="433"/>
      <c r="T658" s="434"/>
      <c r="U658" s="376"/>
      <c r="V658" s="649"/>
      <c r="W658" s="636"/>
      <c r="X658" s="404"/>
      <c r="Y658" s="372"/>
      <c r="Z658" s="381"/>
      <c r="AA658" s="241"/>
      <c r="AB658" s="411"/>
      <c r="AC658" s="577"/>
      <c r="AD658" s="241"/>
      <c r="AE658" s="411"/>
      <c r="AF658" s="577"/>
      <c r="AG658" s="241"/>
      <c r="AH658" s="411"/>
      <c r="AI658" s="577"/>
      <c r="AJ658" s="241"/>
      <c r="AK658" s="411"/>
      <c r="AL658" s="577"/>
      <c r="AM658" s="241"/>
      <c r="AN658" s="411"/>
      <c r="AO658" s="577"/>
      <c r="AP658" s="241"/>
      <c r="AQ658" s="411"/>
      <c r="AR658" s="577"/>
    </row>
    <row r="659" spans="1:44" ht="15.75" hidden="1" customHeight="1">
      <c r="A659" s="309"/>
      <c r="B659" s="656" t="s">
        <v>2548</v>
      </c>
      <c r="C659" s="632">
        <v>16</v>
      </c>
      <c r="D659" s="632">
        <v>325</v>
      </c>
      <c r="E659" s="633"/>
      <c r="F659" s="524"/>
      <c r="G659" s="524"/>
      <c r="H659" s="362"/>
      <c r="I659" s="230"/>
      <c r="J659" s="230"/>
      <c r="K659" s="363"/>
      <c r="L659" s="364"/>
      <c r="M659" s="365"/>
      <c r="N659" s="366"/>
      <c r="O659" s="634"/>
      <c r="P659" s="454"/>
      <c r="Q659" s="592"/>
      <c r="R659" s="639"/>
      <c r="S659" s="420"/>
      <c r="T659" s="421"/>
      <c r="U659" s="387"/>
      <c r="V659" s="648"/>
      <c r="W659" s="640"/>
      <c r="X659" s="404"/>
      <c r="Y659" s="372"/>
      <c r="Z659" s="381"/>
      <c r="AA659" s="225"/>
      <c r="AB659" s="361"/>
      <c r="AC659" s="533"/>
      <c r="AD659" s="225"/>
      <c r="AE659" s="361"/>
      <c r="AF659" s="533"/>
      <c r="AG659" s="225"/>
      <c r="AH659" s="361"/>
      <c r="AI659" s="533"/>
      <c r="AJ659" s="225"/>
      <c r="AK659" s="361"/>
      <c r="AL659" s="533"/>
      <c r="AM659" s="225"/>
      <c r="AN659" s="361"/>
      <c r="AO659" s="533"/>
      <c r="AP659" s="225"/>
      <c r="AQ659" s="361"/>
      <c r="AR659" s="533"/>
    </row>
    <row r="660" spans="1:44" ht="15.75" hidden="1" customHeight="1">
      <c r="A660" s="309"/>
      <c r="B660" s="656"/>
      <c r="C660" s="632"/>
      <c r="D660" s="632"/>
      <c r="E660" s="633"/>
      <c r="F660" s="524"/>
      <c r="G660" s="524"/>
      <c r="H660" s="362"/>
      <c r="I660" s="230"/>
      <c r="J660" s="230"/>
      <c r="K660" s="363"/>
      <c r="L660" s="364"/>
      <c r="M660" s="365"/>
      <c r="N660" s="366"/>
      <c r="O660" s="634"/>
      <c r="P660" s="429"/>
      <c r="Q660" s="609"/>
      <c r="R660" s="646"/>
      <c r="S660" s="433"/>
      <c r="T660" s="434"/>
      <c r="U660" s="376"/>
      <c r="V660" s="649"/>
      <c r="W660" s="636"/>
      <c r="X660" s="404"/>
      <c r="Y660" s="372"/>
      <c r="Z660" s="381"/>
      <c r="AA660" s="241"/>
      <c r="AB660" s="411"/>
      <c r="AC660" s="577"/>
      <c r="AD660" s="241"/>
      <c r="AE660" s="411"/>
      <c r="AF660" s="577"/>
      <c r="AG660" s="241"/>
      <c r="AH660" s="411"/>
      <c r="AI660" s="577"/>
      <c r="AJ660" s="241"/>
      <c r="AK660" s="411"/>
      <c r="AL660" s="577"/>
      <c r="AM660" s="241"/>
      <c r="AN660" s="411"/>
      <c r="AO660" s="577"/>
      <c r="AP660" s="241"/>
      <c r="AQ660" s="411"/>
      <c r="AR660" s="577"/>
    </row>
    <row r="661" spans="1:44" ht="15.75" hidden="1" customHeight="1">
      <c r="A661" s="309"/>
      <c r="B661" s="656" t="s">
        <v>2548</v>
      </c>
      <c r="C661" s="632">
        <v>17</v>
      </c>
      <c r="D661" s="632">
        <v>326</v>
      </c>
      <c r="E661" s="633"/>
      <c r="F661" s="524"/>
      <c r="G661" s="524"/>
      <c r="H661" s="362"/>
      <c r="I661" s="230"/>
      <c r="J661" s="230"/>
      <c r="K661" s="363"/>
      <c r="L661" s="364"/>
      <c r="M661" s="365"/>
      <c r="N661" s="366"/>
      <c r="O661" s="634"/>
      <c r="P661" s="454"/>
      <c r="Q661" s="592"/>
      <c r="R661" s="639"/>
      <c r="S661" s="420"/>
      <c r="T661" s="421"/>
      <c r="U661" s="387"/>
      <c r="V661" s="648"/>
      <c r="W661" s="640"/>
      <c r="X661" s="404"/>
      <c r="Y661" s="372"/>
      <c r="Z661" s="381"/>
      <c r="AA661" s="225"/>
      <c r="AB661" s="361"/>
      <c r="AC661" s="533"/>
      <c r="AD661" s="225"/>
      <c r="AE661" s="361"/>
      <c r="AF661" s="533"/>
      <c r="AG661" s="225"/>
      <c r="AH661" s="361"/>
      <c r="AI661" s="533"/>
      <c r="AJ661" s="225"/>
      <c r="AK661" s="361"/>
      <c r="AL661" s="533"/>
      <c r="AM661" s="225"/>
      <c r="AN661" s="361"/>
      <c r="AO661" s="533"/>
      <c r="AP661" s="225"/>
      <c r="AQ661" s="361"/>
      <c r="AR661" s="533"/>
    </row>
    <row r="662" spans="1:44" ht="15.75" hidden="1" customHeight="1">
      <c r="A662" s="309"/>
      <c r="B662" s="656"/>
      <c r="C662" s="632"/>
      <c r="D662" s="632"/>
      <c r="E662" s="633"/>
      <c r="F662" s="524"/>
      <c r="G662" s="524"/>
      <c r="H662" s="362"/>
      <c r="I662" s="230"/>
      <c r="J662" s="230"/>
      <c r="K662" s="363"/>
      <c r="L662" s="364"/>
      <c r="M662" s="365"/>
      <c r="N662" s="366"/>
      <c r="O662" s="634"/>
      <c r="P662" s="429"/>
      <c r="Q662" s="609"/>
      <c r="R662" s="646"/>
      <c r="S662" s="433"/>
      <c r="T662" s="434"/>
      <c r="U662" s="376"/>
      <c r="V662" s="649"/>
      <c r="W662" s="636"/>
      <c r="X662" s="404"/>
      <c r="Y662" s="372"/>
      <c r="Z662" s="381"/>
      <c r="AA662" s="241"/>
      <c r="AB662" s="411"/>
      <c r="AC662" s="577"/>
      <c r="AD662" s="241"/>
      <c r="AE662" s="411"/>
      <c r="AF662" s="577"/>
      <c r="AG662" s="241"/>
      <c r="AH662" s="411"/>
      <c r="AI662" s="577"/>
      <c r="AJ662" s="241"/>
      <c r="AK662" s="411"/>
      <c r="AL662" s="577"/>
      <c r="AM662" s="241"/>
      <c r="AN662" s="411"/>
      <c r="AO662" s="577"/>
      <c r="AP662" s="241"/>
      <c r="AQ662" s="411"/>
      <c r="AR662" s="577"/>
    </row>
    <row r="663" spans="1:44" ht="14.25" hidden="1" customHeight="1">
      <c r="A663" s="309"/>
      <c r="B663" s="656" t="s">
        <v>2548</v>
      </c>
      <c r="C663" s="632">
        <v>18</v>
      </c>
      <c r="D663" s="632">
        <v>327</v>
      </c>
      <c r="E663" s="633"/>
      <c r="F663" s="524"/>
      <c r="G663" s="524"/>
      <c r="H663" s="362"/>
      <c r="I663" s="230"/>
      <c r="J663" s="230"/>
      <c r="K663" s="363"/>
      <c r="L663" s="364"/>
      <c r="M663" s="365"/>
      <c r="N663" s="366"/>
      <c r="O663" s="634"/>
      <c r="P663" s="454"/>
      <c r="Q663" s="592"/>
      <c r="R663" s="639"/>
      <c r="S663" s="650"/>
      <c r="T663" s="421"/>
      <c r="U663" s="387"/>
      <c r="V663" s="648"/>
      <c r="W663" s="640"/>
      <c r="X663" s="404"/>
      <c r="Y663" s="372"/>
      <c r="Z663" s="381"/>
      <c r="AA663" s="225"/>
      <c r="AB663" s="361"/>
      <c r="AC663" s="533"/>
      <c r="AD663" s="225"/>
      <c r="AE663" s="361"/>
      <c r="AF663" s="533"/>
      <c r="AG663" s="225"/>
      <c r="AH663" s="361"/>
      <c r="AI663" s="533"/>
      <c r="AJ663" s="225"/>
      <c r="AK663" s="361"/>
      <c r="AL663" s="533"/>
      <c r="AM663" s="225"/>
      <c r="AN663" s="361"/>
      <c r="AO663" s="533"/>
      <c r="AP663" s="225"/>
      <c r="AQ663" s="361"/>
      <c r="AR663" s="533"/>
    </row>
    <row r="664" spans="1:44" ht="15.75" hidden="1" customHeight="1">
      <c r="A664" s="309"/>
      <c r="B664" s="656"/>
      <c r="C664" s="632"/>
      <c r="D664" s="632"/>
      <c r="E664" s="633"/>
      <c r="F664" s="524"/>
      <c r="G664" s="524"/>
      <c r="H664" s="362"/>
      <c r="I664" s="230"/>
      <c r="J664" s="230"/>
      <c r="K664" s="363"/>
      <c r="L664" s="364"/>
      <c r="M664" s="365"/>
      <c r="N664" s="366"/>
      <c r="O664" s="634"/>
      <c r="P664" s="429"/>
      <c r="Q664" s="609"/>
      <c r="R664" s="646"/>
      <c r="S664" s="433"/>
      <c r="T664" s="434"/>
      <c r="U664" s="376"/>
      <c r="V664" s="649"/>
      <c r="W664" s="636"/>
      <c r="X664" s="404"/>
      <c r="Y664" s="372"/>
      <c r="Z664" s="381"/>
      <c r="AA664" s="241"/>
      <c r="AB664" s="411"/>
      <c r="AC664" s="577"/>
      <c r="AD664" s="241"/>
      <c r="AE664" s="411"/>
      <c r="AF664" s="577"/>
      <c r="AG664" s="241"/>
      <c r="AH664" s="411"/>
      <c r="AI664" s="577"/>
      <c r="AJ664" s="241"/>
      <c r="AK664" s="411"/>
      <c r="AL664" s="577"/>
      <c r="AM664" s="241"/>
      <c r="AN664" s="411"/>
      <c r="AO664" s="577"/>
      <c r="AP664" s="241"/>
      <c r="AQ664" s="411"/>
      <c r="AR664" s="577"/>
    </row>
    <row r="665" spans="1:44" ht="15.75" hidden="1" customHeight="1">
      <c r="A665" s="309"/>
      <c r="B665" s="656" t="s">
        <v>2548</v>
      </c>
      <c r="C665" s="632">
        <v>19</v>
      </c>
      <c r="D665" s="632">
        <v>328</v>
      </c>
      <c r="E665" s="653"/>
      <c r="F665" s="524"/>
      <c r="G665" s="524"/>
      <c r="H665" s="362"/>
      <c r="I665" s="230"/>
      <c r="J665" s="230"/>
      <c r="K665" s="363"/>
      <c r="L665" s="364"/>
      <c r="M665" s="365"/>
      <c r="N665" s="366"/>
      <c r="O665" s="634"/>
      <c r="P665" s="454"/>
      <c r="Q665" s="592"/>
      <c r="R665" s="639"/>
      <c r="S665" s="650"/>
      <c r="T665" s="421"/>
      <c r="U665" s="387"/>
      <c r="V665" s="648"/>
      <c r="W665" s="640"/>
      <c r="X665" s="404"/>
      <c r="Y665" s="372"/>
      <c r="Z665" s="381"/>
      <c r="AA665" s="225"/>
      <c r="AB665" s="361"/>
      <c r="AC665" s="533"/>
      <c r="AD665" s="225"/>
      <c r="AE665" s="361"/>
      <c r="AF665" s="533"/>
      <c r="AG665" s="225"/>
      <c r="AH665" s="361"/>
      <c r="AI665" s="533"/>
      <c r="AJ665" s="225"/>
      <c r="AK665" s="361"/>
      <c r="AL665" s="533"/>
      <c r="AM665" s="225"/>
      <c r="AN665" s="361"/>
      <c r="AO665" s="533"/>
      <c r="AP665" s="225"/>
      <c r="AQ665" s="361"/>
      <c r="AR665" s="533"/>
    </row>
    <row r="666" spans="1:44" ht="15.75" hidden="1" customHeight="1">
      <c r="A666" s="309"/>
      <c r="B666" s="656"/>
      <c r="C666" s="632"/>
      <c r="D666" s="632"/>
      <c r="E666" s="653"/>
      <c r="F666" s="524"/>
      <c r="G666" s="524"/>
      <c r="H666" s="362"/>
      <c r="I666" s="230"/>
      <c r="J666" s="230"/>
      <c r="K666" s="363"/>
      <c r="L666" s="364"/>
      <c r="M666" s="365"/>
      <c r="N666" s="366"/>
      <c r="O666" s="634"/>
      <c r="P666" s="429"/>
      <c r="Q666" s="609"/>
      <c r="R666" s="646"/>
      <c r="S666" s="433"/>
      <c r="T666" s="434"/>
      <c r="U666" s="376"/>
      <c r="V666" s="649"/>
      <c r="W666" s="636"/>
      <c r="X666" s="404"/>
      <c r="Y666" s="372"/>
      <c r="Z666" s="381"/>
      <c r="AA666" s="241"/>
      <c r="AB666" s="411"/>
      <c r="AC666" s="577"/>
      <c r="AD666" s="241"/>
      <c r="AE666" s="411"/>
      <c r="AF666" s="577"/>
      <c r="AG666" s="241"/>
      <c r="AH666" s="411"/>
      <c r="AI666" s="577"/>
      <c r="AJ666" s="241"/>
      <c r="AK666" s="411"/>
      <c r="AL666" s="577"/>
      <c r="AM666" s="241"/>
      <c r="AN666" s="411"/>
      <c r="AO666" s="577"/>
      <c r="AP666" s="241"/>
      <c r="AQ666" s="411"/>
      <c r="AR666" s="577"/>
    </row>
    <row r="667" spans="1:44" ht="15.75" hidden="1" customHeight="1">
      <c r="A667" s="309"/>
      <c r="B667" s="656" t="s">
        <v>2548</v>
      </c>
      <c r="C667" s="632">
        <v>20</v>
      </c>
      <c r="D667" s="632">
        <v>329</v>
      </c>
      <c r="E667" s="633"/>
      <c r="F667" s="524"/>
      <c r="G667" s="524"/>
      <c r="H667" s="362"/>
      <c r="I667" s="230"/>
      <c r="J667" s="230"/>
      <c r="K667" s="363"/>
      <c r="L667" s="364"/>
      <c r="M667" s="365"/>
      <c r="N667" s="630"/>
      <c r="O667" s="634"/>
      <c r="P667" s="454"/>
      <c r="Q667" s="592"/>
      <c r="R667" s="639"/>
      <c r="S667" s="420"/>
      <c r="T667" s="421"/>
      <c r="U667" s="387"/>
      <c r="V667" s="648"/>
      <c r="W667" s="640"/>
      <c r="X667" s="404"/>
      <c r="Y667" s="372"/>
      <c r="Z667" s="381"/>
      <c r="AA667" s="225"/>
      <c r="AB667" s="361"/>
      <c r="AC667" s="533"/>
      <c r="AD667" s="225"/>
      <c r="AE667" s="361"/>
      <c r="AF667" s="533"/>
      <c r="AG667" s="225"/>
      <c r="AH667" s="361"/>
      <c r="AI667" s="533"/>
      <c r="AJ667" s="225"/>
      <c r="AK667" s="361"/>
      <c r="AL667" s="533"/>
      <c r="AM667" s="225"/>
      <c r="AN667" s="361"/>
      <c r="AO667" s="533"/>
      <c r="AP667" s="225"/>
      <c r="AQ667" s="361"/>
      <c r="AR667" s="533"/>
    </row>
    <row r="668" spans="1:44" ht="15.75" hidden="1" customHeight="1">
      <c r="A668" s="309"/>
      <c r="B668" s="656"/>
      <c r="C668" s="632"/>
      <c r="D668" s="632"/>
      <c r="E668" s="633"/>
      <c r="F668" s="524"/>
      <c r="G668" s="524"/>
      <c r="H668" s="362"/>
      <c r="I668" s="230"/>
      <c r="J668" s="230"/>
      <c r="K668" s="363"/>
      <c r="L668" s="364"/>
      <c r="M668" s="365"/>
      <c r="N668" s="630"/>
      <c r="O668" s="634"/>
      <c r="P668" s="429"/>
      <c r="Q668" s="609"/>
      <c r="R668" s="646"/>
      <c r="S668" s="433"/>
      <c r="T668" s="434"/>
      <c r="U668" s="376"/>
      <c r="V668" s="649"/>
      <c r="W668" s="636"/>
      <c r="X668" s="404"/>
      <c r="Y668" s="372"/>
      <c r="Z668" s="381"/>
      <c r="AA668" s="241"/>
      <c r="AB668" s="411"/>
      <c r="AC668" s="577"/>
      <c r="AD668" s="241"/>
      <c r="AE668" s="411"/>
      <c r="AF668" s="577"/>
      <c r="AG668" s="241"/>
      <c r="AH668" s="411"/>
      <c r="AI668" s="577"/>
      <c r="AJ668" s="241"/>
      <c r="AK668" s="411"/>
      <c r="AL668" s="577"/>
      <c r="AM668" s="241"/>
      <c r="AN668" s="411"/>
      <c r="AO668" s="577"/>
      <c r="AP668" s="241"/>
      <c r="AQ668" s="411"/>
      <c r="AR668" s="577"/>
    </row>
    <row r="669" spans="1:44" ht="15.75" hidden="1" customHeight="1">
      <c r="A669" s="309"/>
      <c r="B669" s="656" t="s">
        <v>2548</v>
      </c>
      <c r="C669" s="632">
        <v>21</v>
      </c>
      <c r="D669" s="632">
        <v>330</v>
      </c>
      <c r="E669" s="633"/>
      <c r="F669" s="524"/>
      <c r="G669" s="524"/>
      <c r="H669" s="362"/>
      <c r="I669" s="230"/>
      <c r="J669" s="230"/>
      <c r="K669" s="363"/>
      <c r="L669" s="364"/>
      <c r="M669" s="365"/>
      <c r="N669" s="366"/>
      <c r="O669" s="634"/>
      <c r="P669" s="454"/>
      <c r="Q669" s="592"/>
      <c r="R669" s="639"/>
      <c r="S669" s="420"/>
      <c r="T669" s="421"/>
      <c r="U669" s="387"/>
      <c r="V669" s="648"/>
      <c r="W669" s="640"/>
      <c r="X669" s="404"/>
      <c r="Y669" s="372"/>
      <c r="Z669" s="381"/>
      <c r="AA669" s="225"/>
      <c r="AB669" s="361"/>
      <c r="AC669" s="533"/>
      <c r="AD669" s="225"/>
      <c r="AE669" s="361"/>
      <c r="AF669" s="533"/>
      <c r="AG669" s="225"/>
      <c r="AH669" s="361"/>
      <c r="AI669" s="533"/>
      <c r="AJ669" s="225"/>
      <c r="AK669" s="361"/>
      <c r="AL669" s="533"/>
      <c r="AM669" s="225"/>
      <c r="AN669" s="361"/>
      <c r="AO669" s="533"/>
      <c r="AP669" s="225"/>
      <c r="AQ669" s="361"/>
      <c r="AR669" s="533"/>
    </row>
    <row r="670" spans="1:44" ht="15.75" hidden="1" customHeight="1">
      <c r="A670" s="309"/>
      <c r="B670" s="656"/>
      <c r="C670" s="632"/>
      <c r="D670" s="632"/>
      <c r="E670" s="633"/>
      <c r="F670" s="524"/>
      <c r="G670" s="524"/>
      <c r="H670" s="362"/>
      <c r="I670" s="230"/>
      <c r="J670" s="230"/>
      <c r="K670" s="363"/>
      <c r="L670" s="364"/>
      <c r="M670" s="365"/>
      <c r="N670" s="366"/>
      <c r="O670" s="634"/>
      <c r="P670" s="429"/>
      <c r="Q670" s="609"/>
      <c r="R670" s="646"/>
      <c r="S670" s="433"/>
      <c r="T670" s="434"/>
      <c r="U670" s="376"/>
      <c r="V670" s="649"/>
      <c r="W670" s="636"/>
      <c r="X670" s="404"/>
      <c r="Y670" s="372"/>
      <c r="Z670" s="381"/>
      <c r="AA670" s="241"/>
      <c r="AB670" s="411"/>
      <c r="AC670" s="577"/>
      <c r="AD670" s="241"/>
      <c r="AE670" s="411"/>
      <c r="AF670" s="577"/>
      <c r="AG670" s="241"/>
      <c r="AH670" s="411"/>
      <c r="AI670" s="577"/>
      <c r="AJ670" s="241"/>
      <c r="AK670" s="411"/>
      <c r="AL670" s="577"/>
      <c r="AM670" s="241"/>
      <c r="AN670" s="411"/>
      <c r="AO670" s="577"/>
      <c r="AP670" s="241"/>
      <c r="AQ670" s="411"/>
      <c r="AR670" s="577"/>
    </row>
    <row r="671" spans="1:44" ht="14.25" hidden="1" customHeight="1">
      <c r="A671" s="309"/>
      <c r="B671" s="656" t="s">
        <v>2548</v>
      </c>
      <c r="C671" s="632">
        <v>22</v>
      </c>
      <c r="D671" s="632">
        <v>331</v>
      </c>
      <c r="E671" s="633"/>
      <c r="F671" s="524"/>
      <c r="G671" s="524"/>
      <c r="H671" s="362"/>
      <c r="I671" s="230"/>
      <c r="J671" s="230"/>
      <c r="K671" s="363"/>
      <c r="L671" s="364"/>
      <c r="M671" s="365"/>
      <c r="N671" s="366"/>
      <c r="O671" s="634"/>
      <c r="P671" s="454"/>
      <c r="Q671" s="592"/>
      <c r="R671" s="639"/>
      <c r="S671" s="420"/>
      <c r="T671" s="421"/>
      <c r="U671" s="387"/>
      <c r="V671" s="648"/>
      <c r="W671" s="640"/>
      <c r="X671" s="404"/>
      <c r="Y671" s="372"/>
      <c r="Z671" s="381"/>
      <c r="AA671" s="225"/>
      <c r="AB671" s="361"/>
      <c r="AC671" s="533"/>
      <c r="AD671" s="225"/>
      <c r="AE671" s="361"/>
      <c r="AF671" s="533"/>
      <c r="AG671" s="225"/>
      <c r="AH671" s="361"/>
      <c r="AI671" s="533"/>
      <c r="AJ671" s="225"/>
      <c r="AK671" s="361"/>
      <c r="AL671" s="533"/>
      <c r="AM671" s="225"/>
      <c r="AN671" s="361"/>
      <c r="AO671" s="533"/>
      <c r="AP671" s="225"/>
      <c r="AQ671" s="361"/>
      <c r="AR671" s="533"/>
    </row>
    <row r="672" spans="1:44" ht="15.75" hidden="1" customHeight="1">
      <c r="A672" s="309"/>
      <c r="B672" s="656"/>
      <c r="C672" s="632"/>
      <c r="D672" s="632"/>
      <c r="E672" s="633"/>
      <c r="F672" s="524"/>
      <c r="G672" s="524"/>
      <c r="H672" s="362"/>
      <c r="I672" s="230"/>
      <c r="J672" s="230"/>
      <c r="K672" s="363"/>
      <c r="L672" s="364"/>
      <c r="M672" s="365"/>
      <c r="N672" s="366"/>
      <c r="O672" s="634"/>
      <c r="P672" s="429"/>
      <c r="Q672" s="609"/>
      <c r="R672" s="646"/>
      <c r="S672" s="433"/>
      <c r="T672" s="434"/>
      <c r="U672" s="376"/>
      <c r="V672" s="649"/>
      <c r="W672" s="636"/>
      <c r="X672" s="404"/>
      <c r="Y672" s="372"/>
      <c r="Z672" s="381"/>
      <c r="AA672" s="241"/>
      <c r="AB672" s="411"/>
      <c r="AC672" s="577"/>
      <c r="AD672" s="241"/>
      <c r="AE672" s="411"/>
      <c r="AF672" s="577"/>
      <c r="AG672" s="241"/>
      <c r="AH672" s="411"/>
      <c r="AI672" s="577"/>
      <c r="AJ672" s="241"/>
      <c r="AK672" s="411"/>
      <c r="AL672" s="577"/>
      <c r="AM672" s="241"/>
      <c r="AN672" s="411"/>
      <c r="AO672" s="577"/>
      <c r="AP672" s="241"/>
      <c r="AQ672" s="411"/>
      <c r="AR672" s="577"/>
    </row>
    <row r="673" spans="1:44" ht="15.75" hidden="1" customHeight="1">
      <c r="A673" s="309"/>
      <c r="B673" s="657" t="s">
        <v>2548</v>
      </c>
      <c r="C673" s="658">
        <v>23</v>
      </c>
      <c r="D673" s="659">
        <v>332</v>
      </c>
      <c r="E673" s="660"/>
      <c r="F673" s="546"/>
      <c r="G673" s="546"/>
      <c r="H673" s="562"/>
      <c r="I673" s="361"/>
      <c r="J673" s="361"/>
      <c r="K673" s="597"/>
      <c r="L673" s="451"/>
      <c r="M673" s="452"/>
      <c r="N673" s="409"/>
      <c r="O673" s="638"/>
      <c r="P673" s="454"/>
      <c r="Q673" s="592"/>
      <c r="R673" s="639"/>
      <c r="S673" s="650"/>
      <c r="T673" s="421"/>
      <c r="U673" s="387"/>
      <c r="V673" s="648"/>
      <c r="W673" s="640"/>
      <c r="X673" s="404"/>
      <c r="Y673" s="372"/>
      <c r="Z673" s="381"/>
      <c r="AA673" s="225"/>
      <c r="AB673" s="361"/>
      <c r="AC673" s="533"/>
      <c r="AD673" s="225"/>
      <c r="AE673" s="361"/>
      <c r="AF673" s="533"/>
      <c r="AG673" s="225"/>
      <c r="AH673" s="361"/>
      <c r="AI673" s="533"/>
      <c r="AJ673" s="225"/>
      <c r="AK673" s="361"/>
      <c r="AL673" s="533"/>
      <c r="AM673" s="225"/>
      <c r="AN673" s="361"/>
      <c r="AO673" s="533"/>
      <c r="AP673" s="225"/>
      <c r="AQ673" s="361"/>
      <c r="AR673" s="533"/>
    </row>
    <row r="674" spans="1:44" ht="15.75" hidden="1" customHeight="1">
      <c r="A674" s="309"/>
      <c r="B674" s="661"/>
      <c r="C674" s="662"/>
      <c r="D674" s="663"/>
      <c r="E674" s="664"/>
      <c r="F674" s="551"/>
      <c r="G674" s="551"/>
      <c r="H674" s="426"/>
      <c r="I674" s="378"/>
      <c r="J674" s="378"/>
      <c r="K674" s="438"/>
      <c r="L674" s="427"/>
      <c r="M674" s="439"/>
      <c r="N674" s="425"/>
      <c r="O674" s="645"/>
      <c r="P674" s="429"/>
      <c r="Q674" s="609"/>
      <c r="R674" s="646"/>
      <c r="S674" s="433"/>
      <c r="T674" s="434"/>
      <c r="U674" s="376"/>
      <c r="V674" s="649"/>
      <c r="W674" s="636"/>
      <c r="X674" s="404"/>
      <c r="Y674" s="372"/>
      <c r="Z674" s="381"/>
      <c r="AA674" s="241"/>
      <c r="AB674" s="411"/>
      <c r="AC674" s="577"/>
      <c r="AD674" s="241"/>
      <c r="AE674" s="411"/>
      <c r="AF674" s="577"/>
      <c r="AG674" s="241"/>
      <c r="AH674" s="411"/>
      <c r="AI674" s="577"/>
      <c r="AJ674" s="241"/>
      <c r="AK674" s="411"/>
      <c r="AL674" s="577"/>
      <c r="AM674" s="241"/>
      <c r="AN674" s="411"/>
      <c r="AO674" s="577"/>
      <c r="AP674" s="241"/>
      <c r="AQ674" s="411"/>
      <c r="AR674" s="577"/>
    </row>
    <row r="675" spans="1:44" ht="15.75" hidden="1" customHeight="1">
      <c r="A675" s="309"/>
      <c r="B675" s="656" t="s">
        <v>2548</v>
      </c>
      <c r="C675" s="632">
        <v>24</v>
      </c>
      <c r="D675" s="632">
        <v>333</v>
      </c>
      <c r="E675" s="633"/>
      <c r="F675" s="524"/>
      <c r="G675" s="524"/>
      <c r="H675" s="362"/>
      <c r="I675" s="230"/>
      <c r="J675" s="230"/>
      <c r="K675" s="363"/>
      <c r="L675" s="364"/>
      <c r="M675" s="452"/>
      <c r="N675" s="409"/>
      <c r="O675" s="638"/>
      <c r="P675" s="454"/>
      <c r="Q675" s="654"/>
      <c r="R675" s="639"/>
      <c r="S675" s="420"/>
      <c r="T675" s="421"/>
      <c r="U675" s="387"/>
      <c r="V675" s="648"/>
      <c r="W675" s="640"/>
      <c r="X675" s="404"/>
      <c r="Y675" s="372"/>
      <c r="Z675" s="381"/>
      <c r="AA675" s="225"/>
      <c r="AB675" s="361"/>
      <c r="AC675" s="533"/>
      <c r="AD675" s="225"/>
      <c r="AE675" s="361"/>
      <c r="AF675" s="533"/>
      <c r="AG675" s="225"/>
      <c r="AH675" s="361"/>
      <c r="AI675" s="533"/>
      <c r="AJ675" s="225"/>
      <c r="AK675" s="361"/>
      <c r="AL675" s="533"/>
      <c r="AM675" s="225"/>
      <c r="AN675" s="361"/>
      <c r="AO675" s="533"/>
      <c r="AP675" s="225"/>
      <c r="AQ675" s="361"/>
      <c r="AR675" s="533"/>
    </row>
    <row r="676" spans="1:44" ht="15.75" hidden="1" customHeight="1">
      <c r="A676" s="309"/>
      <c r="B676" s="656"/>
      <c r="C676" s="632"/>
      <c r="D676" s="632"/>
      <c r="E676" s="633"/>
      <c r="F676" s="524"/>
      <c r="G676" s="524"/>
      <c r="H676" s="362"/>
      <c r="I676" s="230"/>
      <c r="J676" s="230"/>
      <c r="K676" s="363"/>
      <c r="L676" s="364"/>
      <c r="M676" s="604"/>
      <c r="N676" s="415"/>
      <c r="O676" s="642"/>
      <c r="P676" s="581"/>
      <c r="Q676" s="665"/>
      <c r="R676" s="646"/>
      <c r="S676" s="433"/>
      <c r="T676" s="434"/>
      <c r="U676" s="376"/>
      <c r="V676" s="649"/>
      <c r="W676" s="636"/>
      <c r="X676" s="404"/>
      <c r="Y676" s="372"/>
      <c r="Z676" s="381"/>
      <c r="AA676" s="241"/>
      <c r="AB676" s="411"/>
      <c r="AC676" s="577"/>
      <c r="AD676" s="241"/>
      <c r="AE676" s="411"/>
      <c r="AF676" s="577"/>
      <c r="AG676" s="241"/>
      <c r="AH676" s="411"/>
      <c r="AI676" s="577"/>
      <c r="AJ676" s="241"/>
      <c r="AK676" s="411"/>
      <c r="AL676" s="577"/>
      <c r="AM676" s="241"/>
      <c r="AN676" s="411"/>
      <c r="AO676" s="577"/>
      <c r="AP676" s="241"/>
      <c r="AQ676" s="411"/>
      <c r="AR676" s="577"/>
    </row>
    <row r="677" spans="1:44" ht="15.75" hidden="1" customHeight="1">
      <c r="A677" s="309"/>
      <c r="B677" s="656" t="s">
        <v>2548</v>
      </c>
      <c r="C677" s="632">
        <v>25</v>
      </c>
      <c r="D677" s="632">
        <v>334</v>
      </c>
      <c r="E677" s="633"/>
      <c r="F677" s="524"/>
      <c r="G677" s="524"/>
      <c r="H677" s="362"/>
      <c r="I677" s="230"/>
      <c r="J677" s="230"/>
      <c r="K677" s="363"/>
      <c r="L677" s="364"/>
      <c r="M677" s="604"/>
      <c r="N677" s="415"/>
      <c r="O677" s="642"/>
      <c r="P677" s="581"/>
      <c r="Q677" s="665"/>
      <c r="R677" s="639"/>
      <c r="S677" s="420"/>
      <c r="T677" s="421"/>
      <c r="U677" s="387"/>
      <c r="V677" s="648"/>
      <c r="W677" s="640"/>
      <c r="X677" s="404"/>
      <c r="Y677" s="372"/>
      <c r="Z677" s="381"/>
      <c r="AA677" s="225"/>
      <c r="AB677" s="361"/>
      <c r="AC677" s="533"/>
      <c r="AD677" s="225"/>
      <c r="AE677" s="361"/>
      <c r="AF677" s="533"/>
      <c r="AG677" s="225"/>
      <c r="AH677" s="361"/>
      <c r="AI677" s="533"/>
      <c r="AJ677" s="225"/>
      <c r="AK677" s="361"/>
      <c r="AL677" s="533"/>
      <c r="AM677" s="225"/>
      <c r="AN677" s="361"/>
      <c r="AO677" s="533"/>
      <c r="AP677" s="225"/>
      <c r="AQ677" s="361"/>
      <c r="AR677" s="533"/>
    </row>
    <row r="678" spans="1:44" ht="15.75" hidden="1" customHeight="1">
      <c r="A678" s="309"/>
      <c r="B678" s="656"/>
      <c r="C678" s="632"/>
      <c r="D678" s="632"/>
      <c r="E678" s="633"/>
      <c r="F678" s="524"/>
      <c r="G678" s="524"/>
      <c r="H678" s="362"/>
      <c r="I678" s="230"/>
      <c r="J678" s="230"/>
      <c r="K678" s="363"/>
      <c r="L678" s="364"/>
      <c r="M678" s="439"/>
      <c r="N678" s="425"/>
      <c r="O678" s="645"/>
      <c r="P678" s="429"/>
      <c r="Q678" s="655"/>
      <c r="R678" s="646"/>
      <c r="S678" s="433"/>
      <c r="T678" s="434"/>
      <c r="U678" s="376"/>
      <c r="V678" s="649"/>
      <c r="W678" s="636"/>
      <c r="X678" s="404"/>
      <c r="Y678" s="372"/>
      <c r="Z678" s="381"/>
      <c r="AA678" s="241"/>
      <c r="AB678" s="411"/>
      <c r="AC678" s="577"/>
      <c r="AD678" s="241"/>
      <c r="AE678" s="411"/>
      <c r="AF678" s="577"/>
      <c r="AG678" s="241"/>
      <c r="AH678" s="411"/>
      <c r="AI678" s="577"/>
      <c r="AJ678" s="241"/>
      <c r="AK678" s="411"/>
      <c r="AL678" s="577"/>
      <c r="AM678" s="241"/>
      <c r="AN678" s="411"/>
      <c r="AO678" s="577"/>
      <c r="AP678" s="241"/>
      <c r="AQ678" s="411"/>
      <c r="AR678" s="577"/>
    </row>
    <row r="679" spans="1:44" ht="14.25" hidden="1" customHeight="1">
      <c r="A679" s="309"/>
      <c r="B679" s="656" t="s">
        <v>2548</v>
      </c>
      <c r="C679" s="632">
        <v>26</v>
      </c>
      <c r="D679" s="632">
        <v>335</v>
      </c>
      <c r="E679" s="633"/>
      <c r="F679" s="524"/>
      <c r="G679" s="524"/>
      <c r="H679" s="362"/>
      <c r="I679" s="230"/>
      <c r="J679" s="230"/>
      <c r="K679" s="363"/>
      <c r="L679" s="364"/>
      <c r="M679" s="365"/>
      <c r="N679" s="366"/>
      <c r="O679" s="634"/>
      <c r="P679" s="454"/>
      <c r="Q679" s="592"/>
      <c r="R679" s="639"/>
      <c r="S679" s="420"/>
      <c r="T679" s="421"/>
      <c r="U679" s="387"/>
      <c r="V679" s="648"/>
      <c r="W679" s="640"/>
      <c r="X679" s="404"/>
      <c r="Y679" s="372"/>
      <c r="Z679" s="381"/>
      <c r="AA679" s="225"/>
      <c r="AB679" s="361"/>
      <c r="AC679" s="533"/>
      <c r="AD679" s="225"/>
      <c r="AE679" s="361"/>
      <c r="AF679" s="533"/>
      <c r="AG679" s="225"/>
      <c r="AH679" s="361"/>
      <c r="AI679" s="533"/>
      <c r="AJ679" s="225"/>
      <c r="AK679" s="361"/>
      <c r="AL679" s="533"/>
      <c r="AM679" s="225"/>
      <c r="AN679" s="361"/>
      <c r="AO679" s="533"/>
      <c r="AP679" s="225"/>
      <c r="AQ679" s="361"/>
      <c r="AR679" s="533"/>
    </row>
    <row r="680" spans="1:44" ht="15.75" hidden="1" customHeight="1">
      <c r="A680" s="309"/>
      <c r="B680" s="656"/>
      <c r="C680" s="632"/>
      <c r="D680" s="632"/>
      <c r="E680" s="633"/>
      <c r="F680" s="524"/>
      <c r="G680" s="524"/>
      <c r="H680" s="362"/>
      <c r="I680" s="230"/>
      <c r="J680" s="230"/>
      <c r="K680" s="363"/>
      <c r="L680" s="364"/>
      <c r="M680" s="365"/>
      <c r="N680" s="366"/>
      <c r="O680" s="634"/>
      <c r="P680" s="429"/>
      <c r="Q680" s="609"/>
      <c r="R680" s="646"/>
      <c r="S680" s="433"/>
      <c r="T680" s="434"/>
      <c r="U680" s="376"/>
      <c r="V680" s="649"/>
      <c r="W680" s="636"/>
      <c r="X680" s="404"/>
      <c r="Y680" s="372"/>
      <c r="Z680" s="381"/>
      <c r="AA680" s="241"/>
      <c r="AB680" s="411"/>
      <c r="AC680" s="577"/>
      <c r="AD680" s="241"/>
      <c r="AE680" s="411"/>
      <c r="AF680" s="577"/>
      <c r="AG680" s="241"/>
      <c r="AH680" s="411"/>
      <c r="AI680" s="577"/>
      <c r="AJ680" s="241"/>
      <c r="AK680" s="411"/>
      <c r="AL680" s="577"/>
      <c r="AM680" s="241"/>
      <c r="AN680" s="411"/>
      <c r="AO680" s="577"/>
      <c r="AP680" s="241"/>
      <c r="AQ680" s="411"/>
      <c r="AR680" s="577"/>
    </row>
    <row r="681" spans="1:44" ht="15.75" hidden="1" customHeight="1">
      <c r="A681" s="309"/>
      <c r="B681" s="656" t="s">
        <v>2548</v>
      </c>
      <c r="C681" s="632">
        <v>27</v>
      </c>
      <c r="D681" s="632">
        <v>336</v>
      </c>
      <c r="E681" s="633"/>
      <c r="F681" s="524"/>
      <c r="G681" s="524"/>
      <c r="H681" s="362"/>
      <c r="I681" s="230"/>
      <c r="J681" s="230"/>
      <c r="K681" s="363"/>
      <c r="L681" s="364"/>
      <c r="M681" s="365"/>
      <c r="N681" s="366"/>
      <c r="O681" s="634"/>
      <c r="P681" s="454"/>
      <c r="Q681" s="592"/>
      <c r="R681" s="639"/>
      <c r="S681" s="420"/>
      <c r="T681" s="421"/>
      <c r="U681" s="387"/>
      <c r="V681" s="648"/>
      <c r="W681" s="640"/>
      <c r="X681" s="404"/>
      <c r="Y681" s="372"/>
      <c r="Z681" s="381"/>
      <c r="AA681" s="225"/>
      <c r="AB681" s="361"/>
      <c r="AC681" s="533"/>
      <c r="AD681" s="225"/>
      <c r="AE681" s="361"/>
      <c r="AF681" s="533"/>
      <c r="AG681" s="225"/>
      <c r="AH681" s="361"/>
      <c r="AI681" s="533"/>
      <c r="AJ681" s="225"/>
      <c r="AK681" s="361"/>
      <c r="AL681" s="533"/>
      <c r="AM681" s="225"/>
      <c r="AN681" s="361"/>
      <c r="AO681" s="533"/>
      <c r="AP681" s="225"/>
      <c r="AQ681" s="361"/>
      <c r="AR681" s="533"/>
    </row>
    <row r="682" spans="1:44" ht="15.75" hidden="1" customHeight="1">
      <c r="A682" s="309"/>
      <c r="B682" s="656"/>
      <c r="C682" s="632"/>
      <c r="D682" s="632"/>
      <c r="E682" s="633"/>
      <c r="F682" s="524"/>
      <c r="G682" s="524"/>
      <c r="H682" s="362"/>
      <c r="I682" s="230"/>
      <c r="J682" s="230"/>
      <c r="K682" s="363"/>
      <c r="L682" s="364"/>
      <c r="M682" s="365"/>
      <c r="N682" s="366"/>
      <c r="O682" s="634"/>
      <c r="P682" s="429"/>
      <c r="Q682" s="609"/>
      <c r="R682" s="646"/>
      <c r="S682" s="433"/>
      <c r="T682" s="434"/>
      <c r="U682" s="376"/>
      <c r="V682" s="649"/>
      <c r="W682" s="636"/>
      <c r="X682" s="404"/>
      <c r="Y682" s="372"/>
      <c r="Z682" s="381"/>
      <c r="AA682" s="241"/>
      <c r="AB682" s="411"/>
      <c r="AC682" s="577"/>
      <c r="AD682" s="241"/>
      <c r="AE682" s="411"/>
      <c r="AF682" s="577"/>
      <c r="AG682" s="241"/>
      <c r="AH682" s="411"/>
      <c r="AI682" s="577"/>
      <c r="AJ682" s="241"/>
      <c r="AK682" s="411"/>
      <c r="AL682" s="577"/>
      <c r="AM682" s="241"/>
      <c r="AN682" s="411"/>
      <c r="AO682" s="577"/>
      <c r="AP682" s="241"/>
      <c r="AQ682" s="411"/>
      <c r="AR682" s="577"/>
    </row>
    <row r="683" spans="1:44" ht="15.75" hidden="1" customHeight="1">
      <c r="A683" s="309"/>
      <c r="B683" s="656" t="s">
        <v>2548</v>
      </c>
      <c r="C683" s="632">
        <v>28</v>
      </c>
      <c r="D683" s="632">
        <v>337</v>
      </c>
      <c r="E683" s="633"/>
      <c r="F683" s="524"/>
      <c r="G683" s="524"/>
      <c r="H683" s="362"/>
      <c r="I683" s="230"/>
      <c r="J683" s="230"/>
      <c r="K683" s="363"/>
      <c r="L683" s="364"/>
      <c r="M683" s="365"/>
      <c r="N683" s="366"/>
      <c r="O683" s="634"/>
      <c r="P683" s="454"/>
      <c r="Q683" s="592"/>
      <c r="R683" s="639"/>
      <c r="S683" s="420"/>
      <c r="T683" s="421"/>
      <c r="U683" s="387"/>
      <c r="V683" s="648"/>
      <c r="W683" s="640"/>
      <c r="X683" s="404"/>
      <c r="Y683" s="372"/>
      <c r="Z683" s="381"/>
      <c r="AA683" s="225"/>
      <c r="AB683" s="361"/>
      <c r="AC683" s="533"/>
      <c r="AD683" s="225"/>
      <c r="AE683" s="361"/>
      <c r="AF683" s="533"/>
      <c r="AG683" s="225"/>
      <c r="AH683" s="361"/>
      <c r="AI683" s="533"/>
      <c r="AJ683" s="225"/>
      <c r="AK683" s="361"/>
      <c r="AL683" s="533"/>
      <c r="AM683" s="225"/>
      <c r="AN683" s="361"/>
      <c r="AO683" s="533"/>
      <c r="AP683" s="225"/>
      <c r="AQ683" s="361"/>
      <c r="AR683" s="533"/>
    </row>
    <row r="684" spans="1:44" ht="15.75" hidden="1" customHeight="1">
      <c r="A684" s="309"/>
      <c r="B684" s="656"/>
      <c r="C684" s="632"/>
      <c r="D684" s="632"/>
      <c r="E684" s="633"/>
      <c r="F684" s="524"/>
      <c r="G684" s="524"/>
      <c r="H684" s="362"/>
      <c r="I684" s="230"/>
      <c r="J684" s="230"/>
      <c r="K684" s="363"/>
      <c r="L684" s="364"/>
      <c r="M684" s="365"/>
      <c r="N684" s="366"/>
      <c r="O684" s="634"/>
      <c r="P684" s="429"/>
      <c r="Q684" s="609"/>
      <c r="R684" s="646"/>
      <c r="S684" s="433"/>
      <c r="T684" s="434"/>
      <c r="U684" s="376"/>
      <c r="V684" s="649"/>
      <c r="W684" s="636"/>
      <c r="X684" s="404"/>
      <c r="Y684" s="372"/>
      <c r="Z684" s="381"/>
      <c r="AA684" s="241"/>
      <c r="AB684" s="411"/>
      <c r="AC684" s="577"/>
      <c r="AD684" s="241"/>
      <c r="AE684" s="411"/>
      <c r="AF684" s="577"/>
      <c r="AG684" s="241"/>
      <c r="AH684" s="411"/>
      <c r="AI684" s="577"/>
      <c r="AJ684" s="241"/>
      <c r="AK684" s="411"/>
      <c r="AL684" s="577"/>
      <c r="AM684" s="241"/>
      <c r="AN684" s="411"/>
      <c r="AO684" s="577"/>
      <c r="AP684" s="241"/>
      <c r="AQ684" s="411"/>
      <c r="AR684" s="577"/>
    </row>
    <row r="685" spans="1:44" ht="15.75" hidden="1" customHeight="1">
      <c r="A685" s="309"/>
      <c r="B685" s="656" t="s">
        <v>2548</v>
      </c>
      <c r="C685" s="632">
        <v>29</v>
      </c>
      <c r="D685" s="632">
        <v>338</v>
      </c>
      <c r="E685" s="633"/>
      <c r="F685" s="524"/>
      <c r="G685" s="524"/>
      <c r="H685" s="362"/>
      <c r="I685" s="230"/>
      <c r="J685" s="230"/>
      <c r="K685" s="363"/>
      <c r="L685" s="364"/>
      <c r="M685" s="365"/>
      <c r="N685" s="366"/>
      <c r="O685" s="634"/>
      <c r="P685" s="454"/>
      <c r="Q685" s="592"/>
      <c r="R685" s="639"/>
      <c r="S685" s="420"/>
      <c r="T685" s="421"/>
      <c r="U685" s="387"/>
      <c r="V685" s="648"/>
      <c r="W685" s="640"/>
      <c r="X685" s="404"/>
      <c r="Y685" s="372"/>
      <c r="Z685" s="381"/>
      <c r="AA685" s="225"/>
      <c r="AB685" s="361"/>
      <c r="AC685" s="533"/>
      <c r="AD685" s="225"/>
      <c r="AE685" s="361"/>
      <c r="AF685" s="533"/>
      <c r="AG685" s="225"/>
      <c r="AH685" s="361"/>
      <c r="AI685" s="533"/>
      <c r="AJ685" s="225"/>
      <c r="AK685" s="361"/>
      <c r="AL685" s="533"/>
      <c r="AM685" s="225"/>
      <c r="AN685" s="361"/>
      <c r="AO685" s="533"/>
      <c r="AP685" s="225"/>
      <c r="AQ685" s="361"/>
      <c r="AR685" s="533"/>
    </row>
    <row r="686" spans="1:44" ht="15.75" hidden="1" customHeight="1">
      <c r="A686" s="309"/>
      <c r="B686" s="656"/>
      <c r="C686" s="632"/>
      <c r="D686" s="632"/>
      <c r="E686" s="633"/>
      <c r="F686" s="524"/>
      <c r="G686" s="524"/>
      <c r="H686" s="362"/>
      <c r="I686" s="230"/>
      <c r="J686" s="230"/>
      <c r="K686" s="363"/>
      <c r="L686" s="364"/>
      <c r="M686" s="365"/>
      <c r="N686" s="366"/>
      <c r="O686" s="634"/>
      <c r="P686" s="429"/>
      <c r="Q686" s="609"/>
      <c r="R686" s="646"/>
      <c r="S686" s="433"/>
      <c r="T686" s="434"/>
      <c r="U686" s="376"/>
      <c r="V686" s="649"/>
      <c r="W686" s="636"/>
      <c r="X686" s="404"/>
      <c r="Y686" s="372"/>
      <c r="Z686" s="381"/>
      <c r="AA686" s="241"/>
      <c r="AB686" s="411"/>
      <c r="AC686" s="577"/>
      <c r="AD686" s="241"/>
      <c r="AE686" s="411"/>
      <c r="AF686" s="577"/>
      <c r="AG686" s="241"/>
      <c r="AH686" s="411"/>
      <c r="AI686" s="577"/>
      <c r="AJ686" s="241"/>
      <c r="AK686" s="411"/>
      <c r="AL686" s="577"/>
      <c r="AM686" s="241"/>
      <c r="AN686" s="411"/>
      <c r="AO686" s="577"/>
      <c r="AP686" s="241"/>
      <c r="AQ686" s="411"/>
      <c r="AR686" s="577"/>
    </row>
    <row r="687" spans="1:44" ht="15.75" hidden="1" customHeight="1">
      <c r="A687" s="309"/>
      <c r="B687" s="656" t="s">
        <v>2548</v>
      </c>
      <c r="C687" s="632">
        <v>30</v>
      </c>
      <c r="D687" s="632">
        <v>339</v>
      </c>
      <c r="E687" s="633"/>
      <c r="F687" s="524"/>
      <c r="G687" s="524"/>
      <c r="H687" s="362"/>
      <c r="I687" s="230"/>
      <c r="J687" s="230"/>
      <c r="K687" s="363"/>
      <c r="L687" s="364"/>
      <c r="M687" s="365"/>
      <c r="N687" s="366"/>
      <c r="O687" s="634"/>
      <c r="P687" s="454"/>
      <c r="Q687" s="592"/>
      <c r="R687" s="639"/>
      <c r="S687" s="420"/>
      <c r="T687" s="421"/>
      <c r="U687" s="387"/>
      <c r="V687" s="648"/>
      <c r="W687" s="640"/>
      <c r="X687" s="404"/>
      <c r="Y687" s="372"/>
      <c r="Z687" s="381"/>
      <c r="AA687" s="225"/>
      <c r="AB687" s="361"/>
      <c r="AC687" s="533"/>
      <c r="AD687" s="225"/>
      <c r="AE687" s="361"/>
      <c r="AF687" s="533"/>
      <c r="AG687" s="225"/>
      <c r="AH687" s="361"/>
      <c r="AI687" s="533"/>
      <c r="AJ687" s="225"/>
      <c r="AK687" s="361"/>
      <c r="AL687" s="533"/>
      <c r="AM687" s="225"/>
      <c r="AN687" s="361"/>
      <c r="AO687" s="533"/>
      <c r="AP687" s="225"/>
      <c r="AQ687" s="361"/>
      <c r="AR687" s="533"/>
    </row>
    <row r="688" spans="1:44" ht="15.75" hidden="1" customHeight="1">
      <c r="A688" s="309"/>
      <c r="B688" s="656"/>
      <c r="C688" s="632"/>
      <c r="D688" s="632"/>
      <c r="E688" s="633"/>
      <c r="F688" s="524"/>
      <c r="G688" s="524"/>
      <c r="H688" s="362"/>
      <c r="I688" s="230"/>
      <c r="J688" s="230"/>
      <c r="K688" s="363"/>
      <c r="L688" s="364"/>
      <c r="M688" s="365"/>
      <c r="N688" s="366"/>
      <c r="O688" s="634"/>
      <c r="P688" s="429"/>
      <c r="Q688" s="609"/>
      <c r="R688" s="646"/>
      <c r="S688" s="433"/>
      <c r="T688" s="434"/>
      <c r="U688" s="376"/>
      <c r="V688" s="649"/>
      <c r="W688" s="636"/>
      <c r="X688" s="404"/>
      <c r="Y688" s="372"/>
      <c r="Z688" s="381"/>
      <c r="AA688" s="241"/>
      <c r="AB688" s="411"/>
      <c r="AC688" s="577"/>
      <c r="AD688" s="241"/>
      <c r="AE688" s="411"/>
      <c r="AF688" s="577"/>
      <c r="AG688" s="241"/>
      <c r="AH688" s="411"/>
      <c r="AI688" s="577"/>
      <c r="AJ688" s="241"/>
      <c r="AK688" s="411"/>
      <c r="AL688" s="577"/>
      <c r="AM688" s="241"/>
      <c r="AN688" s="411"/>
      <c r="AO688" s="577"/>
      <c r="AP688" s="241"/>
      <c r="AQ688" s="411"/>
      <c r="AR688" s="577"/>
    </row>
    <row r="689" spans="1:44" ht="15.75" hidden="1" customHeight="1">
      <c r="A689" s="309"/>
      <c r="B689" s="666" t="s">
        <v>2549</v>
      </c>
      <c r="C689" s="632">
        <v>1</v>
      </c>
      <c r="D689" s="632">
        <v>340</v>
      </c>
      <c r="E689" s="633"/>
      <c r="F689" s="524"/>
      <c r="G689" s="524"/>
      <c r="H689" s="362"/>
      <c r="I689" s="230"/>
      <c r="J689" s="230"/>
      <c r="K689" s="363"/>
      <c r="L689" s="364"/>
      <c r="M689" s="365"/>
      <c r="N689" s="366"/>
      <c r="O689" s="634"/>
      <c r="P689" s="454"/>
      <c r="Q689" s="592"/>
      <c r="R689" s="639"/>
      <c r="S689" s="420"/>
      <c r="T689" s="421"/>
      <c r="U689" s="387"/>
      <c r="V689" s="648"/>
      <c r="W689" s="640"/>
      <c r="X689" s="404"/>
      <c r="Y689" s="372"/>
      <c r="Z689" s="381"/>
      <c r="AA689" s="225"/>
      <c r="AB689" s="361"/>
      <c r="AC689" s="533"/>
      <c r="AD689" s="225"/>
      <c r="AE689" s="361"/>
      <c r="AF689" s="533"/>
      <c r="AG689" s="225"/>
      <c r="AH689" s="361"/>
      <c r="AI689" s="533"/>
      <c r="AJ689" s="225"/>
      <c r="AK689" s="361"/>
      <c r="AL689" s="533"/>
      <c r="AM689" s="225"/>
      <c r="AN689" s="361"/>
      <c r="AO689" s="533"/>
      <c r="AP689" s="225"/>
      <c r="AQ689" s="361"/>
      <c r="AR689" s="533"/>
    </row>
    <row r="690" spans="1:44" ht="15.75" hidden="1" customHeight="1">
      <c r="A690" s="309"/>
      <c r="B690" s="666"/>
      <c r="C690" s="632"/>
      <c r="D690" s="632"/>
      <c r="E690" s="633"/>
      <c r="F690" s="524"/>
      <c r="G690" s="524"/>
      <c r="H690" s="362"/>
      <c r="I690" s="230"/>
      <c r="J690" s="230"/>
      <c r="K690" s="363"/>
      <c r="L690" s="364"/>
      <c r="M690" s="365"/>
      <c r="N690" s="366"/>
      <c r="O690" s="634"/>
      <c r="P690" s="429"/>
      <c r="Q690" s="609"/>
      <c r="R690" s="646"/>
      <c r="S690" s="433"/>
      <c r="T690" s="434"/>
      <c r="U690" s="376"/>
      <c r="V690" s="649"/>
      <c r="W690" s="636"/>
      <c r="X690" s="404"/>
      <c r="Y690" s="372"/>
      <c r="Z690" s="381"/>
      <c r="AA690" s="241"/>
      <c r="AB690" s="411"/>
      <c r="AC690" s="577"/>
      <c r="AD690" s="241"/>
      <c r="AE690" s="411"/>
      <c r="AF690" s="577"/>
      <c r="AG690" s="241"/>
      <c r="AH690" s="411"/>
      <c r="AI690" s="577"/>
      <c r="AJ690" s="241"/>
      <c r="AK690" s="411"/>
      <c r="AL690" s="577"/>
      <c r="AM690" s="241"/>
      <c r="AN690" s="411"/>
      <c r="AO690" s="577"/>
      <c r="AP690" s="241"/>
      <c r="AQ690" s="411"/>
      <c r="AR690" s="577"/>
    </row>
    <row r="691" spans="1:44" ht="14.25" hidden="1" customHeight="1">
      <c r="A691" s="309"/>
      <c r="B691" s="666" t="s">
        <v>2549</v>
      </c>
      <c r="C691" s="632">
        <v>2</v>
      </c>
      <c r="D691" s="632">
        <v>341</v>
      </c>
      <c r="E691" s="633"/>
      <c r="F691" s="524"/>
      <c r="G691" s="524"/>
      <c r="H691" s="362"/>
      <c r="I691" s="230"/>
      <c r="J691" s="230"/>
      <c r="K691" s="363"/>
      <c r="L691" s="364"/>
      <c r="M691" s="365"/>
      <c r="N691" s="366"/>
      <c r="O691" s="634"/>
      <c r="P691" s="454"/>
      <c r="Q691" s="592"/>
      <c r="R691" s="639"/>
      <c r="S691" s="420"/>
      <c r="T691" s="421"/>
      <c r="U691" s="387"/>
      <c r="V691" s="648"/>
      <c r="W691" s="640"/>
      <c r="X691" s="404"/>
      <c r="Y691" s="372"/>
      <c r="Z691" s="381"/>
      <c r="AA691" s="225"/>
      <c r="AB691" s="361"/>
      <c r="AC691" s="533"/>
      <c r="AD691" s="225"/>
      <c r="AE691" s="361"/>
      <c r="AF691" s="533"/>
      <c r="AG691" s="225"/>
      <c r="AH691" s="361"/>
      <c r="AI691" s="533"/>
      <c r="AJ691" s="225"/>
      <c r="AK691" s="361"/>
      <c r="AL691" s="533"/>
      <c r="AM691" s="225"/>
      <c r="AN691" s="361"/>
      <c r="AO691" s="533"/>
      <c r="AP691" s="225"/>
      <c r="AQ691" s="361"/>
      <c r="AR691" s="533"/>
    </row>
    <row r="692" spans="1:44" ht="15.75" hidden="1" customHeight="1">
      <c r="A692" s="309"/>
      <c r="B692" s="666"/>
      <c r="C692" s="632"/>
      <c r="D692" s="632"/>
      <c r="E692" s="633"/>
      <c r="F692" s="524"/>
      <c r="G692" s="524"/>
      <c r="H692" s="362"/>
      <c r="I692" s="230"/>
      <c r="J692" s="230"/>
      <c r="K692" s="363"/>
      <c r="L692" s="364"/>
      <c r="M692" s="365"/>
      <c r="N692" s="366"/>
      <c r="O692" s="634"/>
      <c r="P692" s="429"/>
      <c r="Q692" s="609"/>
      <c r="R692" s="646"/>
      <c r="S692" s="433"/>
      <c r="T692" s="434"/>
      <c r="U692" s="376"/>
      <c r="V692" s="649"/>
      <c r="W692" s="636"/>
      <c r="X692" s="404"/>
      <c r="Y692" s="372"/>
      <c r="Z692" s="381"/>
      <c r="AA692" s="241"/>
      <c r="AB692" s="411"/>
      <c r="AC692" s="577"/>
      <c r="AD692" s="241"/>
      <c r="AE692" s="411"/>
      <c r="AF692" s="577"/>
      <c r="AG692" s="241"/>
      <c r="AH692" s="411"/>
      <c r="AI692" s="577"/>
      <c r="AJ692" s="241"/>
      <c r="AK692" s="411"/>
      <c r="AL692" s="577"/>
      <c r="AM692" s="241"/>
      <c r="AN692" s="411"/>
      <c r="AO692" s="577"/>
      <c r="AP692" s="241"/>
      <c r="AQ692" s="411"/>
      <c r="AR692" s="577"/>
    </row>
    <row r="693" spans="1:44" ht="15.75" hidden="1" customHeight="1">
      <c r="A693" s="309"/>
      <c r="B693" s="666" t="s">
        <v>2549</v>
      </c>
      <c r="C693" s="632">
        <v>3</v>
      </c>
      <c r="D693" s="632">
        <v>342</v>
      </c>
      <c r="E693" s="633"/>
      <c r="F693" s="524"/>
      <c r="G693" s="524"/>
      <c r="H693" s="362"/>
      <c r="I693" s="230"/>
      <c r="J693" s="230"/>
      <c r="K693" s="363"/>
      <c r="L693" s="364"/>
      <c r="M693" s="365"/>
      <c r="N693" s="366"/>
      <c r="O693" s="634"/>
      <c r="P693" s="454"/>
      <c r="Q693" s="592"/>
      <c r="R693" s="639"/>
      <c r="S693" s="420"/>
      <c r="T693" s="421"/>
      <c r="U693" s="387"/>
      <c r="V693" s="648"/>
      <c r="W693" s="640"/>
      <c r="X693" s="404"/>
      <c r="Y693" s="372"/>
      <c r="Z693" s="381"/>
      <c r="AA693" s="225"/>
      <c r="AB693" s="361"/>
      <c r="AC693" s="533"/>
      <c r="AD693" s="225"/>
      <c r="AE693" s="361"/>
      <c r="AF693" s="533"/>
      <c r="AG693" s="225"/>
      <c r="AH693" s="361"/>
      <c r="AI693" s="533"/>
      <c r="AJ693" s="225"/>
      <c r="AK693" s="361"/>
      <c r="AL693" s="533"/>
      <c r="AM693" s="225"/>
      <c r="AN693" s="361"/>
      <c r="AO693" s="533"/>
      <c r="AP693" s="225"/>
      <c r="AQ693" s="361"/>
      <c r="AR693" s="533"/>
    </row>
    <row r="694" spans="1:44" ht="15.75" hidden="1" customHeight="1">
      <c r="A694" s="309"/>
      <c r="B694" s="666"/>
      <c r="C694" s="632"/>
      <c r="D694" s="632"/>
      <c r="E694" s="633"/>
      <c r="F694" s="524"/>
      <c r="G694" s="524"/>
      <c r="H694" s="362"/>
      <c r="I694" s="230"/>
      <c r="J694" s="230"/>
      <c r="K694" s="363"/>
      <c r="L694" s="364"/>
      <c r="M694" s="365"/>
      <c r="N694" s="366"/>
      <c r="O694" s="634"/>
      <c r="P694" s="429"/>
      <c r="Q694" s="609"/>
      <c r="R694" s="646"/>
      <c r="S694" s="433"/>
      <c r="T694" s="434"/>
      <c r="U694" s="376"/>
      <c r="V694" s="649"/>
      <c r="W694" s="636"/>
      <c r="X694" s="404"/>
      <c r="Y694" s="372"/>
      <c r="Z694" s="381"/>
      <c r="AA694" s="241"/>
      <c r="AB694" s="411"/>
      <c r="AC694" s="577"/>
      <c r="AD694" s="241"/>
      <c r="AE694" s="411"/>
      <c r="AF694" s="577"/>
      <c r="AG694" s="241"/>
      <c r="AH694" s="411"/>
      <c r="AI694" s="577"/>
      <c r="AJ694" s="241"/>
      <c r="AK694" s="411"/>
      <c r="AL694" s="577"/>
      <c r="AM694" s="241"/>
      <c r="AN694" s="411"/>
      <c r="AO694" s="577"/>
      <c r="AP694" s="241"/>
      <c r="AQ694" s="411"/>
      <c r="AR694" s="577"/>
    </row>
    <row r="695" spans="1:44" ht="15.75" hidden="1" customHeight="1">
      <c r="A695" s="309"/>
      <c r="B695" s="666" t="s">
        <v>2549</v>
      </c>
      <c r="C695" s="632">
        <v>4</v>
      </c>
      <c r="D695" s="632">
        <v>343</v>
      </c>
      <c r="E695" s="633"/>
      <c r="F695" s="524"/>
      <c r="G695" s="524"/>
      <c r="H695" s="362"/>
      <c r="I695" s="230"/>
      <c r="J695" s="230"/>
      <c r="K695" s="363"/>
      <c r="L695" s="364"/>
      <c r="M695" s="365"/>
      <c r="N695" s="366"/>
      <c r="O695" s="634"/>
      <c r="P695" s="454"/>
      <c r="Q695" s="589"/>
      <c r="R695" s="639"/>
      <c r="S695" s="420"/>
      <c r="T695" s="421"/>
      <c r="U695" s="387"/>
      <c r="V695" s="648"/>
      <c r="W695" s="640"/>
      <c r="X695" s="404"/>
      <c r="Y695" s="372"/>
      <c r="Z695" s="381"/>
      <c r="AA695" s="225"/>
      <c r="AB695" s="361"/>
      <c r="AC695" s="533"/>
      <c r="AD695" s="225"/>
      <c r="AE695" s="361"/>
      <c r="AF695" s="533"/>
      <c r="AG695" s="225"/>
      <c r="AH695" s="361"/>
      <c r="AI695" s="533"/>
      <c r="AJ695" s="225"/>
      <c r="AK695" s="361"/>
      <c r="AL695" s="533"/>
      <c r="AM695" s="225"/>
      <c r="AN695" s="361"/>
      <c r="AO695" s="533"/>
      <c r="AP695" s="225"/>
      <c r="AQ695" s="361"/>
      <c r="AR695" s="533"/>
    </row>
    <row r="696" spans="1:44" ht="15.75" hidden="1" customHeight="1">
      <c r="A696" s="309"/>
      <c r="B696" s="666"/>
      <c r="C696" s="632"/>
      <c r="D696" s="632"/>
      <c r="E696" s="633"/>
      <c r="F696" s="524"/>
      <c r="G696" s="524"/>
      <c r="H696" s="362"/>
      <c r="I696" s="230"/>
      <c r="J696" s="230"/>
      <c r="K696" s="363"/>
      <c r="L696" s="364"/>
      <c r="M696" s="365"/>
      <c r="N696" s="366"/>
      <c r="O696" s="634"/>
      <c r="P696" s="429"/>
      <c r="Q696" s="589"/>
      <c r="R696" s="646"/>
      <c r="S696" s="433"/>
      <c r="T696" s="434"/>
      <c r="U696" s="376"/>
      <c r="V696" s="649"/>
      <c r="W696" s="636"/>
      <c r="X696" s="404"/>
      <c r="Y696" s="372"/>
      <c r="Z696" s="381"/>
      <c r="AA696" s="241"/>
      <c r="AB696" s="411"/>
      <c r="AC696" s="577"/>
      <c r="AD696" s="241"/>
      <c r="AE696" s="411"/>
      <c r="AF696" s="577"/>
      <c r="AG696" s="241"/>
      <c r="AH696" s="411"/>
      <c r="AI696" s="577"/>
      <c r="AJ696" s="241"/>
      <c r="AK696" s="411"/>
      <c r="AL696" s="577"/>
      <c r="AM696" s="241"/>
      <c r="AN696" s="411"/>
      <c r="AO696" s="577"/>
      <c r="AP696" s="241"/>
      <c r="AQ696" s="411"/>
      <c r="AR696" s="577"/>
    </row>
    <row r="697" spans="1:44" ht="15.75" hidden="1" customHeight="1">
      <c r="A697" s="309"/>
      <c r="B697" s="666" t="s">
        <v>2549</v>
      </c>
      <c r="C697" s="632">
        <v>5</v>
      </c>
      <c r="D697" s="632">
        <v>344</v>
      </c>
      <c r="E697" s="633"/>
      <c r="F697" s="524"/>
      <c r="G697" s="524"/>
      <c r="H697" s="362"/>
      <c r="I697" s="230"/>
      <c r="J697" s="230"/>
      <c r="K697" s="363"/>
      <c r="L697" s="364"/>
      <c r="M697" s="365"/>
      <c r="N697" s="366"/>
      <c r="O697" s="634"/>
      <c r="P697" s="454"/>
      <c r="Q697" s="592"/>
      <c r="R697" s="639"/>
      <c r="S697" s="420"/>
      <c r="T697" s="421"/>
      <c r="U697" s="387"/>
      <c r="V697" s="648"/>
      <c r="W697" s="640"/>
      <c r="X697" s="404"/>
      <c r="Y697" s="372"/>
      <c r="Z697" s="381"/>
      <c r="AA697" s="225"/>
      <c r="AB697" s="361"/>
      <c r="AC697" s="533"/>
      <c r="AD697" s="225"/>
      <c r="AE697" s="361"/>
      <c r="AF697" s="533"/>
      <c r="AG697" s="225"/>
      <c r="AH697" s="361"/>
      <c r="AI697" s="533"/>
      <c r="AJ697" s="225"/>
      <c r="AK697" s="361"/>
      <c r="AL697" s="533"/>
      <c r="AM697" s="225"/>
      <c r="AN697" s="361"/>
      <c r="AO697" s="533"/>
      <c r="AP697" s="225"/>
      <c r="AQ697" s="361"/>
      <c r="AR697" s="533"/>
    </row>
    <row r="698" spans="1:44" ht="15.75" hidden="1" customHeight="1">
      <c r="A698" s="309"/>
      <c r="B698" s="666"/>
      <c r="C698" s="632"/>
      <c r="D698" s="632"/>
      <c r="E698" s="633"/>
      <c r="F698" s="524"/>
      <c r="G698" s="524"/>
      <c r="H698" s="362"/>
      <c r="I698" s="230"/>
      <c r="J698" s="230"/>
      <c r="K698" s="363"/>
      <c r="L698" s="364"/>
      <c r="M698" s="365"/>
      <c r="N698" s="366"/>
      <c r="O698" s="634"/>
      <c r="P698" s="429"/>
      <c r="Q698" s="609"/>
      <c r="R698" s="646"/>
      <c r="S698" s="433"/>
      <c r="T698" s="434"/>
      <c r="U698" s="376"/>
      <c r="V698" s="649"/>
      <c r="W698" s="636"/>
      <c r="X698" s="404"/>
      <c r="Y698" s="372"/>
      <c r="Z698" s="381"/>
      <c r="AA698" s="241"/>
      <c r="AB698" s="411"/>
      <c r="AC698" s="577"/>
      <c r="AD698" s="241"/>
      <c r="AE698" s="411"/>
      <c r="AF698" s="577"/>
      <c r="AG698" s="241"/>
      <c r="AH698" s="411"/>
      <c r="AI698" s="577"/>
      <c r="AJ698" s="241"/>
      <c r="AK698" s="411"/>
      <c r="AL698" s="577"/>
      <c r="AM698" s="241"/>
      <c r="AN698" s="411"/>
      <c r="AO698" s="577"/>
      <c r="AP698" s="241"/>
      <c r="AQ698" s="411"/>
      <c r="AR698" s="577"/>
    </row>
    <row r="699" spans="1:44" ht="15.75" hidden="1" customHeight="1">
      <c r="A699" s="309"/>
      <c r="B699" s="666" t="s">
        <v>2549</v>
      </c>
      <c r="C699" s="632">
        <v>6</v>
      </c>
      <c r="D699" s="632">
        <v>345</v>
      </c>
      <c r="E699" s="633"/>
      <c r="F699" s="524"/>
      <c r="G699" s="524"/>
      <c r="H699" s="362"/>
      <c r="I699" s="230"/>
      <c r="J699" s="230"/>
      <c r="K699" s="363"/>
      <c r="L699" s="364"/>
      <c r="M699" s="365"/>
      <c r="N699" s="366"/>
      <c r="O699" s="634"/>
      <c r="P699" s="454"/>
      <c r="Q699" s="592"/>
      <c r="R699" s="639"/>
      <c r="S699" s="650"/>
      <c r="T699" s="421"/>
      <c r="U699" s="387"/>
      <c r="V699" s="648"/>
      <c r="W699" s="640"/>
      <c r="X699" s="404"/>
      <c r="Y699" s="372"/>
      <c r="Z699" s="381"/>
      <c r="AA699" s="225"/>
      <c r="AB699" s="361"/>
      <c r="AC699" s="533"/>
      <c r="AD699" s="225"/>
      <c r="AE699" s="361"/>
      <c r="AF699" s="533"/>
      <c r="AG699" s="225"/>
      <c r="AH699" s="361"/>
      <c r="AI699" s="533"/>
      <c r="AJ699" s="225"/>
      <c r="AK699" s="361"/>
      <c r="AL699" s="533"/>
      <c r="AM699" s="225"/>
      <c r="AN699" s="361"/>
      <c r="AO699" s="533"/>
      <c r="AP699" s="225"/>
      <c r="AQ699" s="361"/>
      <c r="AR699" s="533"/>
    </row>
    <row r="700" spans="1:44" ht="15.75" hidden="1" customHeight="1">
      <c r="A700" s="309"/>
      <c r="B700" s="666"/>
      <c r="C700" s="632"/>
      <c r="D700" s="632"/>
      <c r="E700" s="633"/>
      <c r="F700" s="524"/>
      <c r="G700" s="524"/>
      <c r="H700" s="362"/>
      <c r="I700" s="230"/>
      <c r="J700" s="230"/>
      <c r="K700" s="363"/>
      <c r="L700" s="364"/>
      <c r="M700" s="365"/>
      <c r="N700" s="366"/>
      <c r="O700" s="634"/>
      <c r="P700" s="429"/>
      <c r="Q700" s="609"/>
      <c r="R700" s="646"/>
      <c r="S700" s="433"/>
      <c r="T700" s="434"/>
      <c r="U700" s="376"/>
      <c r="V700" s="649"/>
      <c r="W700" s="636"/>
      <c r="X700" s="404"/>
      <c r="Y700" s="372"/>
      <c r="Z700" s="381"/>
      <c r="AA700" s="241"/>
      <c r="AB700" s="411"/>
      <c r="AC700" s="577"/>
      <c r="AD700" s="241"/>
      <c r="AE700" s="411"/>
      <c r="AF700" s="577"/>
      <c r="AG700" s="241"/>
      <c r="AH700" s="411"/>
      <c r="AI700" s="577"/>
      <c r="AJ700" s="241"/>
      <c r="AK700" s="411"/>
      <c r="AL700" s="577"/>
      <c r="AM700" s="241"/>
      <c r="AN700" s="411"/>
      <c r="AO700" s="577"/>
      <c r="AP700" s="241"/>
      <c r="AQ700" s="411"/>
      <c r="AR700" s="577"/>
    </row>
    <row r="701" spans="1:44" ht="15.75" hidden="1" customHeight="1">
      <c r="A701" s="309"/>
      <c r="B701" s="666" t="s">
        <v>2549</v>
      </c>
      <c r="C701" s="632">
        <v>7</v>
      </c>
      <c r="D701" s="632">
        <v>346</v>
      </c>
      <c r="E701" s="653"/>
      <c r="F701" s="524"/>
      <c r="G701" s="524"/>
      <c r="H701" s="362"/>
      <c r="I701" s="230"/>
      <c r="J701" s="230"/>
      <c r="K701" s="363"/>
      <c r="L701" s="364"/>
      <c r="M701" s="365"/>
      <c r="N701" s="366"/>
      <c r="O701" s="634"/>
      <c r="P701" s="454"/>
      <c r="Q701" s="667"/>
      <c r="R701" s="639"/>
      <c r="S701" s="420"/>
      <c r="T701" s="421"/>
      <c r="U701" s="387"/>
      <c r="V701" s="648"/>
      <c r="W701" s="640"/>
      <c r="X701" s="404"/>
      <c r="Y701" s="372"/>
      <c r="Z701" s="381"/>
      <c r="AA701" s="225"/>
      <c r="AB701" s="361"/>
      <c r="AC701" s="533"/>
      <c r="AD701" s="225"/>
      <c r="AE701" s="361"/>
      <c r="AF701" s="533"/>
      <c r="AG701" s="225"/>
      <c r="AH701" s="361"/>
      <c r="AI701" s="533"/>
      <c r="AJ701" s="225"/>
      <c r="AK701" s="361"/>
      <c r="AL701" s="533"/>
      <c r="AM701" s="225"/>
      <c r="AN701" s="361"/>
      <c r="AO701" s="533"/>
      <c r="AP701" s="225"/>
      <c r="AQ701" s="361"/>
      <c r="AR701" s="533"/>
    </row>
    <row r="702" spans="1:44" ht="15.75" hidden="1" customHeight="1">
      <c r="A702" s="309"/>
      <c r="B702" s="666"/>
      <c r="C702" s="632"/>
      <c r="D702" s="632"/>
      <c r="E702" s="653"/>
      <c r="F702" s="524"/>
      <c r="G702" s="524"/>
      <c r="H702" s="362"/>
      <c r="I702" s="230"/>
      <c r="J702" s="230"/>
      <c r="K702" s="363"/>
      <c r="L702" s="364"/>
      <c r="M702" s="365"/>
      <c r="N702" s="366"/>
      <c r="O702" s="634"/>
      <c r="P702" s="429"/>
      <c r="Q702" s="668"/>
      <c r="R702" s="646"/>
      <c r="S702" s="433"/>
      <c r="T702" s="434"/>
      <c r="U702" s="376"/>
      <c r="V702" s="649"/>
      <c r="W702" s="636"/>
      <c r="X702" s="404"/>
      <c r="Y702" s="372"/>
      <c r="Z702" s="381"/>
      <c r="AA702" s="241"/>
      <c r="AB702" s="411"/>
      <c r="AC702" s="577"/>
      <c r="AD702" s="241"/>
      <c r="AE702" s="411"/>
      <c r="AF702" s="577"/>
      <c r="AG702" s="241"/>
      <c r="AH702" s="411"/>
      <c r="AI702" s="577"/>
      <c r="AJ702" s="241"/>
      <c r="AK702" s="411"/>
      <c r="AL702" s="577"/>
      <c r="AM702" s="241"/>
      <c r="AN702" s="411"/>
      <c r="AO702" s="577"/>
      <c r="AP702" s="241"/>
      <c r="AQ702" s="411"/>
      <c r="AR702" s="577"/>
    </row>
    <row r="703" spans="1:44" ht="15.75" hidden="1" customHeight="1">
      <c r="A703" s="309"/>
      <c r="B703" s="666" t="s">
        <v>2549</v>
      </c>
      <c r="C703" s="632">
        <v>8</v>
      </c>
      <c r="D703" s="632">
        <v>347</v>
      </c>
      <c r="E703" s="653"/>
      <c r="F703" s="524"/>
      <c r="G703" s="524"/>
      <c r="H703" s="362"/>
      <c r="I703" s="230"/>
      <c r="J703" s="230"/>
      <c r="K703" s="597"/>
      <c r="L703" s="451"/>
      <c r="M703" s="452"/>
      <c r="N703" s="409"/>
      <c r="O703" s="638"/>
      <c r="P703" s="454"/>
      <c r="Q703" s="592"/>
      <c r="R703" s="639"/>
      <c r="S703" s="420"/>
      <c r="T703" s="421"/>
      <c r="U703" s="387"/>
      <c r="V703" s="648"/>
      <c r="W703" s="640"/>
      <c r="X703" s="404"/>
      <c r="Y703" s="372"/>
      <c r="Z703" s="381"/>
      <c r="AA703" s="225"/>
      <c r="AB703" s="361"/>
      <c r="AC703" s="533"/>
      <c r="AD703" s="225"/>
      <c r="AE703" s="361"/>
      <c r="AF703" s="533"/>
      <c r="AG703" s="225"/>
      <c r="AH703" s="361"/>
      <c r="AI703" s="533"/>
      <c r="AJ703" s="225"/>
      <c r="AK703" s="361"/>
      <c r="AL703" s="533"/>
      <c r="AM703" s="225"/>
      <c r="AN703" s="361"/>
      <c r="AO703" s="533"/>
      <c r="AP703" s="225"/>
      <c r="AQ703" s="361"/>
      <c r="AR703" s="533"/>
    </row>
    <row r="704" spans="1:44" ht="15.75" hidden="1" customHeight="1">
      <c r="A704" s="309"/>
      <c r="B704" s="666"/>
      <c r="C704" s="632"/>
      <c r="D704" s="632"/>
      <c r="E704" s="653"/>
      <c r="F704" s="524"/>
      <c r="G704" s="524"/>
      <c r="H704" s="362"/>
      <c r="I704" s="230"/>
      <c r="J704" s="230"/>
      <c r="K704" s="412"/>
      <c r="L704" s="413"/>
      <c r="M704" s="604"/>
      <c r="N704" s="415"/>
      <c r="O704" s="642"/>
      <c r="P704" s="581"/>
      <c r="Q704" s="608"/>
      <c r="R704" s="643"/>
      <c r="S704" s="582"/>
      <c r="T704" s="606"/>
      <c r="U704" s="376"/>
      <c r="V704" s="649"/>
      <c r="W704" s="636"/>
      <c r="X704" s="404"/>
      <c r="Y704" s="372"/>
      <c r="Z704" s="381"/>
      <c r="AA704" s="241"/>
      <c r="AB704" s="411"/>
      <c r="AC704" s="577"/>
      <c r="AD704" s="241"/>
      <c r="AE704" s="411"/>
      <c r="AF704" s="577"/>
      <c r="AG704" s="241"/>
      <c r="AH704" s="411"/>
      <c r="AI704" s="577"/>
      <c r="AJ704" s="241"/>
      <c r="AK704" s="411"/>
      <c r="AL704" s="577"/>
      <c r="AM704" s="241"/>
      <c r="AN704" s="411"/>
      <c r="AO704" s="577"/>
      <c r="AP704" s="241"/>
      <c r="AQ704" s="411"/>
      <c r="AR704" s="577"/>
    </row>
    <row r="705" spans="1:44" ht="15.75" hidden="1" customHeight="1">
      <c r="A705" s="309"/>
      <c r="B705" s="666" t="s">
        <v>2549</v>
      </c>
      <c r="C705" s="632">
        <v>9</v>
      </c>
      <c r="D705" s="632">
        <v>348</v>
      </c>
      <c r="E705" s="653"/>
      <c r="F705" s="524"/>
      <c r="G705" s="524"/>
      <c r="H705" s="362"/>
      <c r="I705" s="230"/>
      <c r="J705" s="230"/>
      <c r="K705" s="412"/>
      <c r="L705" s="413"/>
      <c r="M705" s="604"/>
      <c r="N705" s="415"/>
      <c r="O705" s="642"/>
      <c r="P705" s="581"/>
      <c r="Q705" s="608"/>
      <c r="R705" s="643"/>
      <c r="S705" s="582"/>
      <c r="T705" s="606"/>
      <c r="U705" s="387"/>
      <c r="V705" s="648"/>
      <c r="W705" s="640"/>
      <c r="X705" s="404"/>
      <c r="Y705" s="372"/>
      <c r="Z705" s="381"/>
      <c r="AA705" s="225"/>
      <c r="AB705" s="361"/>
      <c r="AC705" s="533"/>
      <c r="AD705" s="225"/>
      <c r="AE705" s="361"/>
      <c r="AF705" s="533"/>
      <c r="AG705" s="225"/>
      <c r="AH705" s="361"/>
      <c r="AI705" s="533"/>
      <c r="AJ705" s="225"/>
      <c r="AK705" s="361"/>
      <c r="AL705" s="533"/>
      <c r="AM705" s="225"/>
      <c r="AN705" s="361"/>
      <c r="AO705" s="533"/>
      <c r="AP705" s="225"/>
      <c r="AQ705" s="361"/>
      <c r="AR705" s="533"/>
    </row>
    <row r="706" spans="1:44" ht="15.75" hidden="1" customHeight="1">
      <c r="A706" s="309"/>
      <c r="B706" s="666"/>
      <c r="C706" s="632"/>
      <c r="D706" s="632"/>
      <c r="E706" s="653"/>
      <c r="F706" s="524"/>
      <c r="G706" s="524"/>
      <c r="H706" s="362"/>
      <c r="I706" s="230"/>
      <c r="J706" s="230"/>
      <c r="K706" s="438"/>
      <c r="L706" s="427"/>
      <c r="M706" s="439"/>
      <c r="N706" s="425"/>
      <c r="O706" s="645"/>
      <c r="P706" s="429"/>
      <c r="Q706" s="609"/>
      <c r="R706" s="646"/>
      <c r="S706" s="433"/>
      <c r="T706" s="434"/>
      <c r="U706" s="376"/>
      <c r="V706" s="649"/>
      <c r="W706" s="636"/>
      <c r="X706" s="404"/>
      <c r="Y706" s="372"/>
      <c r="Z706" s="381"/>
      <c r="AA706" s="241"/>
      <c r="AB706" s="411"/>
      <c r="AC706" s="577"/>
      <c r="AD706" s="241"/>
      <c r="AE706" s="411"/>
      <c r="AF706" s="577"/>
      <c r="AG706" s="241"/>
      <c r="AH706" s="411"/>
      <c r="AI706" s="577"/>
      <c r="AJ706" s="241"/>
      <c r="AK706" s="411"/>
      <c r="AL706" s="577"/>
      <c r="AM706" s="241"/>
      <c r="AN706" s="411"/>
      <c r="AO706" s="577"/>
      <c r="AP706" s="241"/>
      <c r="AQ706" s="411"/>
      <c r="AR706" s="577"/>
    </row>
    <row r="707" spans="1:44" ht="15.75" hidden="1" customHeight="1">
      <c r="A707" s="309"/>
      <c r="B707" s="666" t="s">
        <v>2549</v>
      </c>
      <c r="C707" s="632">
        <v>10</v>
      </c>
      <c r="D707" s="632">
        <v>349</v>
      </c>
      <c r="E707" s="653"/>
      <c r="F707" s="524"/>
      <c r="G707" s="524"/>
      <c r="H707" s="362"/>
      <c r="I707" s="230"/>
      <c r="J707" s="230"/>
      <c r="K707" s="363"/>
      <c r="L707" s="364"/>
      <c r="M707" s="452"/>
      <c r="N707" s="409"/>
      <c r="O707" s="638"/>
      <c r="P707" s="454"/>
      <c r="Q707" s="592"/>
      <c r="R707" s="639"/>
      <c r="S707" s="420"/>
      <c r="T707" s="421"/>
      <c r="U707" s="387"/>
      <c r="V707" s="648"/>
      <c r="W707" s="640"/>
      <c r="X707" s="404"/>
      <c r="Y707" s="372"/>
      <c r="Z707" s="381"/>
      <c r="AA707" s="225"/>
      <c r="AB707" s="361"/>
      <c r="AC707" s="533"/>
      <c r="AD707" s="225"/>
      <c r="AE707" s="361"/>
      <c r="AF707" s="533"/>
      <c r="AG707" s="225"/>
      <c r="AH707" s="361"/>
      <c r="AI707" s="533"/>
      <c r="AJ707" s="225"/>
      <c r="AK707" s="361"/>
      <c r="AL707" s="533"/>
      <c r="AM707" s="225"/>
      <c r="AN707" s="361"/>
      <c r="AO707" s="533"/>
      <c r="AP707" s="225"/>
      <c r="AQ707" s="361"/>
      <c r="AR707" s="533"/>
    </row>
    <row r="708" spans="1:44" ht="15.75" hidden="1" customHeight="1">
      <c r="A708" s="309"/>
      <c r="B708" s="666"/>
      <c r="C708" s="632"/>
      <c r="D708" s="632"/>
      <c r="E708" s="653"/>
      <c r="F708" s="524"/>
      <c r="G708" s="524"/>
      <c r="H708" s="362"/>
      <c r="I708" s="230"/>
      <c r="J708" s="230"/>
      <c r="K708" s="363"/>
      <c r="L708" s="364"/>
      <c r="M708" s="604"/>
      <c r="N708" s="415"/>
      <c r="O708" s="642"/>
      <c r="P708" s="581"/>
      <c r="Q708" s="608"/>
      <c r="R708" s="646"/>
      <c r="S708" s="433"/>
      <c r="T708" s="606"/>
      <c r="U708" s="376"/>
      <c r="V708" s="649"/>
      <c r="W708" s="636"/>
      <c r="X708" s="404"/>
      <c r="Y708" s="372"/>
      <c r="Z708" s="381"/>
      <c r="AA708" s="241"/>
      <c r="AB708" s="411"/>
      <c r="AC708" s="577"/>
      <c r="AD708" s="241"/>
      <c r="AE708" s="411"/>
      <c r="AF708" s="577"/>
      <c r="AG708" s="241"/>
      <c r="AH708" s="411"/>
      <c r="AI708" s="577"/>
      <c r="AJ708" s="241"/>
      <c r="AK708" s="411"/>
      <c r="AL708" s="577"/>
      <c r="AM708" s="241"/>
      <c r="AN708" s="411"/>
      <c r="AO708" s="577"/>
      <c r="AP708" s="241"/>
      <c r="AQ708" s="411"/>
      <c r="AR708" s="577"/>
    </row>
    <row r="709" spans="1:44" ht="15.75" hidden="1" customHeight="1">
      <c r="A709" s="309"/>
      <c r="B709" s="666" t="s">
        <v>2549</v>
      </c>
      <c r="C709" s="632">
        <v>11</v>
      </c>
      <c r="D709" s="632">
        <v>350</v>
      </c>
      <c r="E709" s="653"/>
      <c r="F709" s="524"/>
      <c r="G709" s="524"/>
      <c r="H709" s="362"/>
      <c r="I709" s="230"/>
      <c r="J709" s="230"/>
      <c r="K709" s="363"/>
      <c r="L709" s="364"/>
      <c r="M709" s="604"/>
      <c r="N709" s="415"/>
      <c r="O709" s="642"/>
      <c r="P709" s="581"/>
      <c r="Q709" s="608"/>
      <c r="R709" s="639"/>
      <c r="S709" s="420"/>
      <c r="T709" s="606"/>
      <c r="U709" s="387"/>
      <c r="V709" s="648"/>
      <c r="W709" s="640"/>
      <c r="X709" s="404"/>
      <c r="Y709" s="372"/>
      <c r="Z709" s="381"/>
      <c r="AA709" s="225"/>
      <c r="AB709" s="361"/>
      <c r="AC709" s="533"/>
      <c r="AD709" s="225"/>
      <c r="AE709" s="361"/>
      <c r="AF709" s="533"/>
      <c r="AG709" s="225"/>
      <c r="AH709" s="361"/>
      <c r="AI709" s="533"/>
      <c r="AJ709" s="225"/>
      <c r="AK709" s="361"/>
      <c r="AL709" s="533"/>
      <c r="AM709" s="225"/>
      <c r="AN709" s="361"/>
      <c r="AO709" s="533"/>
      <c r="AP709" s="225"/>
      <c r="AQ709" s="361"/>
      <c r="AR709" s="533"/>
    </row>
    <row r="710" spans="1:44" ht="15.75" hidden="1" customHeight="1">
      <c r="A710" s="309"/>
      <c r="B710" s="666"/>
      <c r="C710" s="632"/>
      <c r="D710" s="632"/>
      <c r="E710" s="653"/>
      <c r="F710" s="524"/>
      <c r="G710" s="524"/>
      <c r="H710" s="362"/>
      <c r="I710" s="230"/>
      <c r="J710" s="230"/>
      <c r="K710" s="363"/>
      <c r="L710" s="364"/>
      <c r="M710" s="439"/>
      <c r="N710" s="425"/>
      <c r="O710" s="645"/>
      <c r="P710" s="429"/>
      <c r="Q710" s="609"/>
      <c r="R710" s="646"/>
      <c r="S710" s="433"/>
      <c r="T710" s="434"/>
      <c r="U710" s="376"/>
      <c r="V710" s="649"/>
      <c r="W710" s="636"/>
      <c r="X710" s="404"/>
      <c r="Y710" s="372"/>
      <c r="Z710" s="381"/>
      <c r="AA710" s="241"/>
      <c r="AB710" s="411"/>
      <c r="AC710" s="577"/>
      <c r="AD710" s="241"/>
      <c r="AE710" s="411"/>
      <c r="AF710" s="577"/>
      <c r="AG710" s="241"/>
      <c r="AH710" s="411"/>
      <c r="AI710" s="577"/>
      <c r="AJ710" s="241"/>
      <c r="AK710" s="411"/>
      <c r="AL710" s="577"/>
      <c r="AM710" s="241"/>
      <c r="AN710" s="411"/>
      <c r="AO710" s="577"/>
      <c r="AP710" s="241"/>
      <c r="AQ710" s="411"/>
      <c r="AR710" s="577"/>
    </row>
    <row r="711" spans="1:44" ht="15.75" hidden="1" customHeight="1">
      <c r="A711" s="309"/>
      <c r="B711" s="666" t="s">
        <v>2549</v>
      </c>
      <c r="C711" s="632">
        <v>12</v>
      </c>
      <c r="D711" s="632">
        <v>351</v>
      </c>
      <c r="E711" s="653"/>
      <c r="F711" s="524"/>
      <c r="G711" s="524"/>
      <c r="H711" s="362"/>
      <c r="I711" s="230"/>
      <c r="J711" s="230"/>
      <c r="K711" s="363"/>
      <c r="L711" s="364"/>
      <c r="M711" s="365"/>
      <c r="N711" s="366"/>
      <c r="O711" s="634"/>
      <c r="P711" s="454"/>
      <c r="Q711" s="592"/>
      <c r="R711" s="639"/>
      <c r="S711" s="420"/>
      <c r="T711" s="421"/>
      <c r="U711" s="387"/>
      <c r="V711" s="648"/>
      <c r="W711" s="640"/>
      <c r="X711" s="404"/>
      <c r="Y711" s="372"/>
      <c r="Z711" s="381"/>
      <c r="AA711" s="225"/>
      <c r="AB711" s="361"/>
      <c r="AC711" s="533"/>
      <c r="AD711" s="225"/>
      <c r="AE711" s="361"/>
      <c r="AF711" s="533"/>
      <c r="AG711" s="225"/>
      <c r="AH711" s="361"/>
      <c r="AI711" s="533"/>
      <c r="AJ711" s="225"/>
      <c r="AK711" s="361"/>
      <c r="AL711" s="533"/>
      <c r="AM711" s="225"/>
      <c r="AN711" s="361"/>
      <c r="AO711" s="533"/>
      <c r="AP711" s="225"/>
      <c r="AQ711" s="361"/>
      <c r="AR711" s="533"/>
    </row>
    <row r="712" spans="1:44" ht="15.75" hidden="1" customHeight="1">
      <c r="A712" s="309"/>
      <c r="B712" s="666"/>
      <c r="C712" s="632"/>
      <c r="D712" s="632"/>
      <c r="E712" s="653"/>
      <c r="F712" s="524"/>
      <c r="G712" s="524"/>
      <c r="H712" s="362"/>
      <c r="I712" s="230"/>
      <c r="J712" s="230"/>
      <c r="K712" s="363"/>
      <c r="L712" s="364"/>
      <c r="M712" s="365"/>
      <c r="N712" s="366"/>
      <c r="O712" s="634"/>
      <c r="P712" s="429"/>
      <c r="Q712" s="609"/>
      <c r="R712" s="646"/>
      <c r="S712" s="433"/>
      <c r="T712" s="434"/>
      <c r="U712" s="376"/>
      <c r="V712" s="649"/>
      <c r="W712" s="636"/>
      <c r="X712" s="404"/>
      <c r="Y712" s="372"/>
      <c r="Z712" s="381"/>
      <c r="AA712" s="241"/>
      <c r="AB712" s="411"/>
      <c r="AC712" s="577"/>
      <c r="AD712" s="241"/>
      <c r="AE712" s="411"/>
      <c r="AF712" s="577"/>
      <c r="AG712" s="241"/>
      <c r="AH712" s="411"/>
      <c r="AI712" s="577"/>
      <c r="AJ712" s="241"/>
      <c r="AK712" s="411"/>
      <c r="AL712" s="577"/>
      <c r="AM712" s="241"/>
      <c r="AN712" s="411"/>
      <c r="AO712" s="577"/>
      <c r="AP712" s="241"/>
      <c r="AQ712" s="411"/>
      <c r="AR712" s="577"/>
    </row>
    <row r="713" spans="1:44" ht="15.75" hidden="1" customHeight="1">
      <c r="A713" s="309"/>
      <c r="B713" s="666" t="s">
        <v>2549</v>
      </c>
      <c r="C713" s="632">
        <v>13</v>
      </c>
      <c r="D713" s="632">
        <v>352</v>
      </c>
      <c r="E713" s="653"/>
      <c r="F713" s="524"/>
      <c r="G713" s="524"/>
      <c r="H713" s="362"/>
      <c r="I713" s="230"/>
      <c r="J713" s="230"/>
      <c r="K713" s="363"/>
      <c r="L713" s="364"/>
      <c r="M713" s="365"/>
      <c r="N713" s="366"/>
      <c r="O713" s="634"/>
      <c r="P713" s="454"/>
      <c r="Q713" s="592"/>
      <c r="R713" s="639"/>
      <c r="S713" s="420"/>
      <c r="T713" s="421"/>
      <c r="U713" s="387"/>
      <c r="V713" s="648"/>
      <c r="W713" s="640"/>
      <c r="X713" s="404"/>
      <c r="Y713" s="372"/>
      <c r="Z713" s="381"/>
      <c r="AA713" s="225"/>
      <c r="AB713" s="361"/>
      <c r="AC713" s="533"/>
      <c r="AD713" s="225"/>
      <c r="AE713" s="361"/>
      <c r="AF713" s="533"/>
      <c r="AG713" s="225"/>
      <c r="AH713" s="361"/>
      <c r="AI713" s="533"/>
      <c r="AJ713" s="225"/>
      <c r="AK713" s="361"/>
      <c r="AL713" s="533"/>
      <c r="AM713" s="225"/>
      <c r="AN713" s="361"/>
      <c r="AO713" s="533"/>
      <c r="AP713" s="225"/>
      <c r="AQ713" s="361"/>
      <c r="AR713" s="533"/>
    </row>
    <row r="714" spans="1:44" ht="15.75" hidden="1" customHeight="1">
      <c r="A714" s="309"/>
      <c r="B714" s="666"/>
      <c r="C714" s="632"/>
      <c r="D714" s="632"/>
      <c r="E714" s="653"/>
      <c r="F714" s="524"/>
      <c r="G714" s="524"/>
      <c r="H714" s="362"/>
      <c r="I714" s="230"/>
      <c r="J714" s="230"/>
      <c r="K714" s="363"/>
      <c r="L714" s="364"/>
      <c r="M714" s="365"/>
      <c r="N714" s="366"/>
      <c r="O714" s="634"/>
      <c r="P714" s="429"/>
      <c r="Q714" s="609"/>
      <c r="R714" s="646"/>
      <c r="S714" s="433"/>
      <c r="T714" s="434"/>
      <c r="U714" s="376"/>
      <c r="V714" s="649"/>
      <c r="W714" s="636"/>
      <c r="X714" s="404"/>
      <c r="Y714" s="372"/>
      <c r="Z714" s="381"/>
      <c r="AA714" s="241"/>
      <c r="AB714" s="411"/>
      <c r="AC714" s="577"/>
      <c r="AD714" s="241"/>
      <c r="AE714" s="411"/>
      <c r="AF714" s="577"/>
      <c r="AG714" s="241"/>
      <c r="AH714" s="411"/>
      <c r="AI714" s="577"/>
      <c r="AJ714" s="241"/>
      <c r="AK714" s="411"/>
      <c r="AL714" s="577"/>
      <c r="AM714" s="241"/>
      <c r="AN714" s="411"/>
      <c r="AO714" s="577"/>
      <c r="AP714" s="241"/>
      <c r="AQ714" s="411"/>
      <c r="AR714" s="577"/>
    </row>
    <row r="715" spans="1:44" ht="15.75" hidden="1" customHeight="1">
      <c r="A715" s="309"/>
      <c r="B715" s="666" t="s">
        <v>2549</v>
      </c>
      <c r="C715" s="632">
        <v>14</v>
      </c>
      <c r="D715" s="632">
        <v>353</v>
      </c>
      <c r="E715" s="653"/>
      <c r="F715" s="524"/>
      <c r="G715" s="524"/>
      <c r="H715" s="362"/>
      <c r="I715" s="230"/>
      <c r="J715" s="230"/>
      <c r="K715" s="597"/>
      <c r="L715" s="451"/>
      <c r="M715" s="452"/>
      <c r="N715" s="409"/>
      <c r="O715" s="638"/>
      <c r="P715" s="454"/>
      <c r="Q715" s="592"/>
      <c r="R715" s="639"/>
      <c r="S715" s="420"/>
      <c r="T715" s="421"/>
      <c r="U715" s="421"/>
      <c r="V715" s="648"/>
      <c r="W715" s="640"/>
      <c r="X715" s="404"/>
      <c r="Y715" s="372"/>
      <c r="Z715" s="381"/>
      <c r="AA715" s="225"/>
      <c r="AB715" s="361"/>
      <c r="AC715" s="533"/>
      <c r="AD715" s="225"/>
      <c r="AE715" s="361"/>
      <c r="AF715" s="533"/>
      <c r="AG715" s="225"/>
      <c r="AH715" s="361"/>
      <c r="AI715" s="533"/>
      <c r="AJ715" s="225"/>
      <c r="AK715" s="361"/>
      <c r="AL715" s="533"/>
      <c r="AM715" s="225"/>
      <c r="AN715" s="361"/>
      <c r="AO715" s="533"/>
      <c r="AP715" s="225"/>
      <c r="AQ715" s="361"/>
      <c r="AR715" s="533"/>
    </row>
    <row r="716" spans="1:44" ht="15.75" hidden="1" customHeight="1">
      <c r="A716" s="309"/>
      <c r="B716" s="666"/>
      <c r="C716" s="632"/>
      <c r="D716" s="632"/>
      <c r="E716" s="653"/>
      <c r="F716" s="524"/>
      <c r="G716" s="524"/>
      <c r="H716" s="362"/>
      <c r="I716" s="230"/>
      <c r="J716" s="230"/>
      <c r="K716" s="412"/>
      <c r="L716" s="413"/>
      <c r="M716" s="604"/>
      <c r="N716" s="415"/>
      <c r="O716" s="642"/>
      <c r="P716" s="581"/>
      <c r="Q716" s="608"/>
      <c r="R716" s="646"/>
      <c r="S716" s="433"/>
      <c r="T716" s="434"/>
      <c r="U716" s="434"/>
      <c r="V716" s="649"/>
      <c r="W716" s="636"/>
      <c r="X716" s="404"/>
      <c r="Y716" s="372"/>
      <c r="Z716" s="381"/>
      <c r="AA716" s="241"/>
      <c r="AB716" s="411"/>
      <c r="AC716" s="577"/>
      <c r="AD716" s="241"/>
      <c r="AE716" s="411"/>
      <c r="AF716" s="577"/>
      <c r="AG716" s="241"/>
      <c r="AH716" s="411"/>
      <c r="AI716" s="577"/>
      <c r="AJ716" s="241"/>
      <c r="AK716" s="411"/>
      <c r="AL716" s="577"/>
      <c r="AM716" s="241"/>
      <c r="AN716" s="411"/>
      <c r="AO716" s="577"/>
      <c r="AP716" s="241"/>
      <c r="AQ716" s="411"/>
      <c r="AR716" s="577"/>
    </row>
    <row r="717" spans="1:44" ht="15.75" hidden="1" customHeight="1">
      <c r="A717" s="309"/>
      <c r="B717" s="666" t="s">
        <v>2549</v>
      </c>
      <c r="C717" s="632">
        <v>15</v>
      </c>
      <c r="D717" s="632">
        <v>354</v>
      </c>
      <c r="E717" s="653"/>
      <c r="F717" s="524"/>
      <c r="G717" s="524"/>
      <c r="H717" s="362"/>
      <c r="I717" s="230"/>
      <c r="J717" s="230"/>
      <c r="K717" s="412"/>
      <c r="L717" s="413"/>
      <c r="M717" s="604"/>
      <c r="N717" s="415"/>
      <c r="O717" s="642"/>
      <c r="P717" s="581"/>
      <c r="Q717" s="608"/>
      <c r="R717" s="639"/>
      <c r="S717" s="420"/>
      <c r="T717" s="421"/>
      <c r="U717" s="421"/>
      <c r="V717" s="648"/>
      <c r="W717" s="640"/>
      <c r="X717" s="404"/>
      <c r="Y717" s="372"/>
      <c r="Z717" s="381"/>
      <c r="AA717" s="225"/>
      <c r="AB717" s="361"/>
      <c r="AC717" s="533"/>
      <c r="AD717" s="225"/>
      <c r="AE717" s="361"/>
      <c r="AF717" s="533"/>
      <c r="AG717" s="225"/>
      <c r="AH717" s="361"/>
      <c r="AI717" s="533"/>
      <c r="AJ717" s="225"/>
      <c r="AK717" s="361"/>
      <c r="AL717" s="533"/>
      <c r="AM717" s="225"/>
      <c r="AN717" s="361"/>
      <c r="AO717" s="533"/>
      <c r="AP717" s="225"/>
      <c r="AQ717" s="361"/>
      <c r="AR717" s="533"/>
    </row>
    <row r="718" spans="1:44" ht="15.75" hidden="1" customHeight="1">
      <c r="A718" s="309"/>
      <c r="B718" s="666"/>
      <c r="C718" s="632"/>
      <c r="D718" s="632"/>
      <c r="E718" s="653"/>
      <c r="F718" s="524"/>
      <c r="G718" s="524"/>
      <c r="H718" s="362"/>
      <c r="I718" s="230"/>
      <c r="J718" s="230"/>
      <c r="K718" s="438"/>
      <c r="L718" s="427"/>
      <c r="M718" s="439"/>
      <c r="N718" s="425"/>
      <c r="O718" s="645"/>
      <c r="P718" s="429"/>
      <c r="Q718" s="609"/>
      <c r="R718" s="646"/>
      <c r="S718" s="433"/>
      <c r="T718" s="434"/>
      <c r="U718" s="434"/>
      <c r="V718" s="649"/>
      <c r="W718" s="636"/>
      <c r="X718" s="404"/>
      <c r="Y718" s="372"/>
      <c r="Z718" s="381"/>
      <c r="AA718" s="241"/>
      <c r="AB718" s="411"/>
      <c r="AC718" s="577"/>
      <c r="AD718" s="241"/>
      <c r="AE718" s="411"/>
      <c r="AF718" s="577"/>
      <c r="AG718" s="241"/>
      <c r="AH718" s="411"/>
      <c r="AI718" s="577"/>
      <c r="AJ718" s="241"/>
      <c r="AK718" s="411"/>
      <c r="AL718" s="577"/>
      <c r="AM718" s="241"/>
      <c r="AN718" s="411"/>
      <c r="AO718" s="577"/>
      <c r="AP718" s="241"/>
      <c r="AQ718" s="411"/>
      <c r="AR718" s="577"/>
    </row>
    <row r="719" spans="1:44" ht="15.75" hidden="1" customHeight="1">
      <c r="A719" s="309"/>
      <c r="B719" s="666" t="s">
        <v>2549</v>
      </c>
      <c r="C719" s="632">
        <v>16</v>
      </c>
      <c r="D719" s="632">
        <v>355</v>
      </c>
      <c r="E719" s="633"/>
      <c r="F719" s="524"/>
      <c r="G719" s="524"/>
      <c r="H719" s="362"/>
      <c r="I719" s="230"/>
      <c r="J719" s="230"/>
      <c r="K719" s="363"/>
      <c r="L719" s="364"/>
      <c r="M719" s="365"/>
      <c r="N719" s="366"/>
      <c r="O719" s="634"/>
      <c r="P719" s="454"/>
      <c r="Q719" s="592"/>
      <c r="R719" s="639"/>
      <c r="S719" s="420"/>
      <c r="T719" s="421"/>
      <c r="U719" s="387"/>
      <c r="V719" s="648"/>
      <c r="W719" s="640"/>
      <c r="X719" s="404"/>
      <c r="Y719" s="372"/>
      <c r="Z719" s="381"/>
      <c r="AA719" s="225"/>
      <c r="AB719" s="361"/>
      <c r="AC719" s="533"/>
      <c r="AD719" s="225"/>
      <c r="AE719" s="361"/>
      <c r="AF719" s="533"/>
      <c r="AG719" s="225"/>
      <c r="AH719" s="361"/>
      <c r="AI719" s="533"/>
      <c r="AJ719" s="225"/>
      <c r="AK719" s="361"/>
      <c r="AL719" s="533"/>
      <c r="AM719" s="225"/>
      <c r="AN719" s="361"/>
      <c r="AO719" s="533"/>
      <c r="AP719" s="225"/>
      <c r="AQ719" s="361"/>
      <c r="AR719" s="533"/>
    </row>
    <row r="720" spans="1:44" ht="15.75" hidden="1" customHeight="1">
      <c r="A720" s="309"/>
      <c r="B720" s="666"/>
      <c r="C720" s="632"/>
      <c r="D720" s="632"/>
      <c r="E720" s="633"/>
      <c r="F720" s="524"/>
      <c r="G720" s="524"/>
      <c r="H720" s="362"/>
      <c r="I720" s="230"/>
      <c r="J720" s="230"/>
      <c r="K720" s="363"/>
      <c r="L720" s="364"/>
      <c r="M720" s="365"/>
      <c r="N720" s="366"/>
      <c r="O720" s="634"/>
      <c r="P720" s="429"/>
      <c r="Q720" s="609"/>
      <c r="R720" s="646"/>
      <c r="S720" s="433"/>
      <c r="T720" s="434"/>
      <c r="U720" s="376"/>
      <c r="V720" s="649"/>
      <c r="W720" s="636"/>
      <c r="X720" s="404"/>
      <c r="Y720" s="372"/>
      <c r="Z720" s="381"/>
      <c r="AA720" s="241"/>
      <c r="AB720" s="411"/>
      <c r="AC720" s="577"/>
      <c r="AD720" s="241"/>
      <c r="AE720" s="411"/>
      <c r="AF720" s="577"/>
      <c r="AG720" s="241"/>
      <c r="AH720" s="411"/>
      <c r="AI720" s="577"/>
      <c r="AJ720" s="241"/>
      <c r="AK720" s="411"/>
      <c r="AL720" s="577"/>
      <c r="AM720" s="241"/>
      <c r="AN720" s="411"/>
      <c r="AO720" s="577"/>
      <c r="AP720" s="241"/>
      <c r="AQ720" s="411"/>
      <c r="AR720" s="577"/>
    </row>
    <row r="721" spans="1:44" ht="15.75" hidden="1" customHeight="1">
      <c r="A721" s="309"/>
      <c r="B721" s="666" t="s">
        <v>2549</v>
      </c>
      <c r="C721" s="632">
        <v>17</v>
      </c>
      <c r="D721" s="632">
        <v>356</v>
      </c>
      <c r="E721" s="653"/>
      <c r="F721" s="524"/>
      <c r="G721" s="524"/>
      <c r="H721" s="362"/>
      <c r="I721" s="230"/>
      <c r="J721" s="230"/>
      <c r="K721" s="363"/>
      <c r="L721" s="364"/>
      <c r="M721" s="365"/>
      <c r="N721" s="366"/>
      <c r="O721" s="634"/>
      <c r="P721" s="454"/>
      <c r="Q721" s="592"/>
      <c r="R721" s="639"/>
      <c r="S721" s="420"/>
      <c r="T721" s="421"/>
      <c r="U721" s="387"/>
      <c r="V721" s="648"/>
      <c r="W721" s="640"/>
      <c r="X721" s="404"/>
      <c r="Y721" s="372"/>
      <c r="Z721" s="381"/>
      <c r="AA721" s="225"/>
      <c r="AB721" s="361"/>
      <c r="AC721" s="533"/>
      <c r="AD721" s="225"/>
      <c r="AE721" s="361"/>
      <c r="AF721" s="533"/>
      <c r="AG721" s="225"/>
      <c r="AH721" s="361"/>
      <c r="AI721" s="533"/>
      <c r="AJ721" s="225"/>
      <c r="AK721" s="361"/>
      <c r="AL721" s="533"/>
      <c r="AM721" s="225"/>
      <c r="AN721" s="361"/>
      <c r="AO721" s="533"/>
      <c r="AP721" s="225"/>
      <c r="AQ721" s="361"/>
      <c r="AR721" s="533"/>
    </row>
    <row r="722" spans="1:44" ht="9.75" hidden="1" customHeight="1">
      <c r="A722" s="309"/>
      <c r="B722" s="666"/>
      <c r="C722" s="632"/>
      <c r="D722" s="632"/>
      <c r="E722" s="653"/>
      <c r="F722" s="524"/>
      <c r="G722" s="524"/>
      <c r="H722" s="362"/>
      <c r="I722" s="230"/>
      <c r="J722" s="230"/>
      <c r="K722" s="363"/>
      <c r="L722" s="364"/>
      <c r="M722" s="365"/>
      <c r="N722" s="366"/>
      <c r="O722" s="634"/>
      <c r="P722" s="429"/>
      <c r="Q722" s="609"/>
      <c r="R722" s="646"/>
      <c r="S722" s="433"/>
      <c r="T722" s="434"/>
      <c r="U722" s="376"/>
      <c r="V722" s="649"/>
      <c r="W722" s="636"/>
      <c r="X722" s="404"/>
      <c r="Y722" s="372"/>
      <c r="Z722" s="381"/>
      <c r="AA722" s="241"/>
      <c r="AB722" s="411"/>
      <c r="AC722" s="577"/>
      <c r="AD722" s="241"/>
      <c r="AE722" s="411"/>
      <c r="AF722" s="577"/>
      <c r="AG722" s="241"/>
      <c r="AH722" s="411"/>
      <c r="AI722" s="577"/>
      <c r="AJ722" s="241"/>
      <c r="AK722" s="411"/>
      <c r="AL722" s="577"/>
      <c r="AM722" s="241"/>
      <c r="AN722" s="411"/>
      <c r="AO722" s="577"/>
      <c r="AP722" s="241"/>
      <c r="AQ722" s="411"/>
      <c r="AR722" s="577"/>
    </row>
    <row r="723" spans="1:44" ht="15.75" hidden="1" customHeight="1">
      <c r="A723" s="309"/>
      <c r="B723" s="666" t="s">
        <v>2549</v>
      </c>
      <c r="C723" s="632">
        <v>18</v>
      </c>
      <c r="D723" s="632">
        <v>357</v>
      </c>
      <c r="E723" s="653"/>
      <c r="F723" s="524"/>
      <c r="G723" s="524"/>
      <c r="H723" s="362"/>
      <c r="I723" s="230"/>
      <c r="J723" s="230"/>
      <c r="K723" s="363"/>
      <c r="L723" s="364"/>
      <c r="M723" s="365"/>
      <c r="N723" s="366"/>
      <c r="O723" s="634"/>
      <c r="P723" s="454"/>
      <c r="Q723" s="592"/>
      <c r="R723" s="639"/>
      <c r="S723" s="650"/>
      <c r="T723" s="421"/>
      <c r="U723" s="387"/>
      <c r="V723" s="648"/>
      <c r="W723" s="640"/>
      <c r="X723" s="404"/>
      <c r="Y723" s="372"/>
      <c r="Z723" s="381"/>
      <c r="AA723" s="225"/>
      <c r="AB723" s="361"/>
      <c r="AC723" s="533"/>
      <c r="AD723" s="225"/>
      <c r="AE723" s="361"/>
      <c r="AF723" s="533"/>
      <c r="AG723" s="225"/>
      <c r="AH723" s="361"/>
      <c r="AI723" s="533"/>
      <c r="AJ723" s="225"/>
      <c r="AK723" s="361"/>
      <c r="AL723" s="533"/>
      <c r="AM723" s="225"/>
      <c r="AN723" s="361"/>
      <c r="AO723" s="533"/>
      <c r="AP723" s="225"/>
      <c r="AQ723" s="361"/>
      <c r="AR723" s="533"/>
    </row>
    <row r="724" spans="1:44" ht="15.75" hidden="1" customHeight="1">
      <c r="A724" s="309"/>
      <c r="B724" s="666"/>
      <c r="C724" s="632"/>
      <c r="D724" s="632"/>
      <c r="E724" s="653"/>
      <c r="F724" s="524"/>
      <c r="G724" s="524"/>
      <c r="H724" s="362"/>
      <c r="I724" s="230"/>
      <c r="J724" s="230"/>
      <c r="K724" s="363"/>
      <c r="L724" s="364"/>
      <c r="M724" s="365"/>
      <c r="N724" s="366"/>
      <c r="O724" s="634"/>
      <c r="P724" s="429"/>
      <c r="Q724" s="609"/>
      <c r="R724" s="646"/>
      <c r="S724" s="433"/>
      <c r="T724" s="434"/>
      <c r="U724" s="376"/>
      <c r="V724" s="649"/>
      <c r="W724" s="636"/>
      <c r="X724" s="404"/>
      <c r="Y724" s="372"/>
      <c r="Z724" s="381"/>
      <c r="AA724" s="241"/>
      <c r="AB724" s="411"/>
      <c r="AC724" s="577"/>
      <c r="AD724" s="241"/>
      <c r="AE724" s="411"/>
      <c r="AF724" s="577"/>
      <c r="AG724" s="241"/>
      <c r="AH724" s="411"/>
      <c r="AI724" s="577"/>
      <c r="AJ724" s="241"/>
      <c r="AK724" s="411"/>
      <c r="AL724" s="577"/>
      <c r="AM724" s="241"/>
      <c r="AN724" s="411"/>
      <c r="AO724" s="577"/>
      <c r="AP724" s="241"/>
      <c r="AQ724" s="411"/>
      <c r="AR724" s="577"/>
    </row>
    <row r="725" spans="1:44" ht="15.75" hidden="1" customHeight="1">
      <c r="A725" s="309"/>
      <c r="B725" s="666" t="s">
        <v>2549</v>
      </c>
      <c r="C725" s="632">
        <v>19</v>
      </c>
      <c r="D725" s="632">
        <v>358</v>
      </c>
      <c r="E725" s="653"/>
      <c r="F725" s="524"/>
      <c r="G725" s="524"/>
      <c r="H725" s="362"/>
      <c r="I725" s="230"/>
      <c r="J725" s="230"/>
      <c r="K725" s="363"/>
      <c r="L725" s="364"/>
      <c r="M725" s="365"/>
      <c r="N725" s="366"/>
      <c r="O725" s="634"/>
      <c r="P725" s="454"/>
      <c r="Q725" s="592"/>
      <c r="R725" s="639"/>
      <c r="S725" s="420"/>
      <c r="T725" s="421"/>
      <c r="U725" s="387"/>
      <c r="V725" s="648"/>
      <c r="W725" s="640"/>
      <c r="X725" s="404"/>
      <c r="Y725" s="372"/>
      <c r="Z725" s="381"/>
      <c r="AA725" s="225"/>
      <c r="AB725" s="361"/>
      <c r="AC725" s="533"/>
      <c r="AD725" s="225"/>
      <c r="AE725" s="361"/>
      <c r="AF725" s="533"/>
      <c r="AG725" s="225"/>
      <c r="AH725" s="361"/>
      <c r="AI725" s="533"/>
      <c r="AJ725" s="225"/>
      <c r="AK725" s="361"/>
      <c r="AL725" s="533"/>
      <c r="AM725" s="225"/>
      <c r="AN725" s="361"/>
      <c r="AO725" s="533"/>
      <c r="AP725" s="225"/>
      <c r="AQ725" s="361"/>
      <c r="AR725" s="533"/>
    </row>
    <row r="726" spans="1:44" ht="15.75" hidden="1" customHeight="1">
      <c r="A726" s="309"/>
      <c r="B726" s="666"/>
      <c r="C726" s="632"/>
      <c r="D726" s="632"/>
      <c r="E726" s="653"/>
      <c r="F726" s="524"/>
      <c r="G726" s="524"/>
      <c r="H726" s="362"/>
      <c r="I726" s="230"/>
      <c r="J726" s="230"/>
      <c r="K726" s="363"/>
      <c r="L726" s="364"/>
      <c r="M726" s="365"/>
      <c r="N726" s="366"/>
      <c r="O726" s="634"/>
      <c r="P726" s="429"/>
      <c r="Q726" s="609"/>
      <c r="R726" s="646"/>
      <c r="S726" s="433"/>
      <c r="T726" s="434"/>
      <c r="U726" s="376"/>
      <c r="V726" s="649"/>
      <c r="W726" s="636"/>
      <c r="X726" s="404"/>
      <c r="Y726" s="372"/>
      <c r="Z726" s="381"/>
      <c r="AA726" s="241"/>
      <c r="AB726" s="411"/>
      <c r="AC726" s="577"/>
      <c r="AD726" s="241"/>
      <c r="AE726" s="411"/>
      <c r="AF726" s="577"/>
      <c r="AG726" s="241"/>
      <c r="AH726" s="411"/>
      <c r="AI726" s="577"/>
      <c r="AJ726" s="241"/>
      <c r="AK726" s="411"/>
      <c r="AL726" s="577"/>
      <c r="AM726" s="241"/>
      <c r="AN726" s="411"/>
      <c r="AO726" s="577"/>
      <c r="AP726" s="241"/>
      <c r="AQ726" s="411"/>
      <c r="AR726" s="577"/>
    </row>
    <row r="727" spans="1:44" ht="15.75" hidden="1" customHeight="1">
      <c r="A727" s="309"/>
      <c r="B727" s="666" t="s">
        <v>2549</v>
      </c>
      <c r="C727" s="632">
        <v>20</v>
      </c>
      <c r="D727" s="632">
        <v>359</v>
      </c>
      <c r="E727" s="653"/>
      <c r="F727" s="524"/>
      <c r="G727" s="524"/>
      <c r="H727" s="362"/>
      <c r="I727" s="230"/>
      <c r="J727" s="230"/>
      <c r="K727" s="363"/>
      <c r="L727" s="364"/>
      <c r="M727" s="365"/>
      <c r="N727" s="366"/>
      <c r="O727" s="634"/>
      <c r="P727" s="454"/>
      <c r="Q727" s="592"/>
      <c r="R727" s="639"/>
      <c r="S727" s="650"/>
      <c r="T727" s="421"/>
      <c r="U727" s="387"/>
      <c r="V727" s="648"/>
      <c r="W727" s="640"/>
      <c r="X727" s="404"/>
      <c r="Y727" s="372"/>
      <c r="Z727" s="381"/>
      <c r="AA727" s="225"/>
      <c r="AB727" s="361"/>
      <c r="AC727" s="533"/>
      <c r="AD727" s="225"/>
      <c r="AE727" s="361"/>
      <c r="AF727" s="533"/>
      <c r="AG727" s="225"/>
      <c r="AH727" s="361"/>
      <c r="AI727" s="533"/>
      <c r="AJ727" s="225"/>
      <c r="AK727" s="361"/>
      <c r="AL727" s="533"/>
      <c r="AM727" s="225"/>
      <c r="AN727" s="361"/>
      <c r="AO727" s="533"/>
      <c r="AP727" s="225"/>
      <c r="AQ727" s="361"/>
      <c r="AR727" s="533"/>
    </row>
    <row r="728" spans="1:44" ht="15.75" hidden="1" customHeight="1">
      <c r="A728" s="309"/>
      <c r="B728" s="666"/>
      <c r="C728" s="632"/>
      <c r="D728" s="632"/>
      <c r="E728" s="653"/>
      <c r="F728" s="524"/>
      <c r="G728" s="524"/>
      <c r="H728" s="362"/>
      <c r="I728" s="230"/>
      <c r="J728" s="230"/>
      <c r="K728" s="363"/>
      <c r="L728" s="364"/>
      <c r="M728" s="365"/>
      <c r="N728" s="366"/>
      <c r="O728" s="634"/>
      <c r="P728" s="429"/>
      <c r="Q728" s="609"/>
      <c r="R728" s="646"/>
      <c r="S728" s="433"/>
      <c r="T728" s="434"/>
      <c r="U728" s="376"/>
      <c r="V728" s="649"/>
      <c r="W728" s="636"/>
      <c r="X728" s="404"/>
      <c r="Y728" s="372"/>
      <c r="Z728" s="381"/>
      <c r="AA728" s="241"/>
      <c r="AB728" s="411"/>
      <c r="AC728" s="577"/>
      <c r="AD728" s="241"/>
      <c r="AE728" s="411"/>
      <c r="AF728" s="577"/>
      <c r="AG728" s="241"/>
      <c r="AH728" s="411"/>
      <c r="AI728" s="577"/>
      <c r="AJ728" s="241"/>
      <c r="AK728" s="411"/>
      <c r="AL728" s="577"/>
      <c r="AM728" s="241"/>
      <c r="AN728" s="411"/>
      <c r="AO728" s="577"/>
      <c r="AP728" s="241"/>
      <c r="AQ728" s="411"/>
      <c r="AR728" s="577"/>
    </row>
    <row r="729" spans="1:44" ht="15.75" hidden="1" customHeight="1">
      <c r="A729" s="309"/>
      <c r="B729" s="666" t="s">
        <v>2549</v>
      </c>
      <c r="C729" s="632">
        <v>21</v>
      </c>
      <c r="D729" s="632">
        <v>360</v>
      </c>
      <c r="E729" s="653"/>
      <c r="F729" s="524"/>
      <c r="G729" s="524"/>
      <c r="H729" s="362"/>
      <c r="I729" s="230"/>
      <c r="J729" s="230"/>
      <c r="K729" s="363"/>
      <c r="L729" s="364"/>
      <c r="M729" s="365"/>
      <c r="N729" s="366"/>
      <c r="O729" s="634"/>
      <c r="P729" s="454"/>
      <c r="Q729" s="592"/>
      <c r="R729" s="639"/>
      <c r="S729" s="420"/>
      <c r="T729" s="421"/>
      <c r="U729" s="387"/>
      <c r="V729" s="648"/>
      <c r="W729" s="640"/>
      <c r="X729" s="404"/>
      <c r="Y729" s="372"/>
      <c r="Z729" s="381"/>
      <c r="AA729" s="225"/>
      <c r="AB729" s="361"/>
      <c r="AC729" s="533"/>
      <c r="AD729" s="225"/>
      <c r="AE729" s="361"/>
      <c r="AF729" s="533"/>
      <c r="AG729" s="225"/>
      <c r="AH729" s="361"/>
      <c r="AI729" s="533"/>
      <c r="AJ729" s="225"/>
      <c r="AK729" s="361"/>
      <c r="AL729" s="533"/>
      <c r="AM729" s="225"/>
      <c r="AN729" s="361"/>
      <c r="AO729" s="533"/>
      <c r="AP729" s="225"/>
      <c r="AQ729" s="361"/>
      <c r="AR729" s="533"/>
    </row>
    <row r="730" spans="1:44" ht="15.75" hidden="1" customHeight="1">
      <c r="A730" s="309"/>
      <c r="B730" s="666"/>
      <c r="C730" s="632"/>
      <c r="D730" s="632"/>
      <c r="E730" s="653"/>
      <c r="F730" s="524"/>
      <c r="G730" s="524"/>
      <c r="H730" s="362"/>
      <c r="I730" s="230"/>
      <c r="J730" s="230"/>
      <c r="K730" s="363"/>
      <c r="L730" s="364"/>
      <c r="M730" s="365"/>
      <c r="N730" s="366"/>
      <c r="O730" s="634"/>
      <c r="P730" s="429"/>
      <c r="Q730" s="609"/>
      <c r="R730" s="646"/>
      <c r="S730" s="433"/>
      <c r="T730" s="434"/>
      <c r="U730" s="376"/>
      <c r="V730" s="649"/>
      <c r="W730" s="636"/>
      <c r="X730" s="404"/>
      <c r="Y730" s="372"/>
      <c r="Z730" s="381"/>
      <c r="AA730" s="241"/>
      <c r="AB730" s="411"/>
      <c r="AC730" s="577"/>
      <c r="AD730" s="241"/>
      <c r="AE730" s="411"/>
      <c r="AF730" s="577"/>
      <c r="AG730" s="241"/>
      <c r="AH730" s="411"/>
      <c r="AI730" s="577"/>
      <c r="AJ730" s="241"/>
      <c r="AK730" s="411"/>
      <c r="AL730" s="577"/>
      <c r="AM730" s="241"/>
      <c r="AN730" s="411"/>
      <c r="AO730" s="577"/>
      <c r="AP730" s="241"/>
      <c r="AQ730" s="411"/>
      <c r="AR730" s="577"/>
    </row>
    <row r="731" spans="1:44" ht="15.75" hidden="1" customHeight="1">
      <c r="A731" s="309"/>
      <c r="B731" s="666" t="s">
        <v>2549</v>
      </c>
      <c r="C731" s="632">
        <v>22</v>
      </c>
      <c r="D731" s="632">
        <v>361</v>
      </c>
      <c r="E731" s="653"/>
      <c r="F731" s="524"/>
      <c r="G731" s="524"/>
      <c r="H731" s="362"/>
      <c r="I731" s="230"/>
      <c r="J731" s="230"/>
      <c r="K731" s="363"/>
      <c r="L731" s="364"/>
      <c r="M731" s="365"/>
      <c r="N731" s="366"/>
      <c r="O731" s="634"/>
      <c r="P731" s="454"/>
      <c r="Q731" s="592"/>
      <c r="R731" s="639"/>
      <c r="S731" s="420"/>
      <c r="T731" s="421"/>
      <c r="U731" s="387"/>
      <c r="V731" s="648"/>
      <c r="W731" s="640"/>
      <c r="X731" s="404"/>
      <c r="Y731" s="372"/>
      <c r="Z731" s="381"/>
      <c r="AA731" s="225"/>
      <c r="AB731" s="361"/>
      <c r="AC731" s="533"/>
      <c r="AD731" s="225"/>
      <c r="AE731" s="361"/>
      <c r="AF731" s="533"/>
      <c r="AG731" s="225"/>
      <c r="AH731" s="361"/>
      <c r="AI731" s="533"/>
      <c r="AJ731" s="225"/>
      <c r="AK731" s="361"/>
      <c r="AL731" s="533"/>
      <c r="AM731" s="225"/>
      <c r="AN731" s="361"/>
      <c r="AO731" s="533"/>
      <c r="AP731" s="225"/>
      <c r="AQ731" s="361"/>
      <c r="AR731" s="533"/>
    </row>
    <row r="732" spans="1:44" ht="15.75" hidden="1" customHeight="1">
      <c r="A732" s="309"/>
      <c r="B732" s="666"/>
      <c r="C732" s="632"/>
      <c r="D732" s="632"/>
      <c r="E732" s="653"/>
      <c r="F732" s="524"/>
      <c r="G732" s="524"/>
      <c r="H732" s="362"/>
      <c r="I732" s="230"/>
      <c r="J732" s="230"/>
      <c r="K732" s="363"/>
      <c r="L732" s="364"/>
      <c r="M732" s="365"/>
      <c r="N732" s="366"/>
      <c r="O732" s="634"/>
      <c r="P732" s="429"/>
      <c r="Q732" s="609"/>
      <c r="R732" s="646"/>
      <c r="S732" s="433"/>
      <c r="T732" s="434"/>
      <c r="U732" s="376"/>
      <c r="V732" s="649"/>
      <c r="W732" s="636"/>
      <c r="X732" s="404"/>
      <c r="Y732" s="372"/>
      <c r="Z732" s="381"/>
      <c r="AA732" s="241"/>
      <c r="AB732" s="411"/>
      <c r="AC732" s="577"/>
      <c r="AD732" s="241"/>
      <c r="AE732" s="411"/>
      <c r="AF732" s="577"/>
      <c r="AG732" s="241"/>
      <c r="AH732" s="411"/>
      <c r="AI732" s="577"/>
      <c r="AJ732" s="241"/>
      <c r="AK732" s="411"/>
      <c r="AL732" s="577"/>
      <c r="AM732" s="241"/>
      <c r="AN732" s="411"/>
      <c r="AO732" s="577"/>
      <c r="AP732" s="241"/>
      <c r="AQ732" s="411"/>
      <c r="AR732" s="577"/>
    </row>
    <row r="733" spans="1:44" ht="15.75" hidden="1" customHeight="1">
      <c r="A733" s="309"/>
      <c r="B733" s="666" t="s">
        <v>2549</v>
      </c>
      <c r="C733" s="632">
        <v>23</v>
      </c>
      <c r="D733" s="632">
        <v>362</v>
      </c>
      <c r="E733" s="653"/>
      <c r="F733" s="524"/>
      <c r="G733" s="524"/>
      <c r="H733" s="362"/>
      <c r="I733" s="230"/>
      <c r="J733" s="230"/>
      <c r="K733" s="597"/>
      <c r="L733" s="451"/>
      <c r="M733" s="452"/>
      <c r="N733" s="409"/>
      <c r="O733" s="638"/>
      <c r="P733" s="454"/>
      <c r="Q733" s="592"/>
      <c r="R733" s="639"/>
      <c r="S733" s="420"/>
      <c r="T733" s="421"/>
      <c r="U733" s="387"/>
      <c r="V733" s="648"/>
      <c r="W733" s="640"/>
      <c r="X733" s="404"/>
      <c r="Y733" s="372"/>
      <c r="Z733" s="381"/>
      <c r="AA733" s="225"/>
      <c r="AB733" s="361"/>
      <c r="AC733" s="533"/>
      <c r="AD733" s="225"/>
      <c r="AE733" s="361"/>
      <c r="AF733" s="533"/>
      <c r="AG733" s="225"/>
      <c r="AH733" s="361"/>
      <c r="AI733" s="533"/>
      <c r="AJ733" s="225"/>
      <c r="AK733" s="361"/>
      <c r="AL733" s="533"/>
      <c r="AM733" s="225"/>
      <c r="AN733" s="361"/>
      <c r="AO733" s="533"/>
      <c r="AP733" s="225"/>
      <c r="AQ733" s="361"/>
      <c r="AR733" s="533"/>
    </row>
    <row r="734" spans="1:44" ht="15.75" hidden="1" customHeight="1">
      <c r="A734" s="309"/>
      <c r="B734" s="666"/>
      <c r="C734" s="632"/>
      <c r="D734" s="632"/>
      <c r="E734" s="653"/>
      <c r="F734" s="524"/>
      <c r="G734" s="524"/>
      <c r="H734" s="362"/>
      <c r="I734" s="230"/>
      <c r="J734" s="230"/>
      <c r="K734" s="412"/>
      <c r="L734" s="413"/>
      <c r="M734" s="604"/>
      <c r="N734" s="415"/>
      <c r="O734" s="642"/>
      <c r="P734" s="581"/>
      <c r="Q734" s="608"/>
      <c r="R734" s="646"/>
      <c r="S734" s="433"/>
      <c r="T734" s="434"/>
      <c r="U734" s="376"/>
      <c r="V734" s="649"/>
      <c r="W734" s="636"/>
      <c r="X734" s="404"/>
      <c r="Y734" s="372"/>
      <c r="Z734" s="381"/>
      <c r="AA734" s="241"/>
      <c r="AB734" s="411"/>
      <c r="AC734" s="577"/>
      <c r="AD734" s="241"/>
      <c r="AE734" s="411"/>
      <c r="AF734" s="577"/>
      <c r="AG734" s="241"/>
      <c r="AH734" s="411"/>
      <c r="AI734" s="577"/>
      <c r="AJ734" s="241"/>
      <c r="AK734" s="411"/>
      <c r="AL734" s="577"/>
      <c r="AM734" s="241"/>
      <c r="AN734" s="411"/>
      <c r="AO734" s="577"/>
      <c r="AP734" s="241"/>
      <c r="AQ734" s="411"/>
      <c r="AR734" s="577"/>
    </row>
    <row r="735" spans="1:44" ht="15.75" hidden="1" customHeight="1">
      <c r="A735" s="309"/>
      <c r="B735" s="666" t="s">
        <v>2549</v>
      </c>
      <c r="C735" s="632">
        <v>24</v>
      </c>
      <c r="D735" s="632">
        <v>363</v>
      </c>
      <c r="E735" s="653"/>
      <c r="F735" s="524"/>
      <c r="G735" s="524"/>
      <c r="H735" s="362"/>
      <c r="I735" s="230"/>
      <c r="J735" s="230"/>
      <c r="K735" s="412"/>
      <c r="L735" s="413"/>
      <c r="M735" s="604"/>
      <c r="N735" s="415"/>
      <c r="O735" s="642"/>
      <c r="P735" s="581"/>
      <c r="Q735" s="608"/>
      <c r="R735" s="639"/>
      <c r="S735" s="420"/>
      <c r="T735" s="421"/>
      <c r="U735" s="387"/>
      <c r="V735" s="648"/>
      <c r="W735" s="640"/>
      <c r="X735" s="404"/>
      <c r="Y735" s="372"/>
      <c r="Z735" s="381"/>
      <c r="AA735" s="225"/>
      <c r="AB735" s="361"/>
      <c r="AC735" s="533"/>
      <c r="AD735" s="225"/>
      <c r="AE735" s="361"/>
      <c r="AF735" s="533"/>
      <c r="AG735" s="225"/>
      <c r="AH735" s="361"/>
      <c r="AI735" s="533"/>
      <c r="AJ735" s="225"/>
      <c r="AK735" s="361"/>
      <c r="AL735" s="533"/>
      <c r="AM735" s="225"/>
      <c r="AN735" s="361"/>
      <c r="AO735" s="533"/>
      <c r="AP735" s="225"/>
      <c r="AQ735" s="361"/>
      <c r="AR735" s="533"/>
    </row>
    <row r="736" spans="1:44" ht="15.75" hidden="1" customHeight="1">
      <c r="A736" s="309"/>
      <c r="B736" s="666"/>
      <c r="C736" s="632"/>
      <c r="D736" s="632"/>
      <c r="E736" s="653"/>
      <c r="F736" s="524"/>
      <c r="G736" s="524"/>
      <c r="H736" s="362"/>
      <c r="I736" s="230"/>
      <c r="J736" s="230"/>
      <c r="K736" s="438"/>
      <c r="L736" s="427"/>
      <c r="M736" s="439"/>
      <c r="N736" s="425"/>
      <c r="O736" s="645"/>
      <c r="P736" s="429"/>
      <c r="Q736" s="609"/>
      <c r="R736" s="646"/>
      <c r="S736" s="433"/>
      <c r="T736" s="434"/>
      <c r="U736" s="376"/>
      <c r="V736" s="649"/>
      <c r="W736" s="636"/>
      <c r="X736" s="404"/>
      <c r="Y736" s="372"/>
      <c r="Z736" s="381"/>
      <c r="AA736" s="241"/>
      <c r="AB736" s="411"/>
      <c r="AC736" s="577"/>
      <c r="AD736" s="241"/>
      <c r="AE736" s="411"/>
      <c r="AF736" s="577"/>
      <c r="AG736" s="241"/>
      <c r="AH736" s="411"/>
      <c r="AI736" s="577"/>
      <c r="AJ736" s="241"/>
      <c r="AK736" s="411"/>
      <c r="AL736" s="577"/>
      <c r="AM736" s="241"/>
      <c r="AN736" s="411"/>
      <c r="AO736" s="577"/>
      <c r="AP736" s="241"/>
      <c r="AQ736" s="411"/>
      <c r="AR736" s="577"/>
    </row>
    <row r="737" spans="1:44" ht="15.75" hidden="1" customHeight="1">
      <c r="A737" s="309"/>
      <c r="B737" s="666" t="s">
        <v>2549</v>
      </c>
      <c r="C737" s="632">
        <v>25</v>
      </c>
      <c r="D737" s="632">
        <v>364</v>
      </c>
      <c r="E737" s="653"/>
      <c r="F737" s="524"/>
      <c r="G737" s="524"/>
      <c r="H737" s="362"/>
      <c r="I737" s="230"/>
      <c r="J737" s="230"/>
      <c r="K737" s="363"/>
      <c r="L737" s="364"/>
      <c r="M737" s="365"/>
      <c r="N737" s="366"/>
      <c r="O737" s="634"/>
      <c r="P737" s="454"/>
      <c r="Q737" s="592"/>
      <c r="R737" s="639"/>
      <c r="S737" s="420"/>
      <c r="T737" s="421"/>
      <c r="U737" s="387"/>
      <c r="V737" s="648"/>
      <c r="W737" s="640"/>
      <c r="X737" s="404"/>
      <c r="Y737" s="372"/>
      <c r="Z737" s="381"/>
      <c r="AA737" s="225"/>
      <c r="AB737" s="361"/>
      <c r="AC737" s="533"/>
      <c r="AD737" s="225"/>
      <c r="AE737" s="361"/>
      <c r="AF737" s="533"/>
      <c r="AG737" s="225"/>
      <c r="AH737" s="361"/>
      <c r="AI737" s="533"/>
      <c r="AJ737" s="225"/>
      <c r="AK737" s="361"/>
      <c r="AL737" s="533"/>
      <c r="AM737" s="225"/>
      <c r="AN737" s="361"/>
      <c r="AO737" s="533"/>
      <c r="AP737" s="225"/>
      <c r="AQ737" s="361"/>
      <c r="AR737" s="533"/>
    </row>
    <row r="738" spans="1:44" ht="15.75" hidden="1" customHeight="1">
      <c r="A738" s="309"/>
      <c r="B738" s="666"/>
      <c r="C738" s="632"/>
      <c r="D738" s="632"/>
      <c r="E738" s="653"/>
      <c r="F738" s="524"/>
      <c r="G738" s="524"/>
      <c r="H738" s="362"/>
      <c r="I738" s="230"/>
      <c r="J738" s="230"/>
      <c r="K738" s="363"/>
      <c r="L738" s="364"/>
      <c r="M738" s="365"/>
      <c r="N738" s="366"/>
      <c r="O738" s="634"/>
      <c r="P738" s="429"/>
      <c r="Q738" s="609"/>
      <c r="R738" s="646"/>
      <c r="S738" s="433"/>
      <c r="T738" s="434"/>
      <c r="U738" s="376"/>
      <c r="V738" s="649"/>
      <c r="W738" s="636"/>
      <c r="X738" s="404"/>
      <c r="Y738" s="372"/>
      <c r="Z738" s="381"/>
      <c r="AA738" s="241"/>
      <c r="AB738" s="411"/>
      <c r="AC738" s="577"/>
      <c r="AD738" s="241"/>
      <c r="AE738" s="411"/>
      <c r="AF738" s="577"/>
      <c r="AG738" s="241"/>
      <c r="AH738" s="411"/>
      <c r="AI738" s="577"/>
      <c r="AJ738" s="241"/>
      <c r="AK738" s="411"/>
      <c r="AL738" s="577"/>
      <c r="AM738" s="241"/>
      <c r="AN738" s="411"/>
      <c r="AO738" s="577"/>
      <c r="AP738" s="241"/>
      <c r="AQ738" s="411"/>
      <c r="AR738" s="577"/>
    </row>
    <row r="739" spans="1:44" ht="15.75" hidden="1" customHeight="1">
      <c r="A739" s="309"/>
      <c r="B739" s="666" t="s">
        <v>2549</v>
      </c>
      <c r="C739" s="632">
        <v>26</v>
      </c>
      <c r="D739" s="632">
        <v>365</v>
      </c>
      <c r="E739" s="653"/>
      <c r="F739" s="524"/>
      <c r="G739" s="524"/>
      <c r="H739" s="362"/>
      <c r="I739" s="230"/>
      <c r="J739" s="230"/>
      <c r="K739" s="363"/>
      <c r="L739" s="364"/>
      <c r="M739" s="365"/>
      <c r="N739" s="409"/>
      <c r="O739" s="638"/>
      <c r="P739" s="454"/>
      <c r="Q739" s="592"/>
      <c r="R739" s="639"/>
      <c r="S739" s="420"/>
      <c r="T739" s="421"/>
      <c r="U739" s="387"/>
      <c r="V739" s="648"/>
      <c r="W739" s="640"/>
      <c r="X739" s="404"/>
      <c r="Y739" s="372"/>
      <c r="Z739" s="381"/>
      <c r="AA739" s="225"/>
      <c r="AB739" s="361"/>
      <c r="AC739" s="533"/>
      <c r="AD739" s="225"/>
      <c r="AE739" s="361"/>
      <c r="AF739" s="533"/>
      <c r="AG739" s="225"/>
      <c r="AH739" s="361"/>
      <c r="AI739" s="533"/>
      <c r="AJ739" s="225"/>
      <c r="AK739" s="361"/>
      <c r="AL739" s="533"/>
      <c r="AM739" s="225"/>
      <c r="AN739" s="361"/>
      <c r="AO739" s="533"/>
      <c r="AP739" s="225"/>
      <c r="AQ739" s="361"/>
      <c r="AR739" s="533"/>
    </row>
    <row r="740" spans="1:44" ht="15.75" hidden="1" customHeight="1">
      <c r="A740" s="309"/>
      <c r="B740" s="666"/>
      <c r="C740" s="632"/>
      <c r="D740" s="632"/>
      <c r="E740" s="653"/>
      <c r="F740" s="524"/>
      <c r="G740" s="524"/>
      <c r="H740" s="362"/>
      <c r="I740" s="230"/>
      <c r="J740" s="230"/>
      <c r="K740" s="363"/>
      <c r="L740" s="364"/>
      <c r="M740" s="365"/>
      <c r="N740" s="415"/>
      <c r="O740" s="642"/>
      <c r="P740" s="581"/>
      <c r="Q740" s="609"/>
      <c r="R740" s="646"/>
      <c r="S740" s="433"/>
      <c r="T740" s="434"/>
      <c r="U740" s="376"/>
      <c r="V740" s="649"/>
      <c r="W740" s="636"/>
      <c r="X740" s="404"/>
      <c r="Y740" s="372"/>
      <c r="Z740" s="381"/>
      <c r="AA740" s="241"/>
      <c r="AB740" s="411"/>
      <c r="AC740" s="577"/>
      <c r="AD740" s="241"/>
      <c r="AE740" s="411"/>
      <c r="AF740" s="577"/>
      <c r="AG740" s="241"/>
      <c r="AH740" s="411"/>
      <c r="AI740" s="577"/>
      <c r="AJ740" s="241"/>
      <c r="AK740" s="411"/>
      <c r="AL740" s="577"/>
      <c r="AM740" s="241"/>
      <c r="AN740" s="411"/>
      <c r="AO740" s="577"/>
      <c r="AP740" s="241"/>
      <c r="AQ740" s="411"/>
      <c r="AR740" s="577"/>
    </row>
    <row r="741" spans="1:44" ht="15.75" hidden="1" customHeight="1">
      <c r="A741" s="309"/>
      <c r="B741" s="666" t="s">
        <v>2549</v>
      </c>
      <c r="C741" s="632">
        <v>27</v>
      </c>
      <c r="D741" s="632">
        <v>366</v>
      </c>
      <c r="E741" s="653"/>
      <c r="F741" s="524"/>
      <c r="G741" s="524"/>
      <c r="H741" s="362"/>
      <c r="I741" s="230"/>
      <c r="J741" s="230"/>
      <c r="K741" s="363"/>
      <c r="L741" s="364"/>
      <c r="M741" s="365"/>
      <c r="N741" s="415"/>
      <c r="O741" s="642"/>
      <c r="P741" s="581"/>
      <c r="Q741" s="592"/>
      <c r="R741" s="639"/>
      <c r="S741" s="420"/>
      <c r="T741" s="421"/>
      <c r="U741" s="387"/>
      <c r="V741" s="648"/>
      <c r="W741" s="640"/>
      <c r="X741" s="404"/>
      <c r="Y741" s="372"/>
      <c r="Z741" s="381"/>
      <c r="AA741" s="225"/>
      <c r="AB741" s="361"/>
      <c r="AC741" s="533"/>
      <c r="AD741" s="225"/>
      <c r="AE741" s="361"/>
      <c r="AF741" s="533"/>
      <c r="AG741" s="225"/>
      <c r="AH741" s="361"/>
      <c r="AI741" s="533"/>
      <c r="AJ741" s="225"/>
      <c r="AK741" s="361"/>
      <c r="AL741" s="533"/>
      <c r="AM741" s="225"/>
      <c r="AN741" s="361"/>
      <c r="AO741" s="533"/>
      <c r="AP741" s="225"/>
      <c r="AQ741" s="361"/>
      <c r="AR741" s="533"/>
    </row>
    <row r="742" spans="1:44" ht="15.75" hidden="1" customHeight="1">
      <c r="A742" s="309"/>
      <c r="B742" s="666"/>
      <c r="C742" s="632"/>
      <c r="D742" s="632"/>
      <c r="E742" s="653"/>
      <c r="F742" s="524"/>
      <c r="G742" s="524"/>
      <c r="H742" s="362"/>
      <c r="I742" s="230"/>
      <c r="J742" s="230"/>
      <c r="K742" s="363"/>
      <c r="L742" s="364"/>
      <c r="M742" s="365"/>
      <c r="N742" s="425"/>
      <c r="O742" s="645"/>
      <c r="P742" s="429"/>
      <c r="Q742" s="609"/>
      <c r="R742" s="646"/>
      <c r="S742" s="433"/>
      <c r="T742" s="434"/>
      <c r="U742" s="376"/>
      <c r="V742" s="649"/>
      <c r="W742" s="636"/>
      <c r="X742" s="404"/>
      <c r="Y742" s="372"/>
      <c r="Z742" s="381"/>
      <c r="AA742" s="241"/>
      <c r="AB742" s="411"/>
      <c r="AC742" s="577"/>
      <c r="AD742" s="241"/>
      <c r="AE742" s="411"/>
      <c r="AF742" s="577"/>
      <c r="AG742" s="241"/>
      <c r="AH742" s="411"/>
      <c r="AI742" s="577"/>
      <c r="AJ742" s="241"/>
      <c r="AK742" s="411"/>
      <c r="AL742" s="577"/>
      <c r="AM742" s="241"/>
      <c r="AN742" s="411"/>
      <c r="AO742" s="577"/>
      <c r="AP742" s="241"/>
      <c r="AQ742" s="411"/>
      <c r="AR742" s="577"/>
    </row>
    <row r="743" spans="1:44" ht="15.75" hidden="1" customHeight="1">
      <c r="A743" s="309"/>
      <c r="B743" s="666" t="s">
        <v>2549</v>
      </c>
      <c r="C743" s="632">
        <v>28</v>
      </c>
      <c r="D743" s="632">
        <v>367</v>
      </c>
      <c r="E743" s="653"/>
      <c r="F743" s="524"/>
      <c r="G743" s="524"/>
      <c r="H743" s="362"/>
      <c r="I743" s="230"/>
      <c r="J743" s="230"/>
      <c r="K743" s="363"/>
      <c r="L743" s="364"/>
      <c r="M743" s="365"/>
      <c r="N743" s="366"/>
      <c r="O743" s="634"/>
      <c r="P743" s="454"/>
      <c r="Q743" s="592"/>
      <c r="R743" s="639"/>
      <c r="S743" s="420"/>
      <c r="T743" s="421"/>
      <c r="U743" s="387"/>
      <c r="V743" s="648"/>
      <c r="W743" s="640"/>
      <c r="X743" s="404"/>
      <c r="Y743" s="372"/>
      <c r="Z743" s="381"/>
      <c r="AA743" s="225"/>
      <c r="AB743" s="361"/>
      <c r="AC743" s="533"/>
      <c r="AD743" s="225"/>
      <c r="AE743" s="361"/>
      <c r="AF743" s="533"/>
      <c r="AG743" s="225"/>
      <c r="AH743" s="361"/>
      <c r="AI743" s="533"/>
      <c r="AJ743" s="225"/>
      <c r="AK743" s="361"/>
      <c r="AL743" s="533"/>
      <c r="AM743" s="225"/>
      <c r="AN743" s="361"/>
      <c r="AO743" s="533"/>
      <c r="AP743" s="225"/>
      <c r="AQ743" s="361"/>
      <c r="AR743" s="533"/>
    </row>
    <row r="744" spans="1:44" ht="15.75" hidden="1" customHeight="1">
      <c r="A744" s="309"/>
      <c r="B744" s="666"/>
      <c r="C744" s="632"/>
      <c r="D744" s="632"/>
      <c r="E744" s="653"/>
      <c r="F744" s="524"/>
      <c r="G744" s="524"/>
      <c r="H744" s="362"/>
      <c r="I744" s="230"/>
      <c r="J744" s="230"/>
      <c r="K744" s="363"/>
      <c r="L744" s="364"/>
      <c r="M744" s="365"/>
      <c r="N744" s="366"/>
      <c r="O744" s="634"/>
      <c r="P744" s="429"/>
      <c r="Q744" s="609"/>
      <c r="R744" s="646"/>
      <c r="S744" s="433"/>
      <c r="T744" s="434"/>
      <c r="U744" s="376"/>
      <c r="V744" s="649"/>
      <c r="W744" s="636"/>
      <c r="X744" s="404"/>
      <c r="Y744" s="372"/>
      <c r="Z744" s="381"/>
      <c r="AA744" s="241"/>
      <c r="AB744" s="411"/>
      <c r="AC744" s="577"/>
      <c r="AD744" s="241"/>
      <c r="AE744" s="411"/>
      <c r="AF744" s="577"/>
      <c r="AG744" s="241"/>
      <c r="AH744" s="411"/>
      <c r="AI744" s="577"/>
      <c r="AJ744" s="241"/>
      <c r="AK744" s="411"/>
      <c r="AL744" s="577"/>
      <c r="AM744" s="241"/>
      <c r="AN744" s="411"/>
      <c r="AO744" s="577"/>
      <c r="AP744" s="241"/>
      <c r="AQ744" s="411"/>
      <c r="AR744" s="577"/>
    </row>
    <row r="745" spans="1:44" ht="15.75" hidden="1" customHeight="1">
      <c r="A745" s="309"/>
      <c r="B745" s="666" t="s">
        <v>2549</v>
      </c>
      <c r="C745" s="632">
        <v>29</v>
      </c>
      <c r="D745" s="632">
        <v>368</v>
      </c>
      <c r="E745" s="653"/>
      <c r="F745" s="524"/>
      <c r="G745" s="524"/>
      <c r="H745" s="362"/>
      <c r="I745" s="230"/>
      <c r="J745" s="230"/>
      <c r="K745" s="363"/>
      <c r="L745" s="364"/>
      <c r="M745" s="365"/>
      <c r="N745" s="366"/>
      <c r="O745" s="634"/>
      <c r="P745" s="454"/>
      <c r="Q745" s="592"/>
      <c r="R745" s="639"/>
      <c r="S745" s="420"/>
      <c r="T745" s="421"/>
      <c r="U745" s="387"/>
      <c r="V745" s="648"/>
      <c r="W745" s="640"/>
      <c r="X745" s="404"/>
      <c r="Y745" s="372"/>
      <c r="Z745" s="381"/>
      <c r="AA745" s="225"/>
      <c r="AB745" s="361"/>
      <c r="AC745" s="533"/>
      <c r="AD745" s="225"/>
      <c r="AE745" s="361"/>
      <c r="AF745" s="533"/>
      <c r="AG745" s="225"/>
      <c r="AH745" s="361"/>
      <c r="AI745" s="533"/>
      <c r="AJ745" s="225"/>
      <c r="AK745" s="361"/>
      <c r="AL745" s="533"/>
      <c r="AM745" s="225"/>
      <c r="AN745" s="361"/>
      <c r="AO745" s="533"/>
      <c r="AP745" s="225"/>
      <c r="AQ745" s="361"/>
      <c r="AR745" s="533"/>
    </row>
    <row r="746" spans="1:44" ht="15.75" hidden="1" customHeight="1">
      <c r="A746" s="309"/>
      <c r="B746" s="666"/>
      <c r="C746" s="632"/>
      <c r="D746" s="632"/>
      <c r="E746" s="653"/>
      <c r="F746" s="524"/>
      <c r="G746" s="524"/>
      <c r="H746" s="362"/>
      <c r="I746" s="230"/>
      <c r="J746" s="230"/>
      <c r="K746" s="363"/>
      <c r="L746" s="364"/>
      <c r="M746" s="365"/>
      <c r="N746" s="366"/>
      <c r="O746" s="634"/>
      <c r="P746" s="429"/>
      <c r="Q746" s="609"/>
      <c r="R746" s="646"/>
      <c r="S746" s="433"/>
      <c r="T746" s="434"/>
      <c r="U746" s="376"/>
      <c r="V746" s="649"/>
      <c r="W746" s="636"/>
      <c r="X746" s="404"/>
      <c r="Y746" s="372"/>
      <c r="Z746" s="381"/>
      <c r="AA746" s="241"/>
      <c r="AB746" s="411"/>
      <c r="AC746" s="577"/>
      <c r="AD746" s="241"/>
      <c r="AE746" s="411"/>
      <c r="AF746" s="577"/>
      <c r="AG746" s="241"/>
      <c r="AH746" s="411"/>
      <c r="AI746" s="577"/>
      <c r="AJ746" s="241"/>
      <c r="AK746" s="411"/>
      <c r="AL746" s="577"/>
      <c r="AM746" s="241"/>
      <c r="AN746" s="411"/>
      <c r="AO746" s="577"/>
      <c r="AP746" s="241"/>
      <c r="AQ746" s="411"/>
      <c r="AR746" s="577"/>
    </row>
    <row r="747" spans="1:44" ht="15.75" hidden="1" customHeight="1">
      <c r="A747" s="309"/>
      <c r="B747" s="666" t="s">
        <v>2549</v>
      </c>
      <c r="C747" s="632">
        <v>30</v>
      </c>
      <c r="D747" s="632">
        <v>369</v>
      </c>
      <c r="E747" s="653"/>
      <c r="F747" s="524"/>
      <c r="G747" s="524"/>
      <c r="H747" s="362"/>
      <c r="I747" s="230"/>
      <c r="J747" s="230"/>
      <c r="K747" s="363"/>
      <c r="L747" s="364"/>
      <c r="M747" s="365"/>
      <c r="N747" s="366"/>
      <c r="O747" s="634"/>
      <c r="P747" s="454"/>
      <c r="Q747" s="592"/>
      <c r="R747" s="639"/>
      <c r="S747" s="420"/>
      <c r="T747" s="421"/>
      <c r="U747" s="387"/>
      <c r="V747" s="648"/>
      <c r="W747" s="640"/>
      <c r="X747" s="404"/>
      <c r="Y747" s="372"/>
      <c r="Z747" s="381"/>
      <c r="AA747" s="225"/>
      <c r="AB747" s="361"/>
      <c r="AC747" s="533"/>
      <c r="AD747" s="225"/>
      <c r="AE747" s="361"/>
      <c r="AF747" s="533"/>
      <c r="AG747" s="225"/>
      <c r="AH747" s="361"/>
      <c r="AI747" s="533"/>
      <c r="AJ747" s="225"/>
      <c r="AK747" s="361"/>
      <c r="AL747" s="533"/>
      <c r="AM747" s="225"/>
      <c r="AN747" s="361"/>
      <c r="AO747" s="533"/>
      <c r="AP747" s="225"/>
      <c r="AQ747" s="361"/>
      <c r="AR747" s="533"/>
    </row>
    <row r="748" spans="1:44" ht="15.75" hidden="1" customHeight="1">
      <c r="A748" s="309"/>
      <c r="B748" s="666"/>
      <c r="C748" s="632"/>
      <c r="D748" s="632"/>
      <c r="E748" s="653"/>
      <c r="F748" s="524"/>
      <c r="G748" s="524"/>
      <c r="H748" s="362"/>
      <c r="I748" s="230"/>
      <c r="J748" s="230"/>
      <c r="K748" s="363"/>
      <c r="L748" s="364"/>
      <c r="M748" s="365"/>
      <c r="N748" s="366"/>
      <c r="O748" s="634"/>
      <c r="P748" s="429"/>
      <c r="Q748" s="609"/>
      <c r="R748" s="646"/>
      <c r="S748" s="433"/>
      <c r="T748" s="434"/>
      <c r="U748" s="376"/>
      <c r="V748" s="649"/>
      <c r="W748" s="636"/>
      <c r="X748" s="404"/>
      <c r="Y748" s="372"/>
      <c r="Z748" s="381"/>
      <c r="AA748" s="241"/>
      <c r="AB748" s="411"/>
      <c r="AC748" s="577"/>
      <c r="AD748" s="241"/>
      <c r="AE748" s="411"/>
      <c r="AF748" s="577"/>
      <c r="AG748" s="241"/>
      <c r="AH748" s="411"/>
      <c r="AI748" s="577"/>
      <c r="AJ748" s="241"/>
      <c r="AK748" s="411"/>
      <c r="AL748" s="577"/>
      <c r="AM748" s="241"/>
      <c r="AN748" s="411"/>
      <c r="AO748" s="577"/>
      <c r="AP748" s="241"/>
      <c r="AQ748" s="411"/>
      <c r="AR748" s="577"/>
    </row>
    <row r="749" spans="1:44" ht="15.75" hidden="1" customHeight="1">
      <c r="A749" s="309"/>
      <c r="B749" s="669" t="s">
        <v>2550</v>
      </c>
      <c r="C749" s="632">
        <v>1</v>
      </c>
      <c r="D749" s="632">
        <v>370</v>
      </c>
      <c r="E749" s="633"/>
      <c r="F749" s="524"/>
      <c r="G749" s="524"/>
      <c r="H749" s="362"/>
      <c r="I749" s="230"/>
      <c r="J749" s="230"/>
      <c r="K749" s="363"/>
      <c r="L749" s="364"/>
      <c r="M749" s="365"/>
      <c r="N749" s="366"/>
      <c r="O749" s="634"/>
      <c r="P749" s="454"/>
      <c r="Q749" s="592"/>
      <c r="R749" s="639"/>
      <c r="S749" s="420"/>
      <c r="T749" s="421"/>
      <c r="U749" s="387"/>
      <c r="V749" s="648"/>
      <c r="W749" s="640"/>
      <c r="X749" s="404"/>
      <c r="Y749" s="372"/>
      <c r="Z749" s="381"/>
      <c r="AA749" s="225"/>
      <c r="AB749" s="361"/>
      <c r="AC749" s="533"/>
      <c r="AD749" s="225"/>
      <c r="AE749" s="361"/>
      <c r="AF749" s="533"/>
      <c r="AG749" s="225"/>
      <c r="AH749" s="361"/>
      <c r="AI749" s="533"/>
      <c r="AJ749" s="225"/>
      <c r="AK749" s="361"/>
      <c r="AL749" s="533"/>
      <c r="AM749" s="225"/>
      <c r="AN749" s="361"/>
      <c r="AO749" s="533"/>
      <c r="AP749" s="225"/>
      <c r="AQ749" s="361"/>
      <c r="AR749" s="533"/>
    </row>
    <row r="750" spans="1:44" ht="15.75" hidden="1" customHeight="1">
      <c r="A750" s="309"/>
      <c r="B750" s="669"/>
      <c r="C750" s="632"/>
      <c r="D750" s="632"/>
      <c r="E750" s="633"/>
      <c r="F750" s="524"/>
      <c r="G750" s="524"/>
      <c r="H750" s="362"/>
      <c r="I750" s="230"/>
      <c r="J750" s="230"/>
      <c r="K750" s="363"/>
      <c r="L750" s="364"/>
      <c r="M750" s="365"/>
      <c r="N750" s="366"/>
      <c r="O750" s="634"/>
      <c r="P750" s="429"/>
      <c r="Q750" s="609"/>
      <c r="R750" s="646"/>
      <c r="S750" s="433"/>
      <c r="T750" s="434"/>
      <c r="U750" s="376"/>
      <c r="V750" s="649"/>
      <c r="W750" s="636"/>
      <c r="X750" s="404"/>
      <c r="Y750" s="372"/>
      <c r="Z750" s="381"/>
      <c r="AA750" s="241"/>
      <c r="AB750" s="411"/>
      <c r="AC750" s="577"/>
      <c r="AD750" s="241"/>
      <c r="AE750" s="411"/>
      <c r="AF750" s="577"/>
      <c r="AG750" s="241"/>
      <c r="AH750" s="411"/>
      <c r="AI750" s="577"/>
      <c r="AJ750" s="241"/>
      <c r="AK750" s="411"/>
      <c r="AL750" s="577"/>
      <c r="AM750" s="241"/>
      <c r="AN750" s="411"/>
      <c r="AO750" s="577"/>
      <c r="AP750" s="241"/>
      <c r="AQ750" s="411"/>
      <c r="AR750" s="577"/>
    </row>
    <row r="751" spans="1:44" ht="15.75" hidden="1" customHeight="1">
      <c r="A751" s="309"/>
      <c r="B751" s="669" t="s">
        <v>2550</v>
      </c>
      <c r="C751" s="632">
        <v>2</v>
      </c>
      <c r="D751" s="632">
        <v>371</v>
      </c>
      <c r="E751" s="633"/>
      <c r="F751" s="524"/>
      <c r="G751" s="524"/>
      <c r="H751" s="362"/>
      <c r="I751" s="230"/>
      <c r="J751" s="230"/>
      <c r="K751" s="363"/>
      <c r="L751" s="364"/>
      <c r="M751" s="365"/>
      <c r="N751" s="366"/>
      <c r="O751" s="634"/>
      <c r="P751" s="454"/>
      <c r="Q751" s="592"/>
      <c r="R751" s="639"/>
      <c r="S751" s="420"/>
      <c r="T751" s="421"/>
      <c r="U751" s="387"/>
      <c r="V751" s="648"/>
      <c r="W751" s="640"/>
      <c r="X751" s="424"/>
      <c r="Y751" s="372"/>
      <c r="Z751" s="381"/>
      <c r="AA751" s="225"/>
      <c r="AB751" s="361"/>
      <c r="AC751" s="533"/>
      <c r="AD751" s="225"/>
      <c r="AE751" s="361"/>
      <c r="AF751" s="533"/>
      <c r="AG751" s="225"/>
      <c r="AH751" s="361"/>
      <c r="AI751" s="533"/>
      <c r="AJ751" s="225"/>
      <c r="AK751" s="361"/>
      <c r="AL751" s="533"/>
      <c r="AM751" s="225"/>
      <c r="AN751" s="361"/>
      <c r="AO751" s="533"/>
      <c r="AP751" s="225"/>
      <c r="AQ751" s="361"/>
      <c r="AR751" s="533"/>
    </row>
    <row r="752" spans="1:44" ht="15.75" hidden="1" customHeight="1">
      <c r="A752" s="309"/>
      <c r="B752" s="669"/>
      <c r="C752" s="632"/>
      <c r="D752" s="632"/>
      <c r="E752" s="633"/>
      <c r="F752" s="524"/>
      <c r="G752" s="524"/>
      <c r="H752" s="362"/>
      <c r="I752" s="230"/>
      <c r="J752" s="230"/>
      <c r="K752" s="363"/>
      <c r="L752" s="364"/>
      <c r="M752" s="365"/>
      <c r="N752" s="366"/>
      <c r="O752" s="634"/>
      <c r="P752" s="429"/>
      <c r="Q752" s="609"/>
      <c r="R752" s="646"/>
      <c r="S752" s="433"/>
      <c r="T752" s="434"/>
      <c r="U752" s="376"/>
      <c r="V752" s="649"/>
      <c r="W752" s="636"/>
      <c r="X752" s="375"/>
      <c r="Y752" s="372"/>
      <c r="Z752" s="381"/>
      <c r="AA752" s="325"/>
      <c r="AB752" s="378"/>
      <c r="AC752" s="377"/>
      <c r="AD752" s="325"/>
      <c r="AE752" s="378"/>
      <c r="AF752" s="377"/>
      <c r="AG752" s="241"/>
      <c r="AH752" s="411"/>
      <c r="AI752" s="577"/>
      <c r="AJ752" s="241"/>
      <c r="AK752" s="411"/>
      <c r="AL752" s="577"/>
      <c r="AM752" s="241"/>
      <c r="AN752" s="411"/>
      <c r="AO752" s="577"/>
      <c r="AP752" s="241"/>
      <c r="AQ752" s="411"/>
      <c r="AR752" s="577"/>
    </row>
    <row r="753" spans="1:44" ht="15.75" hidden="1" customHeight="1">
      <c r="A753" s="309"/>
      <c r="B753" s="669" t="s">
        <v>2550</v>
      </c>
      <c r="C753" s="632">
        <v>3</v>
      </c>
      <c r="D753" s="632">
        <v>372</v>
      </c>
      <c r="E753" s="633"/>
      <c r="F753" s="524"/>
      <c r="G753" s="524"/>
      <c r="H753" s="362"/>
      <c r="I753" s="230"/>
      <c r="J753" s="230"/>
      <c r="K753" s="363"/>
      <c r="L753" s="364"/>
      <c r="M753" s="365"/>
      <c r="N753" s="366"/>
      <c r="O753" s="634"/>
      <c r="P753" s="454"/>
      <c r="Q753" s="592"/>
      <c r="R753" s="639"/>
      <c r="S753" s="420"/>
      <c r="T753" s="421"/>
      <c r="U753" s="387"/>
      <c r="V753" s="648"/>
      <c r="W753" s="640"/>
      <c r="X753" s="404"/>
      <c r="Y753" s="372"/>
      <c r="Z753" s="381"/>
      <c r="AA753" s="225"/>
      <c r="AB753" s="361"/>
      <c r="AC753" s="533"/>
      <c r="AD753" s="225"/>
      <c r="AE753" s="361"/>
      <c r="AF753" s="533"/>
      <c r="AG753" s="225"/>
      <c r="AH753" s="361"/>
      <c r="AI753" s="533"/>
      <c r="AJ753" s="225"/>
      <c r="AK753" s="361"/>
      <c r="AL753" s="533"/>
      <c r="AM753" s="225"/>
      <c r="AN753" s="361"/>
      <c r="AO753" s="533"/>
      <c r="AP753" s="225"/>
      <c r="AQ753" s="361"/>
      <c r="AR753" s="533"/>
    </row>
    <row r="754" spans="1:44" ht="15.75" hidden="1" customHeight="1">
      <c r="A754" s="309"/>
      <c r="B754" s="669"/>
      <c r="C754" s="632"/>
      <c r="D754" s="632"/>
      <c r="E754" s="633"/>
      <c r="F754" s="524"/>
      <c r="G754" s="524"/>
      <c r="H754" s="362"/>
      <c r="I754" s="230"/>
      <c r="J754" s="230"/>
      <c r="K754" s="363"/>
      <c r="L754" s="364"/>
      <c r="M754" s="365"/>
      <c r="N754" s="366"/>
      <c r="O754" s="634"/>
      <c r="P754" s="429"/>
      <c r="Q754" s="609"/>
      <c r="R754" s="646"/>
      <c r="S754" s="433"/>
      <c r="T754" s="434"/>
      <c r="U754" s="376"/>
      <c r="V754" s="649"/>
      <c r="W754" s="636"/>
      <c r="X754" s="404"/>
      <c r="Y754" s="372"/>
      <c r="Z754" s="381"/>
      <c r="AA754" s="241"/>
      <c r="AB754" s="411"/>
      <c r="AC754" s="577"/>
      <c r="AD754" s="325"/>
      <c r="AE754" s="411"/>
      <c r="AF754" s="577"/>
      <c r="AG754" s="241"/>
      <c r="AH754" s="411"/>
      <c r="AI754" s="577"/>
      <c r="AJ754" s="241"/>
      <c r="AK754" s="411"/>
      <c r="AL754" s="577"/>
      <c r="AM754" s="241"/>
      <c r="AN754" s="411"/>
      <c r="AO754" s="577"/>
      <c r="AP754" s="241"/>
      <c r="AQ754" s="411"/>
      <c r="AR754" s="577"/>
    </row>
    <row r="755" spans="1:44" ht="15.75" hidden="1" customHeight="1">
      <c r="A755" s="309"/>
      <c r="B755" s="669" t="s">
        <v>2550</v>
      </c>
      <c r="C755" s="632">
        <v>4</v>
      </c>
      <c r="D755" s="632">
        <v>373</v>
      </c>
      <c r="E755" s="633"/>
      <c r="F755" s="524"/>
      <c r="G755" s="524"/>
      <c r="H755" s="362"/>
      <c r="I755" s="230"/>
      <c r="J755" s="230"/>
      <c r="K755" s="363"/>
      <c r="L755" s="364"/>
      <c r="M755" s="365"/>
      <c r="N755" s="366"/>
      <c r="O755" s="634"/>
      <c r="P755" s="454"/>
      <c r="Q755" s="592"/>
      <c r="R755" s="639"/>
      <c r="S755" s="420"/>
      <c r="T755" s="421"/>
      <c r="U755" s="387"/>
      <c r="V755" s="648"/>
      <c r="W755" s="640"/>
      <c r="X755" s="404"/>
      <c r="Y755" s="372"/>
      <c r="Z755" s="381"/>
      <c r="AA755" s="359"/>
      <c r="AB755" s="361"/>
      <c r="AC755" s="533"/>
      <c r="AD755" s="225"/>
      <c r="AE755" s="361"/>
      <c r="AF755" s="533"/>
      <c r="AG755" s="225"/>
      <c r="AH755" s="361"/>
      <c r="AI755" s="533"/>
      <c r="AJ755" s="225"/>
      <c r="AK755" s="361"/>
      <c r="AL755" s="533"/>
      <c r="AM755" s="225"/>
      <c r="AN755" s="361"/>
      <c r="AO755" s="533"/>
      <c r="AP755" s="225"/>
      <c r="AQ755" s="361"/>
      <c r="AR755" s="533"/>
    </row>
    <row r="756" spans="1:44" ht="15.75" hidden="1" customHeight="1">
      <c r="A756" s="309"/>
      <c r="B756" s="669"/>
      <c r="C756" s="632"/>
      <c r="D756" s="632"/>
      <c r="E756" s="633"/>
      <c r="F756" s="524"/>
      <c r="G756" s="524"/>
      <c r="H756" s="362"/>
      <c r="I756" s="230"/>
      <c r="J756" s="230"/>
      <c r="K756" s="363"/>
      <c r="L756" s="364"/>
      <c r="M756" s="365"/>
      <c r="N756" s="366"/>
      <c r="O756" s="634"/>
      <c r="P756" s="429"/>
      <c r="Q756" s="609"/>
      <c r="R756" s="646"/>
      <c r="S756" s="433"/>
      <c r="T756" s="434"/>
      <c r="U756" s="376"/>
      <c r="V756" s="649"/>
      <c r="W756" s="636"/>
      <c r="X756" s="404"/>
      <c r="Y756" s="372"/>
      <c r="Z756" s="381"/>
      <c r="AA756" s="359"/>
      <c r="AB756" s="378"/>
      <c r="AC756" s="377"/>
      <c r="AD756" s="241"/>
      <c r="AE756" s="411"/>
      <c r="AF756" s="577"/>
      <c r="AG756" s="241"/>
      <c r="AH756" s="411"/>
      <c r="AI756" s="577"/>
      <c r="AJ756" s="241"/>
      <c r="AK756" s="411"/>
      <c r="AL756" s="577"/>
      <c r="AM756" s="241"/>
      <c r="AN756" s="411"/>
      <c r="AO756" s="577"/>
      <c r="AP756" s="241"/>
      <c r="AQ756" s="411"/>
      <c r="AR756" s="577"/>
    </row>
    <row r="757" spans="1:44" ht="15.75" hidden="1" customHeight="1">
      <c r="A757" s="309"/>
      <c r="B757" s="669" t="s">
        <v>2550</v>
      </c>
      <c r="C757" s="632">
        <v>5</v>
      </c>
      <c r="D757" s="632">
        <v>374</v>
      </c>
      <c r="E757" s="633"/>
      <c r="F757" s="524"/>
      <c r="G757" s="524"/>
      <c r="H757" s="362"/>
      <c r="I757" s="230"/>
      <c r="J757" s="230"/>
      <c r="K757" s="363"/>
      <c r="L757" s="364"/>
      <c r="M757" s="365"/>
      <c r="N757" s="366"/>
      <c r="O757" s="634"/>
      <c r="P757" s="454"/>
      <c r="Q757" s="592"/>
      <c r="R757" s="639"/>
      <c r="S757" s="420"/>
      <c r="T757" s="421"/>
      <c r="U757" s="387"/>
      <c r="V757" s="648"/>
      <c r="W757" s="640"/>
      <c r="X757" s="404"/>
      <c r="Y757" s="372"/>
      <c r="Z757" s="381"/>
      <c r="AA757" s="225"/>
      <c r="AB757" s="361"/>
      <c r="AC757" s="533"/>
      <c r="AD757" s="225"/>
      <c r="AE757" s="361"/>
      <c r="AF757" s="533"/>
      <c r="AG757" s="225"/>
      <c r="AH757" s="361"/>
      <c r="AI757" s="533"/>
      <c r="AJ757" s="225"/>
      <c r="AK757" s="361"/>
      <c r="AL757" s="533"/>
      <c r="AM757" s="225"/>
      <c r="AN757" s="361"/>
      <c r="AO757" s="533"/>
      <c r="AP757" s="225"/>
      <c r="AQ757" s="361"/>
      <c r="AR757" s="533"/>
    </row>
    <row r="758" spans="1:44" ht="15.75" hidden="1" customHeight="1">
      <c r="A758" s="309"/>
      <c r="B758" s="669"/>
      <c r="C758" s="632"/>
      <c r="D758" s="632"/>
      <c r="E758" s="633"/>
      <c r="F758" s="524"/>
      <c r="G758" s="524"/>
      <c r="H758" s="362"/>
      <c r="I758" s="230"/>
      <c r="J758" s="230"/>
      <c r="K758" s="363"/>
      <c r="L758" s="364"/>
      <c r="M758" s="365"/>
      <c r="N758" s="366"/>
      <c r="O758" s="634"/>
      <c r="P758" s="429"/>
      <c r="Q758" s="609"/>
      <c r="R758" s="646"/>
      <c r="S758" s="433"/>
      <c r="T758" s="434"/>
      <c r="U758" s="376"/>
      <c r="V758" s="649"/>
      <c r="W758" s="636"/>
      <c r="X758" s="404"/>
      <c r="Y758" s="372"/>
      <c r="Z758" s="381"/>
      <c r="AA758" s="241"/>
      <c r="AB758" s="411"/>
      <c r="AC758" s="577"/>
      <c r="AD758" s="241"/>
      <c r="AE758" s="411"/>
      <c r="AF758" s="577"/>
      <c r="AG758" s="241"/>
      <c r="AH758" s="411"/>
      <c r="AI758" s="577"/>
      <c r="AJ758" s="241"/>
      <c r="AK758" s="411"/>
      <c r="AL758" s="577"/>
      <c r="AM758" s="241"/>
      <c r="AN758" s="411"/>
      <c r="AO758" s="577"/>
      <c r="AP758" s="241"/>
      <c r="AQ758" s="411"/>
      <c r="AR758" s="577"/>
    </row>
    <row r="759" spans="1:44" ht="15.75" hidden="1" customHeight="1">
      <c r="A759" s="309"/>
      <c r="B759" s="669" t="s">
        <v>2550</v>
      </c>
      <c r="C759" s="632">
        <v>6</v>
      </c>
      <c r="D759" s="632">
        <v>375</v>
      </c>
      <c r="E759" s="633"/>
      <c r="F759" s="524"/>
      <c r="G759" s="524"/>
      <c r="H759" s="362"/>
      <c r="I759" s="230"/>
      <c r="J759" s="230">
        <f ca="1">+DATEDIF(I759,TODAY(),"Y")</f>
        <v>126</v>
      </c>
      <c r="K759" s="363"/>
      <c r="L759" s="364"/>
      <c r="M759" s="365"/>
      <c r="N759" s="366"/>
      <c r="O759" s="634"/>
      <c r="P759" s="454"/>
      <c r="Q759" s="592"/>
      <c r="R759" s="639"/>
      <c r="S759" s="420"/>
      <c r="T759" s="421"/>
      <c r="U759" s="387"/>
      <c r="V759" s="648"/>
      <c r="W759" s="640"/>
      <c r="X759" s="404"/>
      <c r="Y759" s="372"/>
      <c r="Z759" s="381"/>
      <c r="AA759" s="225"/>
      <c r="AB759" s="361"/>
      <c r="AC759" s="533"/>
      <c r="AD759" s="225"/>
      <c r="AE759" s="361"/>
      <c r="AF759" s="533"/>
      <c r="AG759" s="225"/>
      <c r="AH759" s="361"/>
      <c r="AI759" s="533"/>
      <c r="AJ759" s="225"/>
      <c r="AK759" s="361"/>
      <c r="AL759" s="533"/>
      <c r="AM759" s="225"/>
      <c r="AN759" s="361"/>
      <c r="AO759" s="533"/>
      <c r="AP759" s="225"/>
      <c r="AQ759" s="361"/>
      <c r="AR759" s="533"/>
    </row>
    <row r="760" spans="1:44" ht="15.75" hidden="1" customHeight="1">
      <c r="A760" s="309"/>
      <c r="B760" s="669"/>
      <c r="C760" s="632"/>
      <c r="D760" s="632"/>
      <c r="E760" s="633"/>
      <c r="F760" s="524"/>
      <c r="G760" s="524"/>
      <c r="H760" s="362"/>
      <c r="I760" s="230"/>
      <c r="J760" s="230"/>
      <c r="K760" s="363"/>
      <c r="L760" s="364"/>
      <c r="M760" s="365"/>
      <c r="N760" s="366"/>
      <c r="O760" s="634"/>
      <c r="P760" s="429"/>
      <c r="Q760" s="609"/>
      <c r="R760" s="646"/>
      <c r="S760" s="433"/>
      <c r="T760" s="434"/>
      <c r="U760" s="376"/>
      <c r="V760" s="649"/>
      <c r="W760" s="636"/>
      <c r="X760" s="404"/>
      <c r="Y760" s="372"/>
      <c r="Z760" s="381"/>
      <c r="AA760" s="241"/>
      <c r="AB760" s="411"/>
      <c r="AC760" s="577"/>
      <c r="AD760" s="241"/>
      <c r="AE760" s="411"/>
      <c r="AF760" s="577"/>
      <c r="AG760" s="241"/>
      <c r="AH760" s="411"/>
      <c r="AI760" s="577"/>
      <c r="AJ760" s="241"/>
      <c r="AK760" s="411"/>
      <c r="AL760" s="577"/>
      <c r="AM760" s="241"/>
      <c r="AN760" s="411"/>
      <c r="AO760" s="577"/>
      <c r="AP760" s="241"/>
      <c r="AQ760" s="411"/>
      <c r="AR760" s="577"/>
    </row>
    <row r="761" spans="1:44" ht="15.75" hidden="1" customHeight="1">
      <c r="A761" s="309"/>
      <c r="B761" s="669" t="s">
        <v>2550</v>
      </c>
      <c r="C761" s="632">
        <v>7</v>
      </c>
      <c r="D761" s="632">
        <v>376</v>
      </c>
      <c r="E761" s="633"/>
      <c r="F761" s="524"/>
      <c r="G761" s="524"/>
      <c r="H761" s="362"/>
      <c r="I761" s="230"/>
      <c r="J761" s="230">
        <f ca="1">+DATEDIF(I761,TODAY(),"Y")</f>
        <v>126</v>
      </c>
      <c r="K761" s="363"/>
      <c r="L761" s="364"/>
      <c r="M761" s="365"/>
      <c r="N761" s="366"/>
      <c r="O761" s="634"/>
      <c r="P761" s="454"/>
      <c r="Q761" s="592"/>
      <c r="R761" s="639"/>
      <c r="S761" s="420"/>
      <c r="T761" s="421"/>
      <c r="U761" s="387"/>
      <c r="V761" s="648"/>
      <c r="W761" s="640"/>
      <c r="X761" s="404"/>
      <c r="Y761" s="372"/>
      <c r="Z761" s="381"/>
      <c r="AA761" s="225"/>
      <c r="AB761" s="361"/>
      <c r="AC761" s="533"/>
      <c r="AD761" s="225"/>
      <c r="AE761" s="361"/>
      <c r="AF761" s="533"/>
      <c r="AG761" s="225"/>
      <c r="AH761" s="361"/>
      <c r="AI761" s="533"/>
      <c r="AJ761" s="225"/>
      <c r="AK761" s="361"/>
      <c r="AL761" s="533"/>
      <c r="AM761" s="225"/>
      <c r="AN761" s="361"/>
      <c r="AO761" s="533"/>
      <c r="AP761" s="225"/>
      <c r="AQ761" s="361"/>
      <c r="AR761" s="533"/>
    </row>
    <row r="762" spans="1:44" ht="15.75" hidden="1" customHeight="1">
      <c r="A762" s="309"/>
      <c r="B762" s="669"/>
      <c r="C762" s="632"/>
      <c r="D762" s="632"/>
      <c r="E762" s="633"/>
      <c r="F762" s="524"/>
      <c r="G762" s="524"/>
      <c r="H762" s="362"/>
      <c r="I762" s="230"/>
      <c r="J762" s="230"/>
      <c r="K762" s="363"/>
      <c r="L762" s="364"/>
      <c r="M762" s="365"/>
      <c r="N762" s="366"/>
      <c r="O762" s="634"/>
      <c r="P762" s="429"/>
      <c r="Q762" s="609"/>
      <c r="R762" s="646"/>
      <c r="S762" s="433"/>
      <c r="T762" s="434"/>
      <c r="U762" s="376"/>
      <c r="V762" s="649"/>
      <c r="W762" s="636"/>
      <c r="X762" s="404"/>
      <c r="Y762" s="372"/>
      <c r="Z762" s="381"/>
      <c r="AA762" s="241"/>
      <c r="AB762" s="411"/>
      <c r="AC762" s="577"/>
      <c r="AD762" s="241"/>
      <c r="AE762" s="411"/>
      <c r="AF762" s="577"/>
      <c r="AG762" s="241"/>
      <c r="AH762" s="411"/>
      <c r="AI762" s="577"/>
      <c r="AJ762" s="241"/>
      <c r="AK762" s="411"/>
      <c r="AL762" s="577"/>
      <c r="AM762" s="241"/>
      <c r="AN762" s="411"/>
      <c r="AO762" s="577"/>
      <c r="AP762" s="241"/>
      <c r="AQ762" s="411"/>
      <c r="AR762" s="577"/>
    </row>
    <row r="763" spans="1:44" ht="15.75" hidden="1" customHeight="1">
      <c r="A763" s="309"/>
      <c r="B763" s="669" t="s">
        <v>2550</v>
      </c>
      <c r="C763" s="632">
        <v>8</v>
      </c>
      <c r="D763" s="632">
        <v>377</v>
      </c>
      <c r="E763" s="633"/>
      <c r="F763" s="524"/>
      <c r="G763" s="524"/>
      <c r="H763" s="362"/>
      <c r="I763" s="230"/>
      <c r="J763" s="230">
        <f ca="1">+DATEDIF(I763,TODAY(),"Y")</f>
        <v>126</v>
      </c>
      <c r="K763" s="363"/>
      <c r="L763" s="364"/>
      <c r="M763" s="365"/>
      <c r="N763" s="366"/>
      <c r="O763" s="634"/>
      <c r="P763" s="454"/>
      <c r="Q763" s="592"/>
      <c r="R763" s="639"/>
      <c r="S763" s="420"/>
      <c r="T763" s="421"/>
      <c r="U763" s="387"/>
      <c r="V763" s="648"/>
      <c r="W763" s="640"/>
      <c r="X763" s="404"/>
      <c r="Y763" s="372"/>
      <c r="Z763" s="381"/>
      <c r="AA763" s="225"/>
      <c r="AB763" s="361"/>
      <c r="AC763" s="533"/>
      <c r="AD763" s="225"/>
      <c r="AE763" s="361"/>
      <c r="AF763" s="533"/>
      <c r="AG763" s="225"/>
      <c r="AH763" s="361"/>
      <c r="AI763" s="533"/>
      <c r="AJ763" s="225"/>
      <c r="AK763" s="361"/>
      <c r="AL763" s="533"/>
      <c r="AM763" s="225"/>
      <c r="AN763" s="361"/>
      <c r="AO763" s="533"/>
      <c r="AP763" s="225"/>
      <c r="AQ763" s="361"/>
      <c r="AR763" s="533"/>
    </row>
    <row r="764" spans="1:44" ht="15.75" hidden="1" customHeight="1">
      <c r="A764" s="309"/>
      <c r="B764" s="669"/>
      <c r="C764" s="632"/>
      <c r="D764" s="632"/>
      <c r="E764" s="633"/>
      <c r="F764" s="524"/>
      <c r="G764" s="524"/>
      <c r="H764" s="362"/>
      <c r="I764" s="230"/>
      <c r="J764" s="230"/>
      <c r="K764" s="363"/>
      <c r="L764" s="364"/>
      <c r="M764" s="365"/>
      <c r="N764" s="366"/>
      <c r="O764" s="634"/>
      <c r="P764" s="429"/>
      <c r="Q764" s="609"/>
      <c r="R764" s="646"/>
      <c r="S764" s="433"/>
      <c r="T764" s="434"/>
      <c r="U764" s="376"/>
      <c r="V764" s="649"/>
      <c r="W764" s="636"/>
      <c r="X764" s="404"/>
      <c r="Y764" s="372"/>
      <c r="Z764" s="381"/>
      <c r="AA764" s="241"/>
      <c r="AB764" s="411"/>
      <c r="AC764" s="577"/>
      <c r="AD764" s="241"/>
      <c r="AE764" s="411"/>
      <c r="AF764" s="577"/>
      <c r="AG764" s="241"/>
      <c r="AH764" s="411"/>
      <c r="AI764" s="577"/>
      <c r="AJ764" s="241"/>
      <c r="AK764" s="411"/>
      <c r="AL764" s="577"/>
      <c r="AM764" s="241"/>
      <c r="AN764" s="411"/>
      <c r="AO764" s="577"/>
      <c r="AP764" s="241"/>
      <c r="AQ764" s="411"/>
      <c r="AR764" s="577"/>
    </row>
    <row r="765" spans="1:44" ht="15.75" hidden="1" customHeight="1">
      <c r="A765" s="309"/>
      <c r="B765" s="669" t="s">
        <v>2550</v>
      </c>
      <c r="C765" s="632">
        <v>9</v>
      </c>
      <c r="D765" s="632">
        <v>378</v>
      </c>
      <c r="E765" s="633"/>
      <c r="F765" s="524"/>
      <c r="G765" s="524"/>
      <c r="H765" s="362"/>
      <c r="I765" s="230"/>
      <c r="J765" s="230">
        <f ca="1">+DATEDIF(I765,TODAY(),"Y")</f>
        <v>126</v>
      </c>
      <c r="K765" s="363"/>
      <c r="L765" s="364"/>
      <c r="M765" s="365"/>
      <c r="N765" s="366"/>
      <c r="O765" s="634"/>
      <c r="P765" s="454"/>
      <c r="Q765" s="592"/>
      <c r="R765" s="639"/>
      <c r="S765" s="420"/>
      <c r="T765" s="421"/>
      <c r="U765" s="387"/>
      <c r="V765" s="648"/>
      <c r="W765" s="640"/>
      <c r="X765" s="404"/>
      <c r="Y765" s="372"/>
      <c r="Z765" s="381"/>
      <c r="AA765" s="225"/>
      <c r="AB765" s="361"/>
      <c r="AC765" s="533"/>
      <c r="AD765" s="225"/>
      <c r="AE765" s="361"/>
      <c r="AF765" s="533"/>
      <c r="AG765" s="225"/>
      <c r="AH765" s="361"/>
      <c r="AI765" s="533"/>
      <c r="AJ765" s="225"/>
      <c r="AK765" s="361"/>
      <c r="AL765" s="533"/>
      <c r="AM765" s="225"/>
      <c r="AN765" s="361"/>
      <c r="AO765" s="533"/>
      <c r="AP765" s="225"/>
      <c r="AQ765" s="361"/>
      <c r="AR765" s="533"/>
    </row>
    <row r="766" spans="1:44" ht="15.75" hidden="1" customHeight="1">
      <c r="A766" s="309"/>
      <c r="B766" s="669"/>
      <c r="C766" s="632"/>
      <c r="D766" s="632"/>
      <c r="E766" s="633"/>
      <c r="F766" s="524"/>
      <c r="G766" s="524"/>
      <c r="H766" s="362"/>
      <c r="I766" s="230"/>
      <c r="J766" s="230"/>
      <c r="K766" s="363"/>
      <c r="L766" s="364"/>
      <c r="M766" s="365"/>
      <c r="N766" s="366"/>
      <c r="O766" s="634"/>
      <c r="P766" s="429"/>
      <c r="Q766" s="609"/>
      <c r="R766" s="646"/>
      <c r="S766" s="433"/>
      <c r="T766" s="434"/>
      <c r="U766" s="376"/>
      <c r="V766" s="649"/>
      <c r="W766" s="636"/>
      <c r="X766" s="404"/>
      <c r="Y766" s="372"/>
      <c r="Z766" s="381"/>
      <c r="AA766" s="241"/>
      <c r="AB766" s="411"/>
      <c r="AC766" s="577"/>
      <c r="AD766" s="241"/>
      <c r="AE766" s="411"/>
      <c r="AF766" s="577"/>
      <c r="AG766" s="241"/>
      <c r="AH766" s="411"/>
      <c r="AI766" s="577"/>
      <c r="AJ766" s="241"/>
      <c r="AK766" s="411"/>
      <c r="AL766" s="577"/>
      <c r="AM766" s="241"/>
      <c r="AN766" s="411"/>
      <c r="AO766" s="577"/>
      <c r="AP766" s="241"/>
      <c r="AQ766" s="411"/>
      <c r="AR766" s="577"/>
    </row>
    <row r="767" spans="1:44" ht="15.75" hidden="1" customHeight="1">
      <c r="A767" s="309"/>
      <c r="B767" s="669" t="s">
        <v>2550</v>
      </c>
      <c r="C767" s="632">
        <v>10</v>
      </c>
      <c r="D767" s="632">
        <v>379</v>
      </c>
      <c r="E767" s="633"/>
      <c r="F767" s="524"/>
      <c r="G767" s="524"/>
      <c r="H767" s="362"/>
      <c r="I767" s="230"/>
      <c r="J767" s="230">
        <f ca="1">+DATEDIF(I767,TODAY(),"Y")</f>
        <v>126</v>
      </c>
      <c r="K767" s="363"/>
      <c r="L767" s="364"/>
      <c r="M767" s="365"/>
      <c r="N767" s="366"/>
      <c r="O767" s="634"/>
      <c r="P767" s="454"/>
      <c r="Q767" s="592"/>
      <c r="R767" s="639"/>
      <c r="S767" s="420"/>
      <c r="T767" s="421"/>
      <c r="U767" s="387"/>
      <c r="V767" s="648"/>
      <c r="W767" s="640"/>
      <c r="X767" s="404"/>
      <c r="Y767" s="372"/>
      <c r="Z767" s="381"/>
      <c r="AA767" s="225"/>
      <c r="AB767" s="361"/>
      <c r="AC767" s="533"/>
      <c r="AD767" s="225"/>
      <c r="AE767" s="361"/>
      <c r="AF767" s="533"/>
      <c r="AG767" s="225"/>
      <c r="AH767" s="361"/>
      <c r="AI767" s="533"/>
      <c r="AJ767" s="225"/>
      <c r="AK767" s="361"/>
      <c r="AL767" s="533"/>
      <c r="AM767" s="225"/>
      <c r="AN767" s="361"/>
      <c r="AO767" s="533"/>
      <c r="AP767" s="225"/>
      <c r="AQ767" s="361"/>
      <c r="AR767" s="533"/>
    </row>
    <row r="768" spans="1:44" ht="15.75" hidden="1" customHeight="1">
      <c r="A768" s="309"/>
      <c r="B768" s="669"/>
      <c r="C768" s="632"/>
      <c r="D768" s="632"/>
      <c r="E768" s="633"/>
      <c r="F768" s="524"/>
      <c r="G768" s="524"/>
      <c r="H768" s="362"/>
      <c r="I768" s="230"/>
      <c r="J768" s="230"/>
      <c r="K768" s="363"/>
      <c r="L768" s="364"/>
      <c r="M768" s="365"/>
      <c r="N768" s="366"/>
      <c r="O768" s="634"/>
      <c r="P768" s="429"/>
      <c r="Q768" s="609"/>
      <c r="R768" s="646"/>
      <c r="S768" s="433"/>
      <c r="T768" s="434"/>
      <c r="U768" s="376"/>
      <c r="V768" s="649"/>
      <c r="W768" s="636"/>
      <c r="X768" s="404"/>
      <c r="Y768" s="372"/>
      <c r="Z768" s="381"/>
      <c r="AA768" s="241"/>
      <c r="AB768" s="411"/>
      <c r="AC768" s="577"/>
      <c r="AD768" s="241"/>
      <c r="AE768" s="411"/>
      <c r="AF768" s="577"/>
      <c r="AG768" s="241"/>
      <c r="AH768" s="411"/>
      <c r="AI768" s="577"/>
      <c r="AJ768" s="241"/>
      <c r="AK768" s="411"/>
      <c r="AL768" s="577"/>
      <c r="AM768" s="241"/>
      <c r="AN768" s="411"/>
      <c r="AO768" s="577"/>
      <c r="AP768" s="241"/>
      <c r="AQ768" s="411"/>
      <c r="AR768" s="577"/>
    </row>
    <row r="769" spans="1:44" ht="15.75" hidden="1" customHeight="1">
      <c r="A769" s="309"/>
      <c r="B769" s="669" t="s">
        <v>2550</v>
      </c>
      <c r="C769" s="632">
        <v>11</v>
      </c>
      <c r="D769" s="632">
        <v>380</v>
      </c>
      <c r="E769" s="633"/>
      <c r="F769" s="524"/>
      <c r="G769" s="524"/>
      <c r="H769" s="362"/>
      <c r="I769" s="230"/>
      <c r="J769" s="230">
        <f ca="1">+DATEDIF(I769,TODAY(),"Y")</f>
        <v>126</v>
      </c>
      <c r="K769" s="363"/>
      <c r="L769" s="364"/>
      <c r="M769" s="365"/>
      <c r="N769" s="366"/>
      <c r="O769" s="634"/>
      <c r="P769" s="454"/>
      <c r="Q769" s="592"/>
      <c r="R769" s="639"/>
      <c r="S769" s="420"/>
      <c r="T769" s="421"/>
      <c r="U769" s="387"/>
      <c r="V769" s="648"/>
      <c r="W769" s="640"/>
      <c r="X769" s="404"/>
      <c r="Y769" s="372"/>
      <c r="Z769" s="381"/>
      <c r="AA769" s="225"/>
      <c r="AB769" s="361"/>
      <c r="AC769" s="533"/>
      <c r="AD769" s="225"/>
      <c r="AE769" s="361"/>
      <c r="AF769" s="533"/>
      <c r="AG769" s="225"/>
      <c r="AH769" s="361"/>
      <c r="AI769" s="533"/>
      <c r="AJ769" s="225"/>
      <c r="AK769" s="361"/>
      <c r="AL769" s="533"/>
      <c r="AM769" s="225"/>
      <c r="AN769" s="361"/>
      <c r="AO769" s="533"/>
      <c r="AP769" s="225"/>
      <c r="AQ769" s="361"/>
      <c r="AR769" s="533"/>
    </row>
    <row r="770" spans="1:44" ht="15.75" hidden="1" customHeight="1">
      <c r="A770" s="309"/>
      <c r="B770" s="669"/>
      <c r="C770" s="632"/>
      <c r="D770" s="632"/>
      <c r="E770" s="633"/>
      <c r="F770" s="524"/>
      <c r="G770" s="524"/>
      <c r="H770" s="362"/>
      <c r="I770" s="230"/>
      <c r="J770" s="230"/>
      <c r="K770" s="363"/>
      <c r="L770" s="364"/>
      <c r="M770" s="365"/>
      <c r="N770" s="366"/>
      <c r="O770" s="634"/>
      <c r="P770" s="429"/>
      <c r="Q770" s="609"/>
      <c r="R770" s="646"/>
      <c r="S770" s="433"/>
      <c r="T770" s="434"/>
      <c r="U770" s="376"/>
      <c r="V770" s="649"/>
      <c r="W770" s="636"/>
      <c r="X770" s="404"/>
      <c r="Y770" s="372"/>
      <c r="Z770" s="381"/>
      <c r="AA770" s="241"/>
      <c r="AB770" s="411"/>
      <c r="AC770" s="577"/>
      <c r="AD770" s="241"/>
      <c r="AE770" s="411"/>
      <c r="AF770" s="577"/>
      <c r="AG770" s="241"/>
      <c r="AH770" s="411"/>
      <c r="AI770" s="577"/>
      <c r="AJ770" s="241"/>
      <c r="AK770" s="411"/>
      <c r="AL770" s="577"/>
      <c r="AM770" s="241"/>
      <c r="AN770" s="411"/>
      <c r="AO770" s="577"/>
      <c r="AP770" s="241"/>
      <c r="AQ770" s="411"/>
      <c r="AR770" s="577"/>
    </row>
    <row r="771" spans="1:44" ht="15.75" hidden="1" customHeight="1">
      <c r="A771" s="309"/>
      <c r="B771" s="669" t="s">
        <v>2550</v>
      </c>
      <c r="C771" s="632">
        <v>12</v>
      </c>
      <c r="D771" s="632">
        <v>381</v>
      </c>
      <c r="E771" s="633"/>
      <c r="F771" s="524"/>
      <c r="G771" s="524"/>
      <c r="H771" s="362"/>
      <c r="I771" s="230"/>
      <c r="J771" s="230">
        <f ca="1">+DATEDIF(I771,TODAY(),"Y")</f>
        <v>126</v>
      </c>
      <c r="K771" s="363"/>
      <c r="L771" s="364"/>
      <c r="M771" s="365"/>
      <c r="N771" s="366"/>
      <c r="O771" s="634"/>
      <c r="P771" s="454"/>
      <c r="Q771" s="592"/>
      <c r="R771" s="639"/>
      <c r="S771" s="420"/>
      <c r="T771" s="421"/>
      <c r="U771" s="387"/>
      <c r="V771" s="648"/>
      <c r="W771" s="640"/>
      <c r="X771" s="404"/>
      <c r="Y771" s="372"/>
      <c r="Z771" s="381"/>
      <c r="AA771" s="225"/>
      <c r="AB771" s="361"/>
      <c r="AC771" s="533"/>
      <c r="AD771" s="225"/>
      <c r="AE771" s="361"/>
      <c r="AF771" s="533"/>
      <c r="AG771" s="225"/>
      <c r="AH771" s="361"/>
      <c r="AI771" s="533"/>
      <c r="AJ771" s="225"/>
      <c r="AK771" s="361"/>
      <c r="AL771" s="533"/>
      <c r="AM771" s="225"/>
      <c r="AN771" s="361"/>
      <c r="AO771" s="533"/>
      <c r="AP771" s="225"/>
      <c r="AQ771" s="361"/>
      <c r="AR771" s="533"/>
    </row>
    <row r="772" spans="1:44" ht="15.75" hidden="1" customHeight="1">
      <c r="A772" s="309"/>
      <c r="B772" s="669"/>
      <c r="C772" s="632"/>
      <c r="D772" s="632"/>
      <c r="E772" s="633"/>
      <c r="F772" s="524"/>
      <c r="G772" s="524"/>
      <c r="H772" s="362"/>
      <c r="I772" s="230"/>
      <c r="J772" s="230"/>
      <c r="K772" s="363"/>
      <c r="L772" s="364"/>
      <c r="M772" s="365"/>
      <c r="N772" s="366"/>
      <c r="O772" s="634"/>
      <c r="P772" s="429"/>
      <c r="Q772" s="609"/>
      <c r="R772" s="646"/>
      <c r="S772" s="433"/>
      <c r="T772" s="434"/>
      <c r="U772" s="376"/>
      <c r="V772" s="649"/>
      <c r="W772" s="636"/>
      <c r="X772" s="404"/>
      <c r="Y772" s="372"/>
      <c r="Z772" s="381"/>
      <c r="AA772" s="241"/>
      <c r="AB772" s="411"/>
      <c r="AC772" s="577"/>
      <c r="AD772" s="241"/>
      <c r="AE772" s="411"/>
      <c r="AF772" s="577"/>
      <c r="AG772" s="241"/>
      <c r="AH772" s="411"/>
      <c r="AI772" s="577"/>
      <c r="AJ772" s="241"/>
      <c r="AK772" s="411"/>
      <c r="AL772" s="577"/>
      <c r="AM772" s="241"/>
      <c r="AN772" s="411"/>
      <c r="AO772" s="577"/>
      <c r="AP772" s="241"/>
      <c r="AQ772" s="411"/>
      <c r="AR772" s="577"/>
    </row>
    <row r="773" spans="1:44" ht="15.75" hidden="1" customHeight="1">
      <c r="A773" s="309"/>
      <c r="B773" s="669" t="s">
        <v>2550</v>
      </c>
      <c r="C773" s="632">
        <v>13</v>
      </c>
      <c r="D773" s="632">
        <v>382</v>
      </c>
      <c r="E773" s="633"/>
      <c r="F773" s="524"/>
      <c r="G773" s="524"/>
      <c r="H773" s="362"/>
      <c r="I773" s="230"/>
      <c r="J773" s="230">
        <f ca="1">+DATEDIF(I773,TODAY(),"Y")</f>
        <v>126</v>
      </c>
      <c r="K773" s="363"/>
      <c r="L773" s="364"/>
      <c r="M773" s="365"/>
      <c r="N773" s="366"/>
      <c r="O773" s="634"/>
      <c r="P773" s="454"/>
      <c r="Q773" s="592"/>
      <c r="R773" s="639"/>
      <c r="S773" s="420"/>
      <c r="T773" s="421"/>
      <c r="U773" s="387"/>
      <c r="V773" s="648"/>
      <c r="W773" s="640"/>
      <c r="X773" s="404"/>
      <c r="Y773" s="372"/>
      <c r="Z773" s="381"/>
      <c r="AA773" s="225"/>
      <c r="AB773" s="361"/>
      <c r="AC773" s="533"/>
      <c r="AD773" s="225"/>
      <c r="AE773" s="361"/>
      <c r="AF773" s="533"/>
      <c r="AG773" s="225"/>
      <c r="AH773" s="361"/>
      <c r="AI773" s="533"/>
      <c r="AJ773" s="225"/>
      <c r="AK773" s="361"/>
      <c r="AL773" s="533"/>
      <c r="AM773" s="225"/>
      <c r="AN773" s="361"/>
      <c r="AO773" s="533"/>
      <c r="AP773" s="225"/>
      <c r="AQ773" s="361"/>
      <c r="AR773" s="533"/>
    </row>
    <row r="774" spans="1:44" ht="15.75" hidden="1" customHeight="1">
      <c r="A774" s="309"/>
      <c r="B774" s="669"/>
      <c r="C774" s="632"/>
      <c r="D774" s="632"/>
      <c r="E774" s="633"/>
      <c r="F774" s="524"/>
      <c r="G774" s="524"/>
      <c r="H774" s="362"/>
      <c r="I774" s="230"/>
      <c r="J774" s="230"/>
      <c r="K774" s="363"/>
      <c r="L774" s="364"/>
      <c r="M774" s="365"/>
      <c r="N774" s="366"/>
      <c r="O774" s="634"/>
      <c r="P774" s="429"/>
      <c r="Q774" s="609"/>
      <c r="R774" s="646"/>
      <c r="S774" s="433"/>
      <c r="T774" s="434"/>
      <c r="U774" s="376"/>
      <c r="V774" s="649"/>
      <c r="W774" s="636"/>
      <c r="X774" s="404"/>
      <c r="Y774" s="372"/>
      <c r="Z774" s="381"/>
      <c r="AA774" s="241"/>
      <c r="AB774" s="411"/>
      <c r="AC774" s="577"/>
      <c r="AD774" s="241"/>
      <c r="AE774" s="411"/>
      <c r="AF774" s="577"/>
      <c r="AG774" s="241"/>
      <c r="AH774" s="411"/>
      <c r="AI774" s="577"/>
      <c r="AJ774" s="241"/>
      <c r="AK774" s="411"/>
      <c r="AL774" s="577"/>
      <c r="AM774" s="241"/>
      <c r="AN774" s="411"/>
      <c r="AO774" s="577"/>
      <c r="AP774" s="241"/>
      <c r="AQ774" s="411"/>
      <c r="AR774" s="577"/>
    </row>
    <row r="775" spans="1:44" ht="15.75" hidden="1" customHeight="1">
      <c r="A775" s="309"/>
      <c r="B775" s="669" t="s">
        <v>2550</v>
      </c>
      <c r="C775" s="632">
        <v>14</v>
      </c>
      <c r="D775" s="632">
        <v>383</v>
      </c>
      <c r="E775" s="633"/>
      <c r="F775" s="524"/>
      <c r="G775" s="524"/>
      <c r="H775" s="362"/>
      <c r="I775" s="230"/>
      <c r="J775" s="230">
        <f ca="1">+DATEDIF(I775,TODAY(),"Y")</f>
        <v>126</v>
      </c>
      <c r="K775" s="363"/>
      <c r="L775" s="364"/>
      <c r="M775" s="365"/>
      <c r="N775" s="366"/>
      <c r="O775" s="634"/>
      <c r="P775" s="454"/>
      <c r="Q775" s="592"/>
      <c r="R775" s="639"/>
      <c r="S775" s="420"/>
      <c r="T775" s="421"/>
      <c r="U775" s="387"/>
      <c r="V775" s="648"/>
      <c r="W775" s="640"/>
      <c r="X775" s="404"/>
      <c r="Y775" s="372"/>
      <c r="Z775" s="381"/>
      <c r="AA775" s="225"/>
      <c r="AB775" s="361"/>
      <c r="AC775" s="533"/>
      <c r="AD775" s="225"/>
      <c r="AE775" s="361"/>
      <c r="AF775" s="533"/>
      <c r="AG775" s="225"/>
      <c r="AH775" s="361"/>
      <c r="AI775" s="533"/>
      <c r="AJ775" s="225"/>
      <c r="AK775" s="361"/>
      <c r="AL775" s="533"/>
      <c r="AM775" s="225"/>
      <c r="AN775" s="361"/>
      <c r="AO775" s="533"/>
      <c r="AP775" s="225"/>
      <c r="AQ775" s="361"/>
      <c r="AR775" s="533"/>
    </row>
    <row r="776" spans="1:44" ht="15.75" hidden="1" customHeight="1">
      <c r="A776" s="309"/>
      <c r="B776" s="669"/>
      <c r="C776" s="632"/>
      <c r="D776" s="632"/>
      <c r="E776" s="633"/>
      <c r="F776" s="524"/>
      <c r="G776" s="524"/>
      <c r="H776" s="362"/>
      <c r="I776" s="230"/>
      <c r="J776" s="230"/>
      <c r="K776" s="363"/>
      <c r="L776" s="364"/>
      <c r="M776" s="365"/>
      <c r="N776" s="366"/>
      <c r="O776" s="634"/>
      <c r="P776" s="429"/>
      <c r="Q776" s="609"/>
      <c r="R776" s="646"/>
      <c r="S776" s="433"/>
      <c r="T776" s="434"/>
      <c r="U776" s="376"/>
      <c r="V776" s="649"/>
      <c r="W776" s="636"/>
      <c r="X776" s="404"/>
      <c r="Y776" s="372"/>
      <c r="Z776" s="381"/>
      <c r="AA776" s="241"/>
      <c r="AB776" s="411"/>
      <c r="AC776" s="577"/>
      <c r="AD776" s="241"/>
      <c r="AE776" s="411"/>
      <c r="AF776" s="577"/>
      <c r="AG776" s="241"/>
      <c r="AH776" s="411"/>
      <c r="AI776" s="577"/>
      <c r="AJ776" s="241"/>
      <c r="AK776" s="411"/>
      <c r="AL776" s="577"/>
      <c r="AM776" s="241"/>
      <c r="AN776" s="411"/>
      <c r="AO776" s="577"/>
      <c r="AP776" s="241"/>
      <c r="AQ776" s="411"/>
      <c r="AR776" s="577"/>
    </row>
    <row r="777" spans="1:44" ht="15.75" hidden="1" customHeight="1">
      <c r="A777" s="309"/>
      <c r="B777" s="669" t="s">
        <v>2550</v>
      </c>
      <c r="C777" s="632">
        <v>15</v>
      </c>
      <c r="D777" s="632">
        <v>384</v>
      </c>
      <c r="E777" s="633"/>
      <c r="F777" s="524"/>
      <c r="G777" s="524"/>
      <c r="H777" s="362"/>
      <c r="I777" s="230"/>
      <c r="J777" s="230">
        <f ca="1">+DATEDIF(I777,TODAY(),"Y")</f>
        <v>126</v>
      </c>
      <c r="K777" s="363"/>
      <c r="L777" s="364"/>
      <c r="M777" s="365"/>
      <c r="N777" s="366"/>
      <c r="O777" s="634"/>
      <c r="P777" s="454"/>
      <c r="Q777" s="592"/>
      <c r="R777" s="639"/>
      <c r="S777" s="420"/>
      <c r="T777" s="421"/>
      <c r="U777" s="387"/>
      <c r="V777" s="648"/>
      <c r="W777" s="640"/>
      <c r="X777" s="404"/>
      <c r="Y777" s="372"/>
      <c r="Z777" s="381"/>
      <c r="AA777" s="225"/>
      <c r="AB777" s="361"/>
      <c r="AC777" s="533"/>
      <c r="AD777" s="225"/>
      <c r="AE777" s="361"/>
      <c r="AF777" s="533"/>
      <c r="AG777" s="225"/>
      <c r="AH777" s="361"/>
      <c r="AI777" s="533"/>
      <c r="AJ777" s="225"/>
      <c r="AK777" s="361"/>
      <c r="AL777" s="533"/>
      <c r="AM777" s="225"/>
      <c r="AN777" s="361"/>
      <c r="AO777" s="533"/>
      <c r="AP777" s="225"/>
      <c r="AQ777" s="361"/>
      <c r="AR777" s="533"/>
    </row>
    <row r="778" spans="1:44" ht="15.75" hidden="1" customHeight="1">
      <c r="A778" s="309"/>
      <c r="B778" s="669"/>
      <c r="C778" s="632"/>
      <c r="D778" s="632"/>
      <c r="E778" s="633"/>
      <c r="F778" s="524"/>
      <c r="G778" s="524"/>
      <c r="H778" s="362"/>
      <c r="I778" s="230"/>
      <c r="J778" s="230"/>
      <c r="K778" s="363"/>
      <c r="L778" s="364"/>
      <c r="M778" s="365"/>
      <c r="N778" s="366"/>
      <c r="O778" s="634"/>
      <c r="P778" s="429"/>
      <c r="Q778" s="609"/>
      <c r="R778" s="646"/>
      <c r="S778" s="433"/>
      <c r="T778" s="434"/>
      <c r="U778" s="376"/>
      <c r="V778" s="649"/>
      <c r="W778" s="636"/>
      <c r="X778" s="404"/>
      <c r="Y778" s="372"/>
      <c r="Z778" s="381"/>
      <c r="AA778" s="241"/>
      <c r="AB778" s="411"/>
      <c r="AC778" s="577"/>
      <c r="AD778" s="241"/>
      <c r="AE778" s="411"/>
      <c r="AF778" s="577"/>
      <c r="AG778" s="241"/>
      <c r="AH778" s="411"/>
      <c r="AI778" s="577"/>
      <c r="AJ778" s="241"/>
      <c r="AK778" s="411"/>
      <c r="AL778" s="577"/>
      <c r="AM778" s="241"/>
      <c r="AN778" s="411"/>
      <c r="AO778" s="577"/>
      <c r="AP778" s="241"/>
      <c r="AQ778" s="411"/>
      <c r="AR778" s="577"/>
    </row>
    <row r="779" spans="1:44" ht="15.75" hidden="1" customHeight="1">
      <c r="A779" s="309"/>
      <c r="B779" s="669" t="s">
        <v>2550</v>
      </c>
      <c r="C779" s="632">
        <v>16</v>
      </c>
      <c r="D779" s="632">
        <v>385</v>
      </c>
      <c r="E779" s="633"/>
      <c r="F779" s="524"/>
      <c r="G779" s="524"/>
      <c r="H779" s="362"/>
      <c r="I779" s="230"/>
      <c r="J779" s="230">
        <f ca="1">+DATEDIF(I779,TODAY(),"Y")</f>
        <v>126</v>
      </c>
      <c r="K779" s="363"/>
      <c r="L779" s="364"/>
      <c r="M779" s="365"/>
      <c r="N779" s="366"/>
      <c r="O779" s="634"/>
      <c r="P779" s="454"/>
      <c r="Q779" s="592"/>
      <c r="R779" s="639"/>
      <c r="S779" s="420"/>
      <c r="T779" s="421"/>
      <c r="U779" s="387"/>
      <c r="V779" s="648"/>
      <c r="W779" s="640"/>
      <c r="X779" s="404"/>
      <c r="Y779" s="372"/>
      <c r="Z779" s="381"/>
      <c r="AA779" s="225"/>
      <c r="AB779" s="361"/>
      <c r="AC779" s="533"/>
      <c r="AD779" s="225"/>
      <c r="AE779" s="361"/>
      <c r="AF779" s="533"/>
      <c r="AG779" s="225"/>
      <c r="AH779" s="361"/>
      <c r="AI779" s="533"/>
      <c r="AJ779" s="225"/>
      <c r="AK779" s="361"/>
      <c r="AL779" s="533"/>
      <c r="AM779" s="225"/>
      <c r="AN779" s="361"/>
      <c r="AO779" s="533"/>
      <c r="AP779" s="225"/>
      <c r="AQ779" s="361"/>
      <c r="AR779" s="533"/>
    </row>
    <row r="780" spans="1:44" ht="15.75" hidden="1" customHeight="1">
      <c r="A780" s="309"/>
      <c r="B780" s="669"/>
      <c r="C780" s="632"/>
      <c r="D780" s="632"/>
      <c r="E780" s="633"/>
      <c r="F780" s="524"/>
      <c r="G780" s="524"/>
      <c r="H780" s="362"/>
      <c r="I780" s="230"/>
      <c r="J780" s="230"/>
      <c r="K780" s="363"/>
      <c r="L780" s="364"/>
      <c r="M780" s="365"/>
      <c r="N780" s="366"/>
      <c r="O780" s="634"/>
      <c r="P780" s="429"/>
      <c r="Q780" s="609"/>
      <c r="R780" s="646"/>
      <c r="S780" s="433"/>
      <c r="T780" s="434"/>
      <c r="U780" s="376"/>
      <c r="V780" s="649"/>
      <c r="W780" s="636"/>
      <c r="X780" s="404"/>
      <c r="Y780" s="372"/>
      <c r="Z780" s="381"/>
      <c r="AA780" s="241"/>
      <c r="AB780" s="411"/>
      <c r="AC780" s="577"/>
      <c r="AD780" s="241"/>
      <c r="AE780" s="411"/>
      <c r="AF780" s="577"/>
      <c r="AG780" s="241"/>
      <c r="AH780" s="411"/>
      <c r="AI780" s="577"/>
      <c r="AJ780" s="241"/>
      <c r="AK780" s="411"/>
      <c r="AL780" s="577"/>
      <c r="AM780" s="241"/>
      <c r="AN780" s="411"/>
      <c r="AO780" s="577"/>
      <c r="AP780" s="241"/>
      <c r="AQ780" s="411"/>
      <c r="AR780" s="577"/>
    </row>
    <row r="781" spans="1:44" ht="15.75" hidden="1" customHeight="1">
      <c r="A781" s="309"/>
      <c r="B781" s="669" t="s">
        <v>2550</v>
      </c>
      <c r="C781" s="632">
        <v>17</v>
      </c>
      <c r="D781" s="632">
        <v>386</v>
      </c>
      <c r="E781" s="633"/>
      <c r="F781" s="524"/>
      <c r="G781" s="524"/>
      <c r="H781" s="362"/>
      <c r="I781" s="230"/>
      <c r="J781" s="230">
        <f ca="1">+DATEDIF(I781,TODAY(),"Y")</f>
        <v>126</v>
      </c>
      <c r="K781" s="363"/>
      <c r="L781" s="364"/>
      <c r="M781" s="365"/>
      <c r="N781" s="366"/>
      <c r="O781" s="634"/>
      <c r="P781" s="454"/>
      <c r="Q781" s="592"/>
      <c r="R781" s="639"/>
      <c r="S781" s="420"/>
      <c r="T781" s="421"/>
      <c r="U781" s="387"/>
      <c r="V781" s="648"/>
      <c r="W781" s="640"/>
      <c r="X781" s="404"/>
      <c r="Y781" s="372"/>
      <c r="Z781" s="381"/>
      <c r="AA781" s="225"/>
      <c r="AB781" s="361"/>
      <c r="AC781" s="533"/>
      <c r="AD781" s="225"/>
      <c r="AE781" s="361"/>
      <c r="AF781" s="533"/>
      <c r="AG781" s="225"/>
      <c r="AH781" s="361"/>
      <c r="AI781" s="533"/>
      <c r="AJ781" s="225"/>
      <c r="AK781" s="361"/>
      <c r="AL781" s="533"/>
      <c r="AM781" s="225"/>
      <c r="AN781" s="361"/>
      <c r="AO781" s="533"/>
      <c r="AP781" s="225"/>
      <c r="AQ781" s="361"/>
      <c r="AR781" s="533"/>
    </row>
    <row r="782" spans="1:44" ht="15.75" hidden="1" customHeight="1">
      <c r="A782" s="309"/>
      <c r="B782" s="669"/>
      <c r="C782" s="632"/>
      <c r="D782" s="632"/>
      <c r="E782" s="633"/>
      <c r="F782" s="524"/>
      <c r="G782" s="524"/>
      <c r="H782" s="362"/>
      <c r="I782" s="230"/>
      <c r="J782" s="230"/>
      <c r="K782" s="363"/>
      <c r="L782" s="364"/>
      <c r="M782" s="365"/>
      <c r="N782" s="366"/>
      <c r="O782" s="634"/>
      <c r="P782" s="429"/>
      <c r="Q782" s="609"/>
      <c r="R782" s="646"/>
      <c r="S782" s="433"/>
      <c r="T782" s="434"/>
      <c r="U782" s="376"/>
      <c r="V782" s="649"/>
      <c r="W782" s="636"/>
      <c r="X782" s="404"/>
      <c r="Y782" s="372"/>
      <c r="Z782" s="381"/>
      <c r="AA782" s="241"/>
      <c r="AB782" s="411"/>
      <c r="AC782" s="577"/>
      <c r="AD782" s="241"/>
      <c r="AE782" s="411"/>
      <c r="AF782" s="577"/>
      <c r="AG782" s="241"/>
      <c r="AH782" s="411"/>
      <c r="AI782" s="577"/>
      <c r="AJ782" s="241"/>
      <c r="AK782" s="411"/>
      <c r="AL782" s="577"/>
      <c r="AM782" s="241"/>
      <c r="AN782" s="411"/>
      <c r="AO782" s="577"/>
      <c r="AP782" s="241"/>
      <c r="AQ782" s="411"/>
      <c r="AR782" s="577"/>
    </row>
    <row r="783" spans="1:44" ht="15.75" hidden="1" customHeight="1">
      <c r="A783" s="309"/>
      <c r="B783" s="669" t="s">
        <v>2550</v>
      </c>
      <c r="C783" s="632">
        <v>18</v>
      </c>
      <c r="D783" s="632">
        <v>387</v>
      </c>
      <c r="E783" s="633"/>
      <c r="F783" s="524"/>
      <c r="G783" s="524"/>
      <c r="H783" s="362"/>
      <c r="I783" s="230"/>
      <c r="J783" s="230">
        <f ca="1">+DATEDIF(I783,TODAY(),"Y")</f>
        <v>126</v>
      </c>
      <c r="K783" s="363"/>
      <c r="L783" s="364"/>
      <c r="M783" s="365"/>
      <c r="N783" s="366"/>
      <c r="O783" s="634"/>
      <c r="P783" s="454"/>
      <c r="Q783" s="592"/>
      <c r="R783" s="639"/>
      <c r="S783" s="420"/>
      <c r="T783" s="421"/>
      <c r="U783" s="387"/>
      <c r="V783" s="648"/>
      <c r="W783" s="640"/>
      <c r="X783" s="404"/>
      <c r="Y783" s="372"/>
      <c r="Z783" s="381"/>
      <c r="AA783" s="225"/>
      <c r="AB783" s="361"/>
      <c r="AC783" s="533"/>
      <c r="AD783" s="225"/>
      <c r="AE783" s="361"/>
      <c r="AF783" s="533"/>
      <c r="AG783" s="225"/>
      <c r="AH783" s="361"/>
      <c r="AI783" s="533"/>
      <c r="AJ783" s="225"/>
      <c r="AK783" s="361"/>
      <c r="AL783" s="533"/>
      <c r="AM783" s="225"/>
      <c r="AN783" s="361"/>
      <c r="AO783" s="533"/>
      <c r="AP783" s="225"/>
      <c r="AQ783" s="361"/>
      <c r="AR783" s="533"/>
    </row>
    <row r="784" spans="1:44" ht="15.75" hidden="1" customHeight="1">
      <c r="A784" s="309"/>
      <c r="B784" s="669"/>
      <c r="C784" s="632"/>
      <c r="D784" s="632"/>
      <c r="E784" s="633"/>
      <c r="F784" s="524"/>
      <c r="G784" s="524"/>
      <c r="H784" s="362"/>
      <c r="I784" s="230"/>
      <c r="J784" s="230"/>
      <c r="K784" s="363"/>
      <c r="L784" s="364"/>
      <c r="M784" s="365"/>
      <c r="N784" s="366"/>
      <c r="O784" s="634"/>
      <c r="P784" s="429"/>
      <c r="Q784" s="609"/>
      <c r="R784" s="646"/>
      <c r="S784" s="433"/>
      <c r="T784" s="434"/>
      <c r="U784" s="376"/>
      <c r="V784" s="649"/>
      <c r="W784" s="636"/>
      <c r="X784" s="404"/>
      <c r="Y784" s="372"/>
      <c r="Z784" s="381"/>
      <c r="AA784" s="241"/>
      <c r="AB784" s="411"/>
      <c r="AC784" s="577"/>
      <c r="AD784" s="241"/>
      <c r="AE784" s="411"/>
      <c r="AF784" s="577"/>
      <c r="AG784" s="241"/>
      <c r="AH784" s="411"/>
      <c r="AI784" s="577"/>
      <c r="AJ784" s="241"/>
      <c r="AK784" s="411"/>
      <c r="AL784" s="577"/>
      <c r="AM784" s="241"/>
      <c r="AN784" s="411"/>
      <c r="AO784" s="577"/>
      <c r="AP784" s="241"/>
      <c r="AQ784" s="411"/>
      <c r="AR784" s="577"/>
    </row>
    <row r="785" spans="1:44" ht="15.75" hidden="1" customHeight="1">
      <c r="A785" s="309"/>
      <c r="B785" s="669" t="s">
        <v>2550</v>
      </c>
      <c r="C785" s="632">
        <v>19</v>
      </c>
      <c r="D785" s="632">
        <v>388</v>
      </c>
      <c r="E785" s="633"/>
      <c r="F785" s="524"/>
      <c r="G785" s="524"/>
      <c r="H785" s="362"/>
      <c r="I785" s="230"/>
      <c r="J785" s="230">
        <f ca="1">+DATEDIF(I785,TODAY(),"Y")</f>
        <v>126</v>
      </c>
      <c r="K785" s="363"/>
      <c r="L785" s="364"/>
      <c r="M785" s="365"/>
      <c r="N785" s="366"/>
      <c r="O785" s="634"/>
      <c r="P785" s="454"/>
      <c r="Q785" s="592"/>
      <c r="R785" s="639"/>
      <c r="S785" s="420"/>
      <c r="T785" s="421"/>
      <c r="U785" s="387"/>
      <c r="V785" s="648"/>
      <c r="W785" s="640"/>
      <c r="X785" s="404"/>
      <c r="Y785" s="372"/>
      <c r="Z785" s="381"/>
      <c r="AA785" s="225"/>
      <c r="AB785" s="361"/>
      <c r="AC785" s="533"/>
      <c r="AD785" s="225"/>
      <c r="AE785" s="361"/>
      <c r="AF785" s="533"/>
      <c r="AG785" s="225"/>
      <c r="AH785" s="361"/>
      <c r="AI785" s="533"/>
      <c r="AJ785" s="225"/>
      <c r="AK785" s="361"/>
      <c r="AL785" s="533"/>
      <c r="AM785" s="225"/>
      <c r="AN785" s="361"/>
      <c r="AO785" s="533"/>
      <c r="AP785" s="225"/>
      <c r="AQ785" s="361"/>
      <c r="AR785" s="533"/>
    </row>
    <row r="786" spans="1:44" ht="15.75" hidden="1" customHeight="1">
      <c r="A786" s="309"/>
      <c r="B786" s="669"/>
      <c r="C786" s="632"/>
      <c r="D786" s="632"/>
      <c r="E786" s="633"/>
      <c r="F786" s="524"/>
      <c r="G786" s="524"/>
      <c r="H786" s="362"/>
      <c r="I786" s="230"/>
      <c r="J786" s="230"/>
      <c r="K786" s="363"/>
      <c r="L786" s="364"/>
      <c r="M786" s="365"/>
      <c r="N786" s="366"/>
      <c r="O786" s="634"/>
      <c r="P786" s="429"/>
      <c r="Q786" s="609"/>
      <c r="R786" s="646"/>
      <c r="S786" s="433"/>
      <c r="T786" s="434"/>
      <c r="U786" s="376"/>
      <c r="V786" s="649"/>
      <c r="W786" s="636"/>
      <c r="X786" s="404"/>
      <c r="Y786" s="372"/>
      <c r="Z786" s="381"/>
      <c r="AA786" s="241"/>
      <c r="AB786" s="411"/>
      <c r="AC786" s="577"/>
      <c r="AD786" s="241"/>
      <c r="AE786" s="411"/>
      <c r="AF786" s="577"/>
      <c r="AG786" s="241"/>
      <c r="AH786" s="411"/>
      <c r="AI786" s="577"/>
      <c r="AJ786" s="241"/>
      <c r="AK786" s="411"/>
      <c r="AL786" s="577"/>
      <c r="AM786" s="241"/>
      <c r="AN786" s="411"/>
      <c r="AO786" s="577"/>
      <c r="AP786" s="241"/>
      <c r="AQ786" s="411"/>
      <c r="AR786" s="577"/>
    </row>
    <row r="787" spans="1:44" ht="15.75" hidden="1" customHeight="1">
      <c r="A787" s="309"/>
      <c r="B787" s="669" t="s">
        <v>2550</v>
      </c>
      <c r="C787" s="632">
        <v>20</v>
      </c>
      <c r="D787" s="632">
        <v>389</v>
      </c>
      <c r="E787" s="633"/>
      <c r="F787" s="524"/>
      <c r="G787" s="524"/>
      <c r="H787" s="362"/>
      <c r="I787" s="230"/>
      <c r="J787" s="230">
        <f ca="1">+DATEDIF(I787,TODAY(),"Y")</f>
        <v>126</v>
      </c>
      <c r="K787" s="363"/>
      <c r="L787" s="364"/>
      <c r="M787" s="365"/>
      <c r="N787" s="366"/>
      <c r="O787" s="634"/>
      <c r="P787" s="454"/>
      <c r="Q787" s="592"/>
      <c r="R787" s="639"/>
      <c r="S787" s="420"/>
      <c r="T787" s="421"/>
      <c r="U787" s="387"/>
      <c r="V787" s="648"/>
      <c r="W787" s="640"/>
      <c r="X787" s="404"/>
      <c r="Y787" s="372"/>
      <c r="Z787" s="381"/>
      <c r="AA787" s="225"/>
      <c r="AB787" s="361"/>
      <c r="AC787" s="533"/>
      <c r="AD787" s="225"/>
      <c r="AE787" s="361"/>
      <c r="AF787" s="533"/>
      <c r="AG787" s="225"/>
      <c r="AH787" s="361"/>
      <c r="AI787" s="533"/>
      <c r="AJ787" s="225"/>
      <c r="AK787" s="361"/>
      <c r="AL787" s="533"/>
      <c r="AM787" s="225"/>
      <c r="AN787" s="361"/>
      <c r="AO787" s="533"/>
      <c r="AP787" s="225"/>
      <c r="AQ787" s="361"/>
      <c r="AR787" s="533"/>
    </row>
    <row r="788" spans="1:44" ht="15.75" hidden="1" customHeight="1">
      <c r="A788" s="309"/>
      <c r="B788" s="669"/>
      <c r="C788" s="632"/>
      <c r="D788" s="632"/>
      <c r="E788" s="633"/>
      <c r="F788" s="524"/>
      <c r="G788" s="524"/>
      <c r="H788" s="362"/>
      <c r="I788" s="230"/>
      <c r="J788" s="230"/>
      <c r="K788" s="363"/>
      <c r="L788" s="364"/>
      <c r="M788" s="365"/>
      <c r="N788" s="366"/>
      <c r="O788" s="634"/>
      <c r="P788" s="429"/>
      <c r="Q788" s="609"/>
      <c r="R788" s="646"/>
      <c r="S788" s="433"/>
      <c r="T788" s="434"/>
      <c r="U788" s="376"/>
      <c r="V788" s="649"/>
      <c r="W788" s="636"/>
      <c r="X788" s="404"/>
      <c r="Y788" s="372"/>
      <c r="Z788" s="381"/>
      <c r="AA788" s="241"/>
      <c r="AB788" s="411"/>
      <c r="AC788" s="577"/>
      <c r="AD788" s="241"/>
      <c r="AE788" s="411"/>
      <c r="AF788" s="577"/>
      <c r="AG788" s="241"/>
      <c r="AH788" s="411"/>
      <c r="AI788" s="577"/>
      <c r="AJ788" s="241"/>
      <c r="AK788" s="411"/>
      <c r="AL788" s="577"/>
      <c r="AM788" s="241"/>
      <c r="AN788" s="411"/>
      <c r="AO788" s="577"/>
      <c r="AP788" s="241"/>
      <c r="AQ788" s="411"/>
      <c r="AR788" s="577"/>
    </row>
    <row r="789" spans="1:44" ht="15.75" hidden="1" customHeight="1">
      <c r="A789" s="309"/>
      <c r="B789" s="669" t="s">
        <v>2550</v>
      </c>
      <c r="C789" s="632">
        <v>21</v>
      </c>
      <c r="D789" s="632">
        <v>390</v>
      </c>
      <c r="E789" s="633"/>
      <c r="F789" s="524"/>
      <c r="G789" s="524"/>
      <c r="H789" s="362"/>
      <c r="I789" s="230"/>
      <c r="J789" s="230">
        <f ca="1">+DATEDIF(I789,TODAY(),"Y")</f>
        <v>126</v>
      </c>
      <c r="K789" s="363"/>
      <c r="L789" s="364"/>
      <c r="M789" s="365"/>
      <c r="N789" s="366"/>
      <c r="O789" s="634"/>
      <c r="P789" s="454"/>
      <c r="Q789" s="592"/>
      <c r="R789" s="639"/>
      <c r="S789" s="420"/>
      <c r="T789" s="421"/>
      <c r="U789" s="387"/>
      <c r="V789" s="648"/>
      <c r="W789" s="640"/>
      <c r="X789" s="404"/>
      <c r="Y789" s="372"/>
      <c r="Z789" s="381"/>
      <c r="AA789" s="225"/>
      <c r="AB789" s="361"/>
      <c r="AC789" s="533"/>
      <c r="AD789" s="225"/>
      <c r="AE789" s="361"/>
      <c r="AF789" s="533"/>
      <c r="AG789" s="225"/>
      <c r="AH789" s="361"/>
      <c r="AI789" s="533"/>
      <c r="AJ789" s="225"/>
      <c r="AK789" s="361"/>
      <c r="AL789" s="533"/>
      <c r="AM789" s="225"/>
      <c r="AN789" s="361"/>
      <c r="AO789" s="533"/>
      <c r="AP789" s="225"/>
      <c r="AQ789" s="361"/>
      <c r="AR789" s="533"/>
    </row>
    <row r="790" spans="1:44" ht="15.75" hidden="1" customHeight="1">
      <c r="A790" s="309"/>
      <c r="B790" s="669"/>
      <c r="C790" s="632"/>
      <c r="D790" s="632"/>
      <c r="E790" s="633"/>
      <c r="F790" s="524"/>
      <c r="G790" s="524"/>
      <c r="H790" s="362"/>
      <c r="I790" s="230"/>
      <c r="J790" s="230"/>
      <c r="K790" s="363"/>
      <c r="L790" s="364"/>
      <c r="M790" s="365"/>
      <c r="N790" s="366"/>
      <c r="O790" s="634"/>
      <c r="P790" s="429"/>
      <c r="Q790" s="609"/>
      <c r="R790" s="646"/>
      <c r="S790" s="433"/>
      <c r="T790" s="434"/>
      <c r="U790" s="376"/>
      <c r="V790" s="649"/>
      <c r="W790" s="636"/>
      <c r="X790" s="404"/>
      <c r="Y790" s="372"/>
      <c r="Z790" s="381"/>
      <c r="AA790" s="241"/>
      <c r="AB790" s="411"/>
      <c r="AC790" s="577"/>
      <c r="AD790" s="241"/>
      <c r="AE790" s="411"/>
      <c r="AF790" s="577"/>
      <c r="AG790" s="241"/>
      <c r="AH790" s="411"/>
      <c r="AI790" s="577"/>
      <c r="AJ790" s="241"/>
      <c r="AK790" s="411"/>
      <c r="AL790" s="577"/>
      <c r="AM790" s="241"/>
      <c r="AN790" s="411"/>
      <c r="AO790" s="577"/>
      <c r="AP790" s="241"/>
      <c r="AQ790" s="411"/>
      <c r="AR790" s="577"/>
    </row>
    <row r="791" spans="1:44" ht="15.75" hidden="1" customHeight="1">
      <c r="A791" s="309"/>
      <c r="B791" s="669" t="s">
        <v>2550</v>
      </c>
      <c r="C791" s="632">
        <v>22</v>
      </c>
      <c r="D791" s="632">
        <v>391</v>
      </c>
      <c r="E791" s="633"/>
      <c r="F791" s="524"/>
      <c r="G791" s="524"/>
      <c r="H791" s="362"/>
      <c r="I791" s="230"/>
      <c r="J791" s="230">
        <f ca="1">+DATEDIF(I791,TODAY(),"Y")</f>
        <v>126</v>
      </c>
      <c r="K791" s="363"/>
      <c r="L791" s="364"/>
      <c r="M791" s="365"/>
      <c r="N791" s="366"/>
      <c r="O791" s="634"/>
      <c r="P791" s="454"/>
      <c r="Q791" s="592"/>
      <c r="R791" s="639"/>
      <c r="S791" s="420"/>
      <c r="T791" s="421"/>
      <c r="U791" s="387"/>
      <c r="V791" s="648"/>
      <c r="W791" s="640"/>
      <c r="X791" s="404"/>
      <c r="Y791" s="372"/>
      <c r="Z791" s="381"/>
      <c r="AA791" s="225"/>
      <c r="AB791" s="361"/>
      <c r="AC791" s="533"/>
      <c r="AD791" s="225"/>
      <c r="AE791" s="361"/>
      <c r="AF791" s="533"/>
      <c r="AG791" s="225"/>
      <c r="AH791" s="361"/>
      <c r="AI791" s="533"/>
      <c r="AJ791" s="225"/>
      <c r="AK791" s="361"/>
      <c r="AL791" s="533"/>
      <c r="AM791" s="225"/>
      <c r="AN791" s="361"/>
      <c r="AO791" s="533"/>
      <c r="AP791" s="225"/>
      <c r="AQ791" s="361"/>
      <c r="AR791" s="533"/>
    </row>
    <row r="792" spans="1:44" ht="15.75" hidden="1" customHeight="1">
      <c r="A792" s="309"/>
      <c r="B792" s="669"/>
      <c r="C792" s="632"/>
      <c r="D792" s="632"/>
      <c r="E792" s="633"/>
      <c r="F792" s="524"/>
      <c r="G792" s="524"/>
      <c r="H792" s="362"/>
      <c r="I792" s="230"/>
      <c r="J792" s="230"/>
      <c r="K792" s="363"/>
      <c r="L792" s="364"/>
      <c r="M792" s="365"/>
      <c r="N792" s="366"/>
      <c r="O792" s="634"/>
      <c r="P792" s="429"/>
      <c r="Q792" s="609"/>
      <c r="R792" s="646"/>
      <c r="S792" s="433"/>
      <c r="T792" s="434"/>
      <c r="U792" s="376"/>
      <c r="V792" s="649"/>
      <c r="W792" s="636"/>
      <c r="X792" s="404"/>
      <c r="Y792" s="372"/>
      <c r="Z792" s="381"/>
      <c r="AA792" s="241"/>
      <c r="AB792" s="411"/>
      <c r="AC792" s="577"/>
      <c r="AD792" s="241"/>
      <c r="AE792" s="411"/>
      <c r="AF792" s="577"/>
      <c r="AG792" s="241"/>
      <c r="AH792" s="411"/>
      <c r="AI792" s="577"/>
      <c r="AJ792" s="241"/>
      <c r="AK792" s="411"/>
      <c r="AL792" s="577"/>
      <c r="AM792" s="241"/>
      <c r="AN792" s="411"/>
      <c r="AO792" s="577"/>
      <c r="AP792" s="241"/>
      <c r="AQ792" s="411"/>
      <c r="AR792" s="577"/>
    </row>
    <row r="793" spans="1:44" ht="15.75" hidden="1" customHeight="1">
      <c r="A793" s="309"/>
      <c r="B793" s="669" t="s">
        <v>2550</v>
      </c>
      <c r="C793" s="632">
        <v>23</v>
      </c>
      <c r="D793" s="632">
        <v>392</v>
      </c>
      <c r="E793" s="633"/>
      <c r="F793" s="524"/>
      <c r="G793" s="524"/>
      <c r="H793" s="362"/>
      <c r="I793" s="230"/>
      <c r="J793" s="230">
        <f ca="1">+DATEDIF(I793,TODAY(),"Y")</f>
        <v>126</v>
      </c>
      <c r="K793" s="363"/>
      <c r="L793" s="364"/>
      <c r="M793" s="365"/>
      <c r="N793" s="366"/>
      <c r="O793" s="634"/>
      <c r="P793" s="454"/>
      <c r="Q793" s="592"/>
      <c r="R793" s="639"/>
      <c r="S793" s="420"/>
      <c r="T793" s="421"/>
      <c r="U793" s="387"/>
      <c r="V793" s="648"/>
      <c r="W793" s="640"/>
      <c r="X793" s="404"/>
      <c r="Y793" s="372"/>
      <c r="Z793" s="381"/>
      <c r="AA793" s="225"/>
      <c r="AB793" s="361"/>
      <c r="AC793" s="533"/>
      <c r="AD793" s="225"/>
      <c r="AE793" s="361"/>
      <c r="AF793" s="533"/>
      <c r="AG793" s="225"/>
      <c r="AH793" s="361"/>
      <c r="AI793" s="533"/>
      <c r="AJ793" s="225"/>
      <c r="AK793" s="361"/>
      <c r="AL793" s="533"/>
      <c r="AM793" s="225"/>
      <c r="AN793" s="361"/>
      <c r="AO793" s="533"/>
      <c r="AP793" s="225"/>
      <c r="AQ793" s="361"/>
      <c r="AR793" s="533"/>
    </row>
    <row r="794" spans="1:44" ht="15.75" hidden="1" customHeight="1">
      <c r="A794" s="309"/>
      <c r="B794" s="669"/>
      <c r="C794" s="632"/>
      <c r="D794" s="632"/>
      <c r="E794" s="633"/>
      <c r="F794" s="524"/>
      <c r="G794" s="524"/>
      <c r="H794" s="362"/>
      <c r="I794" s="230"/>
      <c r="J794" s="230"/>
      <c r="K794" s="363"/>
      <c r="L794" s="364"/>
      <c r="M794" s="365"/>
      <c r="N794" s="366"/>
      <c r="O794" s="634"/>
      <c r="P794" s="429"/>
      <c r="Q794" s="609"/>
      <c r="R794" s="646"/>
      <c r="S794" s="433"/>
      <c r="T794" s="434"/>
      <c r="U794" s="376"/>
      <c r="V794" s="649"/>
      <c r="W794" s="636"/>
      <c r="X794" s="404"/>
      <c r="Y794" s="372"/>
      <c r="Z794" s="381"/>
      <c r="AA794" s="241"/>
      <c r="AB794" s="411"/>
      <c r="AC794" s="577"/>
      <c r="AD794" s="241"/>
      <c r="AE794" s="411"/>
      <c r="AF794" s="577"/>
      <c r="AG794" s="241"/>
      <c r="AH794" s="411"/>
      <c r="AI794" s="577"/>
      <c r="AJ794" s="241"/>
      <c r="AK794" s="411"/>
      <c r="AL794" s="577"/>
      <c r="AM794" s="241"/>
      <c r="AN794" s="411"/>
      <c r="AO794" s="577"/>
      <c r="AP794" s="241"/>
      <c r="AQ794" s="411"/>
      <c r="AR794" s="577"/>
    </row>
    <row r="795" spans="1:44" ht="15.75" hidden="1" customHeight="1">
      <c r="A795" s="309"/>
      <c r="B795" s="669" t="s">
        <v>2550</v>
      </c>
      <c r="C795" s="632">
        <v>24</v>
      </c>
      <c r="D795" s="632">
        <v>393</v>
      </c>
      <c r="E795" s="633"/>
      <c r="F795" s="524"/>
      <c r="G795" s="524"/>
      <c r="H795" s="362"/>
      <c r="I795" s="230"/>
      <c r="J795" s="230">
        <f ca="1">+DATEDIF(I795,TODAY(),"Y")</f>
        <v>126</v>
      </c>
      <c r="K795" s="363"/>
      <c r="L795" s="364"/>
      <c r="M795" s="365"/>
      <c r="N795" s="366"/>
      <c r="O795" s="634"/>
      <c r="P795" s="454"/>
      <c r="Q795" s="592"/>
      <c r="R795" s="639"/>
      <c r="S795" s="420"/>
      <c r="T795" s="421"/>
      <c r="U795" s="387"/>
      <c r="V795" s="648"/>
      <c r="W795" s="640"/>
      <c r="X795" s="404"/>
      <c r="Y795" s="372"/>
      <c r="Z795" s="381"/>
      <c r="AA795" s="225"/>
      <c r="AB795" s="361"/>
      <c r="AC795" s="533"/>
      <c r="AD795" s="225"/>
      <c r="AE795" s="361"/>
      <c r="AF795" s="533"/>
      <c r="AG795" s="225"/>
      <c r="AH795" s="361"/>
      <c r="AI795" s="533"/>
      <c r="AJ795" s="225"/>
      <c r="AK795" s="361"/>
      <c r="AL795" s="533"/>
      <c r="AM795" s="225"/>
      <c r="AN795" s="361"/>
      <c r="AO795" s="533"/>
      <c r="AP795" s="225"/>
      <c r="AQ795" s="361"/>
      <c r="AR795" s="533"/>
    </row>
    <row r="796" spans="1:44" ht="15.75" hidden="1" customHeight="1">
      <c r="A796" s="309"/>
      <c r="B796" s="669"/>
      <c r="C796" s="632"/>
      <c r="D796" s="632"/>
      <c r="E796" s="633"/>
      <c r="F796" s="524"/>
      <c r="G796" s="524"/>
      <c r="H796" s="362"/>
      <c r="I796" s="230"/>
      <c r="J796" s="230"/>
      <c r="K796" s="363"/>
      <c r="L796" s="364"/>
      <c r="M796" s="365"/>
      <c r="N796" s="366"/>
      <c r="O796" s="634"/>
      <c r="P796" s="429"/>
      <c r="Q796" s="609"/>
      <c r="R796" s="646"/>
      <c r="S796" s="433"/>
      <c r="T796" s="434"/>
      <c r="U796" s="376"/>
      <c r="V796" s="649"/>
      <c r="W796" s="636"/>
      <c r="X796" s="404"/>
      <c r="Y796" s="372"/>
      <c r="Z796" s="381"/>
      <c r="AA796" s="241"/>
      <c r="AB796" s="411"/>
      <c r="AC796" s="577"/>
      <c r="AD796" s="241"/>
      <c r="AE796" s="411"/>
      <c r="AF796" s="577"/>
      <c r="AG796" s="241"/>
      <c r="AH796" s="411"/>
      <c r="AI796" s="577"/>
      <c r="AJ796" s="241"/>
      <c r="AK796" s="411"/>
      <c r="AL796" s="577"/>
      <c r="AM796" s="241"/>
      <c r="AN796" s="411"/>
      <c r="AO796" s="577"/>
      <c r="AP796" s="241"/>
      <c r="AQ796" s="411"/>
      <c r="AR796" s="577"/>
    </row>
    <row r="797" spans="1:44" ht="15.75" hidden="1" customHeight="1">
      <c r="A797" s="309"/>
      <c r="B797" s="669" t="s">
        <v>2550</v>
      </c>
      <c r="C797" s="632">
        <v>25</v>
      </c>
      <c r="D797" s="632">
        <v>394</v>
      </c>
      <c r="E797" s="633"/>
      <c r="F797" s="524"/>
      <c r="G797" s="524"/>
      <c r="H797" s="362"/>
      <c r="I797" s="230"/>
      <c r="J797" s="230">
        <f ca="1">+DATEDIF(I797,TODAY(),"Y")</f>
        <v>126</v>
      </c>
      <c r="K797" s="363"/>
      <c r="L797" s="364"/>
      <c r="M797" s="365"/>
      <c r="N797" s="366"/>
      <c r="O797" s="634"/>
      <c r="P797" s="454"/>
      <c r="Q797" s="592"/>
      <c r="R797" s="639"/>
      <c r="S797" s="420"/>
      <c r="T797" s="421"/>
      <c r="U797" s="387"/>
      <c r="V797" s="648"/>
      <c r="W797" s="640"/>
      <c r="X797" s="404"/>
      <c r="Y797" s="372"/>
      <c r="Z797" s="381"/>
      <c r="AA797" s="225"/>
      <c r="AB797" s="361"/>
      <c r="AC797" s="533"/>
      <c r="AD797" s="225"/>
      <c r="AE797" s="361"/>
      <c r="AF797" s="533"/>
      <c r="AG797" s="225"/>
      <c r="AH797" s="361"/>
      <c r="AI797" s="533"/>
      <c r="AJ797" s="225"/>
      <c r="AK797" s="361"/>
      <c r="AL797" s="533"/>
      <c r="AM797" s="225"/>
      <c r="AN797" s="361"/>
      <c r="AO797" s="533"/>
      <c r="AP797" s="225"/>
      <c r="AQ797" s="361"/>
      <c r="AR797" s="533"/>
    </row>
    <row r="798" spans="1:44" ht="15.75" hidden="1" customHeight="1">
      <c r="A798" s="309"/>
      <c r="B798" s="669"/>
      <c r="C798" s="632"/>
      <c r="D798" s="632"/>
      <c r="E798" s="633"/>
      <c r="F798" s="524"/>
      <c r="G798" s="524"/>
      <c r="H798" s="362"/>
      <c r="I798" s="230"/>
      <c r="J798" s="230"/>
      <c r="K798" s="363"/>
      <c r="L798" s="364"/>
      <c r="M798" s="365"/>
      <c r="N798" s="366"/>
      <c r="O798" s="634"/>
      <c r="P798" s="429"/>
      <c r="Q798" s="609"/>
      <c r="R798" s="646"/>
      <c r="S798" s="433"/>
      <c r="T798" s="434"/>
      <c r="U798" s="376"/>
      <c r="V798" s="649"/>
      <c r="W798" s="636"/>
      <c r="X798" s="404"/>
      <c r="Y798" s="372"/>
      <c r="Z798" s="381"/>
      <c r="AA798" s="241"/>
      <c r="AB798" s="411"/>
      <c r="AC798" s="577"/>
      <c r="AD798" s="241"/>
      <c r="AE798" s="411"/>
      <c r="AF798" s="577"/>
      <c r="AG798" s="241"/>
      <c r="AH798" s="411"/>
      <c r="AI798" s="577"/>
      <c r="AJ798" s="241"/>
      <c r="AK798" s="411"/>
      <c r="AL798" s="577"/>
      <c r="AM798" s="241"/>
      <c r="AN798" s="411"/>
      <c r="AO798" s="577"/>
      <c r="AP798" s="241"/>
      <c r="AQ798" s="411"/>
      <c r="AR798" s="577"/>
    </row>
    <row r="799" spans="1:44" ht="15.75" hidden="1" customHeight="1">
      <c r="A799" s="309"/>
      <c r="B799" s="669" t="s">
        <v>2550</v>
      </c>
      <c r="C799" s="632">
        <v>26</v>
      </c>
      <c r="D799" s="632">
        <v>395</v>
      </c>
      <c r="E799" s="633"/>
      <c r="F799" s="524"/>
      <c r="G799" s="524"/>
      <c r="H799" s="362"/>
      <c r="I799" s="230"/>
      <c r="J799" s="230">
        <f ca="1">+DATEDIF(I799,TODAY(),"Y")</f>
        <v>126</v>
      </c>
      <c r="K799" s="363"/>
      <c r="L799" s="364"/>
      <c r="M799" s="365"/>
      <c r="N799" s="366"/>
      <c r="O799" s="634"/>
      <c r="P799" s="454"/>
      <c r="Q799" s="592"/>
      <c r="R799" s="639"/>
      <c r="S799" s="420"/>
      <c r="T799" s="421"/>
      <c r="U799" s="387"/>
      <c r="V799" s="648"/>
      <c r="W799" s="640"/>
      <c r="X799" s="404"/>
      <c r="Y799" s="372"/>
      <c r="Z799" s="381"/>
      <c r="AA799" s="225"/>
      <c r="AB799" s="361"/>
      <c r="AC799" s="533"/>
      <c r="AD799" s="225"/>
      <c r="AE799" s="361"/>
      <c r="AF799" s="533"/>
      <c r="AG799" s="225"/>
      <c r="AH799" s="361"/>
      <c r="AI799" s="533"/>
      <c r="AJ799" s="225"/>
      <c r="AK799" s="361"/>
      <c r="AL799" s="533"/>
      <c r="AM799" s="225"/>
      <c r="AN799" s="361"/>
      <c r="AO799" s="533"/>
      <c r="AP799" s="225"/>
      <c r="AQ799" s="361"/>
      <c r="AR799" s="533"/>
    </row>
    <row r="800" spans="1:44" ht="15.75" hidden="1" customHeight="1">
      <c r="A800" s="309"/>
      <c r="B800" s="669"/>
      <c r="C800" s="632"/>
      <c r="D800" s="632"/>
      <c r="E800" s="633"/>
      <c r="F800" s="524"/>
      <c r="G800" s="524"/>
      <c r="H800" s="362"/>
      <c r="I800" s="230"/>
      <c r="J800" s="230"/>
      <c r="K800" s="363"/>
      <c r="L800" s="364"/>
      <c r="M800" s="365"/>
      <c r="N800" s="366"/>
      <c r="O800" s="634"/>
      <c r="P800" s="429"/>
      <c r="Q800" s="609"/>
      <c r="R800" s="646"/>
      <c r="S800" s="433"/>
      <c r="T800" s="434"/>
      <c r="U800" s="376"/>
      <c r="V800" s="649"/>
      <c r="W800" s="636"/>
      <c r="X800" s="404"/>
      <c r="Y800" s="372"/>
      <c r="Z800" s="381"/>
      <c r="AA800" s="241"/>
      <c r="AB800" s="411"/>
      <c r="AC800" s="577"/>
      <c r="AD800" s="241"/>
      <c r="AE800" s="411"/>
      <c r="AF800" s="577"/>
      <c r="AG800" s="241"/>
      <c r="AH800" s="411"/>
      <c r="AI800" s="577"/>
      <c r="AJ800" s="241"/>
      <c r="AK800" s="411"/>
      <c r="AL800" s="577"/>
      <c r="AM800" s="241"/>
      <c r="AN800" s="411"/>
      <c r="AO800" s="577"/>
      <c r="AP800" s="241"/>
      <c r="AQ800" s="411"/>
      <c r="AR800" s="577"/>
    </row>
    <row r="801" spans="1:44" ht="15.75" hidden="1" customHeight="1">
      <c r="A801" s="309"/>
      <c r="B801" s="669" t="s">
        <v>2550</v>
      </c>
      <c r="C801" s="632">
        <v>27</v>
      </c>
      <c r="D801" s="632">
        <v>396</v>
      </c>
      <c r="E801" s="633"/>
      <c r="F801" s="524"/>
      <c r="G801" s="524"/>
      <c r="H801" s="362"/>
      <c r="I801" s="230"/>
      <c r="J801" s="230">
        <f ca="1">+DATEDIF(I801,TODAY(),"Y")</f>
        <v>126</v>
      </c>
      <c r="K801" s="363"/>
      <c r="L801" s="364"/>
      <c r="M801" s="365"/>
      <c r="N801" s="366"/>
      <c r="O801" s="634"/>
      <c r="P801" s="454"/>
      <c r="Q801" s="592"/>
      <c r="R801" s="639"/>
      <c r="S801" s="420"/>
      <c r="T801" s="421"/>
      <c r="U801" s="387"/>
      <c r="V801" s="648"/>
      <c r="W801" s="640"/>
      <c r="X801" s="404"/>
      <c r="Y801" s="372"/>
      <c r="Z801" s="381"/>
      <c r="AA801" s="225"/>
      <c r="AB801" s="361"/>
      <c r="AC801" s="533"/>
      <c r="AD801" s="225"/>
      <c r="AE801" s="361"/>
      <c r="AF801" s="533"/>
      <c r="AG801" s="225"/>
      <c r="AH801" s="361"/>
      <c r="AI801" s="533"/>
      <c r="AJ801" s="225"/>
      <c r="AK801" s="361"/>
      <c r="AL801" s="533"/>
      <c r="AM801" s="225"/>
      <c r="AN801" s="361"/>
      <c r="AO801" s="533"/>
      <c r="AP801" s="225"/>
      <c r="AQ801" s="361"/>
      <c r="AR801" s="533"/>
    </row>
    <row r="802" spans="1:44" ht="15.75" hidden="1" customHeight="1">
      <c r="A802" s="309"/>
      <c r="B802" s="669"/>
      <c r="C802" s="632"/>
      <c r="D802" s="632"/>
      <c r="E802" s="633"/>
      <c r="F802" s="524"/>
      <c r="G802" s="524"/>
      <c r="H802" s="362"/>
      <c r="I802" s="230"/>
      <c r="J802" s="230"/>
      <c r="K802" s="363"/>
      <c r="L802" s="364"/>
      <c r="M802" s="365"/>
      <c r="N802" s="366"/>
      <c r="O802" s="634"/>
      <c r="P802" s="429"/>
      <c r="Q802" s="609"/>
      <c r="R802" s="646"/>
      <c r="S802" s="433"/>
      <c r="T802" s="434"/>
      <c r="U802" s="376"/>
      <c r="V802" s="649"/>
      <c r="W802" s="636"/>
      <c r="X802" s="404"/>
      <c r="Y802" s="372"/>
      <c r="Z802" s="381"/>
      <c r="AA802" s="241"/>
      <c r="AB802" s="411"/>
      <c r="AC802" s="577"/>
      <c r="AD802" s="241"/>
      <c r="AE802" s="411"/>
      <c r="AF802" s="577"/>
      <c r="AG802" s="241"/>
      <c r="AH802" s="411"/>
      <c r="AI802" s="577"/>
      <c r="AJ802" s="241"/>
      <c r="AK802" s="411"/>
      <c r="AL802" s="577"/>
      <c r="AM802" s="241"/>
      <c r="AN802" s="411"/>
      <c r="AO802" s="577"/>
      <c r="AP802" s="241"/>
      <c r="AQ802" s="411"/>
      <c r="AR802" s="577"/>
    </row>
    <row r="803" spans="1:44" ht="15.75" hidden="1" customHeight="1">
      <c r="A803" s="309"/>
      <c r="B803" s="669" t="s">
        <v>2550</v>
      </c>
      <c r="C803" s="632">
        <v>28</v>
      </c>
      <c r="D803" s="632">
        <v>397</v>
      </c>
      <c r="E803" s="633"/>
      <c r="F803" s="524"/>
      <c r="G803" s="524"/>
      <c r="H803" s="362"/>
      <c r="I803" s="230"/>
      <c r="J803" s="230">
        <f ca="1">+DATEDIF(I803,TODAY(),"Y")</f>
        <v>126</v>
      </c>
      <c r="K803" s="363"/>
      <c r="L803" s="364"/>
      <c r="M803" s="365"/>
      <c r="N803" s="366"/>
      <c r="O803" s="634"/>
      <c r="P803" s="454"/>
      <c r="Q803" s="592"/>
      <c r="R803" s="639"/>
      <c r="S803" s="420"/>
      <c r="T803" s="421"/>
      <c r="U803" s="387"/>
      <c r="V803" s="648"/>
      <c r="W803" s="640"/>
      <c r="X803" s="404"/>
      <c r="Y803" s="372"/>
      <c r="Z803" s="381"/>
      <c r="AA803" s="225"/>
      <c r="AB803" s="361"/>
      <c r="AC803" s="533"/>
      <c r="AD803" s="225"/>
      <c r="AE803" s="361"/>
      <c r="AF803" s="533"/>
      <c r="AG803" s="225"/>
      <c r="AH803" s="361"/>
      <c r="AI803" s="533"/>
      <c r="AJ803" s="225"/>
      <c r="AK803" s="361"/>
      <c r="AL803" s="533"/>
      <c r="AM803" s="225"/>
      <c r="AN803" s="361"/>
      <c r="AO803" s="533"/>
      <c r="AP803" s="225"/>
      <c r="AQ803" s="361"/>
      <c r="AR803" s="533"/>
    </row>
    <row r="804" spans="1:44" ht="15.75" hidden="1" customHeight="1">
      <c r="A804" s="309"/>
      <c r="B804" s="669"/>
      <c r="C804" s="632"/>
      <c r="D804" s="632"/>
      <c r="E804" s="633"/>
      <c r="F804" s="524"/>
      <c r="G804" s="524"/>
      <c r="H804" s="362"/>
      <c r="I804" s="230"/>
      <c r="J804" s="230"/>
      <c r="K804" s="363"/>
      <c r="L804" s="364"/>
      <c r="M804" s="365"/>
      <c r="N804" s="366"/>
      <c r="O804" s="634"/>
      <c r="P804" s="429"/>
      <c r="Q804" s="609"/>
      <c r="R804" s="646"/>
      <c r="S804" s="433"/>
      <c r="T804" s="434"/>
      <c r="U804" s="376"/>
      <c r="V804" s="649"/>
      <c r="W804" s="636"/>
      <c r="X804" s="404"/>
      <c r="Y804" s="372"/>
      <c r="Z804" s="381"/>
      <c r="AA804" s="241"/>
      <c r="AB804" s="411"/>
      <c r="AC804" s="577"/>
      <c r="AD804" s="241"/>
      <c r="AE804" s="411"/>
      <c r="AF804" s="577"/>
      <c r="AG804" s="241"/>
      <c r="AH804" s="411"/>
      <c r="AI804" s="577"/>
      <c r="AJ804" s="241"/>
      <c r="AK804" s="411"/>
      <c r="AL804" s="577"/>
      <c r="AM804" s="241"/>
      <c r="AN804" s="411"/>
      <c r="AO804" s="577"/>
      <c r="AP804" s="241"/>
      <c r="AQ804" s="411"/>
      <c r="AR804" s="577"/>
    </row>
    <row r="805" spans="1:44" ht="15.75" hidden="1" customHeight="1">
      <c r="A805" s="309"/>
      <c r="B805" s="669" t="s">
        <v>2550</v>
      </c>
      <c r="C805" s="632">
        <v>29</v>
      </c>
      <c r="D805" s="632">
        <v>398</v>
      </c>
      <c r="E805" s="633"/>
      <c r="F805" s="524"/>
      <c r="G805" s="524"/>
      <c r="H805" s="362"/>
      <c r="I805" s="230"/>
      <c r="J805" s="230">
        <f ca="1">+DATEDIF(I805,TODAY(),"Y")</f>
        <v>126</v>
      </c>
      <c r="K805" s="363"/>
      <c r="L805" s="364"/>
      <c r="M805" s="365"/>
      <c r="N805" s="366"/>
      <c r="O805" s="634"/>
      <c r="P805" s="454"/>
      <c r="Q805" s="592"/>
      <c r="R805" s="639"/>
      <c r="S805" s="420"/>
      <c r="T805" s="421"/>
      <c r="U805" s="387"/>
      <c r="V805" s="648"/>
      <c r="W805" s="640"/>
      <c r="X805" s="404"/>
      <c r="Y805" s="372"/>
      <c r="Z805" s="381"/>
      <c r="AA805" s="225"/>
      <c r="AB805" s="361"/>
      <c r="AC805" s="533"/>
      <c r="AD805" s="225"/>
      <c r="AE805" s="361"/>
      <c r="AF805" s="533"/>
      <c r="AG805" s="225"/>
      <c r="AH805" s="361"/>
      <c r="AI805" s="533"/>
      <c r="AJ805" s="225"/>
      <c r="AK805" s="361"/>
      <c r="AL805" s="533"/>
      <c r="AM805" s="225"/>
      <c r="AN805" s="361"/>
      <c r="AO805" s="533"/>
      <c r="AP805" s="225"/>
      <c r="AQ805" s="361"/>
      <c r="AR805" s="533"/>
    </row>
    <row r="806" spans="1:44" ht="15.75" hidden="1" customHeight="1">
      <c r="A806" s="309"/>
      <c r="B806" s="669"/>
      <c r="C806" s="632"/>
      <c r="D806" s="632"/>
      <c r="E806" s="633"/>
      <c r="F806" s="524"/>
      <c r="G806" s="524"/>
      <c r="H806" s="362"/>
      <c r="I806" s="230"/>
      <c r="J806" s="230"/>
      <c r="K806" s="363"/>
      <c r="L806" s="364"/>
      <c r="M806" s="365"/>
      <c r="N806" s="366"/>
      <c r="O806" s="634"/>
      <c r="P806" s="429"/>
      <c r="Q806" s="609"/>
      <c r="R806" s="646"/>
      <c r="S806" s="433"/>
      <c r="T806" s="434"/>
      <c r="U806" s="376"/>
      <c r="V806" s="649"/>
      <c r="W806" s="636"/>
      <c r="X806" s="404"/>
      <c r="Y806" s="372"/>
      <c r="Z806" s="381"/>
      <c r="AA806" s="241"/>
      <c r="AB806" s="411"/>
      <c r="AC806" s="577"/>
      <c r="AD806" s="241"/>
      <c r="AE806" s="411"/>
      <c r="AF806" s="577"/>
      <c r="AG806" s="241"/>
      <c r="AH806" s="411"/>
      <c r="AI806" s="577"/>
      <c r="AJ806" s="241"/>
      <c r="AK806" s="411"/>
      <c r="AL806" s="577"/>
      <c r="AM806" s="241"/>
      <c r="AN806" s="411"/>
      <c r="AO806" s="577"/>
      <c r="AP806" s="241"/>
      <c r="AQ806" s="411"/>
      <c r="AR806" s="577"/>
    </row>
    <row r="807" spans="1:44" ht="15.75" hidden="1" customHeight="1">
      <c r="A807" s="309"/>
      <c r="B807" s="669" t="s">
        <v>2550</v>
      </c>
      <c r="C807" s="632">
        <v>30</v>
      </c>
      <c r="D807" s="632">
        <v>399</v>
      </c>
      <c r="E807" s="633"/>
      <c r="F807" s="524"/>
      <c r="G807" s="524"/>
      <c r="H807" s="362"/>
      <c r="I807" s="230"/>
      <c r="J807" s="230">
        <f ca="1">+DATEDIF(I807,TODAY(),"Y")</f>
        <v>126</v>
      </c>
      <c r="K807" s="363"/>
      <c r="L807" s="364"/>
      <c r="M807" s="365"/>
      <c r="N807" s="366"/>
      <c r="O807" s="634"/>
      <c r="P807" s="454"/>
      <c r="Q807" s="592"/>
      <c r="R807" s="639"/>
      <c r="S807" s="420"/>
      <c r="T807" s="421"/>
      <c r="U807" s="387"/>
      <c r="V807" s="648"/>
      <c r="W807" s="640"/>
      <c r="X807" s="404"/>
      <c r="Y807" s="372"/>
      <c r="Z807" s="381"/>
      <c r="AA807" s="225"/>
      <c r="AB807" s="361"/>
      <c r="AC807" s="533"/>
      <c r="AD807" s="225"/>
      <c r="AE807" s="361"/>
      <c r="AF807" s="533"/>
      <c r="AG807" s="225"/>
      <c r="AH807" s="361"/>
      <c r="AI807" s="533"/>
      <c r="AJ807" s="225"/>
      <c r="AK807" s="361"/>
      <c r="AL807" s="533"/>
      <c r="AM807" s="225"/>
      <c r="AN807" s="361"/>
      <c r="AO807" s="533"/>
      <c r="AP807" s="225"/>
      <c r="AQ807" s="361"/>
      <c r="AR807" s="533"/>
    </row>
    <row r="808" spans="1:44" ht="15.75" hidden="1" customHeight="1">
      <c r="A808" s="309"/>
      <c r="B808" s="669"/>
      <c r="C808" s="632"/>
      <c r="D808" s="632"/>
      <c r="E808" s="633"/>
      <c r="F808" s="524"/>
      <c r="G808" s="524"/>
      <c r="H808" s="362"/>
      <c r="I808" s="230"/>
      <c r="J808" s="230"/>
      <c r="K808" s="363"/>
      <c r="L808" s="364"/>
      <c r="M808" s="365"/>
      <c r="N808" s="366"/>
      <c r="O808" s="634"/>
      <c r="P808" s="429"/>
      <c r="Q808" s="609"/>
      <c r="R808" s="646"/>
      <c r="S808" s="433"/>
      <c r="T808" s="434"/>
      <c r="U808" s="376"/>
      <c r="V808" s="649"/>
      <c r="W808" s="636"/>
      <c r="X808" s="404"/>
      <c r="Y808" s="372"/>
      <c r="Z808" s="381"/>
      <c r="AA808" s="241"/>
      <c r="AB808" s="411"/>
      <c r="AC808" s="577"/>
      <c r="AD808" s="241"/>
      <c r="AE808" s="411"/>
      <c r="AF808" s="577"/>
      <c r="AG808" s="241"/>
      <c r="AH808" s="411"/>
      <c r="AI808" s="577"/>
      <c r="AJ808" s="241"/>
      <c r="AK808" s="411"/>
      <c r="AL808" s="577"/>
      <c r="AM808" s="241"/>
      <c r="AN808" s="411"/>
      <c r="AO808" s="577"/>
      <c r="AP808" s="241"/>
      <c r="AQ808" s="411"/>
      <c r="AR808" s="577"/>
    </row>
  </sheetData>
  <autoFilter ref="A6:AS808" xr:uid="{00000000-0009-0000-0000-000002000000}">
    <filterColumn colId="19">
      <filters>
        <filter val="CONVENIO"/>
        <filter val="CONVENIO ALCALDIA"/>
        <filter val="CONVENIO JESUS AIRE ACONDICIONADO"/>
      </filters>
    </filterColumn>
  </autoFilter>
  <mergeCells count="16">
    <mergeCell ref="AG5:AI5"/>
    <mergeCell ref="AJ5:AL5"/>
    <mergeCell ref="AM5:AO5"/>
    <mergeCell ref="D1:E3"/>
    <mergeCell ref="F1:T3"/>
    <mergeCell ref="U1:V3"/>
    <mergeCell ref="D4:M5"/>
    <mergeCell ref="N4:Q5"/>
    <mergeCell ref="R4:V4"/>
    <mergeCell ref="X4:AR4"/>
    <mergeCell ref="AP5:AR5"/>
    <mergeCell ref="R5:S5"/>
    <mergeCell ref="T5:V5"/>
    <mergeCell ref="X5:Z5"/>
    <mergeCell ref="AA5:AC5"/>
    <mergeCell ref="AD5:AF5"/>
  </mergeCells>
  <conditionalFormatting sqref="A15">
    <cfRule type="expression" dxfId="395" priority="1" stopIfTrue="1">
      <formula>NOT(ISERROR(SEARCH("renovar",A15)))</formula>
    </cfRule>
  </conditionalFormatting>
  <conditionalFormatting sqref="A15">
    <cfRule type="expression" dxfId="394" priority="2" stopIfTrue="1">
      <formula>NOT(ISERROR(SEARCH("Renovar",A15)))</formula>
    </cfRule>
  </conditionalFormatting>
  <conditionalFormatting sqref="A31">
    <cfRule type="expression" dxfId="393" priority="3" stopIfTrue="1">
      <formula>NOT(ISERROR(SEARCH("renovar",A31)))</formula>
    </cfRule>
  </conditionalFormatting>
  <conditionalFormatting sqref="A31">
    <cfRule type="expression" dxfId="392" priority="4" stopIfTrue="1">
      <formula>NOT(ISERROR(SEARCH("Renovar",A31)))</formula>
    </cfRule>
  </conditionalFormatting>
  <conditionalFormatting sqref="A33">
    <cfRule type="expression" dxfId="391" priority="5" stopIfTrue="1">
      <formula>NOT(ISERROR(SEARCH("renovar",A33)))</formula>
    </cfRule>
  </conditionalFormatting>
  <conditionalFormatting sqref="A33">
    <cfRule type="expression" dxfId="390" priority="6" stopIfTrue="1">
      <formula>NOT(ISERROR(SEARCH("Renovar",A33)))</formula>
    </cfRule>
  </conditionalFormatting>
  <conditionalFormatting sqref="A57">
    <cfRule type="expression" dxfId="389" priority="7" stopIfTrue="1">
      <formula>NOT(ISERROR(SEARCH("renovar",A57)))</formula>
    </cfRule>
  </conditionalFormatting>
  <conditionalFormatting sqref="A57">
    <cfRule type="expression" dxfId="388" priority="8" stopIfTrue="1">
      <formula>NOT(ISERROR(SEARCH("Renovar",A57)))</formula>
    </cfRule>
  </conditionalFormatting>
  <conditionalFormatting sqref="A59">
    <cfRule type="expression" dxfId="387" priority="9" stopIfTrue="1">
      <formula>NOT(ISERROR(SEARCH("renovar",A59)))</formula>
    </cfRule>
  </conditionalFormatting>
  <conditionalFormatting sqref="A59">
    <cfRule type="expression" dxfId="386" priority="10" stopIfTrue="1">
      <formula>NOT(ISERROR(SEARCH("Renovar",A59)))</formula>
    </cfRule>
  </conditionalFormatting>
  <conditionalFormatting sqref="A61">
    <cfRule type="expression" dxfId="385" priority="11" stopIfTrue="1">
      <formula>NOT(ISERROR(SEARCH("renovar",A61)))</formula>
    </cfRule>
  </conditionalFormatting>
  <conditionalFormatting sqref="A61">
    <cfRule type="expression" dxfId="384" priority="12" stopIfTrue="1">
      <formula>NOT(ISERROR(SEARCH("Renovar",A61)))</formula>
    </cfRule>
  </conditionalFormatting>
  <conditionalFormatting sqref="A63">
    <cfRule type="expression" dxfId="383" priority="13" stopIfTrue="1">
      <formula>NOT(ISERROR(SEARCH("renovar",A63)))</formula>
    </cfRule>
  </conditionalFormatting>
  <conditionalFormatting sqref="A63">
    <cfRule type="expression" dxfId="382" priority="14" stopIfTrue="1">
      <formula>NOT(ISERROR(SEARCH("Renovar",A63)))</formula>
    </cfRule>
  </conditionalFormatting>
  <conditionalFormatting sqref="A65">
    <cfRule type="expression" dxfId="381" priority="15" stopIfTrue="1">
      <formula>NOT(ISERROR(SEARCH("renovar",A65)))</formula>
    </cfRule>
  </conditionalFormatting>
  <conditionalFormatting sqref="A65">
    <cfRule type="expression" dxfId="380" priority="16" stopIfTrue="1">
      <formula>NOT(ISERROR(SEARCH("Renovar",A65)))</formula>
    </cfRule>
  </conditionalFormatting>
  <conditionalFormatting sqref="A67">
    <cfRule type="expression" dxfId="379" priority="17" stopIfTrue="1">
      <formula>NOT(ISERROR(SEARCH("renovar",A67)))</formula>
    </cfRule>
  </conditionalFormatting>
  <conditionalFormatting sqref="A67">
    <cfRule type="expression" dxfId="378" priority="18" stopIfTrue="1">
      <formula>NOT(ISERROR(SEARCH("Renovar",A67)))</formula>
    </cfRule>
  </conditionalFormatting>
  <conditionalFormatting sqref="A69">
    <cfRule type="expression" dxfId="377" priority="19" stopIfTrue="1">
      <formula>NOT(ISERROR(SEARCH("renovar",A69)))</formula>
    </cfRule>
  </conditionalFormatting>
  <conditionalFormatting sqref="A69">
    <cfRule type="expression" dxfId="376" priority="20" stopIfTrue="1">
      <formula>NOT(ISERROR(SEARCH("Renovar",A69)))</formula>
    </cfRule>
  </conditionalFormatting>
  <conditionalFormatting sqref="A71">
    <cfRule type="expression" dxfId="375" priority="21" stopIfTrue="1">
      <formula>NOT(ISERROR(SEARCH("renovar",A71)))</formula>
    </cfRule>
  </conditionalFormatting>
  <conditionalFormatting sqref="A71">
    <cfRule type="expression" dxfId="374" priority="22" stopIfTrue="1">
      <formula>NOT(ISERROR(SEARCH("Renovar",A71)))</formula>
    </cfRule>
  </conditionalFormatting>
  <conditionalFormatting sqref="A73">
    <cfRule type="expression" dxfId="373" priority="23" stopIfTrue="1">
      <formula>NOT(ISERROR(SEARCH("renovar",A73)))</formula>
    </cfRule>
  </conditionalFormatting>
  <conditionalFormatting sqref="A73">
    <cfRule type="expression" dxfId="372" priority="24" stopIfTrue="1">
      <formula>NOT(ISERROR(SEARCH("Renovar",A73)))</formula>
    </cfRule>
  </conditionalFormatting>
  <conditionalFormatting sqref="A75">
    <cfRule type="expression" dxfId="371" priority="25" stopIfTrue="1">
      <formula>NOT(ISERROR(SEARCH("renovar",A75)))</formula>
    </cfRule>
  </conditionalFormatting>
  <conditionalFormatting sqref="A75">
    <cfRule type="expression" dxfId="370" priority="26" stopIfTrue="1">
      <formula>NOT(ISERROR(SEARCH("Renovar",A75)))</formula>
    </cfRule>
  </conditionalFormatting>
  <conditionalFormatting sqref="A119">
    <cfRule type="expression" dxfId="369" priority="27" stopIfTrue="1">
      <formula>NOT(ISERROR(SEARCH("renovar",A119)))</formula>
    </cfRule>
  </conditionalFormatting>
  <conditionalFormatting sqref="A119">
    <cfRule type="expression" dxfId="368" priority="28" stopIfTrue="1">
      <formula>NOT(ISERROR(SEARCH("Renovar",A119)))</formula>
    </cfRule>
  </conditionalFormatting>
  <conditionalFormatting sqref="A121">
    <cfRule type="expression" dxfId="367" priority="29" stopIfTrue="1">
      <formula>NOT(ISERROR(SEARCH("renovar",A121)))</formula>
    </cfRule>
  </conditionalFormatting>
  <conditionalFormatting sqref="A121">
    <cfRule type="expression" dxfId="366" priority="30" stopIfTrue="1">
      <formula>NOT(ISERROR(SEARCH("Renovar",A121)))</formula>
    </cfRule>
  </conditionalFormatting>
  <conditionalFormatting sqref="A193">
    <cfRule type="expression" dxfId="365" priority="31" stopIfTrue="1">
      <formula>NOT(ISERROR(SEARCH("renovar",A193)))</formula>
    </cfRule>
  </conditionalFormatting>
  <conditionalFormatting sqref="A193">
    <cfRule type="expression" dxfId="364" priority="32" stopIfTrue="1">
      <formula>NOT(ISERROR(SEARCH("Renovar",A193)))</formula>
    </cfRule>
  </conditionalFormatting>
  <conditionalFormatting sqref="A333">
    <cfRule type="expression" dxfId="363" priority="33" stopIfTrue="1">
      <formula>NOT(ISERROR(SEARCH("renovar",A333)))</formula>
    </cfRule>
  </conditionalFormatting>
  <conditionalFormatting sqref="A333">
    <cfRule type="expression" dxfId="362" priority="34" stopIfTrue="1">
      <formula>NOT(ISERROR(SEARCH("Renovar",A333)))</formula>
    </cfRule>
  </conditionalFormatting>
  <conditionalFormatting sqref="A339">
    <cfRule type="expression" dxfId="361" priority="35" stopIfTrue="1">
      <formula>NOT(ISERROR(SEARCH("renovar",A339)))</formula>
    </cfRule>
  </conditionalFormatting>
  <conditionalFormatting sqref="A339">
    <cfRule type="expression" dxfId="360" priority="36" stopIfTrue="1">
      <formula>NOT(ISERROR(SEARCH("Renovar",A339)))</formula>
    </cfRule>
  </conditionalFormatting>
  <conditionalFormatting sqref="A483">
    <cfRule type="expression" dxfId="359" priority="37" stopIfTrue="1">
      <formula>NOT(ISERROR(SEARCH("renovar",#REF!)))</formula>
    </cfRule>
  </conditionalFormatting>
  <conditionalFormatting sqref="A483">
    <cfRule type="expression" dxfId="358" priority="38" stopIfTrue="1">
      <formula>NOT(ISERROR(SEARCH("Renovar",#REF!)))</formula>
    </cfRule>
  </conditionalFormatting>
  <conditionalFormatting sqref="A631:A634">
    <cfRule type="expression" dxfId="357" priority="39" stopIfTrue="1">
      <formula>NOT(ISERROR(SEARCH("renovar",A631)))</formula>
    </cfRule>
  </conditionalFormatting>
  <conditionalFormatting sqref="A631:A634">
    <cfRule type="expression" dxfId="356" priority="40" stopIfTrue="1">
      <formula>NOT(ISERROR(SEARCH("Renovar",A631)))</formula>
    </cfRule>
  </conditionalFormatting>
  <conditionalFormatting sqref="A635:A636">
    <cfRule type="expression" dxfId="355" priority="41" stopIfTrue="1">
      <formula>NOT(ISERROR(SEARCH("renovar",A635)))</formula>
    </cfRule>
  </conditionalFormatting>
  <conditionalFormatting sqref="A635:A636">
    <cfRule type="expression" dxfId="354" priority="42" stopIfTrue="1">
      <formula>NOT(ISERROR(SEARCH("Renovar",A635)))</formula>
    </cfRule>
  </conditionalFormatting>
  <conditionalFormatting sqref="A637:A638">
    <cfRule type="expression" dxfId="353" priority="43" stopIfTrue="1">
      <formula>NOT(ISERROR(SEARCH("renovar",A637)))</formula>
    </cfRule>
  </conditionalFormatting>
  <conditionalFormatting sqref="A637:A638">
    <cfRule type="expression" dxfId="352" priority="44" stopIfTrue="1">
      <formula>NOT(ISERROR(SEARCH("Renovar",A637)))</formula>
    </cfRule>
  </conditionalFormatting>
  <conditionalFormatting sqref="A639:A642">
    <cfRule type="expression" dxfId="351" priority="45" stopIfTrue="1">
      <formula>NOT(ISERROR(SEARCH("renovar",A639)))</formula>
    </cfRule>
  </conditionalFormatting>
  <conditionalFormatting sqref="A639:A642">
    <cfRule type="expression" dxfId="350" priority="46" stopIfTrue="1">
      <formula>NOT(ISERROR(SEARCH("Renovar",A639)))</formula>
    </cfRule>
  </conditionalFormatting>
  <conditionalFormatting sqref="A643:A644">
    <cfRule type="expression" dxfId="349" priority="47" stopIfTrue="1">
      <formula>NOT(ISERROR(SEARCH("renovar",A643)))</formula>
    </cfRule>
  </conditionalFormatting>
  <conditionalFormatting sqref="A643:A644">
    <cfRule type="expression" dxfId="348" priority="48" stopIfTrue="1">
      <formula>NOT(ISERROR(SEARCH("Renovar",A643)))</formula>
    </cfRule>
  </conditionalFormatting>
  <conditionalFormatting sqref="A645:A646">
    <cfRule type="expression" dxfId="347" priority="49" stopIfTrue="1">
      <formula>NOT(ISERROR(SEARCH("renovar",A645)))</formula>
    </cfRule>
  </conditionalFormatting>
  <conditionalFormatting sqref="A645:A646">
    <cfRule type="expression" dxfId="346" priority="50" stopIfTrue="1">
      <formula>NOT(ISERROR(SEARCH("Renovar",A645)))</formula>
    </cfRule>
  </conditionalFormatting>
  <conditionalFormatting sqref="A647:A650">
    <cfRule type="expression" dxfId="345" priority="51" stopIfTrue="1">
      <formula>NOT(ISERROR(SEARCH("renovar",A647)))</formula>
    </cfRule>
  </conditionalFormatting>
  <conditionalFormatting sqref="A647:A650">
    <cfRule type="expression" dxfId="344" priority="52" stopIfTrue="1">
      <formula>NOT(ISERROR(SEARCH("Renovar",A647)))</formula>
    </cfRule>
  </conditionalFormatting>
  <conditionalFormatting sqref="A651:A652">
    <cfRule type="expression" dxfId="343" priority="53" stopIfTrue="1">
      <formula>NOT(ISERROR(SEARCH("renovar",A651)))</formula>
    </cfRule>
  </conditionalFormatting>
  <conditionalFormatting sqref="A651:A652">
    <cfRule type="expression" dxfId="342" priority="54" stopIfTrue="1">
      <formula>NOT(ISERROR(SEARCH("Renovar",A651)))</formula>
    </cfRule>
  </conditionalFormatting>
  <conditionalFormatting sqref="A655:A656">
    <cfRule type="expression" dxfId="341" priority="55" stopIfTrue="1">
      <formula>NOT(ISERROR(SEARCH("renovar",A655)))</formula>
    </cfRule>
  </conditionalFormatting>
  <conditionalFormatting sqref="A655:A656">
    <cfRule type="expression" dxfId="340" priority="56" stopIfTrue="1">
      <formula>NOT(ISERROR(SEARCH("Renovar",A655)))</formula>
    </cfRule>
  </conditionalFormatting>
  <conditionalFormatting sqref="A657:A658">
    <cfRule type="expression" dxfId="339" priority="57" stopIfTrue="1">
      <formula>NOT(ISERROR(SEARCH("renovar",A657)))</formula>
    </cfRule>
  </conditionalFormatting>
  <conditionalFormatting sqref="A657:A658">
    <cfRule type="expression" dxfId="338" priority="58" stopIfTrue="1">
      <formula>NOT(ISERROR(SEARCH("Renovar",A657)))</formula>
    </cfRule>
  </conditionalFormatting>
  <conditionalFormatting sqref="A661:A662">
    <cfRule type="expression" dxfId="337" priority="59" stopIfTrue="1">
      <formula>NOT(ISERROR(SEARCH("renovar",A661)))</formula>
    </cfRule>
  </conditionalFormatting>
  <conditionalFormatting sqref="A661:A662">
    <cfRule type="expression" dxfId="336" priority="60" stopIfTrue="1">
      <formula>NOT(ISERROR(SEARCH("Renovar",A661)))</formula>
    </cfRule>
  </conditionalFormatting>
  <conditionalFormatting sqref="A663:A664">
    <cfRule type="expression" dxfId="335" priority="61" stopIfTrue="1">
      <formula>NOT(ISERROR(SEARCH("renovar",A663)))</formula>
    </cfRule>
  </conditionalFormatting>
  <conditionalFormatting sqref="A663:A664">
    <cfRule type="expression" dxfId="334" priority="62" stopIfTrue="1">
      <formula>NOT(ISERROR(SEARCH("Renovar",A663)))</formula>
    </cfRule>
  </conditionalFormatting>
  <conditionalFormatting sqref="A665:A668">
    <cfRule type="expression" dxfId="333" priority="63" stopIfTrue="1">
      <formula>NOT(ISERROR(SEARCH("renovar",A665)))</formula>
    </cfRule>
  </conditionalFormatting>
  <conditionalFormatting sqref="A665:A668">
    <cfRule type="expression" dxfId="332" priority="64" stopIfTrue="1">
      <formula>NOT(ISERROR(SEARCH("Renovar",A665)))</formula>
    </cfRule>
  </conditionalFormatting>
  <conditionalFormatting sqref="A669:A670">
    <cfRule type="expression" dxfId="331" priority="65" stopIfTrue="1">
      <formula>NOT(ISERROR(SEARCH("renovar",A669)))</formula>
    </cfRule>
  </conditionalFormatting>
  <conditionalFormatting sqref="A669:A670">
    <cfRule type="expression" dxfId="330" priority="66" stopIfTrue="1">
      <formula>NOT(ISERROR(SEARCH("Renovar",A669)))</formula>
    </cfRule>
  </conditionalFormatting>
  <conditionalFormatting sqref="A671:A672">
    <cfRule type="expression" dxfId="329" priority="67" stopIfTrue="1">
      <formula>NOT(ISERROR(SEARCH("renovar",A671)))</formula>
    </cfRule>
  </conditionalFormatting>
  <conditionalFormatting sqref="A671:A672">
    <cfRule type="expression" dxfId="328" priority="68" stopIfTrue="1">
      <formula>NOT(ISERROR(SEARCH("Renovar",A671)))</formula>
    </cfRule>
  </conditionalFormatting>
  <conditionalFormatting sqref="A673:A676">
    <cfRule type="expression" dxfId="327" priority="69" stopIfTrue="1">
      <formula>NOT(ISERROR(SEARCH("renovar",A673)))</formula>
    </cfRule>
  </conditionalFormatting>
  <conditionalFormatting sqref="A673:A676">
    <cfRule type="expression" dxfId="326" priority="70" stopIfTrue="1">
      <formula>NOT(ISERROR(SEARCH("Renovar",A673)))</formula>
    </cfRule>
  </conditionalFormatting>
  <conditionalFormatting sqref="A677:A678">
    <cfRule type="expression" dxfId="325" priority="71" stopIfTrue="1">
      <formula>NOT(ISERROR(SEARCH("renovar",A677)))</formula>
    </cfRule>
  </conditionalFormatting>
  <conditionalFormatting sqref="A677:A678">
    <cfRule type="expression" dxfId="324" priority="72" stopIfTrue="1">
      <formula>NOT(ISERROR(SEARCH("Renovar",A677)))</formula>
    </cfRule>
  </conditionalFormatting>
  <conditionalFormatting sqref="A679:A680">
    <cfRule type="expression" dxfId="323" priority="73" stopIfTrue="1">
      <formula>NOT(ISERROR(SEARCH("renovar",A679)))</formula>
    </cfRule>
  </conditionalFormatting>
  <conditionalFormatting sqref="A679:A680">
    <cfRule type="expression" dxfId="322" priority="74" stopIfTrue="1">
      <formula>NOT(ISERROR(SEARCH("Renovar",A679)))</formula>
    </cfRule>
  </conditionalFormatting>
  <conditionalFormatting sqref="A681:A684">
    <cfRule type="expression" dxfId="321" priority="75" stopIfTrue="1">
      <formula>NOT(ISERROR(SEARCH("renovar",A681)))</formula>
    </cfRule>
  </conditionalFormatting>
  <conditionalFormatting sqref="A681:A684">
    <cfRule type="expression" dxfId="320" priority="76" stopIfTrue="1">
      <formula>NOT(ISERROR(SEARCH("Renovar",A681)))</formula>
    </cfRule>
  </conditionalFormatting>
  <conditionalFormatting sqref="A685:A686">
    <cfRule type="expression" dxfId="319" priority="77" stopIfTrue="1">
      <formula>NOT(ISERROR(SEARCH("renovar",A685)))</formula>
    </cfRule>
  </conditionalFormatting>
  <conditionalFormatting sqref="A685:A686">
    <cfRule type="expression" dxfId="318" priority="78" stopIfTrue="1">
      <formula>NOT(ISERROR(SEARCH("Renovar",A685)))</formula>
    </cfRule>
  </conditionalFormatting>
  <conditionalFormatting sqref="A687:A688">
    <cfRule type="expression" dxfId="317" priority="79" stopIfTrue="1">
      <formula>NOT(ISERROR(SEARCH("renovar",A687)))</formula>
    </cfRule>
  </conditionalFormatting>
  <conditionalFormatting sqref="A687:A688">
    <cfRule type="expression" dxfId="316" priority="80" stopIfTrue="1">
      <formula>NOT(ISERROR(SEARCH("Renovar",A687)))</formula>
    </cfRule>
  </conditionalFormatting>
  <conditionalFormatting sqref="A689:A690">
    <cfRule type="expression" dxfId="315" priority="81" stopIfTrue="1">
      <formula>NOT(ISERROR(SEARCH("renovar",A689)))</formula>
    </cfRule>
  </conditionalFormatting>
  <conditionalFormatting sqref="A689:A690">
    <cfRule type="expression" dxfId="314" priority="82" stopIfTrue="1">
      <formula>NOT(ISERROR(SEARCH("Renovar",A689)))</formula>
    </cfRule>
  </conditionalFormatting>
  <conditionalFormatting sqref="A691:A692">
    <cfRule type="expression" dxfId="313" priority="83" stopIfTrue="1">
      <formula>NOT(ISERROR(SEARCH("renovar",A691)))</formula>
    </cfRule>
  </conditionalFormatting>
  <conditionalFormatting sqref="A691:A692">
    <cfRule type="expression" dxfId="312" priority="84" stopIfTrue="1">
      <formula>NOT(ISERROR(SEARCH("Renovar",A691)))</formula>
    </cfRule>
  </conditionalFormatting>
  <conditionalFormatting sqref="A693:A696">
    <cfRule type="expression" dxfId="311" priority="85" stopIfTrue="1">
      <formula>NOT(ISERROR(SEARCH("renovar",A693)))</formula>
    </cfRule>
  </conditionalFormatting>
  <conditionalFormatting sqref="A693:A696">
    <cfRule type="expression" dxfId="310" priority="86" stopIfTrue="1">
      <formula>NOT(ISERROR(SEARCH("Renovar",A693)))</formula>
    </cfRule>
  </conditionalFormatting>
  <conditionalFormatting sqref="A697:A698">
    <cfRule type="expression" dxfId="309" priority="87" stopIfTrue="1">
      <formula>NOT(ISERROR(SEARCH("renovar",A697)))</formula>
    </cfRule>
  </conditionalFormatting>
  <conditionalFormatting sqref="A697:A698">
    <cfRule type="expression" dxfId="308" priority="88" stopIfTrue="1">
      <formula>NOT(ISERROR(SEARCH("Renovar",A697)))</formula>
    </cfRule>
  </conditionalFormatting>
  <conditionalFormatting sqref="A699:A700">
    <cfRule type="expression" dxfId="307" priority="89" stopIfTrue="1">
      <formula>NOT(ISERROR(SEARCH("renovar",A699)))</formula>
    </cfRule>
  </conditionalFormatting>
  <conditionalFormatting sqref="A699:A700">
    <cfRule type="expression" dxfId="306" priority="90" stopIfTrue="1">
      <formula>NOT(ISERROR(SEARCH("Renovar",A699)))</formula>
    </cfRule>
  </conditionalFormatting>
  <conditionalFormatting sqref="A701:A702">
    <cfRule type="expression" dxfId="305" priority="91" stopIfTrue="1">
      <formula>NOT(ISERROR(SEARCH("renovar",A701)))</formula>
    </cfRule>
  </conditionalFormatting>
  <conditionalFormatting sqref="A701:A702">
    <cfRule type="expression" dxfId="304" priority="92" stopIfTrue="1">
      <formula>NOT(ISERROR(SEARCH("Renovar",A701)))</formula>
    </cfRule>
  </conditionalFormatting>
  <conditionalFormatting sqref="A703:A704">
    <cfRule type="expression" dxfId="303" priority="93" stopIfTrue="1">
      <formula>NOT(ISERROR(SEARCH("renovar",A703)))</formula>
    </cfRule>
  </conditionalFormatting>
  <conditionalFormatting sqref="A703:A704">
    <cfRule type="expression" dxfId="302" priority="94" stopIfTrue="1">
      <formula>NOT(ISERROR(SEARCH("Renovar",A703)))</formula>
    </cfRule>
  </conditionalFormatting>
  <conditionalFormatting sqref="A705:A706">
    <cfRule type="expression" dxfId="301" priority="95" stopIfTrue="1">
      <formula>NOT(ISERROR(SEARCH("renovar",A705)))</formula>
    </cfRule>
  </conditionalFormatting>
  <conditionalFormatting sqref="A705:A706">
    <cfRule type="expression" dxfId="300" priority="96" stopIfTrue="1">
      <formula>NOT(ISERROR(SEARCH("Renovar",A705)))</formula>
    </cfRule>
  </conditionalFormatting>
  <conditionalFormatting sqref="A707:A708">
    <cfRule type="expression" dxfId="299" priority="97" stopIfTrue="1">
      <formula>NOT(ISERROR(SEARCH("renovar",A707)))</formula>
    </cfRule>
  </conditionalFormatting>
  <conditionalFormatting sqref="A707:A708">
    <cfRule type="expression" dxfId="298" priority="98" stopIfTrue="1">
      <formula>NOT(ISERROR(SEARCH("Renovar",A707)))</formula>
    </cfRule>
  </conditionalFormatting>
  <conditionalFormatting sqref="A709:A710">
    <cfRule type="expression" dxfId="297" priority="99" stopIfTrue="1">
      <formula>NOT(ISERROR(SEARCH("renovar",A709)))</formula>
    </cfRule>
  </conditionalFormatting>
  <conditionalFormatting sqref="A709:A710">
    <cfRule type="expression" dxfId="296" priority="100" stopIfTrue="1">
      <formula>NOT(ISERROR(SEARCH("Renovar",A709)))</formula>
    </cfRule>
  </conditionalFormatting>
  <conditionalFormatting sqref="A711:A712">
    <cfRule type="expression" dxfId="295" priority="101" stopIfTrue="1">
      <formula>NOT(ISERROR(SEARCH("renovar",A711)))</formula>
    </cfRule>
  </conditionalFormatting>
  <conditionalFormatting sqref="A711:A712">
    <cfRule type="expression" dxfId="294" priority="102" stopIfTrue="1">
      <formula>NOT(ISERROR(SEARCH("Renovar",A711)))</formula>
    </cfRule>
  </conditionalFormatting>
  <conditionalFormatting sqref="A713:A714">
    <cfRule type="expression" dxfId="293" priority="103" stopIfTrue="1">
      <formula>NOT(ISERROR(SEARCH("renovar",A713)))</formula>
    </cfRule>
  </conditionalFormatting>
  <conditionalFormatting sqref="A713:A714">
    <cfRule type="expression" dxfId="292" priority="104" stopIfTrue="1">
      <formula>NOT(ISERROR(SEARCH("Renovar",A713)))</formula>
    </cfRule>
  </conditionalFormatting>
  <conditionalFormatting sqref="A715:A716">
    <cfRule type="expression" dxfId="291" priority="105" stopIfTrue="1">
      <formula>NOT(ISERROR(SEARCH("renovar",A715)))</formula>
    </cfRule>
  </conditionalFormatting>
  <conditionalFormatting sqref="A715:A716">
    <cfRule type="expression" dxfId="290" priority="106" stopIfTrue="1">
      <formula>NOT(ISERROR(SEARCH("Renovar",A715)))</formula>
    </cfRule>
  </conditionalFormatting>
  <conditionalFormatting sqref="A717:A718">
    <cfRule type="expression" dxfId="289" priority="107" stopIfTrue="1">
      <formula>NOT(ISERROR(SEARCH("renovar",A717)))</formula>
    </cfRule>
  </conditionalFormatting>
  <conditionalFormatting sqref="A717:A718">
    <cfRule type="expression" dxfId="288" priority="108" stopIfTrue="1">
      <formula>NOT(ISERROR(SEARCH("Renovar",A717)))</formula>
    </cfRule>
  </conditionalFormatting>
  <conditionalFormatting sqref="A719:A720">
    <cfRule type="expression" dxfId="287" priority="109" stopIfTrue="1">
      <formula>NOT(ISERROR(SEARCH("renovar",A719)))</formula>
    </cfRule>
  </conditionalFormatting>
  <conditionalFormatting sqref="A719:A720">
    <cfRule type="expression" dxfId="286" priority="110" stopIfTrue="1">
      <formula>NOT(ISERROR(SEARCH("Renovar",A719)))</formula>
    </cfRule>
  </conditionalFormatting>
  <conditionalFormatting sqref="A721:A722">
    <cfRule type="expression" dxfId="285" priority="111" stopIfTrue="1">
      <formula>NOT(ISERROR(SEARCH("renovar",A721)))</formula>
    </cfRule>
  </conditionalFormatting>
  <conditionalFormatting sqref="A721:A722">
    <cfRule type="expression" dxfId="284" priority="112" stopIfTrue="1">
      <formula>NOT(ISERROR(SEARCH("Renovar",A721)))</formula>
    </cfRule>
  </conditionalFormatting>
  <conditionalFormatting sqref="A723:A724">
    <cfRule type="expression" dxfId="283" priority="113" stopIfTrue="1">
      <formula>NOT(ISERROR(SEARCH("renovar",A723)))</formula>
    </cfRule>
  </conditionalFormatting>
  <conditionalFormatting sqref="A723:A724">
    <cfRule type="expression" dxfId="282" priority="114" stopIfTrue="1">
      <formula>NOT(ISERROR(SEARCH("Renovar",A723)))</formula>
    </cfRule>
  </conditionalFormatting>
  <conditionalFormatting sqref="A725:A726">
    <cfRule type="expression" dxfId="281" priority="115" stopIfTrue="1">
      <formula>NOT(ISERROR(SEARCH("renovar",A725)))</formula>
    </cfRule>
  </conditionalFormatting>
  <conditionalFormatting sqref="A725:A726">
    <cfRule type="expression" dxfId="280" priority="116" stopIfTrue="1">
      <formula>NOT(ISERROR(SEARCH("Renovar",A725)))</formula>
    </cfRule>
  </conditionalFormatting>
  <conditionalFormatting sqref="A727:A728">
    <cfRule type="expression" dxfId="279" priority="117" stopIfTrue="1">
      <formula>NOT(ISERROR(SEARCH("renovar",A727)))</formula>
    </cfRule>
  </conditionalFormatting>
  <conditionalFormatting sqref="A727:A728">
    <cfRule type="expression" dxfId="278" priority="118" stopIfTrue="1">
      <formula>NOT(ISERROR(SEARCH("Renovar",A727)))</formula>
    </cfRule>
  </conditionalFormatting>
  <conditionalFormatting sqref="A729:A730">
    <cfRule type="expression" dxfId="277" priority="119" stopIfTrue="1">
      <formula>NOT(ISERROR(SEARCH("renovar",A729)))</formula>
    </cfRule>
  </conditionalFormatting>
  <conditionalFormatting sqref="A729:A730">
    <cfRule type="expression" dxfId="276" priority="120" stopIfTrue="1">
      <formula>NOT(ISERROR(SEARCH("Renovar",A729)))</formula>
    </cfRule>
  </conditionalFormatting>
  <conditionalFormatting sqref="A731:A732">
    <cfRule type="expression" dxfId="275" priority="121" stopIfTrue="1">
      <formula>NOT(ISERROR(SEARCH("renovar",A731)))</formula>
    </cfRule>
  </conditionalFormatting>
  <conditionalFormatting sqref="A731:A732">
    <cfRule type="expression" dxfId="274" priority="122" stopIfTrue="1">
      <formula>NOT(ISERROR(SEARCH("Renovar",A731)))</formula>
    </cfRule>
  </conditionalFormatting>
  <conditionalFormatting sqref="A733:A734">
    <cfRule type="expression" dxfId="273" priority="123" stopIfTrue="1">
      <formula>NOT(ISERROR(SEARCH("renovar",A733)))</formula>
    </cfRule>
  </conditionalFormatting>
  <conditionalFormatting sqref="A733:A734">
    <cfRule type="expression" dxfId="272" priority="124" stopIfTrue="1">
      <formula>NOT(ISERROR(SEARCH("Renovar",A733)))</formula>
    </cfRule>
  </conditionalFormatting>
  <conditionalFormatting sqref="A735:A736">
    <cfRule type="expression" dxfId="271" priority="125" stopIfTrue="1">
      <formula>NOT(ISERROR(SEARCH("renovar",A735)))</formula>
    </cfRule>
  </conditionalFormatting>
  <conditionalFormatting sqref="A735:A736">
    <cfRule type="expression" dxfId="270" priority="126" stopIfTrue="1">
      <formula>NOT(ISERROR(SEARCH("Renovar",A735)))</formula>
    </cfRule>
  </conditionalFormatting>
  <conditionalFormatting sqref="A737:A738">
    <cfRule type="expression" dxfId="269" priority="127" stopIfTrue="1">
      <formula>NOT(ISERROR(SEARCH("renovar",A737)))</formula>
    </cfRule>
  </conditionalFormatting>
  <conditionalFormatting sqref="A737:A738">
    <cfRule type="expression" dxfId="268" priority="128" stopIfTrue="1">
      <formula>NOT(ISERROR(SEARCH("Renovar",A737)))</formula>
    </cfRule>
  </conditionalFormatting>
  <conditionalFormatting sqref="A739:A740">
    <cfRule type="expression" dxfId="267" priority="129" stopIfTrue="1">
      <formula>NOT(ISERROR(SEARCH("renovar",A739)))</formula>
    </cfRule>
  </conditionalFormatting>
  <conditionalFormatting sqref="A739:A740">
    <cfRule type="expression" dxfId="266" priority="130" stopIfTrue="1">
      <formula>NOT(ISERROR(SEARCH("Renovar",A739)))</formula>
    </cfRule>
  </conditionalFormatting>
  <conditionalFormatting sqref="A741:A742">
    <cfRule type="expression" dxfId="265" priority="131" stopIfTrue="1">
      <formula>NOT(ISERROR(SEARCH("renovar",A741)))</formula>
    </cfRule>
  </conditionalFormatting>
  <conditionalFormatting sqref="A741:A742">
    <cfRule type="expression" dxfId="264" priority="132" stopIfTrue="1">
      <formula>NOT(ISERROR(SEARCH("Renovar",A741)))</formula>
    </cfRule>
  </conditionalFormatting>
  <conditionalFormatting sqref="A743:A744">
    <cfRule type="expression" dxfId="263" priority="133" stopIfTrue="1">
      <formula>NOT(ISERROR(SEARCH("renovar",A743)))</formula>
    </cfRule>
  </conditionalFormatting>
  <conditionalFormatting sqref="A743:A744">
    <cfRule type="expression" dxfId="262" priority="134" stopIfTrue="1">
      <formula>NOT(ISERROR(SEARCH("Renovar",A743)))</formula>
    </cfRule>
  </conditionalFormatting>
  <conditionalFormatting sqref="A745:A746">
    <cfRule type="expression" dxfId="261" priority="135" stopIfTrue="1">
      <formula>NOT(ISERROR(SEARCH("renovar",A745)))</formula>
    </cfRule>
  </conditionalFormatting>
  <conditionalFormatting sqref="A745:A746">
    <cfRule type="expression" dxfId="260" priority="136" stopIfTrue="1">
      <formula>NOT(ISERROR(SEARCH("Renovar",A745)))</formula>
    </cfRule>
  </conditionalFormatting>
  <conditionalFormatting sqref="A747:A748">
    <cfRule type="expression" dxfId="259" priority="137" stopIfTrue="1">
      <formula>NOT(ISERROR(SEARCH("renovar",A747)))</formula>
    </cfRule>
  </conditionalFormatting>
  <conditionalFormatting sqref="A747:A748">
    <cfRule type="expression" dxfId="258" priority="138" stopIfTrue="1">
      <formula>NOT(ISERROR(SEARCH("Renovar",A747)))</formula>
    </cfRule>
  </conditionalFormatting>
  <conditionalFormatting sqref="A749:A750">
    <cfRule type="expression" dxfId="257" priority="139" stopIfTrue="1">
      <formula>NOT(ISERROR(SEARCH("renovar",A749)))</formula>
    </cfRule>
  </conditionalFormatting>
  <conditionalFormatting sqref="A749:A750">
    <cfRule type="expression" dxfId="256" priority="140" stopIfTrue="1">
      <formula>NOT(ISERROR(SEARCH("Renovar",A749)))</formula>
    </cfRule>
  </conditionalFormatting>
  <conditionalFormatting sqref="A751:A752">
    <cfRule type="expression" dxfId="255" priority="141" stopIfTrue="1">
      <formula>NOT(ISERROR(SEARCH("renovar",A751)))</formula>
    </cfRule>
  </conditionalFormatting>
  <conditionalFormatting sqref="A751:A752">
    <cfRule type="expression" dxfId="254" priority="142" stopIfTrue="1">
      <formula>NOT(ISERROR(SEARCH("Renovar",A751)))</formula>
    </cfRule>
  </conditionalFormatting>
  <conditionalFormatting sqref="A753:A754">
    <cfRule type="expression" dxfId="253" priority="143" stopIfTrue="1">
      <formula>NOT(ISERROR(SEARCH("renovar",A753)))</formula>
    </cfRule>
  </conditionalFormatting>
  <conditionalFormatting sqref="A753:A754">
    <cfRule type="expression" dxfId="252" priority="144" stopIfTrue="1">
      <formula>NOT(ISERROR(SEARCH("Renovar",A753)))</formula>
    </cfRule>
  </conditionalFormatting>
  <conditionalFormatting sqref="A755:A756">
    <cfRule type="expression" dxfId="251" priority="145" stopIfTrue="1">
      <formula>NOT(ISERROR(SEARCH("renovar",A755)))</formula>
    </cfRule>
  </conditionalFormatting>
  <conditionalFormatting sqref="A755:A756">
    <cfRule type="expression" dxfId="250" priority="146" stopIfTrue="1">
      <formula>NOT(ISERROR(SEARCH("Renovar",A755)))</formula>
    </cfRule>
  </conditionalFormatting>
  <conditionalFormatting sqref="A757:A758">
    <cfRule type="expression" dxfId="249" priority="147" stopIfTrue="1">
      <formula>NOT(ISERROR(SEARCH("renovar",A757)))</formula>
    </cfRule>
  </conditionalFormatting>
  <conditionalFormatting sqref="A757:A758">
    <cfRule type="expression" dxfId="248" priority="148" stopIfTrue="1">
      <formula>NOT(ISERROR(SEARCH("Renovar",A757)))</formula>
    </cfRule>
  </conditionalFormatting>
  <conditionalFormatting sqref="A759:A760">
    <cfRule type="expression" dxfId="247" priority="149" stopIfTrue="1">
      <formula>NOT(ISERROR(SEARCH("renovar",A759)))</formula>
    </cfRule>
  </conditionalFormatting>
  <conditionalFormatting sqref="A759:A760">
    <cfRule type="expression" dxfId="246" priority="150" stopIfTrue="1">
      <formula>NOT(ISERROR(SEARCH("Renovar",A759)))</formula>
    </cfRule>
  </conditionalFormatting>
  <conditionalFormatting sqref="A761:A762">
    <cfRule type="expression" dxfId="245" priority="151" stopIfTrue="1">
      <formula>NOT(ISERROR(SEARCH("renovar",A761)))</formula>
    </cfRule>
  </conditionalFormatting>
  <conditionalFormatting sqref="A761:A762">
    <cfRule type="expression" dxfId="244" priority="152" stopIfTrue="1">
      <formula>NOT(ISERROR(SEARCH("Renovar",A761)))</formula>
    </cfRule>
  </conditionalFormatting>
  <conditionalFormatting sqref="A763:A764">
    <cfRule type="expression" dxfId="243" priority="153" stopIfTrue="1">
      <formula>NOT(ISERROR(SEARCH("renovar",A763)))</formula>
    </cfRule>
  </conditionalFormatting>
  <conditionalFormatting sqref="A763:A764">
    <cfRule type="expression" dxfId="242" priority="154" stopIfTrue="1">
      <formula>NOT(ISERROR(SEARCH("Renovar",A763)))</formula>
    </cfRule>
  </conditionalFormatting>
  <conditionalFormatting sqref="A765:A766">
    <cfRule type="expression" dxfId="241" priority="155" stopIfTrue="1">
      <formula>NOT(ISERROR(SEARCH("renovar",A765)))</formula>
    </cfRule>
  </conditionalFormatting>
  <conditionalFormatting sqref="A765:A766">
    <cfRule type="expression" dxfId="240" priority="156" stopIfTrue="1">
      <formula>NOT(ISERROR(SEARCH("Renovar",A765)))</formula>
    </cfRule>
  </conditionalFormatting>
  <conditionalFormatting sqref="A767:A768">
    <cfRule type="expression" dxfId="239" priority="157" stopIfTrue="1">
      <formula>NOT(ISERROR(SEARCH("renovar",A767)))</formula>
    </cfRule>
  </conditionalFormatting>
  <conditionalFormatting sqref="A767:A768">
    <cfRule type="expression" dxfId="238" priority="158" stopIfTrue="1">
      <formula>NOT(ISERROR(SEARCH("Renovar",A767)))</formula>
    </cfRule>
  </conditionalFormatting>
  <conditionalFormatting sqref="A769:A770">
    <cfRule type="expression" dxfId="237" priority="159" stopIfTrue="1">
      <formula>NOT(ISERROR(SEARCH("renovar",A769)))</formula>
    </cfRule>
  </conditionalFormatting>
  <conditionalFormatting sqref="A769:A770">
    <cfRule type="expression" dxfId="236" priority="160" stopIfTrue="1">
      <formula>NOT(ISERROR(SEARCH("Renovar",A769)))</formula>
    </cfRule>
  </conditionalFormatting>
  <conditionalFormatting sqref="A771:A772">
    <cfRule type="expression" dxfId="235" priority="161" stopIfTrue="1">
      <formula>NOT(ISERROR(SEARCH("renovar",A771)))</formula>
    </cfRule>
  </conditionalFormatting>
  <conditionalFormatting sqref="A771:A772">
    <cfRule type="expression" dxfId="234" priority="162" stopIfTrue="1">
      <formula>NOT(ISERROR(SEARCH("Renovar",A771)))</formula>
    </cfRule>
  </conditionalFormatting>
  <conditionalFormatting sqref="A773:A774">
    <cfRule type="expression" dxfId="233" priority="163" stopIfTrue="1">
      <formula>NOT(ISERROR(SEARCH("renovar",A773)))</formula>
    </cfRule>
  </conditionalFormatting>
  <conditionalFormatting sqref="A773:A774">
    <cfRule type="expression" dxfId="232" priority="164" stopIfTrue="1">
      <formula>NOT(ISERROR(SEARCH("Renovar",A773)))</formula>
    </cfRule>
  </conditionalFormatting>
  <conditionalFormatting sqref="A775:A776">
    <cfRule type="expression" dxfId="231" priority="165" stopIfTrue="1">
      <formula>NOT(ISERROR(SEARCH("renovar",A775)))</formula>
    </cfRule>
  </conditionalFormatting>
  <conditionalFormatting sqref="A775:A776">
    <cfRule type="expression" dxfId="230" priority="166" stopIfTrue="1">
      <formula>NOT(ISERROR(SEARCH("Renovar",A775)))</formula>
    </cfRule>
  </conditionalFormatting>
  <conditionalFormatting sqref="A777:A778">
    <cfRule type="expression" dxfId="229" priority="167" stopIfTrue="1">
      <formula>NOT(ISERROR(SEARCH("renovar",A777)))</formula>
    </cfRule>
  </conditionalFormatting>
  <conditionalFormatting sqref="A777:A778">
    <cfRule type="expression" dxfId="228" priority="168" stopIfTrue="1">
      <formula>NOT(ISERROR(SEARCH("Renovar",A777)))</formula>
    </cfRule>
  </conditionalFormatting>
  <conditionalFormatting sqref="A779:A780">
    <cfRule type="expression" dxfId="227" priority="169" stopIfTrue="1">
      <formula>NOT(ISERROR(SEARCH("renovar",A779)))</formula>
    </cfRule>
  </conditionalFormatting>
  <conditionalFormatting sqref="A779:A780">
    <cfRule type="expression" dxfId="226" priority="170" stopIfTrue="1">
      <formula>NOT(ISERROR(SEARCH("Renovar",A779)))</formula>
    </cfRule>
  </conditionalFormatting>
  <conditionalFormatting sqref="A781:A782">
    <cfRule type="expression" dxfId="225" priority="171" stopIfTrue="1">
      <formula>NOT(ISERROR(SEARCH("renovar",A781)))</formula>
    </cfRule>
  </conditionalFormatting>
  <conditionalFormatting sqref="A781:A782">
    <cfRule type="expression" dxfId="224" priority="172" stopIfTrue="1">
      <formula>NOT(ISERROR(SEARCH("Renovar",A781)))</formula>
    </cfRule>
  </conditionalFormatting>
  <conditionalFormatting sqref="A783:A784">
    <cfRule type="expression" dxfId="223" priority="173" stopIfTrue="1">
      <formula>NOT(ISERROR(SEARCH("renovar",A783)))</formula>
    </cfRule>
  </conditionalFormatting>
  <conditionalFormatting sqref="A783:A784">
    <cfRule type="expression" dxfId="222" priority="174" stopIfTrue="1">
      <formula>NOT(ISERROR(SEARCH("Renovar",A783)))</formula>
    </cfRule>
  </conditionalFormatting>
  <conditionalFormatting sqref="A785:A786">
    <cfRule type="expression" dxfId="221" priority="175" stopIfTrue="1">
      <formula>NOT(ISERROR(SEARCH("renovar",A785)))</formula>
    </cfRule>
  </conditionalFormatting>
  <conditionalFormatting sqref="A785:A786">
    <cfRule type="expression" dxfId="220" priority="176" stopIfTrue="1">
      <formula>NOT(ISERROR(SEARCH("Renovar",A785)))</formula>
    </cfRule>
  </conditionalFormatting>
  <conditionalFormatting sqref="A787:A788">
    <cfRule type="expression" dxfId="219" priority="177" stopIfTrue="1">
      <formula>NOT(ISERROR(SEARCH("renovar",A787)))</formula>
    </cfRule>
  </conditionalFormatting>
  <conditionalFormatting sqref="A787:A788">
    <cfRule type="expression" dxfId="218" priority="178" stopIfTrue="1">
      <formula>NOT(ISERROR(SEARCH("Renovar",A787)))</formula>
    </cfRule>
  </conditionalFormatting>
  <conditionalFormatting sqref="A789:A790">
    <cfRule type="expression" dxfId="217" priority="179" stopIfTrue="1">
      <formula>NOT(ISERROR(SEARCH("renovar",A789)))</formula>
    </cfRule>
  </conditionalFormatting>
  <conditionalFormatting sqref="A789:A790">
    <cfRule type="expression" dxfId="216" priority="180" stopIfTrue="1">
      <formula>NOT(ISERROR(SEARCH("Renovar",A789)))</formula>
    </cfRule>
  </conditionalFormatting>
  <conditionalFormatting sqref="A791:A792">
    <cfRule type="expression" dxfId="215" priority="181" stopIfTrue="1">
      <formula>NOT(ISERROR(SEARCH("renovar",A791)))</formula>
    </cfRule>
  </conditionalFormatting>
  <conditionalFormatting sqref="A791:A792">
    <cfRule type="expression" dxfId="214" priority="182" stopIfTrue="1">
      <formula>NOT(ISERROR(SEARCH("Renovar",A791)))</formula>
    </cfRule>
  </conditionalFormatting>
  <conditionalFormatting sqref="A793:A794">
    <cfRule type="expression" dxfId="213" priority="183" stopIfTrue="1">
      <formula>NOT(ISERROR(SEARCH("renovar",A793)))</formula>
    </cfRule>
  </conditionalFormatting>
  <conditionalFormatting sqref="A793:A794">
    <cfRule type="expression" dxfId="212" priority="184" stopIfTrue="1">
      <formula>NOT(ISERROR(SEARCH("Renovar",A793)))</formula>
    </cfRule>
  </conditionalFormatting>
  <conditionalFormatting sqref="A795:A796">
    <cfRule type="expression" dxfId="211" priority="185" stopIfTrue="1">
      <formula>NOT(ISERROR(SEARCH("renovar",A795)))</formula>
    </cfRule>
  </conditionalFormatting>
  <conditionalFormatting sqref="A795:A796">
    <cfRule type="expression" dxfId="210" priority="186" stopIfTrue="1">
      <formula>NOT(ISERROR(SEARCH("Renovar",A795)))</formula>
    </cfRule>
  </conditionalFormatting>
  <conditionalFormatting sqref="A797:A798">
    <cfRule type="expression" dxfId="209" priority="187" stopIfTrue="1">
      <formula>NOT(ISERROR(SEARCH("renovar",A797)))</formula>
    </cfRule>
  </conditionalFormatting>
  <conditionalFormatting sqref="A797:A798">
    <cfRule type="expression" dxfId="208" priority="188" stopIfTrue="1">
      <formula>NOT(ISERROR(SEARCH("Renovar",A797)))</formula>
    </cfRule>
  </conditionalFormatting>
  <conditionalFormatting sqref="A799:A800">
    <cfRule type="expression" dxfId="207" priority="189" stopIfTrue="1">
      <formula>NOT(ISERROR(SEARCH("renovar",A799)))</formula>
    </cfRule>
  </conditionalFormatting>
  <conditionalFormatting sqref="A799:A800">
    <cfRule type="expression" dxfId="206" priority="190" stopIfTrue="1">
      <formula>NOT(ISERROR(SEARCH("Renovar",A799)))</formula>
    </cfRule>
  </conditionalFormatting>
  <conditionalFormatting sqref="A801:A802">
    <cfRule type="expression" dxfId="205" priority="191" stopIfTrue="1">
      <formula>NOT(ISERROR(SEARCH("renovar",A801)))</formula>
    </cfRule>
  </conditionalFormatting>
  <conditionalFormatting sqref="A801:A802">
    <cfRule type="expression" dxfId="204" priority="192" stopIfTrue="1">
      <formula>NOT(ISERROR(SEARCH("Renovar",A801)))</formula>
    </cfRule>
  </conditionalFormatting>
  <conditionalFormatting sqref="A803:A804">
    <cfRule type="expression" dxfId="203" priority="193" stopIfTrue="1">
      <formula>NOT(ISERROR(SEARCH("renovar",A803)))</formula>
    </cfRule>
  </conditionalFormatting>
  <conditionalFormatting sqref="A803:A804">
    <cfRule type="expression" dxfId="202" priority="194" stopIfTrue="1">
      <formula>NOT(ISERROR(SEARCH("Renovar",A803)))</formula>
    </cfRule>
  </conditionalFormatting>
  <conditionalFormatting sqref="A805:A806">
    <cfRule type="expression" dxfId="201" priority="195" stopIfTrue="1">
      <formula>NOT(ISERROR(SEARCH("renovar",A805)))</formula>
    </cfRule>
  </conditionalFormatting>
  <conditionalFormatting sqref="A805:A806">
    <cfRule type="expression" dxfId="200" priority="196" stopIfTrue="1">
      <formula>NOT(ISERROR(SEARCH("Renovar",A805)))</formula>
    </cfRule>
  </conditionalFormatting>
  <conditionalFormatting sqref="A807:A808">
    <cfRule type="expression" dxfId="199" priority="197" stopIfTrue="1">
      <formula>NOT(ISERROR(SEARCH("renovar",A807)))</formula>
    </cfRule>
  </conditionalFormatting>
  <conditionalFormatting sqref="A807:A808">
    <cfRule type="expression" dxfId="198" priority="198" stopIfTrue="1">
      <formula>NOT(ISERROR(SEARCH("Renovar",A807)))</formula>
    </cfRule>
  </conditionalFormatting>
  <hyperlinks>
    <hyperlink ref="K7" r:id="rId1" xr:uid="{00000000-0004-0000-0200-000000000000}"/>
    <hyperlink ref="Q7" r:id="rId2" xr:uid="{00000000-0004-0000-0200-000001000000}"/>
    <hyperlink ref="K9" r:id="rId3" xr:uid="{00000000-0004-0000-0200-000002000000}"/>
    <hyperlink ref="Q9" r:id="rId4" xr:uid="{00000000-0004-0000-0200-000003000000}"/>
    <hyperlink ref="K11" r:id="rId5" xr:uid="{00000000-0004-0000-0200-000004000000}"/>
    <hyperlink ref="Q11" r:id="rId6" xr:uid="{00000000-0004-0000-0200-000005000000}"/>
    <hyperlink ref="K13" r:id="rId7" xr:uid="{00000000-0004-0000-0200-000006000000}"/>
    <hyperlink ref="Q13" r:id="rId8" xr:uid="{00000000-0004-0000-0200-000007000000}"/>
    <hyperlink ref="K15" r:id="rId9" xr:uid="{00000000-0004-0000-0200-000008000000}"/>
    <hyperlink ref="Q15" r:id="rId10" xr:uid="{00000000-0004-0000-0200-000009000000}"/>
    <hyperlink ref="K17" r:id="rId11" xr:uid="{00000000-0004-0000-0200-00000A000000}"/>
    <hyperlink ref="Q17" r:id="rId12" xr:uid="{00000000-0004-0000-0200-00000B000000}"/>
    <hyperlink ref="K19" r:id="rId13" xr:uid="{00000000-0004-0000-0200-00000C000000}"/>
    <hyperlink ref="Q19" r:id="rId14" xr:uid="{00000000-0004-0000-0200-00000D000000}"/>
    <hyperlink ref="K21" r:id="rId15" xr:uid="{00000000-0004-0000-0200-00000E000000}"/>
    <hyperlink ref="Q21" r:id="rId16" xr:uid="{00000000-0004-0000-0200-00000F000000}"/>
    <hyperlink ref="K23" r:id="rId17" xr:uid="{00000000-0004-0000-0200-000010000000}"/>
    <hyperlink ref="Q23" r:id="rId18" xr:uid="{00000000-0004-0000-0200-000011000000}"/>
    <hyperlink ref="K25" r:id="rId19" xr:uid="{00000000-0004-0000-0200-000012000000}"/>
    <hyperlink ref="Q25" r:id="rId20" xr:uid="{00000000-0004-0000-0200-000013000000}"/>
    <hyperlink ref="K27" r:id="rId21" xr:uid="{00000000-0004-0000-0200-000014000000}"/>
    <hyperlink ref="Q27" r:id="rId22" xr:uid="{00000000-0004-0000-0200-000015000000}"/>
    <hyperlink ref="K29" r:id="rId23" xr:uid="{00000000-0004-0000-0200-000016000000}"/>
    <hyperlink ref="Q29" r:id="rId24" xr:uid="{00000000-0004-0000-0200-000017000000}"/>
    <hyperlink ref="K31" r:id="rId25" xr:uid="{00000000-0004-0000-0200-000018000000}"/>
    <hyperlink ref="Q31" r:id="rId26" xr:uid="{00000000-0004-0000-0200-000019000000}"/>
    <hyperlink ref="K33" r:id="rId27" xr:uid="{00000000-0004-0000-0200-00001A000000}"/>
    <hyperlink ref="Q33" r:id="rId28" xr:uid="{00000000-0004-0000-0200-00001B000000}"/>
    <hyperlink ref="K37" r:id="rId29" xr:uid="{00000000-0004-0000-0200-00001C000000}"/>
    <hyperlink ref="Q37" r:id="rId30" xr:uid="{00000000-0004-0000-0200-00001D000000}"/>
    <hyperlink ref="K39" r:id="rId31" xr:uid="{00000000-0004-0000-0200-00001E000000}"/>
    <hyperlink ref="Q39" r:id="rId32" xr:uid="{00000000-0004-0000-0200-00001F000000}"/>
    <hyperlink ref="K41" r:id="rId33" xr:uid="{00000000-0004-0000-0200-000020000000}"/>
    <hyperlink ref="Q41" r:id="rId34" xr:uid="{00000000-0004-0000-0200-000021000000}"/>
    <hyperlink ref="K43" r:id="rId35" xr:uid="{00000000-0004-0000-0200-000022000000}"/>
    <hyperlink ref="Q43" r:id="rId36" xr:uid="{00000000-0004-0000-0200-000023000000}"/>
    <hyperlink ref="K45" r:id="rId37" xr:uid="{00000000-0004-0000-0200-000024000000}"/>
    <hyperlink ref="Q45" r:id="rId38" xr:uid="{00000000-0004-0000-0200-000025000000}"/>
    <hyperlink ref="K47" r:id="rId39" xr:uid="{00000000-0004-0000-0200-000026000000}"/>
    <hyperlink ref="Q47" r:id="rId40" xr:uid="{00000000-0004-0000-0200-000027000000}"/>
    <hyperlink ref="K49" r:id="rId41" xr:uid="{00000000-0004-0000-0200-000028000000}"/>
    <hyperlink ref="Q49" r:id="rId42" xr:uid="{00000000-0004-0000-0200-000029000000}"/>
    <hyperlink ref="K51" r:id="rId43" xr:uid="{00000000-0004-0000-0200-00002A000000}"/>
    <hyperlink ref="Q51" r:id="rId44" xr:uid="{00000000-0004-0000-0200-00002B000000}"/>
    <hyperlink ref="K53" r:id="rId45" xr:uid="{00000000-0004-0000-0200-00002C000000}"/>
    <hyperlink ref="Q53" r:id="rId46" xr:uid="{00000000-0004-0000-0200-00002D000000}"/>
    <hyperlink ref="K55" r:id="rId47" xr:uid="{00000000-0004-0000-0200-00002E000000}"/>
    <hyperlink ref="Q55" r:id="rId48" xr:uid="{00000000-0004-0000-0200-00002F000000}"/>
    <hyperlink ref="K57" r:id="rId49" xr:uid="{00000000-0004-0000-0200-000030000000}"/>
    <hyperlink ref="Q57" r:id="rId50" xr:uid="{00000000-0004-0000-0200-000031000000}"/>
    <hyperlink ref="K59" r:id="rId51" xr:uid="{00000000-0004-0000-0200-000032000000}"/>
    <hyperlink ref="Q59" r:id="rId52" xr:uid="{00000000-0004-0000-0200-000033000000}"/>
    <hyperlink ref="K61" r:id="rId53" xr:uid="{00000000-0004-0000-0200-000034000000}"/>
    <hyperlink ref="Q61" r:id="rId54" xr:uid="{00000000-0004-0000-0200-000035000000}"/>
    <hyperlink ref="K63" r:id="rId55" xr:uid="{00000000-0004-0000-0200-000036000000}"/>
    <hyperlink ref="Q63" r:id="rId56" xr:uid="{00000000-0004-0000-0200-000037000000}"/>
    <hyperlink ref="K65" r:id="rId57" xr:uid="{00000000-0004-0000-0200-000038000000}"/>
    <hyperlink ref="Q65" r:id="rId58" xr:uid="{00000000-0004-0000-0200-000039000000}"/>
    <hyperlink ref="K69" r:id="rId59" xr:uid="{00000000-0004-0000-0200-00003A000000}"/>
    <hyperlink ref="Q69" r:id="rId60" xr:uid="{00000000-0004-0000-0200-00003B000000}"/>
    <hyperlink ref="K71" r:id="rId61" xr:uid="{00000000-0004-0000-0200-00003C000000}"/>
    <hyperlink ref="Q71" r:id="rId62" xr:uid="{00000000-0004-0000-0200-00003D000000}"/>
    <hyperlink ref="K73" r:id="rId63" xr:uid="{00000000-0004-0000-0200-00003E000000}"/>
    <hyperlink ref="Q73" r:id="rId64" xr:uid="{00000000-0004-0000-0200-00003F000000}"/>
    <hyperlink ref="K75" r:id="rId65" xr:uid="{00000000-0004-0000-0200-000040000000}"/>
    <hyperlink ref="Q75" r:id="rId66" xr:uid="{00000000-0004-0000-0200-000041000000}"/>
    <hyperlink ref="K77" r:id="rId67" xr:uid="{00000000-0004-0000-0200-000042000000}"/>
    <hyperlink ref="Q77" r:id="rId68" xr:uid="{00000000-0004-0000-0200-000043000000}"/>
    <hyperlink ref="K79" r:id="rId69" xr:uid="{00000000-0004-0000-0200-000044000000}"/>
    <hyperlink ref="Q79" r:id="rId70" xr:uid="{00000000-0004-0000-0200-000045000000}"/>
    <hyperlink ref="K81" r:id="rId71" xr:uid="{00000000-0004-0000-0200-000046000000}"/>
    <hyperlink ref="K83" r:id="rId72" xr:uid="{00000000-0004-0000-0200-000047000000}"/>
    <hyperlink ref="Q83" r:id="rId73" xr:uid="{00000000-0004-0000-0200-000048000000}"/>
    <hyperlink ref="K85" r:id="rId74" xr:uid="{00000000-0004-0000-0200-000049000000}"/>
    <hyperlink ref="Q85" r:id="rId75" xr:uid="{00000000-0004-0000-0200-00004A000000}"/>
    <hyperlink ref="K87" r:id="rId76" xr:uid="{00000000-0004-0000-0200-00004B000000}"/>
    <hyperlink ref="Q87" r:id="rId77" xr:uid="{00000000-0004-0000-0200-00004C000000}"/>
    <hyperlink ref="Q89" r:id="rId78" xr:uid="{00000000-0004-0000-0200-00004D000000}"/>
    <hyperlink ref="K91" r:id="rId79" xr:uid="{00000000-0004-0000-0200-00004E000000}"/>
    <hyperlink ref="Q91" r:id="rId80" xr:uid="{00000000-0004-0000-0200-00004F000000}"/>
    <hyperlink ref="Q93" r:id="rId81" xr:uid="{00000000-0004-0000-0200-000050000000}"/>
    <hyperlink ref="K95" r:id="rId82" xr:uid="{00000000-0004-0000-0200-000051000000}"/>
    <hyperlink ref="Q95" r:id="rId83" xr:uid="{00000000-0004-0000-0200-000052000000}"/>
    <hyperlink ref="K97" r:id="rId84" xr:uid="{00000000-0004-0000-0200-000053000000}"/>
    <hyperlink ref="Q97" r:id="rId85" xr:uid="{00000000-0004-0000-0200-000054000000}"/>
    <hyperlink ref="K99" r:id="rId86" xr:uid="{00000000-0004-0000-0200-000055000000}"/>
    <hyperlink ref="Q99" r:id="rId87" xr:uid="{00000000-0004-0000-0200-000056000000}"/>
    <hyperlink ref="K101" r:id="rId88" xr:uid="{00000000-0004-0000-0200-000057000000}"/>
    <hyperlink ref="Q105" r:id="rId89" xr:uid="{00000000-0004-0000-0200-000058000000}"/>
    <hyperlink ref="K107" r:id="rId90" xr:uid="{00000000-0004-0000-0200-000059000000}"/>
    <hyperlink ref="Q107" r:id="rId91" xr:uid="{00000000-0004-0000-0200-00005A000000}"/>
    <hyperlink ref="K109" r:id="rId92" xr:uid="{00000000-0004-0000-0200-00005B000000}"/>
    <hyperlink ref="Q109" r:id="rId93" xr:uid="{00000000-0004-0000-0200-00005C000000}"/>
    <hyperlink ref="K111" r:id="rId94" xr:uid="{00000000-0004-0000-0200-00005D000000}"/>
    <hyperlink ref="Q111" r:id="rId95" xr:uid="{00000000-0004-0000-0200-00005E000000}"/>
    <hyperlink ref="K113" r:id="rId96" xr:uid="{00000000-0004-0000-0200-00005F000000}"/>
    <hyperlink ref="K115" r:id="rId97" xr:uid="{00000000-0004-0000-0200-000060000000}"/>
    <hyperlink ref="Q115" r:id="rId98" xr:uid="{00000000-0004-0000-0200-000061000000}"/>
    <hyperlink ref="K117" r:id="rId99" xr:uid="{00000000-0004-0000-0200-000062000000}"/>
    <hyperlink ref="Q117" r:id="rId100" xr:uid="{00000000-0004-0000-0200-000063000000}"/>
    <hyperlink ref="Q119" r:id="rId101" xr:uid="{00000000-0004-0000-0200-000064000000}"/>
    <hyperlink ref="Q121" r:id="rId102" xr:uid="{00000000-0004-0000-0200-000065000000}"/>
    <hyperlink ref="Q123" r:id="rId103" xr:uid="{00000000-0004-0000-0200-000066000000}"/>
    <hyperlink ref="Q125" r:id="rId104" xr:uid="{00000000-0004-0000-0200-000067000000}"/>
    <hyperlink ref="K127" r:id="rId105" xr:uid="{00000000-0004-0000-0200-000068000000}"/>
    <hyperlink ref="Q127" r:id="rId106" xr:uid="{00000000-0004-0000-0200-000069000000}"/>
    <hyperlink ref="Q129" r:id="rId107" xr:uid="{00000000-0004-0000-0200-00006A000000}"/>
    <hyperlink ref="Q131" r:id="rId108" xr:uid="{00000000-0004-0000-0200-00006B000000}"/>
    <hyperlink ref="Q133" r:id="rId109" xr:uid="{00000000-0004-0000-0200-00006C000000}"/>
    <hyperlink ref="Q135" r:id="rId110" xr:uid="{00000000-0004-0000-0200-00006D000000}"/>
    <hyperlink ref="Q137" r:id="rId111" xr:uid="{00000000-0004-0000-0200-00006E000000}"/>
    <hyperlink ref="K139" r:id="rId112" xr:uid="{00000000-0004-0000-0200-00006F000000}"/>
    <hyperlink ref="Q141" r:id="rId113" xr:uid="{00000000-0004-0000-0200-000070000000}"/>
    <hyperlink ref="K143" r:id="rId114" xr:uid="{00000000-0004-0000-0200-000071000000}"/>
    <hyperlink ref="Q143" r:id="rId115" xr:uid="{00000000-0004-0000-0200-000072000000}"/>
    <hyperlink ref="K145" r:id="rId116" xr:uid="{00000000-0004-0000-0200-000073000000}"/>
    <hyperlink ref="Q145" r:id="rId117" xr:uid="{00000000-0004-0000-0200-000074000000}"/>
    <hyperlink ref="Q147" r:id="rId118" xr:uid="{00000000-0004-0000-0200-000075000000}"/>
    <hyperlink ref="K151" r:id="rId119" xr:uid="{00000000-0004-0000-0200-000076000000}"/>
    <hyperlink ref="Q151" r:id="rId120" xr:uid="{00000000-0004-0000-0200-000077000000}"/>
    <hyperlink ref="K153" r:id="rId121" xr:uid="{00000000-0004-0000-0200-000078000000}"/>
    <hyperlink ref="Q153" r:id="rId122" xr:uid="{00000000-0004-0000-0200-000079000000}"/>
    <hyperlink ref="K155" r:id="rId123" xr:uid="{00000000-0004-0000-0200-00007A000000}"/>
    <hyperlink ref="Q155" r:id="rId124" xr:uid="{00000000-0004-0000-0200-00007B000000}"/>
    <hyperlink ref="Q157" r:id="rId125" xr:uid="{00000000-0004-0000-0200-00007C000000}"/>
    <hyperlink ref="Q159" r:id="rId126" xr:uid="{00000000-0004-0000-0200-00007D000000}"/>
    <hyperlink ref="Q163" r:id="rId127" xr:uid="{00000000-0004-0000-0200-00007E000000}"/>
    <hyperlink ref="K165" r:id="rId128" xr:uid="{00000000-0004-0000-0200-00007F000000}"/>
    <hyperlink ref="Q165" r:id="rId129" xr:uid="{00000000-0004-0000-0200-000080000000}"/>
    <hyperlink ref="Q167" r:id="rId130" xr:uid="{00000000-0004-0000-0200-000081000000}"/>
    <hyperlink ref="K169" r:id="rId131" xr:uid="{00000000-0004-0000-0200-000082000000}"/>
    <hyperlink ref="Q169" r:id="rId132" xr:uid="{00000000-0004-0000-0200-000083000000}"/>
    <hyperlink ref="K173" r:id="rId133" xr:uid="{00000000-0004-0000-0200-000084000000}"/>
    <hyperlink ref="Q173" r:id="rId134" xr:uid="{00000000-0004-0000-0200-000085000000}"/>
    <hyperlink ref="K175" r:id="rId135" xr:uid="{00000000-0004-0000-0200-000086000000}"/>
    <hyperlink ref="Q175" r:id="rId136" xr:uid="{00000000-0004-0000-0200-000087000000}"/>
    <hyperlink ref="K179" r:id="rId137" xr:uid="{00000000-0004-0000-0200-000088000000}"/>
    <hyperlink ref="K183" r:id="rId138" xr:uid="{00000000-0004-0000-0200-000089000000}"/>
    <hyperlink ref="K185" r:id="rId139" xr:uid="{00000000-0004-0000-0200-00008A000000}"/>
    <hyperlink ref="Q185" r:id="rId140" xr:uid="{00000000-0004-0000-0200-00008B000000}"/>
    <hyperlink ref="K187" r:id="rId141" xr:uid="{00000000-0004-0000-0200-00008C000000}"/>
    <hyperlink ref="K189" r:id="rId142" xr:uid="{00000000-0004-0000-0200-00008D000000}"/>
    <hyperlink ref="K191" r:id="rId143" xr:uid="{00000000-0004-0000-0200-00008E000000}"/>
    <hyperlink ref="K195" r:id="rId144" xr:uid="{00000000-0004-0000-0200-00008F000000}"/>
    <hyperlink ref="K197" r:id="rId145" xr:uid="{00000000-0004-0000-0200-000090000000}"/>
    <hyperlink ref="K199" r:id="rId146" xr:uid="{00000000-0004-0000-0200-000091000000}"/>
    <hyperlink ref="K201" r:id="rId147" xr:uid="{00000000-0004-0000-0200-000092000000}"/>
    <hyperlink ref="K205" r:id="rId148" xr:uid="{00000000-0004-0000-0200-000093000000}"/>
    <hyperlink ref="K207" r:id="rId149" xr:uid="{00000000-0004-0000-0200-000094000000}"/>
    <hyperlink ref="Q207" r:id="rId150" xr:uid="{00000000-0004-0000-0200-000095000000}"/>
    <hyperlink ref="K209" r:id="rId151" xr:uid="{00000000-0004-0000-0200-000096000000}"/>
    <hyperlink ref="Q209" r:id="rId152" xr:uid="{00000000-0004-0000-0200-000097000000}"/>
    <hyperlink ref="Q211" r:id="rId153" xr:uid="{00000000-0004-0000-0200-000098000000}"/>
    <hyperlink ref="K212" r:id="rId154" xr:uid="{00000000-0004-0000-0200-000099000000}"/>
    <hyperlink ref="K213" r:id="rId155" xr:uid="{00000000-0004-0000-0200-00009A000000}"/>
    <hyperlink ref="Q213" r:id="rId156" xr:uid="{00000000-0004-0000-0200-00009B000000}"/>
    <hyperlink ref="K215" r:id="rId157" xr:uid="{00000000-0004-0000-0200-00009C000000}"/>
    <hyperlink ref="Q215" r:id="rId158" xr:uid="{00000000-0004-0000-0200-00009D000000}"/>
    <hyperlink ref="K217" r:id="rId159" xr:uid="{00000000-0004-0000-0200-00009E000000}"/>
    <hyperlink ref="Q217" r:id="rId160" xr:uid="{00000000-0004-0000-0200-00009F000000}"/>
    <hyperlink ref="K219" r:id="rId161" xr:uid="{00000000-0004-0000-0200-0000A0000000}"/>
    <hyperlink ref="K221" r:id="rId162" xr:uid="{00000000-0004-0000-0200-0000A1000000}"/>
    <hyperlink ref="Q221" r:id="rId163" xr:uid="{00000000-0004-0000-0200-0000A2000000}"/>
    <hyperlink ref="K223" r:id="rId164" xr:uid="{00000000-0004-0000-0200-0000A3000000}"/>
    <hyperlink ref="K225" r:id="rId165" xr:uid="{00000000-0004-0000-0200-0000A4000000}"/>
    <hyperlink ref="Q225" r:id="rId166" xr:uid="{00000000-0004-0000-0200-0000A5000000}"/>
    <hyperlink ref="K227" r:id="rId167" xr:uid="{00000000-0004-0000-0200-0000A6000000}"/>
    <hyperlink ref="Q227" r:id="rId168" xr:uid="{00000000-0004-0000-0200-0000A7000000}"/>
    <hyperlink ref="K229" r:id="rId169" xr:uid="{00000000-0004-0000-0200-0000A8000000}"/>
    <hyperlink ref="Q229" r:id="rId170" xr:uid="{00000000-0004-0000-0200-0000A9000000}"/>
    <hyperlink ref="K231" r:id="rId171" xr:uid="{00000000-0004-0000-0200-0000AA000000}"/>
    <hyperlink ref="Q231" r:id="rId172" xr:uid="{00000000-0004-0000-0200-0000AB000000}"/>
    <hyperlink ref="K233" r:id="rId173" xr:uid="{00000000-0004-0000-0200-0000AC000000}"/>
    <hyperlink ref="K235" r:id="rId174" xr:uid="{00000000-0004-0000-0200-0000AD000000}"/>
    <hyperlink ref="K237" r:id="rId175" xr:uid="{00000000-0004-0000-0200-0000AE000000}"/>
    <hyperlink ref="Q237" r:id="rId176" xr:uid="{00000000-0004-0000-0200-0000AF000000}"/>
    <hyperlink ref="K239" r:id="rId177" xr:uid="{00000000-0004-0000-0200-0000B0000000}"/>
    <hyperlink ref="K241" r:id="rId178" xr:uid="{00000000-0004-0000-0200-0000B1000000}"/>
    <hyperlink ref="K243" r:id="rId179" xr:uid="{00000000-0004-0000-0200-0000B2000000}"/>
    <hyperlink ref="Q243" r:id="rId180" xr:uid="{00000000-0004-0000-0200-0000B3000000}"/>
    <hyperlink ref="K245" r:id="rId181" xr:uid="{00000000-0004-0000-0200-0000B4000000}"/>
    <hyperlink ref="Q245" r:id="rId182" xr:uid="{00000000-0004-0000-0200-0000B5000000}"/>
    <hyperlink ref="K247" r:id="rId183" xr:uid="{00000000-0004-0000-0200-0000B6000000}"/>
    <hyperlink ref="K249" r:id="rId184" xr:uid="{00000000-0004-0000-0200-0000B7000000}"/>
    <hyperlink ref="Q249" r:id="rId185" xr:uid="{00000000-0004-0000-0200-0000B8000000}"/>
    <hyperlink ref="K251" r:id="rId186" xr:uid="{00000000-0004-0000-0200-0000B9000000}"/>
    <hyperlink ref="Q251" r:id="rId187" xr:uid="{00000000-0004-0000-0200-0000BA000000}"/>
    <hyperlink ref="K253" r:id="rId188" xr:uid="{00000000-0004-0000-0200-0000BB000000}"/>
    <hyperlink ref="Q253" r:id="rId189" xr:uid="{00000000-0004-0000-0200-0000BC000000}"/>
    <hyperlink ref="K257" r:id="rId190" xr:uid="{00000000-0004-0000-0200-0000BD000000}"/>
    <hyperlink ref="Q257" r:id="rId191" xr:uid="{00000000-0004-0000-0200-0000BE000000}"/>
    <hyperlink ref="K259" r:id="rId192" xr:uid="{00000000-0004-0000-0200-0000BF000000}"/>
    <hyperlink ref="Q259" r:id="rId193" xr:uid="{00000000-0004-0000-0200-0000C0000000}"/>
    <hyperlink ref="K261" r:id="rId194" xr:uid="{00000000-0004-0000-0200-0000C1000000}"/>
    <hyperlink ref="Q261" r:id="rId195" xr:uid="{00000000-0004-0000-0200-0000C2000000}"/>
    <hyperlink ref="K263" r:id="rId196" xr:uid="{00000000-0004-0000-0200-0000C3000000}"/>
    <hyperlink ref="Q265" r:id="rId197" xr:uid="{00000000-0004-0000-0200-0000C4000000}"/>
    <hyperlink ref="Q267" r:id="rId198" xr:uid="{00000000-0004-0000-0200-0000C5000000}"/>
    <hyperlink ref="K269" r:id="rId199" xr:uid="{00000000-0004-0000-0200-0000C6000000}"/>
    <hyperlink ref="Q269" r:id="rId200" xr:uid="{00000000-0004-0000-0200-0000C7000000}"/>
    <hyperlink ref="K271" r:id="rId201" xr:uid="{00000000-0004-0000-0200-0000C8000000}"/>
    <hyperlink ref="Q271" r:id="rId202" xr:uid="{00000000-0004-0000-0200-0000C9000000}"/>
    <hyperlink ref="K273" r:id="rId203" xr:uid="{00000000-0004-0000-0200-0000CA000000}"/>
    <hyperlink ref="K275" r:id="rId204" xr:uid="{00000000-0004-0000-0200-0000CB000000}"/>
    <hyperlink ref="Q277" r:id="rId205" xr:uid="{00000000-0004-0000-0200-0000CC000000}"/>
    <hyperlink ref="K279" r:id="rId206" xr:uid="{00000000-0004-0000-0200-0000CD000000}"/>
    <hyperlink ref="K281" r:id="rId207" xr:uid="{00000000-0004-0000-0200-0000CE000000}"/>
    <hyperlink ref="Q281" r:id="rId208" xr:uid="{00000000-0004-0000-0200-0000CF000000}"/>
    <hyperlink ref="K283" r:id="rId209" xr:uid="{00000000-0004-0000-0200-0000D0000000}"/>
    <hyperlink ref="Q283" r:id="rId210" xr:uid="{00000000-0004-0000-0200-0000D1000000}"/>
    <hyperlink ref="K285" r:id="rId211" xr:uid="{00000000-0004-0000-0200-0000D2000000}"/>
    <hyperlink ref="K287" r:id="rId212" xr:uid="{00000000-0004-0000-0200-0000D3000000}"/>
    <hyperlink ref="K289" r:id="rId213" xr:uid="{00000000-0004-0000-0200-0000D4000000}"/>
    <hyperlink ref="Q289" r:id="rId214" xr:uid="{00000000-0004-0000-0200-0000D5000000}"/>
    <hyperlink ref="K291" r:id="rId215" xr:uid="{00000000-0004-0000-0200-0000D6000000}"/>
    <hyperlink ref="Q291" r:id="rId216" xr:uid="{00000000-0004-0000-0200-0000D7000000}"/>
    <hyperlink ref="K293" r:id="rId217" xr:uid="{00000000-0004-0000-0200-0000D8000000}"/>
    <hyperlink ref="Q293" r:id="rId218" xr:uid="{00000000-0004-0000-0200-0000D9000000}"/>
    <hyperlink ref="K295" r:id="rId219" xr:uid="{00000000-0004-0000-0200-0000DA000000}"/>
    <hyperlink ref="Q295" r:id="rId220" xr:uid="{00000000-0004-0000-0200-0000DB000000}"/>
    <hyperlink ref="K297" r:id="rId221" xr:uid="{00000000-0004-0000-0200-0000DC000000}"/>
    <hyperlink ref="Q297" r:id="rId222" xr:uid="{00000000-0004-0000-0200-0000DD000000}"/>
    <hyperlink ref="K299" r:id="rId223" xr:uid="{00000000-0004-0000-0200-0000DE000000}"/>
    <hyperlink ref="Q299" r:id="rId224" xr:uid="{00000000-0004-0000-0200-0000DF000000}"/>
    <hyperlink ref="K301" r:id="rId225" xr:uid="{00000000-0004-0000-0200-0000E0000000}"/>
    <hyperlink ref="Q301" r:id="rId226" xr:uid="{00000000-0004-0000-0200-0000E1000000}"/>
    <hyperlink ref="K303" r:id="rId227" xr:uid="{00000000-0004-0000-0200-0000E2000000}"/>
    <hyperlink ref="Q303" r:id="rId228" xr:uid="{00000000-0004-0000-0200-0000E3000000}"/>
    <hyperlink ref="K307" r:id="rId229" xr:uid="{00000000-0004-0000-0200-0000E4000000}"/>
    <hyperlink ref="Q307" r:id="rId230" xr:uid="{00000000-0004-0000-0200-0000E5000000}"/>
    <hyperlink ref="Q309" r:id="rId231" xr:uid="{00000000-0004-0000-0200-0000E6000000}"/>
    <hyperlink ref="K311" r:id="rId232" xr:uid="{00000000-0004-0000-0200-0000E7000000}"/>
    <hyperlink ref="Q311" r:id="rId233" xr:uid="{00000000-0004-0000-0200-0000E8000000}"/>
    <hyperlink ref="K313" r:id="rId234" xr:uid="{00000000-0004-0000-0200-0000E9000000}"/>
    <hyperlink ref="Q313" r:id="rId235" xr:uid="{00000000-0004-0000-0200-0000EA000000}"/>
    <hyperlink ref="K315" r:id="rId236" xr:uid="{00000000-0004-0000-0200-0000EB000000}"/>
    <hyperlink ref="K317" r:id="rId237" xr:uid="{00000000-0004-0000-0200-0000EC000000}"/>
    <hyperlink ref="Q317" r:id="rId238" xr:uid="{00000000-0004-0000-0200-0000ED000000}"/>
    <hyperlink ref="Q319" r:id="rId239" xr:uid="{00000000-0004-0000-0200-0000EE000000}"/>
    <hyperlink ref="K321" r:id="rId240" xr:uid="{00000000-0004-0000-0200-0000EF000000}"/>
    <hyperlink ref="K323" r:id="rId241" xr:uid="{00000000-0004-0000-0200-0000F0000000}"/>
    <hyperlink ref="Q323" r:id="rId242" xr:uid="{00000000-0004-0000-0200-0000F1000000}"/>
    <hyperlink ref="K325" r:id="rId243" xr:uid="{00000000-0004-0000-0200-0000F2000000}"/>
    <hyperlink ref="Q325" r:id="rId244" xr:uid="{00000000-0004-0000-0200-0000F3000000}"/>
    <hyperlink ref="K327" r:id="rId245" xr:uid="{00000000-0004-0000-0200-0000F4000000}"/>
    <hyperlink ref="Q327" r:id="rId246" xr:uid="{00000000-0004-0000-0200-0000F5000000}"/>
    <hyperlink ref="Q329" r:id="rId247" xr:uid="{00000000-0004-0000-0200-0000F6000000}"/>
    <hyperlink ref="K331" r:id="rId248" xr:uid="{00000000-0004-0000-0200-0000F7000000}"/>
    <hyperlink ref="Q331" r:id="rId249" xr:uid="{00000000-0004-0000-0200-0000F8000000}"/>
    <hyperlink ref="K333" r:id="rId250" xr:uid="{00000000-0004-0000-0200-0000F9000000}"/>
    <hyperlink ref="Q333" r:id="rId251" xr:uid="{00000000-0004-0000-0200-0000FA000000}"/>
    <hyperlink ref="K335" r:id="rId252" xr:uid="{00000000-0004-0000-0200-0000FB000000}"/>
    <hyperlink ref="Q335" r:id="rId253" xr:uid="{00000000-0004-0000-0200-0000FC000000}"/>
    <hyperlink ref="K337" r:id="rId254" xr:uid="{00000000-0004-0000-0200-0000FD000000}"/>
    <hyperlink ref="K339" r:id="rId255" xr:uid="{00000000-0004-0000-0200-0000FE000000}"/>
    <hyperlink ref="K341" r:id="rId256" xr:uid="{00000000-0004-0000-0200-0000FF000000}"/>
    <hyperlink ref="Q341" r:id="rId257" xr:uid="{00000000-0004-0000-0200-000000010000}"/>
  </hyperlinks>
  <pageMargins left="0.7" right="0.7" top="0.75" bottom="0.75" header="0" footer="0"/>
  <pageSetup orientation="portrait"/>
  <drawing r:id="rId258"/>
  <legacyDrawing r:id="rId25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S808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10" defaultColWidth="14.44140625" defaultRowHeight="15" customHeight="1"/>
  <cols>
    <col min="1" max="1" width="4.6640625" customWidth="1"/>
    <col min="2" max="2" width="18" customWidth="1"/>
    <col min="3" max="3" width="4.33203125" customWidth="1"/>
    <col min="4" max="4" width="5.44140625" customWidth="1"/>
    <col min="5" max="5" width="29.109375" customWidth="1"/>
    <col min="6" max="6" width="14.109375" customWidth="1"/>
    <col min="7" max="7" width="15.88671875" customWidth="1"/>
    <col min="8" max="8" width="15.109375" customWidth="1"/>
    <col min="9" max="9" width="16.109375" customWidth="1"/>
    <col min="10" max="10" width="4.88671875" customWidth="1"/>
    <col min="11" max="11" width="30.109375" customWidth="1"/>
    <col min="12" max="12" width="15.109375" customWidth="1"/>
    <col min="13" max="13" width="47" customWidth="1"/>
    <col min="14" max="14" width="31.109375" customWidth="1"/>
    <col min="15" max="15" width="13.109375" customWidth="1"/>
    <col min="16" max="16" width="27.6640625" customWidth="1"/>
    <col min="17" max="17" width="31.6640625" customWidth="1"/>
    <col min="18" max="18" width="15.109375" customWidth="1"/>
    <col min="19" max="19" width="27.33203125" customWidth="1"/>
    <col min="20" max="20" width="20.44140625" customWidth="1"/>
    <col min="21" max="21" width="11.6640625" hidden="1" customWidth="1"/>
    <col min="22" max="22" width="13.44140625" hidden="1" customWidth="1"/>
    <col min="23" max="23" width="22.109375" hidden="1" customWidth="1"/>
    <col min="24" max="24" width="19" customWidth="1"/>
    <col min="25" max="25" width="14" customWidth="1"/>
    <col min="26" max="26" width="17.88671875" customWidth="1"/>
    <col min="27" max="28" width="11.44140625" customWidth="1"/>
    <col min="29" max="29" width="15.109375" customWidth="1"/>
    <col min="30" max="31" width="11.44140625" customWidth="1"/>
    <col min="32" max="32" width="9.5546875" customWidth="1"/>
    <col min="33" max="34" width="11.44140625" customWidth="1"/>
    <col min="35" max="35" width="9.88671875" customWidth="1"/>
    <col min="36" max="37" width="11.44140625" customWidth="1"/>
    <col min="38" max="38" width="10.5546875" customWidth="1"/>
    <col min="39" max="44" width="11.44140625" customWidth="1"/>
  </cols>
  <sheetData>
    <row r="1" spans="1:45" ht="14.4">
      <c r="A1" s="1" t="s">
        <v>2573</v>
      </c>
      <c r="B1" s="201" t="s">
        <v>2551</v>
      </c>
      <c r="C1" s="201"/>
      <c r="D1" s="711"/>
      <c r="E1" s="686"/>
      <c r="F1" s="713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714" t="s">
        <v>2552</v>
      </c>
      <c r="V1" s="686"/>
      <c r="W1" s="3"/>
      <c r="X1" s="4"/>
      <c r="Y1" s="5"/>
      <c r="Z1" s="6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7"/>
      <c r="AS1" s="3"/>
    </row>
    <row r="2" spans="1:45" ht="14.4">
      <c r="A2" s="8"/>
      <c r="B2" s="203" t="s">
        <v>2553</v>
      </c>
      <c r="C2" s="203"/>
      <c r="D2" s="712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86"/>
      <c r="Q2" s="686"/>
      <c r="R2" s="686"/>
      <c r="S2" s="686"/>
      <c r="T2" s="686"/>
      <c r="U2" s="686"/>
      <c r="V2" s="686"/>
      <c r="X2" s="9"/>
      <c r="Y2" s="10"/>
      <c r="Z2" s="6"/>
      <c r="AC2" s="11"/>
      <c r="AR2" s="12"/>
    </row>
    <row r="3" spans="1:45" ht="12" customHeight="1">
      <c r="A3" s="8"/>
      <c r="B3" s="203" t="s">
        <v>2554</v>
      </c>
      <c r="C3" s="203"/>
      <c r="D3" s="692"/>
      <c r="E3" s="688"/>
      <c r="F3" s="688"/>
      <c r="G3" s="688"/>
      <c r="H3" s="688"/>
      <c r="I3" s="688"/>
      <c r="J3" s="688"/>
      <c r="K3" s="688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X3" s="9"/>
      <c r="Y3" s="10"/>
      <c r="Z3" s="6"/>
      <c r="AC3" s="11"/>
      <c r="AR3" s="12"/>
    </row>
    <row r="4" spans="1:45" ht="14.25" customHeight="1">
      <c r="A4" s="204"/>
      <c r="B4" s="203" t="s">
        <v>2555</v>
      </c>
      <c r="C4" s="203"/>
      <c r="D4" s="715"/>
      <c r="E4" s="690"/>
      <c r="F4" s="690"/>
      <c r="G4" s="690"/>
      <c r="H4" s="690"/>
      <c r="I4" s="690"/>
      <c r="J4" s="690"/>
      <c r="K4" s="690"/>
      <c r="L4" s="690"/>
      <c r="M4" s="691"/>
      <c r="N4" s="716" t="s">
        <v>2556</v>
      </c>
      <c r="O4" s="690"/>
      <c r="P4" s="690"/>
      <c r="Q4" s="691"/>
      <c r="R4" s="717" t="s">
        <v>2557</v>
      </c>
      <c r="S4" s="681"/>
      <c r="T4" s="681"/>
      <c r="U4" s="681"/>
      <c r="V4" s="681"/>
      <c r="W4" s="205" t="s">
        <v>4</v>
      </c>
      <c r="X4" s="718" t="s">
        <v>5</v>
      </c>
      <c r="Y4" s="698"/>
      <c r="Z4" s="698"/>
      <c r="AA4" s="698"/>
      <c r="AB4" s="698"/>
      <c r="AC4" s="698"/>
      <c r="AD4" s="698"/>
      <c r="AE4" s="698"/>
      <c r="AF4" s="698"/>
      <c r="AG4" s="698"/>
      <c r="AH4" s="698"/>
      <c r="AI4" s="698"/>
      <c r="AJ4" s="698"/>
      <c r="AK4" s="698"/>
      <c r="AL4" s="698"/>
      <c r="AM4" s="698"/>
      <c r="AN4" s="698"/>
      <c r="AO4" s="698"/>
      <c r="AP4" s="698"/>
      <c r="AQ4" s="698"/>
      <c r="AR4" s="699"/>
      <c r="AS4" s="206"/>
    </row>
    <row r="5" spans="1:45" ht="12.75" customHeight="1">
      <c r="A5" s="207"/>
      <c r="B5" s="203" t="s">
        <v>2558</v>
      </c>
      <c r="C5" s="203"/>
      <c r="D5" s="692"/>
      <c r="E5" s="688"/>
      <c r="F5" s="688"/>
      <c r="G5" s="688"/>
      <c r="H5" s="688"/>
      <c r="I5" s="688"/>
      <c r="J5" s="688"/>
      <c r="K5" s="688"/>
      <c r="L5" s="688"/>
      <c r="M5" s="693"/>
      <c r="N5" s="692"/>
      <c r="O5" s="688"/>
      <c r="P5" s="688"/>
      <c r="Q5" s="693"/>
      <c r="R5" s="708" t="s">
        <v>6</v>
      </c>
      <c r="S5" s="682"/>
      <c r="T5" s="709" t="s">
        <v>7</v>
      </c>
      <c r="U5" s="681"/>
      <c r="V5" s="681"/>
      <c r="W5" s="205"/>
      <c r="X5" s="710" t="s">
        <v>8</v>
      </c>
      <c r="Y5" s="681"/>
      <c r="Z5" s="682"/>
      <c r="AA5" s="710" t="s">
        <v>9</v>
      </c>
      <c r="AB5" s="681"/>
      <c r="AC5" s="682"/>
      <c r="AD5" s="710" t="s">
        <v>10</v>
      </c>
      <c r="AE5" s="681"/>
      <c r="AF5" s="682"/>
      <c r="AG5" s="710" t="s">
        <v>11</v>
      </c>
      <c r="AH5" s="681"/>
      <c r="AI5" s="682"/>
      <c r="AJ5" s="710" t="s">
        <v>12</v>
      </c>
      <c r="AK5" s="681"/>
      <c r="AL5" s="682"/>
      <c r="AM5" s="710" t="s">
        <v>13</v>
      </c>
      <c r="AN5" s="681"/>
      <c r="AO5" s="682"/>
      <c r="AP5" s="710" t="s">
        <v>14</v>
      </c>
      <c r="AQ5" s="681"/>
      <c r="AR5" s="682"/>
      <c r="AS5" s="206"/>
    </row>
    <row r="6" spans="1:45" ht="38.25" customHeight="1">
      <c r="A6" s="208"/>
      <c r="B6" s="351" t="s">
        <v>15</v>
      </c>
      <c r="C6" s="351"/>
      <c r="D6" s="351" t="s">
        <v>2559</v>
      </c>
      <c r="E6" s="351" t="s">
        <v>17</v>
      </c>
      <c r="F6" s="351" t="s">
        <v>16</v>
      </c>
      <c r="G6" s="351" t="s">
        <v>18</v>
      </c>
      <c r="H6" s="351" t="s">
        <v>19</v>
      </c>
      <c r="I6" s="351" t="s">
        <v>20</v>
      </c>
      <c r="J6" s="351" t="s">
        <v>21</v>
      </c>
      <c r="K6" s="351" t="s">
        <v>22</v>
      </c>
      <c r="L6" s="352" t="s">
        <v>23</v>
      </c>
      <c r="M6" s="353" t="s">
        <v>24</v>
      </c>
      <c r="N6" s="354" t="s">
        <v>25</v>
      </c>
      <c r="O6" s="351" t="s">
        <v>26</v>
      </c>
      <c r="P6" s="355" t="s">
        <v>27</v>
      </c>
      <c r="Q6" s="356" t="s">
        <v>28</v>
      </c>
      <c r="R6" s="354" t="s">
        <v>29</v>
      </c>
      <c r="S6" s="354" t="s">
        <v>30</v>
      </c>
      <c r="T6" s="354" t="s">
        <v>31</v>
      </c>
      <c r="U6" s="351" t="s">
        <v>32</v>
      </c>
      <c r="V6" s="357" t="s">
        <v>33</v>
      </c>
      <c r="W6" s="205"/>
      <c r="X6" s="217" t="s">
        <v>34</v>
      </c>
      <c r="Y6" s="218" t="s">
        <v>35</v>
      </c>
      <c r="Z6" s="219" t="s">
        <v>36</v>
      </c>
      <c r="AA6" s="220" t="s">
        <v>34</v>
      </c>
      <c r="AB6" s="218" t="s">
        <v>35</v>
      </c>
      <c r="AC6" s="219" t="s">
        <v>36</v>
      </c>
      <c r="AD6" s="220" t="s">
        <v>34</v>
      </c>
      <c r="AE6" s="218" t="s">
        <v>35</v>
      </c>
      <c r="AF6" s="219" t="s">
        <v>36</v>
      </c>
      <c r="AG6" s="221" t="s">
        <v>37</v>
      </c>
      <c r="AH6" s="222" t="s">
        <v>38</v>
      </c>
      <c r="AI6" s="223" t="s">
        <v>39</v>
      </c>
      <c r="AJ6" s="221" t="s">
        <v>37</v>
      </c>
      <c r="AK6" s="222" t="s">
        <v>38</v>
      </c>
      <c r="AL6" s="223" t="s">
        <v>39</v>
      </c>
      <c r="AM6" s="221" t="s">
        <v>37</v>
      </c>
      <c r="AN6" s="222" t="s">
        <v>38</v>
      </c>
      <c r="AO6" s="223" t="s">
        <v>39</v>
      </c>
      <c r="AP6" s="221" t="s">
        <v>37</v>
      </c>
      <c r="AQ6" s="222" t="s">
        <v>38</v>
      </c>
      <c r="AR6" s="223" t="s">
        <v>39</v>
      </c>
      <c r="AS6" s="224"/>
    </row>
    <row r="7" spans="1:45" ht="13.5" hidden="1" customHeight="1">
      <c r="A7" s="12"/>
      <c r="B7" s="358" t="s">
        <v>40</v>
      </c>
      <c r="C7" s="359">
        <v>1</v>
      </c>
      <c r="D7" s="359">
        <v>1</v>
      </c>
      <c r="E7" s="360" t="s">
        <v>42</v>
      </c>
      <c r="F7" s="230" t="s">
        <v>41</v>
      </c>
      <c r="G7" s="361" t="s">
        <v>43</v>
      </c>
      <c r="H7" s="362">
        <v>34427327</v>
      </c>
      <c r="I7" s="230">
        <v>40647</v>
      </c>
      <c r="J7" s="230">
        <v>12</v>
      </c>
      <c r="K7" s="363" t="s">
        <v>44</v>
      </c>
      <c r="L7" s="364" t="s">
        <v>45</v>
      </c>
      <c r="M7" s="365" t="s">
        <v>46</v>
      </c>
      <c r="N7" s="366" t="s">
        <v>47</v>
      </c>
      <c r="O7" s="367">
        <v>10277817</v>
      </c>
      <c r="P7" s="368" t="s">
        <v>48</v>
      </c>
      <c r="Q7" s="369" t="s">
        <v>49</v>
      </c>
      <c r="R7" s="370" t="s">
        <v>50</v>
      </c>
      <c r="S7" s="370" t="s">
        <v>51</v>
      </c>
      <c r="T7" s="371" t="s">
        <v>52</v>
      </c>
      <c r="U7" s="372" t="s">
        <v>53</v>
      </c>
      <c r="V7" s="373">
        <v>400</v>
      </c>
      <c r="W7" s="374" t="s">
        <v>54</v>
      </c>
      <c r="X7" s="375">
        <v>45208</v>
      </c>
      <c r="Y7" s="376" t="s">
        <v>50</v>
      </c>
      <c r="Z7" s="377">
        <v>400</v>
      </c>
      <c r="AA7" s="325"/>
      <c r="AB7" s="378"/>
      <c r="AC7" s="377"/>
      <c r="AD7" s="325"/>
      <c r="AE7" s="378"/>
      <c r="AF7" s="377"/>
      <c r="AG7" s="325"/>
      <c r="AH7" s="378"/>
      <c r="AI7" s="377"/>
      <c r="AJ7" s="325"/>
      <c r="AK7" s="378"/>
      <c r="AL7" s="377"/>
      <c r="AM7" s="325"/>
      <c r="AN7" s="379"/>
      <c r="AO7" s="380"/>
      <c r="AP7" s="359"/>
      <c r="AQ7" s="230"/>
      <c r="AR7" s="381"/>
      <c r="AS7" s="202"/>
    </row>
    <row r="8" spans="1:45" ht="14.25" hidden="1" customHeight="1">
      <c r="A8" s="12"/>
      <c r="B8" s="358"/>
      <c r="C8" s="359"/>
      <c r="D8" s="359"/>
      <c r="E8" s="360"/>
      <c r="F8" s="230"/>
      <c r="G8" s="378"/>
      <c r="H8" s="230"/>
      <c r="I8" s="230"/>
      <c r="J8" s="230"/>
      <c r="K8" s="230"/>
      <c r="L8" s="364"/>
      <c r="M8" s="365"/>
      <c r="N8" s="366"/>
      <c r="O8" s="367"/>
      <c r="P8" s="368"/>
      <c r="Q8" s="382"/>
      <c r="R8" s="370"/>
      <c r="S8" s="370"/>
      <c r="T8" s="371"/>
      <c r="U8" s="372"/>
      <c r="V8" s="373"/>
      <c r="W8" s="383"/>
      <c r="X8" s="375"/>
      <c r="Y8" s="376"/>
      <c r="Z8" s="377"/>
      <c r="AA8" s="325"/>
      <c r="AB8" s="378"/>
      <c r="AC8" s="377"/>
      <c r="AD8" s="325"/>
      <c r="AE8" s="378"/>
      <c r="AF8" s="377"/>
      <c r="AG8" s="325"/>
      <c r="AH8" s="378"/>
      <c r="AI8" s="377"/>
      <c r="AJ8" s="325"/>
      <c r="AK8" s="378"/>
      <c r="AL8" s="377"/>
      <c r="AM8" s="325"/>
      <c r="AN8" s="379"/>
      <c r="AO8" s="380"/>
      <c r="AP8" s="359"/>
      <c r="AQ8" s="230"/>
      <c r="AR8" s="381"/>
      <c r="AS8" s="202"/>
    </row>
    <row r="9" spans="1:45" ht="12.75" hidden="1" customHeight="1">
      <c r="A9" s="12"/>
      <c r="B9" s="358" t="s">
        <v>40</v>
      </c>
      <c r="C9" s="359">
        <v>2</v>
      </c>
      <c r="D9" s="359">
        <v>2</v>
      </c>
      <c r="E9" s="360" t="s">
        <v>56</v>
      </c>
      <c r="F9" s="230" t="s">
        <v>55</v>
      </c>
      <c r="G9" s="361" t="s">
        <v>43</v>
      </c>
      <c r="H9" s="362">
        <v>32056776</v>
      </c>
      <c r="I9" s="230">
        <v>39312</v>
      </c>
      <c r="J9" s="230">
        <v>16</v>
      </c>
      <c r="K9" s="363" t="s">
        <v>57</v>
      </c>
      <c r="L9" s="364" t="s">
        <v>58</v>
      </c>
      <c r="M9" s="365" t="s">
        <v>59</v>
      </c>
      <c r="N9" s="366" t="s">
        <v>60</v>
      </c>
      <c r="O9" s="362">
        <v>6965128</v>
      </c>
      <c r="P9" s="368" t="s">
        <v>61</v>
      </c>
      <c r="Q9" s="369" t="s">
        <v>62</v>
      </c>
      <c r="R9" s="370" t="s">
        <v>63</v>
      </c>
      <c r="S9" s="370" t="s">
        <v>64</v>
      </c>
      <c r="T9" s="371" t="s">
        <v>65</v>
      </c>
      <c r="U9" s="384" t="s">
        <v>66</v>
      </c>
      <c r="V9" s="373">
        <v>702</v>
      </c>
      <c r="W9" s="385" t="s">
        <v>54</v>
      </c>
      <c r="X9" s="386">
        <v>45233</v>
      </c>
      <c r="Y9" s="387" t="s">
        <v>63</v>
      </c>
      <c r="Z9" s="388" t="s">
        <v>67</v>
      </c>
      <c r="AA9" s="389"/>
      <c r="AB9" s="390"/>
      <c r="AC9" s="388"/>
      <c r="AD9" s="389"/>
      <c r="AE9" s="390"/>
      <c r="AF9" s="388"/>
      <c r="AG9" s="389"/>
      <c r="AH9" s="390"/>
      <c r="AI9" s="388" t="s">
        <v>68</v>
      </c>
      <c r="AJ9" s="325"/>
      <c r="AK9" s="378"/>
      <c r="AL9" s="377"/>
      <c r="AM9" s="325"/>
      <c r="AN9" s="378"/>
      <c r="AO9" s="377"/>
      <c r="AP9" s="325"/>
      <c r="AQ9" s="378"/>
      <c r="AR9" s="377"/>
      <c r="AS9" s="202" t="s">
        <v>68</v>
      </c>
    </row>
    <row r="10" spans="1:45" ht="13.5" hidden="1" customHeight="1">
      <c r="A10" s="12"/>
      <c r="B10" s="358"/>
      <c r="C10" s="359"/>
      <c r="D10" s="359"/>
      <c r="E10" s="360"/>
      <c r="F10" s="230"/>
      <c r="G10" s="378"/>
      <c r="H10" s="230"/>
      <c r="I10" s="230"/>
      <c r="J10" s="230"/>
      <c r="K10" s="230"/>
      <c r="L10" s="364"/>
      <c r="M10" s="365"/>
      <c r="N10" s="366"/>
      <c r="O10" s="230"/>
      <c r="P10" s="368"/>
      <c r="Q10" s="391"/>
      <c r="R10" s="370"/>
      <c r="S10" s="370"/>
      <c r="T10" s="371"/>
      <c r="U10" s="384"/>
      <c r="V10" s="373"/>
      <c r="W10" s="392"/>
      <c r="X10" s="393"/>
      <c r="Y10" s="376"/>
      <c r="Z10" s="394"/>
      <c r="AA10" s="395"/>
      <c r="AB10" s="396"/>
      <c r="AC10" s="394"/>
      <c r="AD10" s="395"/>
      <c r="AE10" s="396"/>
      <c r="AF10" s="394"/>
      <c r="AG10" s="395"/>
      <c r="AH10" s="396"/>
      <c r="AI10" s="394"/>
      <c r="AJ10" s="325"/>
      <c r="AK10" s="378"/>
      <c r="AL10" s="377"/>
      <c r="AM10" s="325"/>
      <c r="AN10" s="378"/>
      <c r="AO10" s="377"/>
      <c r="AP10" s="325"/>
      <c r="AQ10" s="378"/>
      <c r="AR10" s="377"/>
      <c r="AS10" s="202"/>
    </row>
    <row r="11" spans="1:45" ht="13.5" hidden="1" customHeight="1">
      <c r="A11" s="12"/>
      <c r="B11" s="358" t="s">
        <v>40</v>
      </c>
      <c r="C11" s="359">
        <v>3</v>
      </c>
      <c r="D11" s="359">
        <v>3</v>
      </c>
      <c r="E11" s="360" t="s">
        <v>70</v>
      </c>
      <c r="F11" s="230" t="s">
        <v>69</v>
      </c>
      <c r="G11" s="361" t="s">
        <v>43</v>
      </c>
      <c r="H11" s="362">
        <v>32947324</v>
      </c>
      <c r="I11" s="230">
        <v>39700</v>
      </c>
      <c r="J11" s="230">
        <v>15</v>
      </c>
      <c r="K11" s="363" t="s">
        <v>71</v>
      </c>
      <c r="L11" s="364" t="s">
        <v>72</v>
      </c>
      <c r="M11" s="365" t="s">
        <v>73</v>
      </c>
      <c r="N11" s="366" t="s">
        <v>74</v>
      </c>
      <c r="O11" s="367">
        <v>13066018</v>
      </c>
      <c r="P11" s="368" t="s">
        <v>75</v>
      </c>
      <c r="Q11" s="397" t="s">
        <v>71</v>
      </c>
      <c r="R11" s="370" t="s">
        <v>76</v>
      </c>
      <c r="S11" s="370" t="s">
        <v>77</v>
      </c>
      <c r="T11" s="371"/>
      <c r="U11" s="384"/>
      <c r="V11" s="373"/>
      <c r="W11" s="398" t="s">
        <v>78</v>
      </c>
      <c r="X11" s="386">
        <v>45241</v>
      </c>
      <c r="Y11" s="372" t="s">
        <v>76</v>
      </c>
      <c r="Z11" s="381"/>
      <c r="AA11" s="359"/>
      <c r="AB11" s="230"/>
      <c r="AC11" s="381"/>
      <c r="AD11" s="359"/>
      <c r="AE11" s="230"/>
      <c r="AF11" s="381"/>
      <c r="AG11" s="359"/>
      <c r="AH11" s="230"/>
      <c r="AI11" s="381"/>
      <c r="AJ11" s="359"/>
      <c r="AK11" s="230"/>
      <c r="AL11" s="381"/>
      <c r="AM11" s="359"/>
      <c r="AN11" s="230"/>
      <c r="AO11" s="381"/>
      <c r="AP11" s="359"/>
      <c r="AQ11" s="230"/>
      <c r="AR11" s="381"/>
      <c r="AS11" s="202"/>
    </row>
    <row r="12" spans="1:45" ht="14.25" hidden="1" customHeight="1">
      <c r="A12" s="12"/>
      <c r="B12" s="358"/>
      <c r="C12" s="359"/>
      <c r="D12" s="359"/>
      <c r="E12" s="360"/>
      <c r="F12" s="230"/>
      <c r="G12" s="378"/>
      <c r="H12" s="362"/>
      <c r="I12" s="230"/>
      <c r="J12" s="230"/>
      <c r="K12" s="368"/>
      <c r="L12" s="364"/>
      <c r="M12" s="365"/>
      <c r="N12" s="366"/>
      <c r="O12" s="367"/>
      <c r="P12" s="368"/>
      <c r="Q12" s="399"/>
      <c r="R12" s="370"/>
      <c r="S12" s="370"/>
      <c r="T12" s="371"/>
      <c r="U12" s="384"/>
      <c r="V12" s="373"/>
      <c r="W12" s="400"/>
      <c r="X12" s="393"/>
      <c r="Y12" s="372"/>
      <c r="Z12" s="381"/>
      <c r="AA12" s="359"/>
      <c r="AB12" s="230"/>
      <c r="AC12" s="381"/>
      <c r="AD12" s="359"/>
      <c r="AE12" s="230"/>
      <c r="AF12" s="381"/>
      <c r="AG12" s="359"/>
      <c r="AH12" s="230"/>
      <c r="AI12" s="381"/>
      <c r="AJ12" s="359"/>
      <c r="AK12" s="230"/>
      <c r="AL12" s="381"/>
      <c r="AM12" s="359"/>
      <c r="AN12" s="230"/>
      <c r="AO12" s="381"/>
      <c r="AP12" s="359"/>
      <c r="AQ12" s="230"/>
      <c r="AR12" s="381"/>
      <c r="AS12" s="202"/>
    </row>
    <row r="13" spans="1:45" ht="13.5" hidden="1" customHeight="1">
      <c r="A13" s="12"/>
      <c r="B13" s="358" t="s">
        <v>40</v>
      </c>
      <c r="C13" s="359">
        <v>4</v>
      </c>
      <c r="D13" s="359">
        <v>4</v>
      </c>
      <c r="E13" s="360" t="s">
        <v>80</v>
      </c>
      <c r="F13" s="230" t="s">
        <v>79</v>
      </c>
      <c r="G13" s="361" t="s">
        <v>43</v>
      </c>
      <c r="H13" s="362">
        <v>33625463</v>
      </c>
      <c r="I13" s="230">
        <v>40863</v>
      </c>
      <c r="J13" s="230">
        <v>13</v>
      </c>
      <c r="K13" s="363" t="s">
        <v>81</v>
      </c>
      <c r="L13" s="364"/>
      <c r="M13" s="365" t="s">
        <v>82</v>
      </c>
      <c r="N13" s="366" t="s">
        <v>83</v>
      </c>
      <c r="O13" s="367">
        <v>16286066</v>
      </c>
      <c r="P13" s="368" t="s">
        <v>84</v>
      </c>
      <c r="Q13" s="363" t="s">
        <v>81</v>
      </c>
      <c r="R13" s="370" t="s">
        <v>50</v>
      </c>
      <c r="S13" s="370" t="s">
        <v>77</v>
      </c>
      <c r="T13" s="371" t="s">
        <v>85</v>
      </c>
      <c r="U13" s="384" t="s">
        <v>66</v>
      </c>
      <c r="V13" s="373" t="s">
        <v>86</v>
      </c>
      <c r="W13" s="398" t="s">
        <v>54</v>
      </c>
      <c r="X13" s="386">
        <v>45245</v>
      </c>
      <c r="Y13" s="372" t="s">
        <v>50</v>
      </c>
      <c r="Z13" s="381">
        <v>240</v>
      </c>
      <c r="AA13" s="359"/>
      <c r="AB13" s="230"/>
      <c r="AC13" s="401"/>
      <c r="AD13" s="402"/>
      <c r="AE13" s="403"/>
      <c r="AF13" s="401"/>
      <c r="AG13" s="402"/>
      <c r="AH13" s="403"/>
      <c r="AI13" s="401"/>
      <c r="AJ13" s="402"/>
      <c r="AK13" s="403"/>
      <c r="AL13" s="401"/>
      <c r="AM13" s="402"/>
      <c r="AN13" s="403"/>
      <c r="AO13" s="401"/>
      <c r="AP13" s="402"/>
      <c r="AQ13" s="403"/>
      <c r="AR13" s="401"/>
      <c r="AS13" s="202"/>
    </row>
    <row r="14" spans="1:45" ht="13.5" hidden="1" customHeight="1">
      <c r="A14" s="12"/>
      <c r="B14" s="358"/>
      <c r="C14" s="359"/>
      <c r="D14" s="359"/>
      <c r="E14" s="360"/>
      <c r="F14" s="230"/>
      <c r="G14" s="378"/>
      <c r="H14" s="362"/>
      <c r="I14" s="230"/>
      <c r="J14" s="230"/>
      <c r="K14" s="368"/>
      <c r="L14" s="364"/>
      <c r="M14" s="365"/>
      <c r="N14" s="366"/>
      <c r="O14" s="367"/>
      <c r="P14" s="368"/>
      <c r="Q14" s="368"/>
      <c r="R14" s="370"/>
      <c r="S14" s="370"/>
      <c r="T14" s="371"/>
      <c r="U14" s="384"/>
      <c r="V14" s="373"/>
      <c r="W14" s="400"/>
      <c r="X14" s="393"/>
      <c r="Y14" s="372"/>
      <c r="Z14" s="381"/>
      <c r="AA14" s="359"/>
      <c r="AB14" s="230"/>
      <c r="AC14" s="401"/>
      <c r="AD14" s="402"/>
      <c r="AE14" s="403"/>
      <c r="AF14" s="401"/>
      <c r="AG14" s="402"/>
      <c r="AH14" s="403"/>
      <c r="AI14" s="401"/>
      <c r="AJ14" s="402"/>
      <c r="AK14" s="403"/>
      <c r="AL14" s="401"/>
      <c r="AM14" s="402"/>
      <c r="AN14" s="403"/>
      <c r="AO14" s="401"/>
      <c r="AP14" s="402"/>
      <c r="AQ14" s="403"/>
      <c r="AR14" s="401"/>
      <c r="AS14" s="202"/>
    </row>
    <row r="15" spans="1:45" ht="13.5" hidden="1" customHeight="1">
      <c r="A15" s="12"/>
      <c r="B15" s="358" t="s">
        <v>40</v>
      </c>
      <c r="C15" s="359">
        <v>5</v>
      </c>
      <c r="D15" s="359">
        <v>5</v>
      </c>
      <c r="E15" s="360" t="s">
        <v>88</v>
      </c>
      <c r="F15" s="230" t="s">
        <v>87</v>
      </c>
      <c r="G15" s="361" t="s">
        <v>43</v>
      </c>
      <c r="H15" s="362"/>
      <c r="I15" s="230">
        <v>43195</v>
      </c>
      <c r="J15" s="230">
        <v>5</v>
      </c>
      <c r="K15" s="363" t="s">
        <v>89</v>
      </c>
      <c r="L15" s="364"/>
      <c r="M15" s="365" t="s">
        <v>90</v>
      </c>
      <c r="N15" s="366" t="s">
        <v>91</v>
      </c>
      <c r="O15" s="367">
        <v>19391787</v>
      </c>
      <c r="P15" s="368" t="s">
        <v>92</v>
      </c>
      <c r="Q15" s="369" t="s">
        <v>93</v>
      </c>
      <c r="R15" s="370" t="s">
        <v>94</v>
      </c>
      <c r="S15" s="370" t="s">
        <v>95</v>
      </c>
      <c r="T15" s="371" t="s">
        <v>85</v>
      </c>
      <c r="U15" s="384" t="s">
        <v>66</v>
      </c>
      <c r="V15" s="373" t="s">
        <v>86</v>
      </c>
      <c r="W15" s="398" t="s">
        <v>78</v>
      </c>
      <c r="X15" s="404">
        <v>45251</v>
      </c>
      <c r="Y15" s="372" t="s">
        <v>96</v>
      </c>
      <c r="Z15" s="381" t="s">
        <v>97</v>
      </c>
      <c r="AA15" s="359"/>
      <c r="AB15" s="230"/>
      <c r="AC15" s="401"/>
      <c r="AD15" s="402"/>
      <c r="AE15" s="403"/>
      <c r="AF15" s="401"/>
      <c r="AG15" s="402"/>
      <c r="AH15" s="403"/>
      <c r="AI15" s="401"/>
      <c r="AJ15" s="402"/>
      <c r="AK15" s="403"/>
      <c r="AL15" s="401"/>
      <c r="AM15" s="402"/>
      <c r="AN15" s="403"/>
      <c r="AO15" s="401"/>
      <c r="AP15" s="402"/>
      <c r="AQ15" s="403"/>
      <c r="AR15" s="401"/>
      <c r="AS15" s="202"/>
    </row>
    <row r="16" spans="1:45" ht="13.5" hidden="1" customHeight="1">
      <c r="A16" s="12"/>
      <c r="B16" s="358"/>
      <c r="C16" s="359"/>
      <c r="D16" s="359"/>
      <c r="E16" s="360"/>
      <c r="F16" s="230"/>
      <c r="G16" s="378"/>
      <c r="H16" s="362"/>
      <c r="I16" s="230"/>
      <c r="J16" s="230"/>
      <c r="K16" s="368"/>
      <c r="L16" s="364"/>
      <c r="M16" s="365"/>
      <c r="N16" s="366"/>
      <c r="O16" s="367"/>
      <c r="P16" s="368"/>
      <c r="Q16" s="382"/>
      <c r="R16" s="370"/>
      <c r="S16" s="370"/>
      <c r="T16" s="371"/>
      <c r="U16" s="384"/>
      <c r="V16" s="373"/>
      <c r="W16" s="400"/>
      <c r="X16" s="404"/>
      <c r="Y16" s="372"/>
      <c r="Z16" s="381"/>
      <c r="AA16" s="359"/>
      <c r="AB16" s="230"/>
      <c r="AC16" s="401"/>
      <c r="AD16" s="402"/>
      <c r="AE16" s="403"/>
      <c r="AF16" s="401"/>
      <c r="AG16" s="402"/>
      <c r="AH16" s="403"/>
      <c r="AI16" s="401"/>
      <c r="AJ16" s="402"/>
      <c r="AK16" s="403"/>
      <c r="AL16" s="401"/>
      <c r="AM16" s="402"/>
      <c r="AN16" s="403"/>
      <c r="AO16" s="401"/>
      <c r="AP16" s="402"/>
      <c r="AQ16" s="403"/>
      <c r="AR16" s="401"/>
      <c r="AS16" s="202"/>
    </row>
    <row r="17" spans="1:45" ht="13.5" hidden="1" customHeight="1">
      <c r="A17" s="12"/>
      <c r="B17" s="358" t="s">
        <v>40</v>
      </c>
      <c r="C17" s="359">
        <v>6</v>
      </c>
      <c r="D17" s="359">
        <v>6</v>
      </c>
      <c r="E17" s="360" t="s">
        <v>99</v>
      </c>
      <c r="F17" s="230" t="s">
        <v>98</v>
      </c>
      <c r="G17" s="361" t="s">
        <v>43</v>
      </c>
      <c r="H17" s="362">
        <v>32707985</v>
      </c>
      <c r="I17" s="230">
        <v>39610</v>
      </c>
      <c r="J17" s="230">
        <v>15</v>
      </c>
      <c r="K17" s="363" t="s">
        <v>100</v>
      </c>
      <c r="L17" s="364" t="s">
        <v>101</v>
      </c>
      <c r="M17" s="365" t="s">
        <v>102</v>
      </c>
      <c r="N17" s="366" t="s">
        <v>103</v>
      </c>
      <c r="O17" s="367">
        <v>10283219</v>
      </c>
      <c r="P17" s="368" t="s">
        <v>104</v>
      </c>
      <c r="Q17" s="369" t="s">
        <v>105</v>
      </c>
      <c r="R17" s="370" t="s">
        <v>106</v>
      </c>
      <c r="S17" s="370" t="s">
        <v>107</v>
      </c>
      <c r="T17" s="371" t="s">
        <v>85</v>
      </c>
      <c r="U17" s="384"/>
      <c r="V17" s="373">
        <v>240</v>
      </c>
      <c r="W17" s="398" t="s">
        <v>54</v>
      </c>
      <c r="X17" s="404">
        <v>45251</v>
      </c>
      <c r="Y17" s="372" t="s">
        <v>106</v>
      </c>
      <c r="Z17" s="381">
        <v>240</v>
      </c>
      <c r="AA17" s="359"/>
      <c r="AB17" s="230"/>
      <c r="AC17" s="381"/>
      <c r="AD17" s="359"/>
      <c r="AE17" s="230"/>
      <c r="AF17" s="381"/>
      <c r="AG17" s="359"/>
      <c r="AH17" s="230"/>
      <c r="AI17" s="381"/>
      <c r="AJ17" s="359"/>
      <c r="AK17" s="230"/>
      <c r="AL17" s="381"/>
      <c r="AM17" s="402"/>
      <c r="AN17" s="403"/>
      <c r="AO17" s="401"/>
      <c r="AP17" s="402"/>
      <c r="AQ17" s="403"/>
      <c r="AR17" s="401"/>
      <c r="AS17" s="202"/>
    </row>
    <row r="18" spans="1:45" ht="13.5" hidden="1" customHeight="1">
      <c r="A18" s="12"/>
      <c r="B18" s="358"/>
      <c r="C18" s="359"/>
      <c r="D18" s="359"/>
      <c r="E18" s="360"/>
      <c r="F18" s="230"/>
      <c r="G18" s="378"/>
      <c r="H18" s="230"/>
      <c r="I18" s="230"/>
      <c r="J18" s="230"/>
      <c r="K18" s="368"/>
      <c r="L18" s="364"/>
      <c r="M18" s="365"/>
      <c r="N18" s="366"/>
      <c r="O18" s="367"/>
      <c r="P18" s="368"/>
      <c r="Q18" s="382"/>
      <c r="R18" s="370"/>
      <c r="S18" s="370"/>
      <c r="T18" s="371"/>
      <c r="U18" s="384"/>
      <c r="V18" s="373"/>
      <c r="W18" s="400"/>
      <c r="X18" s="404"/>
      <c r="Y18" s="372"/>
      <c r="Z18" s="381"/>
      <c r="AA18" s="359"/>
      <c r="AB18" s="230"/>
      <c r="AC18" s="381"/>
      <c r="AD18" s="359"/>
      <c r="AE18" s="230"/>
      <c r="AF18" s="381"/>
      <c r="AG18" s="359"/>
      <c r="AH18" s="230"/>
      <c r="AI18" s="381"/>
      <c r="AJ18" s="359"/>
      <c r="AK18" s="230"/>
      <c r="AL18" s="381"/>
      <c r="AM18" s="402"/>
      <c r="AN18" s="403"/>
      <c r="AO18" s="401"/>
      <c r="AP18" s="402"/>
      <c r="AQ18" s="403"/>
      <c r="AR18" s="401"/>
      <c r="AS18" s="202"/>
    </row>
    <row r="19" spans="1:45" ht="13.5" hidden="1" customHeight="1">
      <c r="A19" s="12"/>
      <c r="B19" s="358" t="s">
        <v>40</v>
      </c>
      <c r="C19" s="359">
        <v>7</v>
      </c>
      <c r="D19" s="359">
        <v>7</v>
      </c>
      <c r="E19" s="360" t="s">
        <v>109</v>
      </c>
      <c r="F19" s="230" t="s">
        <v>108</v>
      </c>
      <c r="G19" s="361" t="s">
        <v>43</v>
      </c>
      <c r="H19" s="362"/>
      <c r="I19" s="230">
        <v>43200</v>
      </c>
      <c r="J19" s="230">
        <v>5</v>
      </c>
      <c r="K19" s="363" t="s">
        <v>110</v>
      </c>
      <c r="L19" s="364"/>
      <c r="M19" s="405" t="s">
        <v>111</v>
      </c>
      <c r="N19" s="366" t="s">
        <v>112</v>
      </c>
      <c r="O19" s="367">
        <v>15914411</v>
      </c>
      <c r="P19" s="368" t="s">
        <v>113</v>
      </c>
      <c r="Q19" s="406" t="s">
        <v>110</v>
      </c>
      <c r="R19" s="371" t="s">
        <v>94</v>
      </c>
      <c r="S19" s="407" t="s">
        <v>77</v>
      </c>
      <c r="T19" s="371" t="s">
        <v>85</v>
      </c>
      <c r="U19" s="384" t="s">
        <v>66</v>
      </c>
      <c r="V19" s="373">
        <v>100</v>
      </c>
      <c r="W19" s="398" t="s">
        <v>54</v>
      </c>
      <c r="X19" s="404">
        <v>45251</v>
      </c>
      <c r="Y19" s="372" t="s">
        <v>96</v>
      </c>
      <c r="Z19" s="381" t="s">
        <v>114</v>
      </c>
      <c r="AA19" s="359"/>
      <c r="AB19" s="230"/>
      <c r="AC19" s="381"/>
      <c r="AD19" s="359"/>
      <c r="AE19" s="230"/>
      <c r="AF19" s="381"/>
      <c r="AG19" s="402"/>
      <c r="AH19" s="403"/>
      <c r="AI19" s="401"/>
      <c r="AJ19" s="402"/>
      <c r="AK19" s="403"/>
      <c r="AL19" s="401"/>
      <c r="AM19" s="402"/>
      <c r="AN19" s="403"/>
      <c r="AO19" s="401"/>
      <c r="AP19" s="402"/>
      <c r="AQ19" s="403"/>
      <c r="AR19" s="401"/>
      <c r="AS19" s="202"/>
    </row>
    <row r="20" spans="1:45" ht="14.4" hidden="1">
      <c r="A20" s="12"/>
      <c r="B20" s="358"/>
      <c r="C20" s="359"/>
      <c r="D20" s="359"/>
      <c r="E20" s="360"/>
      <c r="F20" s="230"/>
      <c r="G20" s="378"/>
      <c r="H20" s="230"/>
      <c r="I20" s="230"/>
      <c r="J20" s="230"/>
      <c r="K20" s="368"/>
      <c r="L20" s="364"/>
      <c r="M20" s="405"/>
      <c r="N20" s="366"/>
      <c r="O20" s="367"/>
      <c r="P20" s="368"/>
      <c r="Q20" s="408"/>
      <c r="R20" s="371"/>
      <c r="S20" s="407"/>
      <c r="T20" s="371"/>
      <c r="U20" s="384"/>
      <c r="V20" s="373"/>
      <c r="W20" s="400"/>
      <c r="X20" s="404"/>
      <c r="Y20" s="372"/>
      <c r="Z20" s="381"/>
      <c r="AA20" s="359"/>
      <c r="AB20" s="230"/>
      <c r="AC20" s="381"/>
      <c r="AD20" s="359"/>
      <c r="AE20" s="230"/>
      <c r="AF20" s="381"/>
      <c r="AG20" s="402"/>
      <c r="AH20" s="403"/>
      <c r="AI20" s="401"/>
      <c r="AJ20" s="402"/>
      <c r="AK20" s="403"/>
      <c r="AL20" s="401"/>
      <c r="AM20" s="402"/>
      <c r="AN20" s="403"/>
      <c r="AO20" s="401"/>
      <c r="AP20" s="402"/>
      <c r="AQ20" s="403"/>
      <c r="AR20" s="401"/>
      <c r="AS20" s="202"/>
    </row>
    <row r="21" spans="1:45" ht="13.5" hidden="1" customHeight="1">
      <c r="A21" s="12"/>
      <c r="B21" s="358" t="s">
        <v>40</v>
      </c>
      <c r="C21" s="359">
        <v>8</v>
      </c>
      <c r="D21" s="359">
        <v>8</v>
      </c>
      <c r="E21" s="360" t="s">
        <v>116</v>
      </c>
      <c r="F21" s="230" t="s">
        <v>115</v>
      </c>
      <c r="G21" s="361" t="s">
        <v>43</v>
      </c>
      <c r="H21" s="362">
        <v>32026908</v>
      </c>
      <c r="I21" s="230">
        <v>39028</v>
      </c>
      <c r="J21" s="230">
        <v>17</v>
      </c>
      <c r="K21" s="363" t="s">
        <v>117</v>
      </c>
      <c r="L21" s="364" t="s">
        <v>118</v>
      </c>
      <c r="M21" s="405" t="s">
        <v>102</v>
      </c>
      <c r="N21" s="366" t="s">
        <v>103</v>
      </c>
      <c r="O21" s="367">
        <v>10283219</v>
      </c>
      <c r="P21" s="368" t="s">
        <v>104</v>
      </c>
      <c r="Q21" s="369" t="s">
        <v>105</v>
      </c>
      <c r="R21" s="370" t="s">
        <v>119</v>
      </c>
      <c r="S21" s="370" t="s">
        <v>120</v>
      </c>
      <c r="T21" s="371" t="s">
        <v>85</v>
      </c>
      <c r="U21" s="384"/>
      <c r="V21" s="373">
        <v>240</v>
      </c>
      <c r="W21" s="398" t="s">
        <v>54</v>
      </c>
      <c r="X21" s="404">
        <v>45251</v>
      </c>
      <c r="Y21" s="372" t="s">
        <v>119</v>
      </c>
      <c r="Z21" s="381">
        <v>240</v>
      </c>
      <c r="AA21" s="359"/>
      <c r="AB21" s="230"/>
      <c r="AC21" s="381"/>
      <c r="AD21" s="402"/>
      <c r="AE21" s="403"/>
      <c r="AF21" s="401"/>
      <c r="AG21" s="359"/>
      <c r="AH21" s="230"/>
      <c r="AI21" s="381"/>
      <c r="AJ21" s="359"/>
      <c r="AK21" s="230"/>
      <c r="AL21" s="381"/>
      <c r="AM21" s="402"/>
      <c r="AN21" s="403"/>
      <c r="AO21" s="401"/>
      <c r="AP21" s="402"/>
      <c r="AQ21" s="403"/>
      <c r="AR21" s="401"/>
      <c r="AS21" s="202"/>
    </row>
    <row r="22" spans="1:45" ht="15.75" hidden="1" customHeight="1">
      <c r="A22" s="12"/>
      <c r="B22" s="358"/>
      <c r="C22" s="359"/>
      <c r="D22" s="359"/>
      <c r="E22" s="360"/>
      <c r="F22" s="230"/>
      <c r="G22" s="378"/>
      <c r="H22" s="230"/>
      <c r="I22" s="230"/>
      <c r="J22" s="230"/>
      <c r="K22" s="368"/>
      <c r="L22" s="364"/>
      <c r="M22" s="405"/>
      <c r="N22" s="366"/>
      <c r="O22" s="367"/>
      <c r="P22" s="368"/>
      <c r="Q22" s="391"/>
      <c r="R22" s="370"/>
      <c r="S22" s="370"/>
      <c r="T22" s="371"/>
      <c r="U22" s="384"/>
      <c r="V22" s="373"/>
      <c r="W22" s="400"/>
      <c r="X22" s="404"/>
      <c r="Y22" s="372"/>
      <c r="Z22" s="381"/>
      <c r="AA22" s="359"/>
      <c r="AB22" s="230"/>
      <c r="AC22" s="381"/>
      <c r="AD22" s="402"/>
      <c r="AE22" s="403"/>
      <c r="AF22" s="401"/>
      <c r="AG22" s="359"/>
      <c r="AH22" s="230"/>
      <c r="AI22" s="381"/>
      <c r="AJ22" s="359"/>
      <c r="AK22" s="230"/>
      <c r="AL22" s="381"/>
      <c r="AM22" s="402"/>
      <c r="AN22" s="403"/>
      <c r="AO22" s="401"/>
      <c r="AP22" s="402"/>
      <c r="AQ22" s="403"/>
      <c r="AR22" s="401"/>
      <c r="AS22" s="202"/>
    </row>
    <row r="23" spans="1:45" ht="13.5" hidden="1" customHeight="1">
      <c r="A23" s="12"/>
      <c r="B23" s="358" t="s">
        <v>40</v>
      </c>
      <c r="C23" s="359">
        <v>9</v>
      </c>
      <c r="D23" s="359">
        <v>9</v>
      </c>
      <c r="E23" s="360" t="s">
        <v>122</v>
      </c>
      <c r="F23" s="230" t="s">
        <v>121</v>
      </c>
      <c r="G23" s="361" t="s">
        <v>43</v>
      </c>
      <c r="H23" s="230" t="s">
        <v>123</v>
      </c>
      <c r="I23" s="230">
        <v>41708</v>
      </c>
      <c r="J23" s="230">
        <v>9</v>
      </c>
      <c r="K23" s="363" t="s">
        <v>124</v>
      </c>
      <c r="L23" s="364" t="s">
        <v>125</v>
      </c>
      <c r="M23" s="405" t="s">
        <v>126</v>
      </c>
      <c r="N23" s="366" t="s">
        <v>127</v>
      </c>
      <c r="O23" s="367">
        <v>13727828</v>
      </c>
      <c r="P23" s="368" t="s">
        <v>128</v>
      </c>
      <c r="Q23" s="369" t="s">
        <v>124</v>
      </c>
      <c r="R23" s="370" t="s">
        <v>129</v>
      </c>
      <c r="S23" s="370" t="s">
        <v>130</v>
      </c>
      <c r="T23" s="371" t="s">
        <v>85</v>
      </c>
      <c r="U23" s="384" t="s">
        <v>66</v>
      </c>
      <c r="V23" s="373">
        <v>100</v>
      </c>
      <c r="W23" s="398" t="s">
        <v>54</v>
      </c>
      <c r="X23" s="404">
        <v>45259</v>
      </c>
      <c r="Y23" s="372" t="s">
        <v>129</v>
      </c>
      <c r="Z23" s="381" t="s">
        <v>114</v>
      </c>
      <c r="AA23" s="359"/>
      <c r="AB23" s="230"/>
      <c r="AC23" s="401"/>
      <c r="AD23" s="359"/>
      <c r="AE23" s="230"/>
      <c r="AF23" s="381"/>
      <c r="AG23" s="359"/>
      <c r="AH23" s="230"/>
      <c r="AI23" s="381"/>
      <c r="AJ23" s="359"/>
      <c r="AK23" s="230"/>
      <c r="AL23" s="381"/>
      <c r="AM23" s="402"/>
      <c r="AN23" s="403"/>
      <c r="AO23" s="401"/>
      <c r="AP23" s="402"/>
      <c r="AQ23" s="403"/>
      <c r="AR23" s="401"/>
      <c r="AS23" s="202"/>
    </row>
    <row r="24" spans="1:45" ht="15.75" hidden="1" customHeight="1">
      <c r="A24" s="12"/>
      <c r="B24" s="358"/>
      <c r="C24" s="359"/>
      <c r="D24" s="359"/>
      <c r="E24" s="360"/>
      <c r="F24" s="230"/>
      <c r="G24" s="378"/>
      <c r="H24" s="230"/>
      <c r="I24" s="230"/>
      <c r="J24" s="230"/>
      <c r="K24" s="368"/>
      <c r="L24" s="364"/>
      <c r="M24" s="405"/>
      <c r="N24" s="366"/>
      <c r="O24" s="367"/>
      <c r="P24" s="368"/>
      <c r="Q24" s="391"/>
      <c r="R24" s="370"/>
      <c r="S24" s="370"/>
      <c r="T24" s="371"/>
      <c r="U24" s="384"/>
      <c r="V24" s="373"/>
      <c r="W24" s="400"/>
      <c r="X24" s="404"/>
      <c r="Y24" s="372"/>
      <c r="Z24" s="381"/>
      <c r="AA24" s="359"/>
      <c r="AB24" s="230"/>
      <c r="AC24" s="401"/>
      <c r="AD24" s="359"/>
      <c r="AE24" s="230"/>
      <c r="AF24" s="381"/>
      <c r="AG24" s="359"/>
      <c r="AH24" s="230"/>
      <c r="AI24" s="381"/>
      <c r="AJ24" s="359"/>
      <c r="AK24" s="230"/>
      <c r="AL24" s="381"/>
      <c r="AM24" s="402"/>
      <c r="AN24" s="403"/>
      <c r="AO24" s="401"/>
      <c r="AP24" s="402"/>
      <c r="AQ24" s="403"/>
      <c r="AR24" s="401"/>
      <c r="AS24" s="202"/>
    </row>
    <row r="25" spans="1:45" ht="13.5" hidden="1" customHeight="1">
      <c r="A25" s="12"/>
      <c r="B25" s="358" t="s">
        <v>40</v>
      </c>
      <c r="C25" s="359">
        <v>10</v>
      </c>
      <c r="D25" s="359">
        <v>10</v>
      </c>
      <c r="E25" s="409" t="s">
        <v>132</v>
      </c>
      <c r="F25" s="230" t="s">
        <v>131</v>
      </c>
      <c r="G25" s="361" t="s">
        <v>43</v>
      </c>
      <c r="H25" s="410">
        <v>36069604</v>
      </c>
      <c r="I25" s="411">
        <v>41660</v>
      </c>
      <c r="J25" s="411">
        <v>9</v>
      </c>
      <c r="K25" s="412" t="s">
        <v>133</v>
      </c>
      <c r="L25" s="413" t="s">
        <v>134</v>
      </c>
      <c r="M25" s="414" t="s">
        <v>135</v>
      </c>
      <c r="N25" s="415" t="s">
        <v>136</v>
      </c>
      <c r="O25" s="416">
        <v>20115114</v>
      </c>
      <c r="P25" s="417" t="s">
        <v>137</v>
      </c>
      <c r="Q25" s="418" t="s">
        <v>133</v>
      </c>
      <c r="R25" s="419" t="s">
        <v>129</v>
      </c>
      <c r="S25" s="420" t="s">
        <v>64</v>
      </c>
      <c r="T25" s="421" t="s">
        <v>138</v>
      </c>
      <c r="U25" s="422"/>
      <c r="V25" s="423">
        <v>240</v>
      </c>
      <c r="W25" s="398" t="s">
        <v>78</v>
      </c>
      <c r="X25" s="424">
        <v>45266</v>
      </c>
      <c r="Y25" s="372" t="s">
        <v>129</v>
      </c>
      <c r="Z25" s="381">
        <v>240</v>
      </c>
      <c r="AA25" s="359"/>
      <c r="AB25" s="230"/>
      <c r="AC25" s="381"/>
      <c r="AD25" s="402"/>
      <c r="AE25" s="403"/>
      <c r="AF25" s="401"/>
      <c r="AG25" s="402"/>
      <c r="AH25" s="403"/>
      <c r="AI25" s="401"/>
      <c r="AJ25" s="402"/>
      <c r="AK25" s="403"/>
      <c r="AL25" s="401"/>
      <c r="AM25" s="402"/>
      <c r="AN25" s="403"/>
      <c r="AO25" s="401"/>
      <c r="AP25" s="402"/>
      <c r="AQ25" s="403"/>
      <c r="AR25" s="401"/>
      <c r="AS25" s="202"/>
    </row>
    <row r="26" spans="1:45" ht="13.5" hidden="1" customHeight="1">
      <c r="A26" s="12"/>
      <c r="B26" s="358"/>
      <c r="C26" s="359"/>
      <c r="D26" s="359"/>
      <c r="E26" s="425"/>
      <c r="F26" s="230"/>
      <c r="G26" s="378"/>
      <c r="H26" s="426"/>
      <c r="I26" s="378"/>
      <c r="J26" s="378"/>
      <c r="K26" s="378"/>
      <c r="L26" s="427"/>
      <c r="M26" s="428"/>
      <c r="N26" s="425"/>
      <c r="O26" s="429"/>
      <c r="P26" s="430"/>
      <c r="Q26" s="431"/>
      <c r="R26" s="432"/>
      <c r="S26" s="433"/>
      <c r="T26" s="434"/>
      <c r="U26" s="435"/>
      <c r="V26" s="436"/>
      <c r="W26" s="400"/>
      <c r="X26" s="375"/>
      <c r="Y26" s="372"/>
      <c r="Z26" s="381"/>
      <c r="AA26" s="359"/>
      <c r="AB26" s="230"/>
      <c r="AC26" s="381"/>
      <c r="AD26" s="402"/>
      <c r="AE26" s="403"/>
      <c r="AF26" s="401"/>
      <c r="AG26" s="402"/>
      <c r="AH26" s="403"/>
      <c r="AI26" s="401"/>
      <c r="AJ26" s="402"/>
      <c r="AK26" s="403"/>
      <c r="AL26" s="401"/>
      <c r="AM26" s="402"/>
      <c r="AN26" s="403"/>
      <c r="AO26" s="401"/>
      <c r="AP26" s="402"/>
      <c r="AQ26" s="403"/>
      <c r="AR26" s="401"/>
      <c r="AS26" s="202"/>
    </row>
    <row r="27" spans="1:45" ht="13.5" hidden="1" customHeight="1">
      <c r="A27" s="12"/>
      <c r="B27" s="358" t="s">
        <v>40</v>
      </c>
      <c r="C27" s="359">
        <v>11</v>
      </c>
      <c r="D27" s="359">
        <v>11</v>
      </c>
      <c r="E27" s="437" t="s">
        <v>140</v>
      </c>
      <c r="F27" s="230" t="s">
        <v>139</v>
      </c>
      <c r="G27" s="361" t="s">
        <v>43</v>
      </c>
      <c r="H27" s="426"/>
      <c r="I27" s="378">
        <v>42283</v>
      </c>
      <c r="J27" s="378">
        <v>8</v>
      </c>
      <c r="K27" s="438" t="s">
        <v>141</v>
      </c>
      <c r="L27" s="427"/>
      <c r="M27" s="439" t="s">
        <v>142</v>
      </c>
      <c r="N27" s="425" t="s">
        <v>143</v>
      </c>
      <c r="O27" s="440">
        <v>16959039</v>
      </c>
      <c r="P27" s="441" t="s">
        <v>144</v>
      </c>
      <c r="Q27" s="442" t="s">
        <v>145</v>
      </c>
      <c r="R27" s="370" t="s">
        <v>129</v>
      </c>
      <c r="S27" s="370" t="s">
        <v>146</v>
      </c>
      <c r="T27" s="371"/>
      <c r="U27" s="372"/>
      <c r="V27" s="373">
        <v>240</v>
      </c>
      <c r="W27" s="398" t="s">
        <v>54</v>
      </c>
      <c r="X27" s="404">
        <v>45267</v>
      </c>
      <c r="Y27" s="372" t="s">
        <v>129</v>
      </c>
      <c r="Z27" s="381">
        <v>240</v>
      </c>
      <c r="AA27" s="359"/>
      <c r="AB27" s="230"/>
      <c r="AC27" s="401"/>
      <c r="AD27" s="359"/>
      <c r="AE27" s="230"/>
      <c r="AF27" s="381"/>
      <c r="AG27" s="402"/>
      <c r="AH27" s="403"/>
      <c r="AI27" s="401"/>
      <c r="AJ27" s="402"/>
      <c r="AK27" s="403"/>
      <c r="AL27" s="401"/>
      <c r="AM27" s="402"/>
      <c r="AN27" s="403"/>
      <c r="AO27" s="401"/>
      <c r="AP27" s="402"/>
      <c r="AQ27" s="403"/>
      <c r="AR27" s="401"/>
      <c r="AS27" s="202"/>
    </row>
    <row r="28" spans="1:45" ht="13.5" hidden="1" customHeight="1">
      <c r="A28" s="12"/>
      <c r="B28" s="358"/>
      <c r="C28" s="359"/>
      <c r="D28" s="359"/>
      <c r="E28" s="360"/>
      <c r="F28" s="230"/>
      <c r="G28" s="378"/>
      <c r="H28" s="362"/>
      <c r="I28" s="230"/>
      <c r="J28" s="230"/>
      <c r="K28" s="368"/>
      <c r="L28" s="364"/>
      <c r="M28" s="365"/>
      <c r="N28" s="366"/>
      <c r="O28" s="367"/>
      <c r="P28" s="368"/>
      <c r="Q28" s="391"/>
      <c r="R28" s="370"/>
      <c r="S28" s="370"/>
      <c r="T28" s="371"/>
      <c r="U28" s="372"/>
      <c r="V28" s="373"/>
      <c r="W28" s="400"/>
      <c r="X28" s="404"/>
      <c r="Y28" s="372"/>
      <c r="Z28" s="381"/>
      <c r="AA28" s="359"/>
      <c r="AB28" s="230"/>
      <c r="AC28" s="401"/>
      <c r="AD28" s="359"/>
      <c r="AE28" s="230"/>
      <c r="AF28" s="381"/>
      <c r="AG28" s="402"/>
      <c r="AH28" s="403"/>
      <c r="AI28" s="401"/>
      <c r="AJ28" s="402"/>
      <c r="AK28" s="403"/>
      <c r="AL28" s="401"/>
      <c r="AM28" s="402"/>
      <c r="AN28" s="403"/>
      <c r="AO28" s="401"/>
      <c r="AP28" s="402"/>
      <c r="AQ28" s="403"/>
      <c r="AR28" s="401"/>
      <c r="AS28" s="202"/>
    </row>
    <row r="29" spans="1:45" ht="13.5" hidden="1" customHeight="1">
      <c r="A29" s="12"/>
      <c r="B29" s="358" t="s">
        <v>40</v>
      </c>
      <c r="C29" s="359">
        <v>12</v>
      </c>
      <c r="D29" s="359">
        <v>12</v>
      </c>
      <c r="E29" s="360" t="s">
        <v>148</v>
      </c>
      <c r="F29" s="230" t="s">
        <v>147</v>
      </c>
      <c r="G29" s="361" t="s">
        <v>43</v>
      </c>
      <c r="H29" s="362">
        <v>33329037</v>
      </c>
      <c r="I29" s="230">
        <v>40392</v>
      </c>
      <c r="J29" s="230">
        <v>13</v>
      </c>
      <c r="K29" s="363" t="s">
        <v>149</v>
      </c>
      <c r="L29" s="364" t="s">
        <v>150</v>
      </c>
      <c r="M29" s="365" t="s">
        <v>151</v>
      </c>
      <c r="N29" s="366" t="s">
        <v>152</v>
      </c>
      <c r="O29" s="367">
        <v>18539781</v>
      </c>
      <c r="P29" s="368" t="s">
        <v>153</v>
      </c>
      <c r="Q29" s="369" t="s">
        <v>154</v>
      </c>
      <c r="R29" s="370" t="s">
        <v>50</v>
      </c>
      <c r="S29" s="370" t="s">
        <v>77</v>
      </c>
      <c r="T29" s="371" t="s">
        <v>138</v>
      </c>
      <c r="U29" s="372" t="s">
        <v>66</v>
      </c>
      <c r="V29" s="373">
        <v>100</v>
      </c>
      <c r="W29" s="398" t="s">
        <v>78</v>
      </c>
      <c r="X29" s="404">
        <v>45268</v>
      </c>
      <c r="Y29" s="372" t="s">
        <v>50</v>
      </c>
      <c r="Z29" s="381" t="s">
        <v>114</v>
      </c>
      <c r="AA29" s="402"/>
      <c r="AB29" s="403"/>
      <c r="AC29" s="401"/>
      <c r="AD29" s="359"/>
      <c r="AE29" s="230"/>
      <c r="AF29" s="381"/>
      <c r="AG29" s="402"/>
      <c r="AH29" s="403"/>
      <c r="AI29" s="401"/>
      <c r="AJ29" s="402"/>
      <c r="AK29" s="403"/>
      <c r="AL29" s="401"/>
      <c r="AM29" s="402"/>
      <c r="AN29" s="403"/>
      <c r="AO29" s="401"/>
      <c r="AP29" s="402"/>
      <c r="AQ29" s="403"/>
      <c r="AR29" s="401"/>
      <c r="AS29" s="202"/>
    </row>
    <row r="30" spans="1:45" ht="13.5" hidden="1" customHeight="1">
      <c r="A30" s="12"/>
      <c r="B30" s="358"/>
      <c r="C30" s="359"/>
      <c r="D30" s="359"/>
      <c r="E30" s="360"/>
      <c r="F30" s="230"/>
      <c r="G30" s="378"/>
      <c r="H30" s="362"/>
      <c r="I30" s="230"/>
      <c r="J30" s="230"/>
      <c r="K30" s="368"/>
      <c r="L30" s="364"/>
      <c r="M30" s="365"/>
      <c r="N30" s="366"/>
      <c r="O30" s="367"/>
      <c r="P30" s="368"/>
      <c r="Q30" s="382"/>
      <c r="R30" s="370"/>
      <c r="S30" s="370"/>
      <c r="T30" s="371"/>
      <c r="U30" s="372"/>
      <c r="V30" s="373"/>
      <c r="W30" s="400"/>
      <c r="X30" s="404"/>
      <c r="Y30" s="372"/>
      <c r="Z30" s="381"/>
      <c r="AA30" s="402"/>
      <c r="AB30" s="403"/>
      <c r="AC30" s="401"/>
      <c r="AD30" s="359"/>
      <c r="AE30" s="230"/>
      <c r="AF30" s="381"/>
      <c r="AG30" s="402"/>
      <c r="AH30" s="403"/>
      <c r="AI30" s="401"/>
      <c r="AJ30" s="402"/>
      <c r="AK30" s="403"/>
      <c r="AL30" s="401"/>
      <c r="AM30" s="402"/>
      <c r="AN30" s="403"/>
      <c r="AO30" s="401"/>
      <c r="AP30" s="402"/>
      <c r="AQ30" s="403"/>
      <c r="AR30" s="401"/>
      <c r="AS30" s="202"/>
    </row>
    <row r="31" spans="1:45" ht="13.5" hidden="1" customHeight="1">
      <c r="A31" s="12"/>
      <c r="B31" s="358" t="s">
        <v>40</v>
      </c>
      <c r="C31" s="359">
        <v>13</v>
      </c>
      <c r="D31" s="359">
        <v>13</v>
      </c>
      <c r="E31" s="360" t="s">
        <v>156</v>
      </c>
      <c r="F31" s="230" t="s">
        <v>155</v>
      </c>
      <c r="G31" s="361" t="s">
        <v>43</v>
      </c>
      <c r="H31" s="362"/>
      <c r="I31" s="230">
        <v>41731</v>
      </c>
      <c r="J31" s="230">
        <v>9</v>
      </c>
      <c r="K31" s="363" t="s">
        <v>157</v>
      </c>
      <c r="L31" s="364" t="s">
        <v>158</v>
      </c>
      <c r="M31" s="365" t="s">
        <v>159</v>
      </c>
      <c r="N31" s="366" t="s">
        <v>160</v>
      </c>
      <c r="O31" s="443">
        <v>14418138</v>
      </c>
      <c r="P31" s="368" t="s">
        <v>161</v>
      </c>
      <c r="Q31" s="406" t="s">
        <v>162</v>
      </c>
      <c r="R31" s="370" t="s">
        <v>129</v>
      </c>
      <c r="S31" s="370" t="s">
        <v>64</v>
      </c>
      <c r="T31" s="371" t="s">
        <v>138</v>
      </c>
      <c r="U31" s="384" t="s">
        <v>66</v>
      </c>
      <c r="V31" s="373">
        <v>100</v>
      </c>
      <c r="W31" s="398" t="s">
        <v>78</v>
      </c>
      <c r="X31" s="404">
        <v>45268</v>
      </c>
      <c r="Y31" s="372" t="s">
        <v>129</v>
      </c>
      <c r="Z31" s="381" t="s">
        <v>114</v>
      </c>
      <c r="AA31" s="359"/>
      <c r="AB31" s="230"/>
      <c r="AC31" s="381"/>
      <c r="AD31" s="359"/>
      <c r="AE31" s="230"/>
      <c r="AF31" s="381"/>
      <c r="AG31" s="402"/>
      <c r="AH31" s="403"/>
      <c r="AI31" s="401"/>
      <c r="AJ31" s="402"/>
      <c r="AK31" s="403"/>
      <c r="AL31" s="401"/>
      <c r="AM31" s="402"/>
      <c r="AN31" s="403"/>
      <c r="AO31" s="401"/>
      <c r="AP31" s="402"/>
      <c r="AQ31" s="403"/>
      <c r="AR31" s="401"/>
      <c r="AS31" s="202"/>
    </row>
    <row r="32" spans="1:45" ht="13.5" hidden="1" customHeight="1">
      <c r="A32" s="12"/>
      <c r="B32" s="358"/>
      <c r="C32" s="359"/>
      <c r="D32" s="359"/>
      <c r="E32" s="360"/>
      <c r="F32" s="230"/>
      <c r="G32" s="378"/>
      <c r="H32" s="362"/>
      <c r="I32" s="230"/>
      <c r="J32" s="230"/>
      <c r="K32" s="230"/>
      <c r="L32" s="364"/>
      <c r="M32" s="365"/>
      <c r="N32" s="366"/>
      <c r="O32" s="368"/>
      <c r="P32" s="368"/>
      <c r="Q32" s="408"/>
      <c r="R32" s="370"/>
      <c r="S32" s="370"/>
      <c r="T32" s="371"/>
      <c r="U32" s="384"/>
      <c r="V32" s="373"/>
      <c r="W32" s="400"/>
      <c r="X32" s="404"/>
      <c r="Y32" s="372"/>
      <c r="Z32" s="381"/>
      <c r="AA32" s="359"/>
      <c r="AB32" s="230"/>
      <c r="AC32" s="381"/>
      <c r="AD32" s="359"/>
      <c r="AE32" s="230"/>
      <c r="AF32" s="381"/>
      <c r="AG32" s="402"/>
      <c r="AH32" s="403"/>
      <c r="AI32" s="401"/>
      <c r="AJ32" s="402"/>
      <c r="AK32" s="403"/>
      <c r="AL32" s="401"/>
      <c r="AM32" s="402"/>
      <c r="AN32" s="403"/>
      <c r="AO32" s="401"/>
      <c r="AP32" s="402"/>
      <c r="AQ32" s="403"/>
      <c r="AR32" s="401"/>
      <c r="AS32" s="202"/>
    </row>
    <row r="33" spans="1:45" ht="13.5" hidden="1" customHeight="1">
      <c r="A33" s="12"/>
      <c r="B33" s="358" t="s">
        <v>40</v>
      </c>
      <c r="C33" s="359">
        <v>14</v>
      </c>
      <c r="D33" s="359">
        <v>14</v>
      </c>
      <c r="E33" s="360" t="s">
        <v>164</v>
      </c>
      <c r="F33" s="230" t="s">
        <v>163</v>
      </c>
      <c r="G33" s="361" t="s">
        <v>43</v>
      </c>
      <c r="H33" s="362">
        <v>33853048</v>
      </c>
      <c r="I33" s="230">
        <v>40446</v>
      </c>
      <c r="J33" s="230">
        <v>13</v>
      </c>
      <c r="K33" s="363" t="s">
        <v>165</v>
      </c>
      <c r="L33" s="364" t="s">
        <v>166</v>
      </c>
      <c r="M33" s="365" t="s">
        <v>167</v>
      </c>
      <c r="N33" s="366" t="s">
        <v>168</v>
      </c>
      <c r="O33" s="443">
        <v>16887066</v>
      </c>
      <c r="P33" s="368" t="s">
        <v>169</v>
      </c>
      <c r="Q33" s="369" t="s">
        <v>170</v>
      </c>
      <c r="R33" s="370" t="s">
        <v>50</v>
      </c>
      <c r="S33" s="370" t="s">
        <v>171</v>
      </c>
      <c r="T33" s="371" t="s">
        <v>138</v>
      </c>
      <c r="U33" s="384" t="s">
        <v>66</v>
      </c>
      <c r="V33" s="373">
        <v>100</v>
      </c>
      <c r="W33" s="398" t="s">
        <v>78</v>
      </c>
      <c r="X33" s="404">
        <v>45269</v>
      </c>
      <c r="Y33" s="372" t="s">
        <v>50</v>
      </c>
      <c r="Z33" s="381" t="s">
        <v>114</v>
      </c>
      <c r="AA33" s="359"/>
      <c r="AB33" s="230"/>
      <c r="AC33" s="381"/>
      <c r="AD33" s="359"/>
      <c r="AE33" s="230"/>
      <c r="AF33" s="381"/>
      <c r="AG33" s="402"/>
      <c r="AH33" s="403"/>
      <c r="AI33" s="401"/>
      <c r="AJ33" s="402"/>
      <c r="AK33" s="403"/>
      <c r="AL33" s="401"/>
      <c r="AM33" s="402"/>
      <c r="AN33" s="403"/>
      <c r="AO33" s="401"/>
      <c r="AP33" s="402"/>
      <c r="AQ33" s="403"/>
      <c r="AR33" s="401"/>
      <c r="AS33" s="202"/>
    </row>
    <row r="34" spans="1:45" ht="13.5" hidden="1" customHeight="1">
      <c r="A34" s="12"/>
      <c r="B34" s="358"/>
      <c r="C34" s="359"/>
      <c r="D34" s="359"/>
      <c r="E34" s="360"/>
      <c r="F34" s="230"/>
      <c r="G34" s="378"/>
      <c r="H34" s="362"/>
      <c r="I34" s="230"/>
      <c r="J34" s="230"/>
      <c r="K34" s="230"/>
      <c r="L34" s="364"/>
      <c r="M34" s="365"/>
      <c r="N34" s="366"/>
      <c r="O34" s="368"/>
      <c r="P34" s="368"/>
      <c r="Q34" s="382"/>
      <c r="R34" s="370"/>
      <c r="S34" s="370"/>
      <c r="T34" s="371"/>
      <c r="U34" s="384"/>
      <c r="V34" s="373"/>
      <c r="W34" s="400"/>
      <c r="X34" s="404"/>
      <c r="Y34" s="372"/>
      <c r="Z34" s="381"/>
      <c r="AA34" s="359"/>
      <c r="AB34" s="230"/>
      <c r="AC34" s="381"/>
      <c r="AD34" s="359"/>
      <c r="AE34" s="230"/>
      <c r="AF34" s="381"/>
      <c r="AG34" s="402"/>
      <c r="AH34" s="403"/>
      <c r="AI34" s="401"/>
      <c r="AJ34" s="402"/>
      <c r="AK34" s="403"/>
      <c r="AL34" s="401"/>
      <c r="AM34" s="402"/>
      <c r="AN34" s="403"/>
      <c r="AO34" s="401"/>
      <c r="AP34" s="402"/>
      <c r="AQ34" s="403"/>
      <c r="AR34" s="401"/>
      <c r="AS34" s="202"/>
    </row>
    <row r="35" spans="1:45" ht="13.5" hidden="1" customHeight="1">
      <c r="A35" s="12"/>
      <c r="B35" s="358" t="s">
        <v>40</v>
      </c>
      <c r="C35" s="359">
        <v>15</v>
      </c>
      <c r="D35" s="359">
        <v>15</v>
      </c>
      <c r="E35" s="360" t="s">
        <v>173</v>
      </c>
      <c r="F35" s="230" t="s">
        <v>172</v>
      </c>
      <c r="G35" s="361" t="s">
        <v>43</v>
      </c>
      <c r="H35" s="362"/>
      <c r="I35" s="230">
        <v>41772</v>
      </c>
      <c r="J35" s="230">
        <v>9</v>
      </c>
      <c r="K35" s="363"/>
      <c r="L35" s="364"/>
      <c r="M35" s="365" t="s">
        <v>174</v>
      </c>
      <c r="N35" s="366" t="s">
        <v>175</v>
      </c>
      <c r="O35" s="443">
        <v>16019615</v>
      </c>
      <c r="P35" s="368" t="s">
        <v>176</v>
      </c>
      <c r="Q35" s="408"/>
      <c r="R35" s="370" t="s">
        <v>129</v>
      </c>
      <c r="S35" s="370" t="s">
        <v>177</v>
      </c>
      <c r="T35" s="371" t="s">
        <v>138</v>
      </c>
      <c r="U35" s="422" t="s">
        <v>66</v>
      </c>
      <c r="V35" s="423">
        <v>100</v>
      </c>
      <c r="W35" s="398" t="s">
        <v>78</v>
      </c>
      <c r="X35" s="424">
        <v>45271</v>
      </c>
      <c r="Y35" s="384" t="s">
        <v>129</v>
      </c>
      <c r="Z35" s="444" t="s">
        <v>114</v>
      </c>
      <c r="AA35" s="402"/>
      <c r="AB35" s="403"/>
      <c r="AC35" s="401"/>
      <c r="AD35" s="402"/>
      <c r="AE35" s="403"/>
      <c r="AF35" s="401"/>
      <c r="AG35" s="402"/>
      <c r="AH35" s="403"/>
      <c r="AI35" s="401"/>
      <c r="AJ35" s="402"/>
      <c r="AK35" s="403"/>
      <c r="AL35" s="401"/>
      <c r="AM35" s="402"/>
      <c r="AN35" s="403"/>
      <c r="AO35" s="401"/>
      <c r="AP35" s="402"/>
      <c r="AQ35" s="403"/>
      <c r="AR35" s="401"/>
      <c r="AS35" s="202"/>
    </row>
    <row r="36" spans="1:45" ht="13.5" hidden="1" customHeight="1">
      <c r="A36" s="12"/>
      <c r="B36" s="358"/>
      <c r="C36" s="359"/>
      <c r="D36" s="359"/>
      <c r="E36" s="360"/>
      <c r="F36" s="230"/>
      <c r="G36" s="378"/>
      <c r="H36" s="362"/>
      <c r="I36" s="230"/>
      <c r="J36" s="230"/>
      <c r="K36" s="230"/>
      <c r="L36" s="364"/>
      <c r="M36" s="365"/>
      <c r="N36" s="366"/>
      <c r="O36" s="368"/>
      <c r="P36" s="368"/>
      <c r="Q36" s="408"/>
      <c r="R36" s="370"/>
      <c r="S36" s="370"/>
      <c r="T36" s="371"/>
      <c r="U36" s="435"/>
      <c r="V36" s="436"/>
      <c r="W36" s="400"/>
      <c r="X36" s="375"/>
      <c r="Y36" s="384"/>
      <c r="Z36" s="444"/>
      <c r="AA36" s="402"/>
      <c r="AB36" s="403"/>
      <c r="AC36" s="401"/>
      <c r="AD36" s="402"/>
      <c r="AE36" s="403"/>
      <c r="AF36" s="401"/>
      <c r="AG36" s="402"/>
      <c r="AH36" s="403"/>
      <c r="AI36" s="401"/>
      <c r="AJ36" s="402"/>
      <c r="AK36" s="403"/>
      <c r="AL36" s="401"/>
      <c r="AM36" s="402"/>
      <c r="AN36" s="403"/>
      <c r="AO36" s="401"/>
      <c r="AP36" s="402"/>
      <c r="AQ36" s="403"/>
      <c r="AR36" s="401"/>
      <c r="AS36" s="202"/>
    </row>
    <row r="37" spans="1:45" ht="13.5" hidden="1" customHeight="1">
      <c r="A37" s="12"/>
      <c r="B37" s="358" t="s">
        <v>40</v>
      </c>
      <c r="C37" s="359">
        <v>16</v>
      </c>
      <c r="D37" s="359">
        <v>16</v>
      </c>
      <c r="E37" s="360" t="s">
        <v>179</v>
      </c>
      <c r="F37" s="230" t="s">
        <v>178</v>
      </c>
      <c r="G37" s="361" t="s">
        <v>43</v>
      </c>
      <c r="H37" s="362"/>
      <c r="I37" s="230">
        <v>42181</v>
      </c>
      <c r="J37" s="230">
        <v>8</v>
      </c>
      <c r="K37" s="363" t="s">
        <v>180</v>
      </c>
      <c r="L37" s="364" t="s">
        <v>181</v>
      </c>
      <c r="M37" s="405" t="s">
        <v>182</v>
      </c>
      <c r="N37" s="366" t="s">
        <v>183</v>
      </c>
      <c r="O37" s="367">
        <v>13909917</v>
      </c>
      <c r="P37" s="368" t="s">
        <v>184</v>
      </c>
      <c r="Q37" s="369" t="s">
        <v>180</v>
      </c>
      <c r="R37" s="370" t="s">
        <v>185</v>
      </c>
      <c r="S37" s="370" t="s">
        <v>146</v>
      </c>
      <c r="T37" s="371" t="s">
        <v>186</v>
      </c>
      <c r="U37" s="422" t="s">
        <v>66</v>
      </c>
      <c r="V37" s="423">
        <v>240</v>
      </c>
      <c r="W37" s="398" t="s">
        <v>54</v>
      </c>
      <c r="X37" s="424">
        <v>45271</v>
      </c>
      <c r="Y37" s="384" t="s">
        <v>185</v>
      </c>
      <c r="Z37" s="444" t="s">
        <v>86</v>
      </c>
      <c r="AA37" s="402"/>
      <c r="AB37" s="403"/>
      <c r="AC37" s="401"/>
      <c r="AD37" s="402"/>
      <c r="AE37" s="403"/>
      <c r="AF37" s="401"/>
      <c r="AG37" s="402"/>
      <c r="AH37" s="403"/>
      <c r="AI37" s="401"/>
      <c r="AJ37" s="402"/>
      <c r="AK37" s="403"/>
      <c r="AL37" s="401"/>
      <c r="AM37" s="402"/>
      <c r="AN37" s="403"/>
      <c r="AO37" s="401"/>
      <c r="AP37" s="402"/>
      <c r="AQ37" s="403"/>
      <c r="AR37" s="401"/>
      <c r="AS37" s="202"/>
    </row>
    <row r="38" spans="1:45" ht="13.5" hidden="1" customHeight="1">
      <c r="A38" s="12"/>
      <c r="B38" s="358"/>
      <c r="C38" s="359"/>
      <c r="D38" s="359"/>
      <c r="E38" s="360"/>
      <c r="F38" s="230"/>
      <c r="G38" s="378"/>
      <c r="H38" s="230"/>
      <c r="I38" s="230"/>
      <c r="J38" s="230"/>
      <c r="K38" s="368"/>
      <c r="L38" s="364"/>
      <c r="M38" s="405"/>
      <c r="N38" s="366"/>
      <c r="O38" s="367"/>
      <c r="P38" s="368"/>
      <c r="Q38" s="391"/>
      <c r="R38" s="370"/>
      <c r="S38" s="370"/>
      <c r="T38" s="371"/>
      <c r="U38" s="435"/>
      <c r="V38" s="436"/>
      <c r="W38" s="400"/>
      <c r="X38" s="375"/>
      <c r="Y38" s="384"/>
      <c r="Z38" s="444"/>
      <c r="AA38" s="402"/>
      <c r="AB38" s="403"/>
      <c r="AC38" s="401"/>
      <c r="AD38" s="402"/>
      <c r="AE38" s="403"/>
      <c r="AF38" s="401"/>
      <c r="AG38" s="402"/>
      <c r="AH38" s="403"/>
      <c r="AI38" s="401"/>
      <c r="AJ38" s="402"/>
      <c r="AK38" s="403"/>
      <c r="AL38" s="401"/>
      <c r="AM38" s="402"/>
      <c r="AN38" s="403"/>
      <c r="AO38" s="401"/>
      <c r="AP38" s="402"/>
      <c r="AQ38" s="403"/>
      <c r="AR38" s="401"/>
      <c r="AS38" s="202"/>
    </row>
    <row r="39" spans="1:45" ht="13.5" hidden="1" customHeight="1">
      <c r="A39" s="12"/>
      <c r="B39" s="358" t="s">
        <v>40</v>
      </c>
      <c r="C39" s="359">
        <v>17</v>
      </c>
      <c r="D39" s="359">
        <v>17</v>
      </c>
      <c r="E39" s="360" t="s">
        <v>188</v>
      </c>
      <c r="F39" s="230" t="s">
        <v>187</v>
      </c>
      <c r="G39" s="361" t="s">
        <v>43</v>
      </c>
      <c r="H39" s="362">
        <v>36059843</v>
      </c>
      <c r="I39" s="230">
        <v>41675</v>
      </c>
      <c r="J39" s="230">
        <v>9</v>
      </c>
      <c r="K39" s="363" t="s">
        <v>189</v>
      </c>
      <c r="L39" s="364"/>
      <c r="M39" s="365" t="s">
        <v>190</v>
      </c>
      <c r="N39" s="366" t="s">
        <v>191</v>
      </c>
      <c r="O39" s="367">
        <v>14675913</v>
      </c>
      <c r="P39" s="368" t="s">
        <v>192</v>
      </c>
      <c r="Q39" s="369" t="s">
        <v>189</v>
      </c>
      <c r="R39" s="370" t="s">
        <v>129</v>
      </c>
      <c r="S39" s="370" t="s">
        <v>64</v>
      </c>
      <c r="T39" s="371" t="s">
        <v>138</v>
      </c>
      <c r="U39" s="372" t="s">
        <v>66</v>
      </c>
      <c r="V39" s="373">
        <v>240</v>
      </c>
      <c r="W39" s="398" t="s">
        <v>78</v>
      </c>
      <c r="X39" s="404">
        <v>45271</v>
      </c>
      <c r="Y39" s="372" t="s">
        <v>129</v>
      </c>
      <c r="Z39" s="381">
        <v>200</v>
      </c>
      <c r="AA39" s="359"/>
      <c r="AB39" s="230"/>
      <c r="AC39" s="381"/>
      <c r="AD39" s="402"/>
      <c r="AE39" s="403"/>
      <c r="AF39" s="401"/>
      <c r="AG39" s="402"/>
      <c r="AH39" s="403"/>
      <c r="AI39" s="401"/>
      <c r="AJ39" s="402"/>
      <c r="AK39" s="403"/>
      <c r="AL39" s="401"/>
      <c r="AM39" s="402"/>
      <c r="AN39" s="403"/>
      <c r="AO39" s="401"/>
      <c r="AP39" s="402"/>
      <c r="AQ39" s="403"/>
      <c r="AR39" s="401"/>
      <c r="AS39" s="202"/>
    </row>
    <row r="40" spans="1:45" ht="13.5" hidden="1" customHeight="1">
      <c r="A40" s="12"/>
      <c r="B40" s="358"/>
      <c r="C40" s="359"/>
      <c r="D40" s="359"/>
      <c r="E40" s="360"/>
      <c r="F40" s="230"/>
      <c r="G40" s="378"/>
      <c r="H40" s="230"/>
      <c r="I40" s="230"/>
      <c r="J40" s="230"/>
      <c r="K40" s="368"/>
      <c r="L40" s="364"/>
      <c r="M40" s="365"/>
      <c r="N40" s="366"/>
      <c r="O40" s="367"/>
      <c r="P40" s="368"/>
      <c r="Q40" s="391"/>
      <c r="R40" s="370"/>
      <c r="S40" s="370"/>
      <c r="T40" s="371"/>
      <c r="U40" s="372"/>
      <c r="V40" s="373"/>
      <c r="W40" s="400"/>
      <c r="X40" s="404"/>
      <c r="Y40" s="372"/>
      <c r="Z40" s="381"/>
      <c r="AA40" s="359"/>
      <c r="AB40" s="230"/>
      <c r="AC40" s="381"/>
      <c r="AD40" s="402"/>
      <c r="AE40" s="403"/>
      <c r="AF40" s="401"/>
      <c r="AG40" s="402"/>
      <c r="AH40" s="403"/>
      <c r="AI40" s="401"/>
      <c r="AJ40" s="402"/>
      <c r="AK40" s="403"/>
      <c r="AL40" s="401"/>
      <c r="AM40" s="402"/>
      <c r="AN40" s="403"/>
      <c r="AO40" s="401"/>
      <c r="AP40" s="402"/>
      <c r="AQ40" s="403"/>
      <c r="AR40" s="401"/>
      <c r="AS40" s="202"/>
    </row>
    <row r="41" spans="1:45" ht="13.5" hidden="1" customHeight="1">
      <c r="A41" s="12"/>
      <c r="B41" s="358" t="s">
        <v>40</v>
      </c>
      <c r="C41" s="359">
        <v>18</v>
      </c>
      <c r="D41" s="359">
        <v>18</v>
      </c>
      <c r="E41" s="360" t="s">
        <v>194</v>
      </c>
      <c r="F41" s="230" t="s">
        <v>193</v>
      </c>
      <c r="G41" s="361" t="s">
        <v>43</v>
      </c>
      <c r="H41" s="362">
        <v>31000390</v>
      </c>
      <c r="I41" s="230">
        <v>38097</v>
      </c>
      <c r="J41" s="230">
        <v>19</v>
      </c>
      <c r="K41" s="363" t="s">
        <v>195</v>
      </c>
      <c r="L41" s="364" t="s">
        <v>196</v>
      </c>
      <c r="M41" s="365" t="s">
        <v>197</v>
      </c>
      <c r="N41" s="366" t="s">
        <v>198</v>
      </c>
      <c r="O41" s="367">
        <v>12877722</v>
      </c>
      <c r="P41" s="368" t="s">
        <v>199</v>
      </c>
      <c r="Q41" s="369" t="s">
        <v>200</v>
      </c>
      <c r="R41" s="370" t="s">
        <v>50</v>
      </c>
      <c r="S41" s="370" t="s">
        <v>171</v>
      </c>
      <c r="T41" s="371" t="s">
        <v>201</v>
      </c>
      <c r="U41" s="384" t="s">
        <v>202</v>
      </c>
      <c r="V41" s="373">
        <v>100</v>
      </c>
      <c r="W41" s="398" t="s">
        <v>54</v>
      </c>
      <c r="X41" s="404">
        <v>45271</v>
      </c>
      <c r="Y41" s="384" t="s">
        <v>50</v>
      </c>
      <c r="Z41" s="444" t="s">
        <v>86</v>
      </c>
      <c r="AA41" s="402"/>
      <c r="AB41" s="403"/>
      <c r="AC41" s="401"/>
      <c r="AD41" s="402"/>
      <c r="AE41" s="403"/>
      <c r="AF41" s="401"/>
      <c r="AG41" s="402"/>
      <c r="AH41" s="403"/>
      <c r="AI41" s="401"/>
      <c r="AJ41" s="402"/>
      <c r="AK41" s="403"/>
      <c r="AL41" s="401"/>
      <c r="AM41" s="402"/>
      <c r="AN41" s="403"/>
      <c r="AO41" s="401"/>
      <c r="AP41" s="402"/>
      <c r="AQ41" s="403"/>
      <c r="AR41" s="401"/>
      <c r="AS41" s="202"/>
    </row>
    <row r="42" spans="1:45" ht="13.5" hidden="1" customHeight="1">
      <c r="A42" s="12"/>
      <c r="B42" s="358"/>
      <c r="C42" s="359"/>
      <c r="D42" s="359"/>
      <c r="E42" s="360"/>
      <c r="F42" s="230"/>
      <c r="G42" s="378"/>
      <c r="H42" s="230"/>
      <c r="I42" s="230"/>
      <c r="J42" s="230"/>
      <c r="K42" s="230"/>
      <c r="L42" s="364"/>
      <c r="M42" s="365"/>
      <c r="N42" s="366"/>
      <c r="O42" s="367"/>
      <c r="P42" s="368"/>
      <c r="Q42" s="382"/>
      <c r="R42" s="370"/>
      <c r="S42" s="370"/>
      <c r="T42" s="371"/>
      <c r="U42" s="384"/>
      <c r="V42" s="373"/>
      <c r="W42" s="400"/>
      <c r="X42" s="404"/>
      <c r="Y42" s="384"/>
      <c r="Z42" s="444"/>
      <c r="AA42" s="402"/>
      <c r="AB42" s="403"/>
      <c r="AC42" s="401"/>
      <c r="AD42" s="402"/>
      <c r="AE42" s="403"/>
      <c r="AF42" s="401"/>
      <c r="AG42" s="402"/>
      <c r="AH42" s="403"/>
      <c r="AI42" s="401"/>
      <c r="AJ42" s="402"/>
      <c r="AK42" s="403"/>
      <c r="AL42" s="401"/>
      <c r="AM42" s="402"/>
      <c r="AN42" s="403"/>
      <c r="AO42" s="401"/>
      <c r="AP42" s="402"/>
      <c r="AQ42" s="403"/>
      <c r="AR42" s="401"/>
      <c r="AS42" s="202"/>
    </row>
    <row r="43" spans="1:45" ht="13.5" hidden="1" customHeight="1">
      <c r="A43" s="12"/>
      <c r="B43" s="358" t="s">
        <v>40</v>
      </c>
      <c r="C43" s="359">
        <v>19</v>
      </c>
      <c r="D43" s="359">
        <v>19</v>
      </c>
      <c r="E43" s="360" t="s">
        <v>204</v>
      </c>
      <c r="F43" s="230" t="s">
        <v>203</v>
      </c>
      <c r="G43" s="361" t="s">
        <v>43</v>
      </c>
      <c r="H43" s="362"/>
      <c r="I43" s="230">
        <v>41871</v>
      </c>
      <c r="J43" s="230">
        <v>9</v>
      </c>
      <c r="K43" s="363" t="s">
        <v>205</v>
      </c>
      <c r="L43" s="364" t="s">
        <v>206</v>
      </c>
      <c r="M43" s="365" t="s">
        <v>207</v>
      </c>
      <c r="N43" s="366" t="s">
        <v>208</v>
      </c>
      <c r="O43" s="367">
        <v>19711074</v>
      </c>
      <c r="P43" s="368" t="s">
        <v>209</v>
      </c>
      <c r="Q43" s="369" t="s">
        <v>205</v>
      </c>
      <c r="R43" s="370" t="s">
        <v>129</v>
      </c>
      <c r="S43" s="370" t="s">
        <v>210</v>
      </c>
      <c r="T43" s="371" t="s">
        <v>138</v>
      </c>
      <c r="U43" s="384" t="s">
        <v>66</v>
      </c>
      <c r="V43" s="373">
        <v>100</v>
      </c>
      <c r="W43" s="398" t="s">
        <v>78</v>
      </c>
      <c r="X43" s="404">
        <v>45271</v>
      </c>
      <c r="Y43" s="384" t="s">
        <v>129</v>
      </c>
      <c r="Z43" s="444" t="s">
        <v>114</v>
      </c>
      <c r="AA43" s="402"/>
      <c r="AB43" s="403"/>
      <c r="AC43" s="401"/>
      <c r="AD43" s="402"/>
      <c r="AE43" s="403"/>
      <c r="AF43" s="401"/>
      <c r="AG43" s="402"/>
      <c r="AH43" s="403"/>
      <c r="AI43" s="401"/>
      <c r="AJ43" s="402"/>
      <c r="AK43" s="403"/>
      <c r="AL43" s="401"/>
      <c r="AM43" s="402"/>
      <c r="AN43" s="403"/>
      <c r="AO43" s="401"/>
      <c r="AP43" s="402"/>
      <c r="AQ43" s="403"/>
      <c r="AR43" s="401"/>
      <c r="AS43" s="202"/>
    </row>
    <row r="44" spans="1:45" ht="13.5" hidden="1" customHeight="1">
      <c r="A44" s="12"/>
      <c r="B44" s="358"/>
      <c r="C44" s="359"/>
      <c r="D44" s="359"/>
      <c r="E44" s="360"/>
      <c r="F44" s="230"/>
      <c r="G44" s="378"/>
      <c r="H44" s="362"/>
      <c r="I44" s="230"/>
      <c r="J44" s="361"/>
      <c r="K44" s="368"/>
      <c r="L44" s="364"/>
      <c r="M44" s="365"/>
      <c r="N44" s="366"/>
      <c r="O44" s="367"/>
      <c r="P44" s="368"/>
      <c r="Q44" s="391"/>
      <c r="R44" s="370"/>
      <c r="S44" s="370"/>
      <c r="T44" s="371"/>
      <c r="U44" s="384"/>
      <c r="V44" s="373"/>
      <c r="W44" s="400"/>
      <c r="X44" s="404"/>
      <c r="Y44" s="384"/>
      <c r="Z44" s="444"/>
      <c r="AA44" s="402"/>
      <c r="AB44" s="403"/>
      <c r="AC44" s="401"/>
      <c r="AD44" s="402"/>
      <c r="AE44" s="403"/>
      <c r="AF44" s="401"/>
      <c r="AG44" s="402"/>
      <c r="AH44" s="403"/>
      <c r="AI44" s="401"/>
      <c r="AJ44" s="402"/>
      <c r="AK44" s="403"/>
      <c r="AL44" s="401"/>
      <c r="AM44" s="402"/>
      <c r="AN44" s="403"/>
      <c r="AO44" s="401"/>
      <c r="AP44" s="402"/>
      <c r="AQ44" s="403"/>
      <c r="AR44" s="401"/>
      <c r="AS44" s="202"/>
    </row>
    <row r="45" spans="1:45" ht="13.5" hidden="1" customHeight="1">
      <c r="A45" s="12"/>
      <c r="B45" s="358" t="s">
        <v>40</v>
      </c>
      <c r="C45" s="359">
        <v>20</v>
      </c>
      <c r="D45" s="359">
        <v>20</v>
      </c>
      <c r="E45" s="360" t="s">
        <v>212</v>
      </c>
      <c r="F45" s="230" t="s">
        <v>211</v>
      </c>
      <c r="G45" s="361" t="s">
        <v>43</v>
      </c>
      <c r="H45" s="362"/>
      <c r="I45" s="445">
        <v>42422</v>
      </c>
      <c r="J45" s="358">
        <v>7</v>
      </c>
      <c r="K45" s="446" t="s">
        <v>213</v>
      </c>
      <c r="L45" s="364"/>
      <c r="M45" s="365" t="s">
        <v>214</v>
      </c>
      <c r="N45" s="366" t="s">
        <v>215</v>
      </c>
      <c r="O45" s="367">
        <v>14481759</v>
      </c>
      <c r="P45" s="368" t="s">
        <v>216</v>
      </c>
      <c r="Q45" s="369" t="s">
        <v>213</v>
      </c>
      <c r="R45" s="370" t="s">
        <v>129</v>
      </c>
      <c r="S45" s="370" t="s">
        <v>64</v>
      </c>
      <c r="T45" s="371" t="s">
        <v>138</v>
      </c>
      <c r="U45" s="372" t="s">
        <v>66</v>
      </c>
      <c r="V45" s="373">
        <v>240</v>
      </c>
      <c r="W45" s="398" t="s">
        <v>78</v>
      </c>
      <c r="X45" s="404">
        <v>45273</v>
      </c>
      <c r="Y45" s="384" t="s">
        <v>129</v>
      </c>
      <c r="Z45" s="444" t="s">
        <v>86</v>
      </c>
      <c r="AA45" s="402"/>
      <c r="AB45" s="403"/>
      <c r="AC45" s="401"/>
      <c r="AD45" s="402"/>
      <c r="AE45" s="403"/>
      <c r="AF45" s="401"/>
      <c r="AG45" s="402"/>
      <c r="AH45" s="403"/>
      <c r="AI45" s="401"/>
      <c r="AJ45" s="402"/>
      <c r="AK45" s="403"/>
      <c r="AL45" s="401"/>
      <c r="AM45" s="402"/>
      <c r="AN45" s="403"/>
      <c r="AO45" s="401"/>
      <c r="AP45" s="402"/>
      <c r="AQ45" s="403"/>
      <c r="AR45" s="401"/>
      <c r="AS45" s="202"/>
    </row>
    <row r="46" spans="1:45" ht="13.5" hidden="1" customHeight="1">
      <c r="A46" s="12"/>
      <c r="B46" s="358"/>
      <c r="C46" s="359"/>
      <c r="D46" s="359"/>
      <c r="E46" s="447"/>
      <c r="F46" s="230"/>
      <c r="G46" s="378"/>
      <c r="H46" s="361"/>
      <c r="I46" s="448"/>
      <c r="J46" s="449"/>
      <c r="K46" s="450"/>
      <c r="L46" s="451"/>
      <c r="M46" s="452"/>
      <c r="N46" s="409"/>
      <c r="O46" s="453"/>
      <c r="P46" s="454"/>
      <c r="Q46" s="455"/>
      <c r="R46" s="420"/>
      <c r="S46" s="420"/>
      <c r="T46" s="421"/>
      <c r="U46" s="387"/>
      <c r="V46" s="456"/>
      <c r="W46" s="400"/>
      <c r="X46" s="424"/>
      <c r="Y46" s="422"/>
      <c r="Z46" s="457"/>
      <c r="AA46" s="402"/>
      <c r="AB46" s="403"/>
      <c r="AC46" s="401"/>
      <c r="AD46" s="402"/>
      <c r="AE46" s="403"/>
      <c r="AF46" s="401"/>
      <c r="AG46" s="402"/>
      <c r="AH46" s="403"/>
      <c r="AI46" s="401"/>
      <c r="AJ46" s="402"/>
      <c r="AK46" s="403"/>
      <c r="AL46" s="401"/>
      <c r="AM46" s="402"/>
      <c r="AN46" s="403"/>
      <c r="AO46" s="401"/>
      <c r="AP46" s="402"/>
      <c r="AQ46" s="403"/>
      <c r="AR46" s="401"/>
      <c r="AS46" s="202"/>
    </row>
    <row r="47" spans="1:45" ht="13.5" hidden="1" customHeight="1">
      <c r="A47" s="12"/>
      <c r="B47" s="358" t="s">
        <v>217</v>
      </c>
      <c r="C47" s="449">
        <v>1</v>
      </c>
      <c r="D47" s="359">
        <v>21</v>
      </c>
      <c r="E47" s="458" t="s">
        <v>219</v>
      </c>
      <c r="F47" s="230" t="s">
        <v>218</v>
      </c>
      <c r="G47" s="361" t="s">
        <v>43</v>
      </c>
      <c r="H47" s="449"/>
      <c r="I47" s="459">
        <v>41944</v>
      </c>
      <c r="J47" s="460">
        <v>9</v>
      </c>
      <c r="K47" s="461" t="s">
        <v>220</v>
      </c>
      <c r="L47" s="462"/>
      <c r="M47" s="463" t="s">
        <v>221</v>
      </c>
      <c r="N47" s="458" t="s">
        <v>222</v>
      </c>
      <c r="O47" s="464">
        <v>17980412</v>
      </c>
      <c r="P47" s="465" t="s">
        <v>223</v>
      </c>
      <c r="Q47" s="461" t="s">
        <v>220</v>
      </c>
      <c r="R47" s="466" t="s">
        <v>129</v>
      </c>
      <c r="S47" s="420" t="s">
        <v>64</v>
      </c>
      <c r="T47" s="420" t="s">
        <v>186</v>
      </c>
      <c r="U47" s="467" t="s">
        <v>66</v>
      </c>
      <c r="V47" s="468">
        <v>240</v>
      </c>
      <c r="W47" s="398" t="s">
        <v>54</v>
      </c>
      <c r="X47" s="469">
        <v>45273</v>
      </c>
      <c r="Y47" s="467" t="s">
        <v>129</v>
      </c>
      <c r="Z47" s="470" t="s">
        <v>86</v>
      </c>
      <c r="AA47" s="471"/>
      <c r="AB47" s="403"/>
      <c r="AC47" s="401"/>
      <c r="AD47" s="402"/>
      <c r="AE47" s="403"/>
      <c r="AF47" s="401"/>
      <c r="AG47" s="402"/>
      <c r="AH47" s="403"/>
      <c r="AI47" s="401"/>
      <c r="AJ47" s="402"/>
      <c r="AK47" s="403"/>
      <c r="AL47" s="401"/>
      <c r="AM47" s="402"/>
      <c r="AN47" s="403"/>
      <c r="AO47" s="401"/>
      <c r="AP47" s="402"/>
      <c r="AQ47" s="403"/>
      <c r="AR47" s="401"/>
      <c r="AS47" s="202"/>
    </row>
    <row r="48" spans="1:45" ht="13.5" hidden="1" customHeight="1">
      <c r="A48" s="12"/>
      <c r="B48" s="358"/>
      <c r="C48" s="472"/>
      <c r="D48" s="359"/>
      <c r="E48" s="473"/>
      <c r="F48" s="230"/>
      <c r="G48" s="378"/>
      <c r="H48" s="472"/>
      <c r="I48" s="474"/>
      <c r="J48" s="475"/>
      <c r="K48" s="476"/>
      <c r="L48" s="477"/>
      <c r="M48" s="478"/>
      <c r="N48" s="479"/>
      <c r="O48" s="476"/>
      <c r="P48" s="476"/>
      <c r="Q48" s="476"/>
      <c r="R48" s="480"/>
      <c r="S48" s="433"/>
      <c r="T48" s="433"/>
      <c r="U48" s="481"/>
      <c r="V48" s="482"/>
      <c r="W48" s="400"/>
      <c r="X48" s="431"/>
      <c r="Y48" s="481"/>
      <c r="Z48" s="483"/>
      <c r="AA48" s="471"/>
      <c r="AB48" s="403"/>
      <c r="AC48" s="401"/>
      <c r="AD48" s="402"/>
      <c r="AE48" s="403"/>
      <c r="AF48" s="401"/>
      <c r="AG48" s="402"/>
      <c r="AH48" s="403"/>
      <c r="AI48" s="401"/>
      <c r="AJ48" s="402"/>
      <c r="AK48" s="403"/>
      <c r="AL48" s="401"/>
      <c r="AM48" s="402"/>
      <c r="AN48" s="403"/>
      <c r="AO48" s="401"/>
      <c r="AP48" s="402"/>
      <c r="AQ48" s="403"/>
      <c r="AR48" s="401"/>
      <c r="AS48" s="202"/>
    </row>
    <row r="49" spans="1:45" ht="12.75" hidden="1" customHeight="1">
      <c r="A49" s="12"/>
      <c r="B49" s="358" t="s">
        <v>217</v>
      </c>
      <c r="C49" s="484">
        <v>2</v>
      </c>
      <c r="D49" s="359">
        <v>22</v>
      </c>
      <c r="E49" s="243" t="s">
        <v>225</v>
      </c>
      <c r="F49" s="485" t="s">
        <v>224</v>
      </c>
      <c r="G49" s="361" t="s">
        <v>43</v>
      </c>
      <c r="H49" s="486">
        <v>30136255</v>
      </c>
      <c r="I49" s="459">
        <v>37977</v>
      </c>
      <c r="J49" s="460">
        <v>19</v>
      </c>
      <c r="K49" s="461" t="s">
        <v>226</v>
      </c>
      <c r="L49" s="462" t="s">
        <v>227</v>
      </c>
      <c r="M49" s="487" t="s">
        <v>228</v>
      </c>
      <c r="N49" s="458" t="s">
        <v>229</v>
      </c>
      <c r="O49" s="464" t="s">
        <v>68</v>
      </c>
      <c r="P49" s="465" t="s">
        <v>230</v>
      </c>
      <c r="Q49" s="488" t="s">
        <v>226</v>
      </c>
      <c r="R49" s="466" t="s">
        <v>50</v>
      </c>
      <c r="S49" s="420" t="s">
        <v>171</v>
      </c>
      <c r="T49" s="420" t="s">
        <v>138</v>
      </c>
      <c r="U49" s="467" t="s">
        <v>66</v>
      </c>
      <c r="V49" s="489">
        <v>240</v>
      </c>
      <c r="W49" s="398" t="s">
        <v>78</v>
      </c>
      <c r="X49" s="469">
        <v>45275</v>
      </c>
      <c r="Y49" s="467" t="s">
        <v>50</v>
      </c>
      <c r="Z49" s="470">
        <v>240</v>
      </c>
      <c r="AA49" s="471"/>
      <c r="AB49" s="230"/>
      <c r="AC49" s="381"/>
      <c r="AD49" s="402"/>
      <c r="AE49" s="403"/>
      <c r="AF49" s="401"/>
      <c r="AG49" s="402"/>
      <c r="AH49" s="403"/>
      <c r="AI49" s="401"/>
      <c r="AJ49" s="402"/>
      <c r="AK49" s="403"/>
      <c r="AL49" s="401"/>
      <c r="AM49" s="402"/>
      <c r="AN49" s="403"/>
      <c r="AO49" s="401"/>
      <c r="AP49" s="402"/>
      <c r="AQ49" s="403"/>
      <c r="AR49" s="401"/>
      <c r="AS49" s="202"/>
    </row>
    <row r="50" spans="1:45" ht="15.75" hidden="1" customHeight="1">
      <c r="A50" s="12"/>
      <c r="B50" s="358"/>
      <c r="C50" s="490"/>
      <c r="D50" s="359"/>
      <c r="E50" s="243"/>
      <c r="F50" s="485"/>
      <c r="G50" s="378"/>
      <c r="H50" s="491"/>
      <c r="I50" s="474"/>
      <c r="J50" s="475"/>
      <c r="K50" s="476"/>
      <c r="L50" s="477"/>
      <c r="M50" s="492"/>
      <c r="N50" s="479"/>
      <c r="O50" s="476"/>
      <c r="P50" s="476"/>
      <c r="Q50" s="475"/>
      <c r="R50" s="480"/>
      <c r="S50" s="433"/>
      <c r="T50" s="433"/>
      <c r="U50" s="481"/>
      <c r="V50" s="493"/>
      <c r="W50" s="400"/>
      <c r="X50" s="431"/>
      <c r="Y50" s="481"/>
      <c r="Z50" s="483"/>
      <c r="AA50" s="471"/>
      <c r="AB50" s="230"/>
      <c r="AC50" s="381"/>
      <c r="AD50" s="402"/>
      <c r="AE50" s="403"/>
      <c r="AF50" s="401"/>
      <c r="AG50" s="402"/>
      <c r="AH50" s="403"/>
      <c r="AI50" s="401"/>
      <c r="AJ50" s="402"/>
      <c r="AK50" s="403"/>
      <c r="AL50" s="401"/>
      <c r="AM50" s="402"/>
      <c r="AN50" s="403"/>
      <c r="AO50" s="401"/>
      <c r="AP50" s="402"/>
      <c r="AQ50" s="403"/>
      <c r="AR50" s="401"/>
      <c r="AS50" s="202"/>
    </row>
    <row r="51" spans="1:45" ht="13.5" hidden="1" customHeight="1">
      <c r="A51" s="12"/>
      <c r="B51" s="358" t="s">
        <v>217</v>
      </c>
      <c r="C51" s="449">
        <v>3</v>
      </c>
      <c r="D51" s="359">
        <v>23</v>
      </c>
      <c r="E51" s="479" t="s">
        <v>232</v>
      </c>
      <c r="F51" s="485" t="s">
        <v>231</v>
      </c>
      <c r="G51" s="361" t="s">
        <v>43</v>
      </c>
      <c r="H51" s="426">
        <v>33145960</v>
      </c>
      <c r="I51" s="459">
        <v>39396</v>
      </c>
      <c r="J51" s="378">
        <v>16</v>
      </c>
      <c r="K51" s="461" t="s">
        <v>233</v>
      </c>
      <c r="L51" s="427"/>
      <c r="M51" s="439" t="s">
        <v>234</v>
      </c>
      <c r="N51" s="458" t="s">
        <v>235</v>
      </c>
      <c r="O51" s="494">
        <v>12415295</v>
      </c>
      <c r="P51" s="424" t="s">
        <v>236</v>
      </c>
      <c r="Q51" s="488" t="s">
        <v>233</v>
      </c>
      <c r="R51" s="433" t="s">
        <v>50</v>
      </c>
      <c r="S51" s="433" t="s">
        <v>237</v>
      </c>
      <c r="T51" s="371" t="s">
        <v>138</v>
      </c>
      <c r="U51" s="467" t="s">
        <v>66</v>
      </c>
      <c r="V51" s="495">
        <v>240</v>
      </c>
      <c r="W51" s="398" t="s">
        <v>54</v>
      </c>
      <c r="X51" s="469">
        <v>45275</v>
      </c>
      <c r="Y51" s="435" t="s">
        <v>50</v>
      </c>
      <c r="Z51" s="470">
        <v>120</v>
      </c>
      <c r="AA51" s="402"/>
      <c r="AB51" s="403"/>
      <c r="AC51" s="401"/>
      <c r="AD51" s="402"/>
      <c r="AE51" s="230"/>
      <c r="AF51" s="381"/>
      <c r="AG51" s="402"/>
      <c r="AH51" s="403"/>
      <c r="AI51" s="401"/>
      <c r="AJ51" s="402"/>
      <c r="AK51" s="403"/>
      <c r="AL51" s="401"/>
      <c r="AM51" s="402"/>
      <c r="AN51" s="403"/>
      <c r="AO51" s="401"/>
      <c r="AP51" s="402"/>
      <c r="AQ51" s="403"/>
      <c r="AR51" s="401"/>
      <c r="AS51" s="202"/>
    </row>
    <row r="52" spans="1:45" ht="13.5" hidden="1" customHeight="1">
      <c r="A52" s="12"/>
      <c r="B52" s="358"/>
      <c r="C52" s="472"/>
      <c r="D52" s="359"/>
      <c r="E52" s="496"/>
      <c r="F52" s="485"/>
      <c r="G52" s="378"/>
      <c r="H52" s="230"/>
      <c r="I52" s="474"/>
      <c r="J52" s="230"/>
      <c r="K52" s="476"/>
      <c r="L52" s="364"/>
      <c r="M52" s="365"/>
      <c r="N52" s="479"/>
      <c r="O52" s="497"/>
      <c r="P52" s="375"/>
      <c r="Q52" s="475"/>
      <c r="R52" s="370"/>
      <c r="S52" s="370"/>
      <c r="T52" s="371"/>
      <c r="U52" s="481"/>
      <c r="V52" s="436"/>
      <c r="W52" s="400"/>
      <c r="X52" s="431"/>
      <c r="Y52" s="384"/>
      <c r="Z52" s="483"/>
      <c r="AA52" s="402"/>
      <c r="AB52" s="403"/>
      <c r="AC52" s="401"/>
      <c r="AD52" s="402"/>
      <c r="AE52" s="230"/>
      <c r="AF52" s="381"/>
      <c r="AG52" s="402"/>
      <c r="AH52" s="403"/>
      <c r="AI52" s="401"/>
      <c r="AJ52" s="402"/>
      <c r="AK52" s="403"/>
      <c r="AL52" s="401"/>
      <c r="AM52" s="402"/>
      <c r="AN52" s="403"/>
      <c r="AO52" s="401"/>
      <c r="AP52" s="402"/>
      <c r="AQ52" s="403"/>
      <c r="AR52" s="401"/>
      <c r="AS52" s="202"/>
    </row>
    <row r="53" spans="1:45" ht="13.5" hidden="1" customHeight="1">
      <c r="A53" s="12"/>
      <c r="B53" s="358" t="s">
        <v>217</v>
      </c>
      <c r="C53" s="449">
        <v>4</v>
      </c>
      <c r="D53" s="359">
        <v>24</v>
      </c>
      <c r="E53" s="437" t="s">
        <v>239</v>
      </c>
      <c r="F53" s="230" t="s">
        <v>238</v>
      </c>
      <c r="G53" s="361" t="s">
        <v>43</v>
      </c>
      <c r="H53" s="362">
        <v>33612303</v>
      </c>
      <c r="I53" s="459">
        <v>40451</v>
      </c>
      <c r="J53" s="230">
        <v>13</v>
      </c>
      <c r="K53" s="461" t="s">
        <v>233</v>
      </c>
      <c r="L53" s="364"/>
      <c r="M53" s="439" t="s">
        <v>234</v>
      </c>
      <c r="N53" s="458" t="s">
        <v>235</v>
      </c>
      <c r="O53" s="494">
        <v>12415295</v>
      </c>
      <c r="P53" s="424" t="s">
        <v>236</v>
      </c>
      <c r="Q53" s="488" t="s">
        <v>233</v>
      </c>
      <c r="R53" s="433" t="s">
        <v>50</v>
      </c>
      <c r="S53" s="433" t="s">
        <v>237</v>
      </c>
      <c r="T53" s="371" t="s">
        <v>138</v>
      </c>
      <c r="U53" s="467" t="s">
        <v>66</v>
      </c>
      <c r="V53" s="495">
        <v>240</v>
      </c>
      <c r="W53" s="398" t="s">
        <v>54</v>
      </c>
      <c r="X53" s="469">
        <v>45275</v>
      </c>
      <c r="Y53" s="435" t="s">
        <v>50</v>
      </c>
      <c r="Z53" s="470">
        <v>120</v>
      </c>
      <c r="AA53" s="359"/>
      <c r="AB53" s="230"/>
      <c r="AC53" s="381"/>
      <c r="AD53" s="402"/>
      <c r="AE53" s="230"/>
      <c r="AF53" s="381"/>
      <c r="AG53" s="498"/>
      <c r="AH53" s="230"/>
      <c r="AI53" s="381"/>
      <c r="AJ53" s="402"/>
      <c r="AK53" s="403"/>
      <c r="AL53" s="401"/>
      <c r="AM53" s="402"/>
      <c r="AN53" s="403"/>
      <c r="AO53" s="401"/>
      <c r="AP53" s="402"/>
      <c r="AQ53" s="403"/>
      <c r="AR53" s="401"/>
      <c r="AS53" s="202"/>
    </row>
    <row r="54" spans="1:45" ht="13.5" hidden="1" customHeight="1">
      <c r="A54" s="12"/>
      <c r="B54" s="358"/>
      <c r="C54" s="472"/>
      <c r="D54" s="359"/>
      <c r="E54" s="360"/>
      <c r="F54" s="230"/>
      <c r="G54" s="378"/>
      <c r="H54" s="230"/>
      <c r="I54" s="474"/>
      <c r="J54" s="230"/>
      <c r="K54" s="476"/>
      <c r="L54" s="364"/>
      <c r="M54" s="365"/>
      <c r="N54" s="479"/>
      <c r="O54" s="497"/>
      <c r="P54" s="375"/>
      <c r="Q54" s="475"/>
      <c r="R54" s="370"/>
      <c r="S54" s="370"/>
      <c r="T54" s="371"/>
      <c r="U54" s="481"/>
      <c r="V54" s="436"/>
      <c r="W54" s="400"/>
      <c r="X54" s="431"/>
      <c r="Y54" s="384"/>
      <c r="Z54" s="483"/>
      <c r="AA54" s="359"/>
      <c r="AB54" s="230"/>
      <c r="AC54" s="381"/>
      <c r="AD54" s="402"/>
      <c r="AE54" s="230"/>
      <c r="AF54" s="381"/>
      <c r="AG54" s="498"/>
      <c r="AH54" s="230"/>
      <c r="AI54" s="381"/>
      <c r="AJ54" s="402"/>
      <c r="AK54" s="403"/>
      <c r="AL54" s="401"/>
      <c r="AM54" s="402"/>
      <c r="AN54" s="403"/>
      <c r="AO54" s="401"/>
      <c r="AP54" s="402"/>
      <c r="AQ54" s="403"/>
      <c r="AR54" s="401"/>
      <c r="AS54" s="202"/>
    </row>
    <row r="55" spans="1:45" ht="13.5" hidden="1" customHeight="1">
      <c r="A55" s="12"/>
      <c r="B55" s="358" t="s">
        <v>217</v>
      </c>
      <c r="C55" s="449">
        <v>5</v>
      </c>
      <c r="D55" s="359">
        <v>25</v>
      </c>
      <c r="E55" s="360" t="s">
        <v>241</v>
      </c>
      <c r="F55" s="230" t="s">
        <v>240</v>
      </c>
      <c r="G55" s="361" t="s">
        <v>43</v>
      </c>
      <c r="H55" s="230"/>
      <c r="I55" s="459">
        <v>41067</v>
      </c>
      <c r="J55" s="230">
        <v>11</v>
      </c>
      <c r="K55" s="461" t="s">
        <v>242</v>
      </c>
      <c r="L55" s="364"/>
      <c r="M55" s="365" t="s">
        <v>243</v>
      </c>
      <c r="N55" s="366" t="s">
        <v>244</v>
      </c>
      <c r="O55" s="440">
        <v>18910015</v>
      </c>
      <c r="P55" s="368" t="s">
        <v>245</v>
      </c>
      <c r="Q55" s="488" t="s">
        <v>242</v>
      </c>
      <c r="R55" s="370" t="s">
        <v>50</v>
      </c>
      <c r="S55" s="370" t="s">
        <v>77</v>
      </c>
      <c r="T55" s="371" t="s">
        <v>138</v>
      </c>
      <c r="U55" s="372" t="s">
        <v>66</v>
      </c>
      <c r="V55" s="373">
        <v>240</v>
      </c>
      <c r="W55" s="398" t="s">
        <v>78</v>
      </c>
      <c r="X55" s="469">
        <v>45281</v>
      </c>
      <c r="Y55" s="372" t="s">
        <v>50</v>
      </c>
      <c r="Z55" s="381">
        <v>100</v>
      </c>
      <c r="AA55" s="359"/>
      <c r="AB55" s="230"/>
      <c r="AC55" s="381"/>
      <c r="AD55" s="359"/>
      <c r="AE55" s="230"/>
      <c r="AF55" s="381"/>
      <c r="AG55" s="498"/>
      <c r="AH55" s="230"/>
      <c r="AI55" s="381"/>
      <c r="AJ55" s="402"/>
      <c r="AK55" s="403"/>
      <c r="AL55" s="401"/>
      <c r="AM55" s="402"/>
      <c r="AN55" s="403"/>
      <c r="AO55" s="401"/>
      <c r="AP55" s="402"/>
      <c r="AQ55" s="403"/>
      <c r="AR55" s="401"/>
      <c r="AS55" s="202"/>
    </row>
    <row r="56" spans="1:45" ht="13.5" hidden="1" customHeight="1">
      <c r="A56" s="12"/>
      <c r="B56" s="358"/>
      <c r="C56" s="472"/>
      <c r="D56" s="359"/>
      <c r="E56" s="360"/>
      <c r="F56" s="230"/>
      <c r="G56" s="378"/>
      <c r="H56" s="230"/>
      <c r="I56" s="474"/>
      <c r="J56" s="230"/>
      <c r="K56" s="476"/>
      <c r="L56" s="364"/>
      <c r="M56" s="365"/>
      <c r="N56" s="366"/>
      <c r="O56" s="367"/>
      <c r="P56" s="368"/>
      <c r="Q56" s="475"/>
      <c r="R56" s="370"/>
      <c r="S56" s="370"/>
      <c r="T56" s="371"/>
      <c r="U56" s="372"/>
      <c r="V56" s="373"/>
      <c r="W56" s="400"/>
      <c r="X56" s="431"/>
      <c r="Y56" s="372"/>
      <c r="Z56" s="381"/>
      <c r="AA56" s="359"/>
      <c r="AB56" s="230"/>
      <c r="AC56" s="381"/>
      <c r="AD56" s="359"/>
      <c r="AE56" s="230"/>
      <c r="AF56" s="381"/>
      <c r="AG56" s="498"/>
      <c r="AH56" s="230"/>
      <c r="AI56" s="381"/>
      <c r="AJ56" s="402"/>
      <c r="AK56" s="403"/>
      <c r="AL56" s="401"/>
      <c r="AM56" s="402"/>
      <c r="AN56" s="403"/>
      <c r="AO56" s="401"/>
      <c r="AP56" s="402"/>
      <c r="AQ56" s="403"/>
      <c r="AR56" s="401"/>
      <c r="AS56" s="202"/>
    </row>
    <row r="57" spans="1:45" ht="13.5" hidden="1" customHeight="1">
      <c r="A57" s="12"/>
      <c r="B57" s="358" t="s">
        <v>217</v>
      </c>
      <c r="C57" s="449">
        <v>6</v>
      </c>
      <c r="D57" s="359">
        <v>26</v>
      </c>
      <c r="E57" s="360" t="s">
        <v>247</v>
      </c>
      <c r="F57" s="230" t="s">
        <v>246</v>
      </c>
      <c r="G57" s="361" t="s">
        <v>43</v>
      </c>
      <c r="H57" s="362"/>
      <c r="I57" s="459">
        <v>42479</v>
      </c>
      <c r="J57" s="230">
        <v>7</v>
      </c>
      <c r="K57" s="461" t="s">
        <v>242</v>
      </c>
      <c r="L57" s="364"/>
      <c r="M57" s="365" t="s">
        <v>243</v>
      </c>
      <c r="N57" s="366" t="s">
        <v>244</v>
      </c>
      <c r="O57" s="440">
        <v>18910015</v>
      </c>
      <c r="P57" s="368" t="s">
        <v>245</v>
      </c>
      <c r="Q57" s="488" t="s">
        <v>242</v>
      </c>
      <c r="R57" s="370" t="s">
        <v>129</v>
      </c>
      <c r="S57" s="370" t="s">
        <v>64</v>
      </c>
      <c r="T57" s="371" t="s">
        <v>138</v>
      </c>
      <c r="U57" s="372" t="s">
        <v>66</v>
      </c>
      <c r="V57" s="373">
        <v>240</v>
      </c>
      <c r="W57" s="398" t="s">
        <v>78</v>
      </c>
      <c r="X57" s="469">
        <v>45281</v>
      </c>
      <c r="Y57" s="372" t="s">
        <v>129</v>
      </c>
      <c r="Z57" s="381">
        <v>100</v>
      </c>
      <c r="AA57" s="359"/>
      <c r="AB57" s="230"/>
      <c r="AC57" s="381"/>
      <c r="AD57" s="402"/>
      <c r="AE57" s="403"/>
      <c r="AF57" s="401"/>
      <c r="AG57" s="402"/>
      <c r="AH57" s="403"/>
      <c r="AI57" s="401"/>
      <c r="AJ57" s="402"/>
      <c r="AK57" s="403"/>
      <c r="AL57" s="401"/>
      <c r="AM57" s="402"/>
      <c r="AN57" s="403"/>
      <c r="AO57" s="401"/>
      <c r="AP57" s="402"/>
      <c r="AQ57" s="403"/>
      <c r="AR57" s="401"/>
      <c r="AS57" s="202"/>
    </row>
    <row r="58" spans="1:45" ht="13.5" hidden="1" customHeight="1">
      <c r="A58" s="12"/>
      <c r="B58" s="358"/>
      <c r="C58" s="472"/>
      <c r="D58" s="359"/>
      <c r="E58" s="360"/>
      <c r="F58" s="230"/>
      <c r="G58" s="378"/>
      <c r="H58" s="362"/>
      <c r="I58" s="474"/>
      <c r="J58" s="230"/>
      <c r="K58" s="476"/>
      <c r="L58" s="364"/>
      <c r="M58" s="365"/>
      <c r="N58" s="366"/>
      <c r="O58" s="367"/>
      <c r="P58" s="368"/>
      <c r="Q58" s="475"/>
      <c r="R58" s="370"/>
      <c r="S58" s="370"/>
      <c r="T58" s="371"/>
      <c r="U58" s="372"/>
      <c r="V58" s="373"/>
      <c r="W58" s="400"/>
      <c r="X58" s="431"/>
      <c r="Y58" s="372"/>
      <c r="Z58" s="381"/>
      <c r="AA58" s="359"/>
      <c r="AB58" s="230"/>
      <c r="AC58" s="381"/>
      <c r="AD58" s="402"/>
      <c r="AE58" s="403"/>
      <c r="AF58" s="401"/>
      <c r="AG58" s="402"/>
      <c r="AH58" s="403"/>
      <c r="AI58" s="401"/>
      <c r="AJ58" s="402"/>
      <c r="AK58" s="403"/>
      <c r="AL58" s="401"/>
      <c r="AM58" s="402"/>
      <c r="AN58" s="403"/>
      <c r="AO58" s="401"/>
      <c r="AP58" s="402"/>
      <c r="AQ58" s="403"/>
      <c r="AR58" s="401"/>
      <c r="AS58" s="202"/>
    </row>
    <row r="59" spans="1:45" ht="13.5" hidden="1" customHeight="1">
      <c r="A59" s="12"/>
      <c r="B59" s="358" t="s">
        <v>217</v>
      </c>
      <c r="C59" s="449">
        <v>7</v>
      </c>
      <c r="D59" s="359">
        <v>27</v>
      </c>
      <c r="E59" s="360" t="s">
        <v>249</v>
      </c>
      <c r="F59" s="230" t="s">
        <v>248</v>
      </c>
      <c r="G59" s="361" t="s">
        <v>43</v>
      </c>
      <c r="H59" s="362">
        <v>31828780</v>
      </c>
      <c r="I59" s="230">
        <v>38975</v>
      </c>
      <c r="J59" s="230">
        <v>17</v>
      </c>
      <c r="K59" s="499" t="s">
        <v>250</v>
      </c>
      <c r="L59" s="462" t="s">
        <v>251</v>
      </c>
      <c r="M59" s="487" t="s">
        <v>252</v>
      </c>
      <c r="N59" s="366" t="s">
        <v>253</v>
      </c>
      <c r="O59" s="367">
        <v>8655834</v>
      </c>
      <c r="P59" s="368" t="s">
        <v>254</v>
      </c>
      <c r="Q59" s="369" t="s">
        <v>255</v>
      </c>
      <c r="R59" s="370" t="s">
        <v>50</v>
      </c>
      <c r="S59" s="370" t="s">
        <v>256</v>
      </c>
      <c r="T59" s="371" t="s">
        <v>138</v>
      </c>
      <c r="U59" s="372" t="s">
        <v>66</v>
      </c>
      <c r="V59" s="373">
        <v>240</v>
      </c>
      <c r="W59" s="398" t="s">
        <v>78</v>
      </c>
      <c r="X59" s="404">
        <v>45290</v>
      </c>
      <c r="Y59" s="372" t="s">
        <v>50</v>
      </c>
      <c r="Z59" s="381">
        <v>240</v>
      </c>
      <c r="AA59" s="359"/>
      <c r="AB59" s="230"/>
      <c r="AC59" s="381"/>
      <c r="AD59" s="402"/>
      <c r="AE59" s="403"/>
      <c r="AF59" s="401"/>
      <c r="AG59" s="402"/>
      <c r="AH59" s="403"/>
      <c r="AI59" s="401"/>
      <c r="AJ59" s="402"/>
      <c r="AK59" s="403"/>
      <c r="AL59" s="401"/>
      <c r="AM59" s="402"/>
      <c r="AN59" s="403"/>
      <c r="AO59" s="401"/>
      <c r="AP59" s="402"/>
      <c r="AQ59" s="403"/>
      <c r="AR59" s="401"/>
      <c r="AS59" s="202"/>
    </row>
    <row r="60" spans="1:45" ht="15.75" hidden="1" customHeight="1">
      <c r="A60" s="12"/>
      <c r="B60" s="358"/>
      <c r="C60" s="472"/>
      <c r="D60" s="359"/>
      <c r="E60" s="360"/>
      <c r="F60" s="230"/>
      <c r="G60" s="378"/>
      <c r="H60" s="362"/>
      <c r="I60" s="230"/>
      <c r="J60" s="230"/>
      <c r="K60" s="500"/>
      <c r="L60" s="477"/>
      <c r="M60" s="492"/>
      <c r="N60" s="366"/>
      <c r="O60" s="367"/>
      <c r="P60" s="368"/>
      <c r="Q60" s="391"/>
      <c r="R60" s="370"/>
      <c r="S60" s="370"/>
      <c r="T60" s="371"/>
      <c r="U60" s="372"/>
      <c r="V60" s="373"/>
      <c r="W60" s="400"/>
      <c r="X60" s="404"/>
      <c r="Y60" s="372"/>
      <c r="Z60" s="381"/>
      <c r="AA60" s="359"/>
      <c r="AB60" s="230"/>
      <c r="AC60" s="381"/>
      <c r="AD60" s="402"/>
      <c r="AE60" s="403"/>
      <c r="AF60" s="401"/>
      <c r="AG60" s="402"/>
      <c r="AH60" s="403"/>
      <c r="AI60" s="401"/>
      <c r="AJ60" s="402"/>
      <c r="AK60" s="403"/>
      <c r="AL60" s="401"/>
      <c r="AM60" s="402"/>
      <c r="AN60" s="403"/>
      <c r="AO60" s="401"/>
      <c r="AP60" s="402"/>
      <c r="AQ60" s="403"/>
      <c r="AR60" s="401"/>
      <c r="AS60" s="202"/>
    </row>
    <row r="61" spans="1:45" ht="13.5" hidden="1" customHeight="1">
      <c r="A61" s="12"/>
      <c r="B61" s="358" t="s">
        <v>217</v>
      </c>
      <c r="C61" s="449">
        <v>8</v>
      </c>
      <c r="D61" s="359">
        <v>28</v>
      </c>
      <c r="E61" s="360" t="s">
        <v>258</v>
      </c>
      <c r="F61" s="230" t="s">
        <v>257</v>
      </c>
      <c r="G61" s="361" t="s">
        <v>43</v>
      </c>
      <c r="H61" s="362">
        <v>33301536</v>
      </c>
      <c r="I61" s="230">
        <v>40030</v>
      </c>
      <c r="J61" s="230">
        <v>14</v>
      </c>
      <c r="K61" s="363" t="s">
        <v>259</v>
      </c>
      <c r="L61" s="451"/>
      <c r="M61" s="463" t="s">
        <v>260</v>
      </c>
      <c r="N61" s="366" t="s">
        <v>261</v>
      </c>
      <c r="O61" s="367">
        <v>19310934</v>
      </c>
      <c r="P61" s="368" t="s">
        <v>262</v>
      </c>
      <c r="Q61" s="406" t="s">
        <v>259</v>
      </c>
      <c r="R61" s="370" t="s">
        <v>50</v>
      </c>
      <c r="S61" s="370" t="s">
        <v>77</v>
      </c>
      <c r="T61" s="371" t="s">
        <v>138</v>
      </c>
      <c r="U61" s="372" t="s">
        <v>66</v>
      </c>
      <c r="V61" s="373">
        <v>240</v>
      </c>
      <c r="W61" s="398" t="s">
        <v>78</v>
      </c>
      <c r="X61" s="404">
        <v>45294</v>
      </c>
      <c r="Y61" s="372" t="s">
        <v>50</v>
      </c>
      <c r="Z61" s="381" t="s">
        <v>263</v>
      </c>
      <c r="AA61" s="359"/>
      <c r="AB61" s="230"/>
      <c r="AC61" s="381"/>
      <c r="AD61" s="402"/>
      <c r="AE61" s="403"/>
      <c r="AF61" s="401"/>
      <c r="AG61" s="402"/>
      <c r="AH61" s="403"/>
      <c r="AI61" s="401"/>
      <c r="AJ61" s="402"/>
      <c r="AK61" s="403"/>
      <c r="AL61" s="401"/>
      <c r="AM61" s="402"/>
      <c r="AN61" s="403"/>
      <c r="AO61" s="401"/>
      <c r="AP61" s="402"/>
      <c r="AQ61" s="403"/>
      <c r="AR61" s="401"/>
      <c r="AS61" s="202"/>
    </row>
    <row r="62" spans="1:45" ht="13.5" hidden="1" customHeight="1">
      <c r="A62" s="12"/>
      <c r="B62" s="358"/>
      <c r="C62" s="472"/>
      <c r="D62" s="359"/>
      <c r="E62" s="360"/>
      <c r="F62" s="230"/>
      <c r="G62" s="378"/>
      <c r="H62" s="362"/>
      <c r="I62" s="230"/>
      <c r="J62" s="230"/>
      <c r="K62" s="368"/>
      <c r="L62" s="427"/>
      <c r="M62" s="478"/>
      <c r="N62" s="366"/>
      <c r="O62" s="367"/>
      <c r="P62" s="368"/>
      <c r="Q62" s="408"/>
      <c r="R62" s="370"/>
      <c r="S62" s="370"/>
      <c r="T62" s="371"/>
      <c r="U62" s="372"/>
      <c r="V62" s="373"/>
      <c r="W62" s="400"/>
      <c r="X62" s="404"/>
      <c r="Y62" s="372"/>
      <c r="Z62" s="381"/>
      <c r="AA62" s="359"/>
      <c r="AB62" s="230"/>
      <c r="AC62" s="381"/>
      <c r="AD62" s="402"/>
      <c r="AE62" s="403"/>
      <c r="AF62" s="401"/>
      <c r="AG62" s="402"/>
      <c r="AH62" s="403"/>
      <c r="AI62" s="401"/>
      <c r="AJ62" s="402"/>
      <c r="AK62" s="403"/>
      <c r="AL62" s="401"/>
      <c r="AM62" s="402"/>
      <c r="AN62" s="403"/>
      <c r="AO62" s="401"/>
      <c r="AP62" s="402"/>
      <c r="AQ62" s="403"/>
      <c r="AR62" s="401"/>
      <c r="AS62" s="202"/>
    </row>
    <row r="63" spans="1:45" ht="13.5" hidden="1" customHeight="1">
      <c r="A63" s="12"/>
      <c r="B63" s="358" t="s">
        <v>217</v>
      </c>
      <c r="C63" s="449">
        <v>9</v>
      </c>
      <c r="D63" s="359">
        <v>29</v>
      </c>
      <c r="E63" s="360" t="s">
        <v>265</v>
      </c>
      <c r="F63" s="230" t="s">
        <v>264</v>
      </c>
      <c r="G63" s="361" t="s">
        <v>43</v>
      </c>
      <c r="H63" s="362">
        <v>33329136</v>
      </c>
      <c r="I63" s="230">
        <v>40516</v>
      </c>
      <c r="J63" s="230">
        <v>13</v>
      </c>
      <c r="K63" s="363" t="s">
        <v>266</v>
      </c>
      <c r="L63" s="364"/>
      <c r="M63" s="365" t="s">
        <v>267</v>
      </c>
      <c r="N63" s="366" t="s">
        <v>268</v>
      </c>
      <c r="O63" s="443">
        <v>15913328</v>
      </c>
      <c r="P63" s="368" t="s">
        <v>269</v>
      </c>
      <c r="Q63" s="406" t="s">
        <v>270</v>
      </c>
      <c r="R63" s="370" t="s">
        <v>271</v>
      </c>
      <c r="S63" s="370" t="s">
        <v>77</v>
      </c>
      <c r="T63" s="371" t="s">
        <v>138</v>
      </c>
      <c r="U63" s="372"/>
      <c r="V63" s="373">
        <v>280</v>
      </c>
      <c r="W63" s="398" t="s">
        <v>78</v>
      </c>
      <c r="X63" s="404">
        <v>45299</v>
      </c>
      <c r="Y63" s="372" t="s">
        <v>50</v>
      </c>
      <c r="Z63" s="381" t="s">
        <v>272</v>
      </c>
      <c r="AA63" s="359"/>
      <c r="AB63" s="230"/>
      <c r="AC63" s="381"/>
      <c r="AD63" s="359"/>
      <c r="AE63" s="230"/>
      <c r="AF63" s="381"/>
      <c r="AG63" s="402"/>
      <c r="AH63" s="403"/>
      <c r="AI63" s="401"/>
      <c r="AJ63" s="402"/>
      <c r="AK63" s="403"/>
      <c r="AL63" s="401"/>
      <c r="AM63" s="402"/>
      <c r="AN63" s="403"/>
      <c r="AO63" s="401"/>
      <c r="AP63" s="402"/>
      <c r="AQ63" s="403"/>
      <c r="AR63" s="401"/>
      <c r="AS63" s="202"/>
    </row>
    <row r="64" spans="1:45" ht="13.5" hidden="1" customHeight="1">
      <c r="A64" s="12"/>
      <c r="B64" s="358"/>
      <c r="C64" s="472"/>
      <c r="D64" s="359"/>
      <c r="E64" s="360"/>
      <c r="F64" s="230"/>
      <c r="G64" s="378"/>
      <c r="H64" s="362"/>
      <c r="I64" s="230"/>
      <c r="J64" s="230"/>
      <c r="K64" s="230"/>
      <c r="L64" s="364"/>
      <c r="M64" s="365"/>
      <c r="N64" s="366"/>
      <c r="O64" s="368"/>
      <c r="P64" s="368"/>
      <c r="Q64" s="408"/>
      <c r="R64" s="370"/>
      <c r="S64" s="370"/>
      <c r="T64" s="371"/>
      <c r="U64" s="372"/>
      <c r="V64" s="373"/>
      <c r="W64" s="400"/>
      <c r="X64" s="404"/>
      <c r="Y64" s="372"/>
      <c r="Z64" s="381"/>
      <c r="AA64" s="359"/>
      <c r="AB64" s="230"/>
      <c r="AC64" s="381"/>
      <c r="AD64" s="359"/>
      <c r="AE64" s="230"/>
      <c r="AF64" s="381"/>
      <c r="AG64" s="402"/>
      <c r="AH64" s="403"/>
      <c r="AI64" s="401"/>
      <c r="AJ64" s="402"/>
      <c r="AK64" s="403"/>
      <c r="AL64" s="401"/>
      <c r="AM64" s="402"/>
      <c r="AN64" s="403"/>
      <c r="AO64" s="401"/>
      <c r="AP64" s="402"/>
      <c r="AQ64" s="403"/>
      <c r="AR64" s="401"/>
      <c r="AS64" s="202"/>
    </row>
    <row r="65" spans="1:45" ht="13.5" hidden="1" customHeight="1">
      <c r="A65" s="12"/>
      <c r="B65" s="358" t="s">
        <v>217</v>
      </c>
      <c r="C65" s="449">
        <v>10</v>
      </c>
      <c r="D65" s="359">
        <v>30</v>
      </c>
      <c r="E65" s="360" t="s">
        <v>274</v>
      </c>
      <c r="F65" s="230" t="s">
        <v>273</v>
      </c>
      <c r="G65" s="361" t="s">
        <v>43</v>
      </c>
      <c r="H65" s="362">
        <v>36068661</v>
      </c>
      <c r="I65" s="230">
        <v>41791</v>
      </c>
      <c r="J65" s="230">
        <v>9</v>
      </c>
      <c r="K65" s="363" t="s">
        <v>275</v>
      </c>
      <c r="L65" s="364"/>
      <c r="M65" s="365" t="s">
        <v>267</v>
      </c>
      <c r="N65" s="366" t="s">
        <v>268</v>
      </c>
      <c r="O65" s="367">
        <v>15913328</v>
      </c>
      <c r="P65" s="368" t="s">
        <v>269</v>
      </c>
      <c r="Q65" s="369" t="s">
        <v>270</v>
      </c>
      <c r="R65" s="370" t="s">
        <v>129</v>
      </c>
      <c r="S65" s="370" t="s">
        <v>146</v>
      </c>
      <c r="T65" s="371" t="s">
        <v>138</v>
      </c>
      <c r="U65" s="372"/>
      <c r="V65" s="373">
        <v>280</v>
      </c>
      <c r="W65" s="398" t="s">
        <v>78</v>
      </c>
      <c r="X65" s="404">
        <v>45299</v>
      </c>
      <c r="Y65" s="384" t="s">
        <v>129</v>
      </c>
      <c r="Z65" s="381" t="s">
        <v>272</v>
      </c>
      <c r="AA65" s="404"/>
      <c r="AB65" s="230"/>
      <c r="AC65" s="381"/>
      <c r="AD65" s="359"/>
      <c r="AE65" s="230"/>
      <c r="AF65" s="381"/>
      <c r="AG65" s="402"/>
      <c r="AH65" s="403"/>
      <c r="AI65" s="401"/>
      <c r="AJ65" s="402"/>
      <c r="AK65" s="403"/>
      <c r="AL65" s="401"/>
      <c r="AM65" s="402"/>
      <c r="AN65" s="403"/>
      <c r="AO65" s="401"/>
      <c r="AP65" s="402"/>
      <c r="AQ65" s="403"/>
      <c r="AR65" s="401"/>
      <c r="AS65" s="202"/>
    </row>
    <row r="66" spans="1:45" ht="13.5" hidden="1" customHeight="1">
      <c r="A66" s="12"/>
      <c r="B66" s="358"/>
      <c r="C66" s="472"/>
      <c r="D66" s="359"/>
      <c r="E66" s="360"/>
      <c r="F66" s="230"/>
      <c r="G66" s="378"/>
      <c r="H66" s="362"/>
      <c r="I66" s="230"/>
      <c r="J66" s="230"/>
      <c r="K66" s="368"/>
      <c r="L66" s="364"/>
      <c r="M66" s="365"/>
      <c r="N66" s="366"/>
      <c r="O66" s="367"/>
      <c r="P66" s="368"/>
      <c r="Q66" s="391"/>
      <c r="R66" s="370"/>
      <c r="S66" s="370"/>
      <c r="T66" s="371"/>
      <c r="U66" s="372"/>
      <c r="V66" s="373"/>
      <c r="W66" s="400"/>
      <c r="X66" s="404"/>
      <c r="Y66" s="384"/>
      <c r="Z66" s="381"/>
      <c r="AA66" s="404"/>
      <c r="AB66" s="230"/>
      <c r="AC66" s="381"/>
      <c r="AD66" s="359"/>
      <c r="AE66" s="230"/>
      <c r="AF66" s="381"/>
      <c r="AG66" s="402"/>
      <c r="AH66" s="403"/>
      <c r="AI66" s="401"/>
      <c r="AJ66" s="402"/>
      <c r="AK66" s="403"/>
      <c r="AL66" s="401"/>
      <c r="AM66" s="402"/>
      <c r="AN66" s="403"/>
      <c r="AO66" s="401"/>
      <c r="AP66" s="402"/>
      <c r="AQ66" s="403"/>
      <c r="AR66" s="401"/>
      <c r="AS66" s="202"/>
    </row>
    <row r="67" spans="1:45" ht="21.75" customHeight="1">
      <c r="A67" s="12"/>
      <c r="B67" s="358" t="s">
        <v>217</v>
      </c>
      <c r="C67" s="449">
        <v>11</v>
      </c>
      <c r="D67" s="359">
        <v>1</v>
      </c>
      <c r="E67" s="360" t="s">
        <v>277</v>
      </c>
      <c r="F67" s="230" t="s">
        <v>276</v>
      </c>
      <c r="G67" s="361" t="s">
        <v>278</v>
      </c>
      <c r="H67" s="362"/>
      <c r="I67" s="230"/>
      <c r="J67" s="230"/>
      <c r="K67" s="368"/>
      <c r="L67" s="364"/>
      <c r="M67" s="365"/>
      <c r="N67" s="366" t="s">
        <v>279</v>
      </c>
      <c r="O67" s="367"/>
      <c r="P67" s="368" t="s">
        <v>280</v>
      </c>
      <c r="Q67" s="391"/>
      <c r="R67" s="370" t="s">
        <v>281</v>
      </c>
      <c r="S67" s="370" t="s">
        <v>77</v>
      </c>
      <c r="T67" s="371"/>
      <c r="U67" s="372"/>
      <c r="V67" s="373"/>
      <c r="W67" s="398" t="s">
        <v>78</v>
      </c>
      <c r="X67" s="404"/>
      <c r="Y67" s="372" t="s">
        <v>50</v>
      </c>
      <c r="Z67" s="381"/>
      <c r="AA67" s="359"/>
      <c r="AB67" s="230"/>
      <c r="AC67" s="381"/>
      <c r="AD67" s="359"/>
      <c r="AE67" s="230"/>
      <c r="AF67" s="381"/>
      <c r="AG67" s="402"/>
      <c r="AH67" s="403"/>
      <c r="AI67" s="401"/>
      <c r="AJ67" s="402"/>
      <c r="AK67" s="403"/>
      <c r="AL67" s="401"/>
      <c r="AM67" s="402"/>
      <c r="AN67" s="403"/>
      <c r="AO67" s="401"/>
      <c r="AP67" s="402"/>
      <c r="AQ67" s="403"/>
      <c r="AR67" s="401"/>
      <c r="AS67" s="202"/>
    </row>
    <row r="68" spans="1:45" ht="13.5" hidden="1" customHeight="1">
      <c r="A68" s="12"/>
      <c r="B68" s="358"/>
      <c r="C68" s="472"/>
      <c r="D68" s="359"/>
      <c r="E68" s="360"/>
      <c r="F68" s="230"/>
      <c r="G68" s="378"/>
      <c r="H68" s="362"/>
      <c r="I68" s="230"/>
      <c r="J68" s="230"/>
      <c r="K68" s="368"/>
      <c r="L68" s="364"/>
      <c r="M68" s="365"/>
      <c r="N68" s="366"/>
      <c r="O68" s="367"/>
      <c r="P68" s="368"/>
      <c r="Q68" s="391"/>
      <c r="R68" s="370"/>
      <c r="S68" s="370"/>
      <c r="T68" s="371"/>
      <c r="U68" s="372"/>
      <c r="V68" s="373"/>
      <c r="W68" s="400"/>
      <c r="X68" s="404"/>
      <c r="Y68" s="372"/>
      <c r="Z68" s="381"/>
      <c r="AA68" s="359"/>
      <c r="AB68" s="230"/>
      <c r="AC68" s="381"/>
      <c r="AD68" s="359"/>
      <c r="AE68" s="230"/>
      <c r="AF68" s="381"/>
      <c r="AG68" s="402"/>
      <c r="AH68" s="403"/>
      <c r="AI68" s="401"/>
      <c r="AJ68" s="402"/>
      <c r="AK68" s="403"/>
      <c r="AL68" s="401"/>
      <c r="AM68" s="402"/>
      <c r="AN68" s="403"/>
      <c r="AO68" s="401"/>
      <c r="AP68" s="402"/>
      <c r="AQ68" s="403"/>
      <c r="AR68" s="401"/>
      <c r="AS68" s="202"/>
    </row>
    <row r="69" spans="1:45" ht="13.5" hidden="1" customHeight="1">
      <c r="A69" s="12"/>
      <c r="B69" s="358" t="s">
        <v>217</v>
      </c>
      <c r="C69" s="449">
        <v>12</v>
      </c>
      <c r="D69" s="359">
        <v>32</v>
      </c>
      <c r="E69" s="360" t="s">
        <v>283</v>
      </c>
      <c r="F69" s="230" t="s">
        <v>2560</v>
      </c>
      <c r="G69" s="361" t="s">
        <v>43</v>
      </c>
      <c r="H69" s="362"/>
      <c r="I69" s="230">
        <v>41124</v>
      </c>
      <c r="J69" s="230">
        <v>11</v>
      </c>
      <c r="K69" s="363" t="s">
        <v>284</v>
      </c>
      <c r="L69" s="364"/>
      <c r="M69" s="365" t="s">
        <v>285</v>
      </c>
      <c r="N69" s="366" t="s">
        <v>286</v>
      </c>
      <c r="O69" s="367">
        <v>19585746</v>
      </c>
      <c r="P69" s="368" t="s">
        <v>287</v>
      </c>
      <c r="Q69" s="369" t="s">
        <v>284</v>
      </c>
      <c r="R69" s="370" t="s">
        <v>50</v>
      </c>
      <c r="S69" s="370" t="s">
        <v>77</v>
      </c>
      <c r="T69" s="371" t="s">
        <v>288</v>
      </c>
      <c r="U69" s="372"/>
      <c r="V69" s="373">
        <v>300</v>
      </c>
      <c r="W69" s="398" t="s">
        <v>54</v>
      </c>
      <c r="X69" s="404">
        <v>45299</v>
      </c>
      <c r="Y69" s="372" t="s">
        <v>50</v>
      </c>
      <c r="Z69" s="381">
        <v>300</v>
      </c>
      <c r="AA69" s="402"/>
      <c r="AB69" s="403"/>
      <c r="AC69" s="401"/>
      <c r="AD69" s="359"/>
      <c r="AE69" s="230"/>
      <c r="AF69" s="381"/>
      <c r="AG69" s="402"/>
      <c r="AH69" s="403"/>
      <c r="AI69" s="401"/>
      <c r="AJ69" s="402"/>
      <c r="AK69" s="403"/>
      <c r="AL69" s="401"/>
      <c r="AM69" s="402"/>
      <c r="AN69" s="403"/>
      <c r="AO69" s="401"/>
      <c r="AP69" s="402"/>
      <c r="AQ69" s="403"/>
      <c r="AR69" s="401"/>
      <c r="AS69" s="202"/>
    </row>
    <row r="70" spans="1:45" ht="13.5" hidden="1" customHeight="1">
      <c r="A70" s="12"/>
      <c r="B70" s="358"/>
      <c r="C70" s="472"/>
      <c r="D70" s="359"/>
      <c r="E70" s="360"/>
      <c r="F70" s="230"/>
      <c r="G70" s="378"/>
      <c r="H70" s="362"/>
      <c r="I70" s="230"/>
      <c r="J70" s="230"/>
      <c r="K70" s="230"/>
      <c r="L70" s="364"/>
      <c r="M70" s="365"/>
      <c r="N70" s="366"/>
      <c r="O70" s="367"/>
      <c r="P70" s="368"/>
      <c r="Q70" s="391"/>
      <c r="R70" s="370"/>
      <c r="S70" s="370"/>
      <c r="T70" s="371"/>
      <c r="U70" s="372"/>
      <c r="V70" s="373"/>
      <c r="W70" s="400"/>
      <c r="X70" s="404"/>
      <c r="Y70" s="372"/>
      <c r="Z70" s="381"/>
      <c r="AA70" s="402"/>
      <c r="AB70" s="403"/>
      <c r="AC70" s="401"/>
      <c r="AD70" s="359"/>
      <c r="AE70" s="230"/>
      <c r="AF70" s="381"/>
      <c r="AG70" s="402"/>
      <c r="AH70" s="403"/>
      <c r="AI70" s="401"/>
      <c r="AJ70" s="402"/>
      <c r="AK70" s="403"/>
      <c r="AL70" s="401"/>
      <c r="AM70" s="402"/>
      <c r="AN70" s="403"/>
      <c r="AO70" s="401"/>
      <c r="AP70" s="402"/>
      <c r="AQ70" s="403"/>
      <c r="AR70" s="401"/>
      <c r="AS70" s="202"/>
    </row>
    <row r="71" spans="1:45" ht="13.5" hidden="1" customHeight="1">
      <c r="A71" s="12"/>
      <c r="B71" s="358" t="s">
        <v>217</v>
      </c>
      <c r="C71" s="449">
        <v>13</v>
      </c>
      <c r="D71" s="359">
        <v>33</v>
      </c>
      <c r="E71" s="360" t="s">
        <v>290</v>
      </c>
      <c r="F71" s="230" t="s">
        <v>289</v>
      </c>
      <c r="G71" s="361" t="s">
        <v>43</v>
      </c>
      <c r="H71" s="362">
        <v>31167524</v>
      </c>
      <c r="I71" s="230">
        <v>44137</v>
      </c>
      <c r="J71" s="230">
        <v>17</v>
      </c>
      <c r="K71" s="363" t="s">
        <v>291</v>
      </c>
      <c r="L71" s="364" t="s">
        <v>292</v>
      </c>
      <c r="M71" s="365" t="s">
        <v>293</v>
      </c>
      <c r="N71" s="366" t="s">
        <v>294</v>
      </c>
      <c r="O71" s="367">
        <v>18234657</v>
      </c>
      <c r="P71" s="368" t="s">
        <v>295</v>
      </c>
      <c r="Q71" s="369" t="s">
        <v>291</v>
      </c>
      <c r="R71" s="370" t="s">
        <v>50</v>
      </c>
      <c r="S71" s="370" t="s">
        <v>107</v>
      </c>
      <c r="T71" s="371" t="s">
        <v>138</v>
      </c>
      <c r="U71" s="372"/>
      <c r="V71" s="373">
        <v>280</v>
      </c>
      <c r="W71" s="398" t="s">
        <v>78</v>
      </c>
      <c r="X71" s="404">
        <v>45299</v>
      </c>
      <c r="Y71" s="372" t="s">
        <v>50</v>
      </c>
      <c r="Z71" s="381">
        <v>280</v>
      </c>
      <c r="AA71" s="359"/>
      <c r="AB71" s="230"/>
      <c r="AC71" s="381"/>
      <c r="AD71" s="402"/>
      <c r="AE71" s="403"/>
      <c r="AF71" s="401"/>
      <c r="AG71" s="402"/>
      <c r="AH71" s="403"/>
      <c r="AI71" s="401"/>
      <c r="AJ71" s="402"/>
      <c r="AK71" s="403"/>
      <c r="AL71" s="401"/>
      <c r="AM71" s="402"/>
      <c r="AN71" s="403"/>
      <c r="AO71" s="401"/>
      <c r="AP71" s="402"/>
      <c r="AQ71" s="403"/>
      <c r="AR71" s="401"/>
      <c r="AS71" s="202"/>
    </row>
    <row r="72" spans="1:45" ht="13.5" hidden="1" customHeight="1">
      <c r="A72" s="12"/>
      <c r="B72" s="358"/>
      <c r="C72" s="472"/>
      <c r="D72" s="359"/>
      <c r="E72" s="360"/>
      <c r="F72" s="230"/>
      <c r="G72" s="378"/>
      <c r="H72" s="362"/>
      <c r="I72" s="230"/>
      <c r="J72" s="230"/>
      <c r="K72" s="230"/>
      <c r="L72" s="364"/>
      <c r="M72" s="365"/>
      <c r="N72" s="366"/>
      <c r="O72" s="367"/>
      <c r="P72" s="368"/>
      <c r="Q72" s="382"/>
      <c r="R72" s="370"/>
      <c r="S72" s="370"/>
      <c r="T72" s="371"/>
      <c r="U72" s="372"/>
      <c r="V72" s="373"/>
      <c r="W72" s="400"/>
      <c r="X72" s="404"/>
      <c r="Y72" s="372"/>
      <c r="Z72" s="381"/>
      <c r="AA72" s="359"/>
      <c r="AB72" s="230"/>
      <c r="AC72" s="381"/>
      <c r="AD72" s="402"/>
      <c r="AE72" s="403"/>
      <c r="AF72" s="401"/>
      <c r="AG72" s="402"/>
      <c r="AH72" s="403"/>
      <c r="AI72" s="401"/>
      <c r="AJ72" s="402"/>
      <c r="AK72" s="403"/>
      <c r="AL72" s="401"/>
      <c r="AM72" s="402"/>
      <c r="AN72" s="403"/>
      <c r="AO72" s="401"/>
      <c r="AP72" s="402"/>
      <c r="AQ72" s="403"/>
      <c r="AR72" s="401"/>
      <c r="AS72" s="202"/>
    </row>
    <row r="73" spans="1:45" ht="13.5" hidden="1" customHeight="1">
      <c r="A73" s="12"/>
      <c r="B73" s="358" t="s">
        <v>217</v>
      </c>
      <c r="C73" s="449">
        <v>14</v>
      </c>
      <c r="D73" s="359">
        <v>34</v>
      </c>
      <c r="E73" s="360" t="s">
        <v>297</v>
      </c>
      <c r="F73" s="230" t="s">
        <v>296</v>
      </c>
      <c r="G73" s="361" t="s">
        <v>43</v>
      </c>
      <c r="H73" s="362">
        <v>33884591</v>
      </c>
      <c r="I73" s="230">
        <v>40605</v>
      </c>
      <c r="J73" s="230">
        <v>12</v>
      </c>
      <c r="K73" s="363" t="s">
        <v>298</v>
      </c>
      <c r="L73" s="364"/>
      <c r="M73" s="365" t="s">
        <v>299</v>
      </c>
      <c r="N73" s="366" t="s">
        <v>300</v>
      </c>
      <c r="O73" s="443">
        <v>16889189</v>
      </c>
      <c r="P73" s="368" t="s">
        <v>301</v>
      </c>
      <c r="Q73" s="406" t="s">
        <v>302</v>
      </c>
      <c r="R73" s="370" t="s">
        <v>63</v>
      </c>
      <c r="S73" s="370" t="s">
        <v>303</v>
      </c>
      <c r="T73" s="371" t="s">
        <v>138</v>
      </c>
      <c r="U73" s="384"/>
      <c r="V73" s="373">
        <v>300</v>
      </c>
      <c r="W73" s="398" t="s">
        <v>78</v>
      </c>
      <c r="X73" s="404">
        <v>45301</v>
      </c>
      <c r="Y73" s="372" t="s">
        <v>63</v>
      </c>
      <c r="Z73" s="381">
        <v>300</v>
      </c>
      <c r="AA73" s="359"/>
      <c r="AB73" s="230"/>
      <c r="AC73" s="381"/>
      <c r="AD73" s="402"/>
      <c r="AE73" s="403"/>
      <c r="AF73" s="401"/>
      <c r="AG73" s="402"/>
      <c r="AH73" s="403"/>
      <c r="AI73" s="401"/>
      <c r="AJ73" s="402"/>
      <c r="AK73" s="403"/>
      <c r="AL73" s="401"/>
      <c r="AM73" s="402"/>
      <c r="AN73" s="403"/>
      <c r="AO73" s="401"/>
      <c r="AP73" s="402"/>
      <c r="AQ73" s="403"/>
      <c r="AR73" s="401"/>
      <c r="AS73" s="202"/>
    </row>
    <row r="74" spans="1:45" ht="13.5" hidden="1" customHeight="1">
      <c r="A74" s="12"/>
      <c r="B74" s="358"/>
      <c r="C74" s="472"/>
      <c r="D74" s="359"/>
      <c r="E74" s="360"/>
      <c r="F74" s="230"/>
      <c r="G74" s="378"/>
      <c r="H74" s="362"/>
      <c r="I74" s="230"/>
      <c r="J74" s="230"/>
      <c r="K74" s="368"/>
      <c r="L74" s="364"/>
      <c r="M74" s="365"/>
      <c r="N74" s="366"/>
      <c r="O74" s="368"/>
      <c r="P74" s="368"/>
      <c r="Q74" s="408"/>
      <c r="R74" s="370"/>
      <c r="S74" s="370"/>
      <c r="T74" s="371"/>
      <c r="U74" s="384"/>
      <c r="V74" s="373"/>
      <c r="W74" s="400"/>
      <c r="X74" s="404"/>
      <c r="Y74" s="372"/>
      <c r="Z74" s="381"/>
      <c r="AA74" s="359"/>
      <c r="AB74" s="230"/>
      <c r="AC74" s="381"/>
      <c r="AD74" s="402"/>
      <c r="AE74" s="403"/>
      <c r="AF74" s="401"/>
      <c r="AG74" s="402"/>
      <c r="AH74" s="403"/>
      <c r="AI74" s="401"/>
      <c r="AJ74" s="402"/>
      <c r="AK74" s="403"/>
      <c r="AL74" s="401"/>
      <c r="AM74" s="402"/>
      <c r="AN74" s="403"/>
      <c r="AO74" s="401"/>
      <c r="AP74" s="402"/>
      <c r="AQ74" s="403"/>
      <c r="AR74" s="401"/>
      <c r="AS74" s="202"/>
    </row>
    <row r="75" spans="1:45" ht="21.75" customHeight="1">
      <c r="A75" s="12"/>
      <c r="B75" s="358" t="s">
        <v>217</v>
      </c>
      <c r="C75" s="449">
        <v>15</v>
      </c>
      <c r="D75" s="359">
        <v>2</v>
      </c>
      <c r="E75" s="360" t="s">
        <v>305</v>
      </c>
      <c r="F75" s="230" t="s">
        <v>304</v>
      </c>
      <c r="G75" s="361" t="s">
        <v>278</v>
      </c>
      <c r="H75" s="362">
        <v>33884725</v>
      </c>
      <c r="I75" s="230">
        <v>40604</v>
      </c>
      <c r="J75" s="230">
        <v>12</v>
      </c>
      <c r="K75" s="363" t="s">
        <v>306</v>
      </c>
      <c r="L75" s="364"/>
      <c r="M75" s="365" t="s">
        <v>307</v>
      </c>
      <c r="N75" s="366" t="s">
        <v>308</v>
      </c>
      <c r="O75" s="443">
        <v>12730066</v>
      </c>
      <c r="P75" s="368" t="s">
        <v>309</v>
      </c>
      <c r="Q75" s="406" t="s">
        <v>306</v>
      </c>
      <c r="R75" s="370" t="s">
        <v>76</v>
      </c>
      <c r="S75" s="370" t="s">
        <v>310</v>
      </c>
      <c r="T75" s="371" t="s">
        <v>138</v>
      </c>
      <c r="U75" s="384"/>
      <c r="V75" s="373">
        <v>300</v>
      </c>
      <c r="W75" s="398" t="s">
        <v>78</v>
      </c>
      <c r="X75" s="404">
        <v>45301</v>
      </c>
      <c r="Y75" s="372" t="s">
        <v>76</v>
      </c>
      <c r="Z75" s="381">
        <v>300</v>
      </c>
      <c r="AA75" s="359"/>
      <c r="AB75" s="230"/>
      <c r="AC75" s="381"/>
      <c r="AD75" s="359"/>
      <c r="AE75" s="230"/>
      <c r="AF75" s="501"/>
      <c r="AG75" s="498"/>
      <c r="AH75" s="230"/>
      <c r="AI75" s="381"/>
      <c r="AJ75" s="402"/>
      <c r="AK75" s="403"/>
      <c r="AL75" s="401"/>
      <c r="AM75" s="402"/>
      <c r="AN75" s="403"/>
      <c r="AO75" s="401"/>
      <c r="AP75" s="402"/>
      <c r="AQ75" s="403"/>
      <c r="AR75" s="401"/>
      <c r="AS75" s="202"/>
    </row>
    <row r="76" spans="1:45" ht="13.5" hidden="1" customHeight="1">
      <c r="A76" s="12"/>
      <c r="B76" s="358"/>
      <c r="C76" s="472"/>
      <c r="D76" s="359"/>
      <c r="E76" s="360"/>
      <c r="F76" s="230"/>
      <c r="G76" s="378"/>
      <c r="H76" s="362"/>
      <c r="I76" s="230"/>
      <c r="J76" s="230"/>
      <c r="K76" s="368"/>
      <c r="L76" s="364"/>
      <c r="M76" s="365"/>
      <c r="N76" s="366"/>
      <c r="O76" s="368"/>
      <c r="P76" s="368"/>
      <c r="Q76" s="408"/>
      <c r="R76" s="370"/>
      <c r="S76" s="370"/>
      <c r="T76" s="371"/>
      <c r="U76" s="384"/>
      <c r="V76" s="373"/>
      <c r="W76" s="400"/>
      <c r="X76" s="404"/>
      <c r="Y76" s="372"/>
      <c r="Z76" s="381"/>
      <c r="AA76" s="359"/>
      <c r="AB76" s="230"/>
      <c r="AC76" s="381"/>
      <c r="AD76" s="359"/>
      <c r="AE76" s="230"/>
      <c r="AF76" s="501"/>
      <c r="AG76" s="498"/>
      <c r="AH76" s="230"/>
      <c r="AI76" s="381"/>
      <c r="AJ76" s="402"/>
      <c r="AK76" s="403"/>
      <c r="AL76" s="401"/>
      <c r="AM76" s="402"/>
      <c r="AN76" s="403"/>
      <c r="AO76" s="401"/>
      <c r="AP76" s="402"/>
      <c r="AQ76" s="403"/>
      <c r="AR76" s="401"/>
      <c r="AS76" s="202"/>
    </row>
    <row r="77" spans="1:45" ht="13.5" hidden="1" customHeight="1">
      <c r="A77" s="12"/>
      <c r="B77" s="358" t="s">
        <v>217</v>
      </c>
      <c r="C77" s="449">
        <v>16</v>
      </c>
      <c r="D77" s="359">
        <v>36</v>
      </c>
      <c r="E77" s="360" t="s">
        <v>312</v>
      </c>
      <c r="F77" s="230" t="s">
        <v>311</v>
      </c>
      <c r="G77" s="361" t="s">
        <v>43</v>
      </c>
      <c r="H77" s="362">
        <v>34110326</v>
      </c>
      <c r="I77" s="230">
        <v>39983</v>
      </c>
      <c r="J77" s="230">
        <v>14</v>
      </c>
      <c r="K77" s="363" t="s">
        <v>313</v>
      </c>
      <c r="L77" s="364"/>
      <c r="M77" s="365" t="s">
        <v>314</v>
      </c>
      <c r="N77" s="366" t="s">
        <v>315</v>
      </c>
      <c r="O77" s="367">
        <v>15199917</v>
      </c>
      <c r="P77" s="368" t="s">
        <v>316</v>
      </c>
      <c r="Q77" s="397" t="s">
        <v>313</v>
      </c>
      <c r="R77" s="370" t="s">
        <v>50</v>
      </c>
      <c r="S77" s="370"/>
      <c r="T77" s="371" t="s">
        <v>138</v>
      </c>
      <c r="U77" s="384"/>
      <c r="V77" s="373">
        <v>240</v>
      </c>
      <c r="W77" s="398" t="s">
        <v>78</v>
      </c>
      <c r="X77" s="404">
        <v>45301</v>
      </c>
      <c r="Y77" s="372"/>
      <c r="Z77" s="381">
        <v>240</v>
      </c>
      <c r="AA77" s="359"/>
      <c r="AB77" s="230"/>
      <c r="AC77" s="381"/>
      <c r="AD77" s="359"/>
      <c r="AE77" s="230"/>
      <c r="AF77" s="501"/>
      <c r="AG77" s="402"/>
      <c r="AH77" s="403"/>
      <c r="AI77" s="401"/>
      <c r="AJ77" s="402"/>
      <c r="AK77" s="403"/>
      <c r="AL77" s="401"/>
      <c r="AM77" s="402"/>
      <c r="AN77" s="403"/>
      <c r="AO77" s="401"/>
      <c r="AP77" s="402"/>
      <c r="AQ77" s="403"/>
      <c r="AR77" s="401"/>
      <c r="AS77" s="202"/>
    </row>
    <row r="78" spans="1:45" ht="13.5" hidden="1" customHeight="1">
      <c r="A78" s="12"/>
      <c r="B78" s="358"/>
      <c r="C78" s="472"/>
      <c r="D78" s="359"/>
      <c r="E78" s="360"/>
      <c r="F78" s="230"/>
      <c r="G78" s="378"/>
      <c r="H78" s="362"/>
      <c r="I78" s="230"/>
      <c r="J78" s="230"/>
      <c r="K78" s="368"/>
      <c r="L78" s="364"/>
      <c r="M78" s="365"/>
      <c r="N78" s="366"/>
      <c r="O78" s="367"/>
      <c r="P78" s="368"/>
      <c r="Q78" s="399"/>
      <c r="R78" s="370"/>
      <c r="S78" s="370"/>
      <c r="T78" s="371"/>
      <c r="U78" s="384"/>
      <c r="V78" s="373"/>
      <c r="W78" s="400"/>
      <c r="X78" s="404"/>
      <c r="Y78" s="372"/>
      <c r="Z78" s="381"/>
      <c r="AA78" s="359"/>
      <c r="AB78" s="230"/>
      <c r="AC78" s="381"/>
      <c r="AD78" s="359"/>
      <c r="AE78" s="230"/>
      <c r="AF78" s="501"/>
      <c r="AG78" s="402"/>
      <c r="AH78" s="403"/>
      <c r="AI78" s="401"/>
      <c r="AJ78" s="402"/>
      <c r="AK78" s="403"/>
      <c r="AL78" s="401"/>
      <c r="AM78" s="402"/>
      <c r="AN78" s="403"/>
      <c r="AO78" s="401"/>
      <c r="AP78" s="402"/>
      <c r="AQ78" s="403"/>
      <c r="AR78" s="401"/>
      <c r="AS78" s="202"/>
    </row>
    <row r="79" spans="1:45" ht="13.5" hidden="1" customHeight="1">
      <c r="A79" s="12"/>
      <c r="B79" s="358" t="s">
        <v>217</v>
      </c>
      <c r="C79" s="449">
        <v>17</v>
      </c>
      <c r="D79" s="359">
        <v>37</v>
      </c>
      <c r="E79" s="360" t="s">
        <v>318</v>
      </c>
      <c r="F79" s="230" t="s">
        <v>317</v>
      </c>
      <c r="G79" s="361" t="s">
        <v>43</v>
      </c>
      <c r="H79" s="362">
        <v>36241373</v>
      </c>
      <c r="I79" s="230">
        <v>41029</v>
      </c>
      <c r="J79" s="230">
        <v>11</v>
      </c>
      <c r="K79" s="363" t="s">
        <v>313</v>
      </c>
      <c r="L79" s="364"/>
      <c r="M79" s="365" t="s">
        <v>319</v>
      </c>
      <c r="N79" s="366" t="s">
        <v>315</v>
      </c>
      <c r="O79" s="367">
        <v>15199918</v>
      </c>
      <c r="P79" s="368" t="s">
        <v>316</v>
      </c>
      <c r="Q79" s="397" t="s">
        <v>313</v>
      </c>
      <c r="R79" s="370" t="s">
        <v>129</v>
      </c>
      <c r="S79" s="370" t="s">
        <v>146</v>
      </c>
      <c r="T79" s="371" t="s">
        <v>138</v>
      </c>
      <c r="U79" s="384"/>
      <c r="V79" s="373">
        <v>240</v>
      </c>
      <c r="W79" s="398" t="s">
        <v>78</v>
      </c>
      <c r="X79" s="404">
        <v>45301</v>
      </c>
      <c r="Y79" s="372" t="s">
        <v>129</v>
      </c>
      <c r="Z79" s="381">
        <v>240</v>
      </c>
      <c r="AA79" s="359"/>
      <c r="AB79" s="230"/>
      <c r="AC79" s="381"/>
      <c r="AD79" s="498"/>
      <c r="AE79" s="230"/>
      <c r="AF79" s="381"/>
      <c r="AG79" s="402"/>
      <c r="AH79" s="403"/>
      <c r="AI79" s="401"/>
      <c r="AJ79" s="402"/>
      <c r="AK79" s="403"/>
      <c r="AL79" s="401"/>
      <c r="AM79" s="402"/>
      <c r="AN79" s="403"/>
      <c r="AO79" s="401"/>
      <c r="AP79" s="402"/>
      <c r="AQ79" s="403"/>
      <c r="AR79" s="401"/>
      <c r="AS79" s="202"/>
    </row>
    <row r="80" spans="1:45" ht="13.5" hidden="1" customHeight="1">
      <c r="A80" s="12"/>
      <c r="B80" s="358"/>
      <c r="C80" s="472"/>
      <c r="D80" s="359"/>
      <c r="E80" s="360"/>
      <c r="F80" s="230"/>
      <c r="G80" s="378"/>
      <c r="H80" s="362"/>
      <c r="I80" s="230"/>
      <c r="J80" s="230"/>
      <c r="K80" s="368"/>
      <c r="L80" s="364"/>
      <c r="M80" s="365"/>
      <c r="N80" s="366"/>
      <c r="O80" s="367"/>
      <c r="P80" s="368"/>
      <c r="Q80" s="399"/>
      <c r="R80" s="370"/>
      <c r="S80" s="370"/>
      <c r="T80" s="371"/>
      <c r="U80" s="384"/>
      <c r="V80" s="373"/>
      <c r="W80" s="400"/>
      <c r="X80" s="404"/>
      <c r="Y80" s="372"/>
      <c r="Z80" s="381"/>
      <c r="AA80" s="359"/>
      <c r="AB80" s="230"/>
      <c r="AC80" s="381"/>
      <c r="AD80" s="498"/>
      <c r="AE80" s="230"/>
      <c r="AF80" s="381"/>
      <c r="AG80" s="402"/>
      <c r="AH80" s="403"/>
      <c r="AI80" s="401"/>
      <c r="AJ80" s="402"/>
      <c r="AK80" s="403"/>
      <c r="AL80" s="401"/>
      <c r="AM80" s="402"/>
      <c r="AN80" s="403"/>
      <c r="AO80" s="401"/>
      <c r="AP80" s="402"/>
      <c r="AQ80" s="403"/>
      <c r="AR80" s="401"/>
      <c r="AS80" s="202"/>
    </row>
    <row r="81" spans="1:45" ht="13.5" hidden="1" customHeight="1">
      <c r="A81" s="12"/>
      <c r="B81" s="358" t="s">
        <v>217</v>
      </c>
      <c r="C81" s="449">
        <v>18</v>
      </c>
      <c r="D81" s="359">
        <v>38</v>
      </c>
      <c r="E81" s="360" t="s">
        <v>321</v>
      </c>
      <c r="F81" s="230" t="s">
        <v>320</v>
      </c>
      <c r="G81" s="361" t="s">
        <v>43</v>
      </c>
      <c r="H81" s="362">
        <v>21436476</v>
      </c>
      <c r="I81" s="230">
        <v>34001</v>
      </c>
      <c r="J81" s="230">
        <v>31</v>
      </c>
      <c r="K81" s="363" t="s">
        <v>322</v>
      </c>
      <c r="L81" s="364" t="s">
        <v>323</v>
      </c>
      <c r="M81" s="365" t="s">
        <v>324</v>
      </c>
      <c r="N81" s="366"/>
      <c r="O81" s="367"/>
      <c r="P81" s="368"/>
      <c r="Q81" s="408"/>
      <c r="R81" s="370" t="s">
        <v>50</v>
      </c>
      <c r="S81" s="370" t="s">
        <v>325</v>
      </c>
      <c r="T81" s="371" t="s">
        <v>288</v>
      </c>
      <c r="U81" s="384"/>
      <c r="V81" s="373">
        <v>480</v>
      </c>
      <c r="W81" s="398" t="s">
        <v>54</v>
      </c>
      <c r="X81" s="404">
        <v>45301</v>
      </c>
      <c r="Y81" s="372" t="s">
        <v>50</v>
      </c>
      <c r="Z81" s="381">
        <v>120</v>
      </c>
      <c r="AA81" s="359"/>
      <c r="AB81" s="230"/>
      <c r="AC81" s="381"/>
      <c r="AD81" s="402"/>
      <c r="AE81" s="403"/>
      <c r="AF81" s="401"/>
      <c r="AG81" s="402"/>
      <c r="AH81" s="403"/>
      <c r="AI81" s="401"/>
      <c r="AJ81" s="402"/>
      <c r="AK81" s="403"/>
      <c r="AL81" s="401"/>
      <c r="AM81" s="402"/>
      <c r="AN81" s="403"/>
      <c r="AO81" s="401"/>
      <c r="AP81" s="402"/>
      <c r="AQ81" s="403"/>
      <c r="AR81" s="401"/>
      <c r="AS81" s="202"/>
    </row>
    <row r="82" spans="1:45" ht="13.5" hidden="1" customHeight="1">
      <c r="A82" s="12"/>
      <c r="B82" s="358"/>
      <c r="C82" s="472"/>
      <c r="D82" s="359"/>
      <c r="E82" s="360"/>
      <c r="F82" s="230"/>
      <c r="G82" s="378"/>
      <c r="H82" s="362"/>
      <c r="I82" s="230"/>
      <c r="J82" s="230"/>
      <c r="K82" s="230"/>
      <c r="L82" s="364"/>
      <c r="M82" s="452"/>
      <c r="N82" s="366"/>
      <c r="O82" s="367"/>
      <c r="P82" s="368"/>
      <c r="Q82" s="408"/>
      <c r="R82" s="370"/>
      <c r="S82" s="370"/>
      <c r="T82" s="371"/>
      <c r="U82" s="384"/>
      <c r="V82" s="373"/>
      <c r="W82" s="383"/>
      <c r="X82" s="404"/>
      <c r="Y82" s="372"/>
      <c r="Z82" s="381"/>
      <c r="AA82" s="359"/>
      <c r="AB82" s="230"/>
      <c r="AC82" s="381"/>
      <c r="AD82" s="402"/>
      <c r="AE82" s="403"/>
      <c r="AF82" s="401"/>
      <c r="AG82" s="402"/>
      <c r="AH82" s="403"/>
      <c r="AI82" s="401"/>
      <c r="AJ82" s="402"/>
      <c r="AK82" s="403"/>
      <c r="AL82" s="401"/>
      <c r="AM82" s="402"/>
      <c r="AN82" s="403"/>
      <c r="AO82" s="401"/>
      <c r="AP82" s="402"/>
      <c r="AQ82" s="403"/>
      <c r="AR82" s="401"/>
      <c r="AS82" s="202"/>
    </row>
    <row r="83" spans="1:45" ht="13.5" hidden="1" customHeight="1">
      <c r="A83" s="12"/>
      <c r="B83" s="358" t="s">
        <v>217</v>
      </c>
      <c r="C83" s="449">
        <v>19</v>
      </c>
      <c r="D83" s="359">
        <v>39</v>
      </c>
      <c r="E83" s="360" t="s">
        <v>327</v>
      </c>
      <c r="F83" s="230" t="s">
        <v>326</v>
      </c>
      <c r="G83" s="361" t="s">
        <v>43</v>
      </c>
      <c r="H83" s="362">
        <v>33351857</v>
      </c>
      <c r="I83" s="230">
        <v>39802</v>
      </c>
      <c r="J83" s="230">
        <v>11</v>
      </c>
      <c r="K83" s="363" t="s">
        <v>157</v>
      </c>
      <c r="L83" s="502" t="s">
        <v>158</v>
      </c>
      <c r="M83" s="269" t="s">
        <v>328</v>
      </c>
      <c r="N83" s="503" t="s">
        <v>160</v>
      </c>
      <c r="O83" s="453">
        <v>14418138</v>
      </c>
      <c r="P83" s="454" t="s">
        <v>329</v>
      </c>
      <c r="Q83" s="504" t="s">
        <v>162</v>
      </c>
      <c r="R83" s="370" t="s">
        <v>330</v>
      </c>
      <c r="S83" s="370"/>
      <c r="T83" s="371" t="s">
        <v>138</v>
      </c>
      <c r="U83" s="372"/>
      <c r="V83" s="373">
        <v>300</v>
      </c>
      <c r="W83" s="374" t="s">
        <v>78</v>
      </c>
      <c r="X83" s="404">
        <v>45302</v>
      </c>
      <c r="Y83" s="372" t="s">
        <v>330</v>
      </c>
      <c r="Z83" s="381">
        <v>140</v>
      </c>
      <c r="AA83" s="359"/>
      <c r="AB83" s="230"/>
      <c r="AC83" s="381"/>
      <c r="AD83" s="359"/>
      <c r="AE83" s="230"/>
      <c r="AF83" s="381"/>
      <c r="AG83" s="402"/>
      <c r="AH83" s="403"/>
      <c r="AI83" s="401"/>
      <c r="AJ83" s="402"/>
      <c r="AK83" s="403"/>
      <c r="AL83" s="401"/>
      <c r="AM83" s="402"/>
      <c r="AN83" s="403"/>
      <c r="AO83" s="401"/>
      <c r="AP83" s="402"/>
      <c r="AQ83" s="403"/>
      <c r="AR83" s="401"/>
      <c r="AS83" s="202"/>
    </row>
    <row r="84" spans="1:45" ht="13.5" hidden="1" customHeight="1">
      <c r="A84" s="12"/>
      <c r="B84" s="358"/>
      <c r="C84" s="472"/>
      <c r="D84" s="359"/>
      <c r="E84" s="360"/>
      <c r="F84" s="230"/>
      <c r="G84" s="378"/>
      <c r="H84" s="230"/>
      <c r="I84" s="230"/>
      <c r="J84" s="230"/>
      <c r="K84" s="368"/>
      <c r="L84" s="502"/>
      <c r="M84" s="505"/>
      <c r="N84" s="506"/>
      <c r="O84" s="440"/>
      <c r="P84" s="429"/>
      <c r="Q84" s="442"/>
      <c r="R84" s="370"/>
      <c r="S84" s="370"/>
      <c r="T84" s="371"/>
      <c r="U84" s="372"/>
      <c r="V84" s="373"/>
      <c r="W84" s="383"/>
      <c r="X84" s="404"/>
      <c r="Y84" s="372"/>
      <c r="Z84" s="381"/>
      <c r="AA84" s="359"/>
      <c r="AB84" s="230"/>
      <c r="AC84" s="381"/>
      <c r="AD84" s="359"/>
      <c r="AE84" s="230"/>
      <c r="AF84" s="381"/>
      <c r="AG84" s="402"/>
      <c r="AH84" s="403"/>
      <c r="AI84" s="401"/>
      <c r="AJ84" s="402"/>
      <c r="AK84" s="403"/>
      <c r="AL84" s="401"/>
      <c r="AM84" s="402"/>
      <c r="AN84" s="403"/>
      <c r="AO84" s="401"/>
      <c r="AP84" s="402"/>
      <c r="AQ84" s="403"/>
      <c r="AR84" s="401"/>
      <c r="AS84" s="202"/>
    </row>
    <row r="85" spans="1:45" ht="13.5" hidden="1" customHeight="1">
      <c r="A85" s="12"/>
      <c r="B85" s="358" t="s">
        <v>217</v>
      </c>
      <c r="C85" s="449">
        <v>20</v>
      </c>
      <c r="D85" s="359">
        <v>40</v>
      </c>
      <c r="E85" s="360" t="s">
        <v>332</v>
      </c>
      <c r="F85" s="230" t="s">
        <v>331</v>
      </c>
      <c r="G85" s="361" t="s">
        <v>43</v>
      </c>
      <c r="H85" s="362">
        <v>33329696</v>
      </c>
      <c r="I85" s="230">
        <v>40862</v>
      </c>
      <c r="J85" s="230">
        <v>12</v>
      </c>
      <c r="K85" s="363" t="s">
        <v>333</v>
      </c>
      <c r="L85" s="502" t="s">
        <v>334</v>
      </c>
      <c r="M85" s="269" t="s">
        <v>335</v>
      </c>
      <c r="N85" s="503" t="s">
        <v>336</v>
      </c>
      <c r="O85" s="453">
        <v>14216581</v>
      </c>
      <c r="P85" s="454" t="s">
        <v>337</v>
      </c>
      <c r="Q85" s="504" t="s">
        <v>338</v>
      </c>
      <c r="R85" s="370" t="s">
        <v>50</v>
      </c>
      <c r="S85" s="370" t="s">
        <v>146</v>
      </c>
      <c r="T85" s="371" t="s">
        <v>138</v>
      </c>
      <c r="U85" s="384"/>
      <c r="V85" s="373">
        <v>300</v>
      </c>
      <c r="W85" s="374" t="s">
        <v>78</v>
      </c>
      <c r="X85" s="404">
        <v>45302</v>
      </c>
      <c r="Y85" s="372" t="s">
        <v>50</v>
      </c>
      <c r="Z85" s="381">
        <v>300</v>
      </c>
      <c r="AA85" s="359"/>
      <c r="AB85" s="230"/>
      <c r="AC85" s="381"/>
      <c r="AD85" s="359"/>
      <c r="AE85" s="230"/>
      <c r="AF85" s="381"/>
      <c r="AG85" s="402"/>
      <c r="AH85" s="403"/>
      <c r="AI85" s="401"/>
      <c r="AJ85" s="402"/>
      <c r="AK85" s="403"/>
      <c r="AL85" s="401"/>
      <c r="AM85" s="402"/>
      <c r="AN85" s="403"/>
      <c r="AO85" s="401"/>
      <c r="AP85" s="402"/>
      <c r="AQ85" s="403"/>
      <c r="AR85" s="401"/>
      <c r="AS85" s="202"/>
    </row>
    <row r="86" spans="1:45" ht="13.5" hidden="1" customHeight="1">
      <c r="A86" s="12"/>
      <c r="B86" s="358"/>
      <c r="C86" s="472"/>
      <c r="D86" s="359"/>
      <c r="E86" s="360"/>
      <c r="F86" s="230"/>
      <c r="G86" s="378"/>
      <c r="H86" s="362"/>
      <c r="I86" s="230"/>
      <c r="J86" s="230"/>
      <c r="K86" s="230"/>
      <c r="L86" s="502"/>
      <c r="M86" s="505"/>
      <c r="N86" s="506"/>
      <c r="O86" s="440"/>
      <c r="P86" s="429"/>
      <c r="Q86" s="430"/>
      <c r="R86" s="370"/>
      <c r="S86" s="370"/>
      <c r="T86" s="371"/>
      <c r="U86" s="384"/>
      <c r="V86" s="373"/>
      <c r="W86" s="383"/>
      <c r="X86" s="404"/>
      <c r="Y86" s="372"/>
      <c r="Z86" s="381"/>
      <c r="AA86" s="359"/>
      <c r="AB86" s="230"/>
      <c r="AC86" s="381"/>
      <c r="AD86" s="359"/>
      <c r="AE86" s="230"/>
      <c r="AF86" s="381"/>
      <c r="AG86" s="402"/>
      <c r="AH86" s="403"/>
      <c r="AI86" s="401"/>
      <c r="AJ86" s="402"/>
      <c r="AK86" s="403"/>
      <c r="AL86" s="401"/>
      <c r="AM86" s="402"/>
      <c r="AN86" s="403"/>
      <c r="AO86" s="401"/>
      <c r="AP86" s="402"/>
      <c r="AQ86" s="403"/>
      <c r="AR86" s="401"/>
      <c r="AS86" s="202"/>
    </row>
    <row r="87" spans="1:45" ht="13.5" hidden="1" customHeight="1">
      <c r="A87" s="12"/>
      <c r="B87" s="358" t="s">
        <v>339</v>
      </c>
      <c r="C87" s="359">
        <v>1</v>
      </c>
      <c r="D87" s="359">
        <v>41</v>
      </c>
      <c r="E87" s="360" t="s">
        <v>341</v>
      </c>
      <c r="F87" s="230" t="s">
        <v>340</v>
      </c>
      <c r="G87" s="361" t="s">
        <v>43</v>
      </c>
      <c r="H87" s="362">
        <v>33519086</v>
      </c>
      <c r="I87" s="230">
        <v>39989</v>
      </c>
      <c r="J87" s="230">
        <v>14</v>
      </c>
      <c r="K87" s="363" t="s">
        <v>342</v>
      </c>
      <c r="L87" s="364" t="s">
        <v>343</v>
      </c>
      <c r="M87" s="405" t="s">
        <v>344</v>
      </c>
      <c r="N87" s="366" t="s">
        <v>345</v>
      </c>
      <c r="O87" s="443">
        <v>12879788</v>
      </c>
      <c r="P87" s="368" t="s">
        <v>346</v>
      </c>
      <c r="Q87" s="406" t="s">
        <v>347</v>
      </c>
      <c r="R87" s="370" t="s">
        <v>50</v>
      </c>
      <c r="S87" s="370" t="s">
        <v>146</v>
      </c>
      <c r="T87" s="371" t="s">
        <v>138</v>
      </c>
      <c r="U87" s="384"/>
      <c r="V87" s="373">
        <v>300</v>
      </c>
      <c r="W87" s="374" t="s">
        <v>78</v>
      </c>
      <c r="X87" s="404">
        <v>45302</v>
      </c>
      <c r="Y87" s="372" t="s">
        <v>50</v>
      </c>
      <c r="Z87" s="381">
        <v>300</v>
      </c>
      <c r="AA87" s="359"/>
      <c r="AB87" s="230"/>
      <c r="AC87" s="381"/>
      <c r="AD87" s="359"/>
      <c r="AE87" s="230"/>
      <c r="AF87" s="381"/>
      <c r="AG87" s="402"/>
      <c r="AH87" s="403"/>
      <c r="AI87" s="401"/>
      <c r="AJ87" s="402"/>
      <c r="AK87" s="403"/>
      <c r="AL87" s="401"/>
      <c r="AM87" s="402"/>
      <c r="AN87" s="403"/>
      <c r="AO87" s="401"/>
      <c r="AP87" s="402"/>
      <c r="AQ87" s="403"/>
      <c r="AR87" s="401"/>
      <c r="AS87" s="202"/>
    </row>
    <row r="88" spans="1:45" ht="15.75" hidden="1" customHeight="1">
      <c r="A88" s="12"/>
      <c r="B88" s="358"/>
      <c r="C88" s="359"/>
      <c r="D88" s="359"/>
      <c r="E88" s="360"/>
      <c r="F88" s="230"/>
      <c r="G88" s="378"/>
      <c r="H88" s="362"/>
      <c r="I88" s="230"/>
      <c r="J88" s="230"/>
      <c r="K88" s="230"/>
      <c r="L88" s="364"/>
      <c r="M88" s="405"/>
      <c r="N88" s="366"/>
      <c r="O88" s="368"/>
      <c r="P88" s="368"/>
      <c r="Q88" s="408"/>
      <c r="R88" s="370"/>
      <c r="S88" s="370"/>
      <c r="T88" s="371"/>
      <c r="U88" s="384"/>
      <c r="V88" s="373"/>
      <c r="W88" s="383"/>
      <c r="X88" s="404"/>
      <c r="Y88" s="372"/>
      <c r="Z88" s="381"/>
      <c r="AA88" s="359"/>
      <c r="AB88" s="230"/>
      <c r="AC88" s="381"/>
      <c r="AD88" s="359"/>
      <c r="AE88" s="230"/>
      <c r="AF88" s="381"/>
      <c r="AG88" s="402"/>
      <c r="AH88" s="403"/>
      <c r="AI88" s="401"/>
      <c r="AJ88" s="402"/>
      <c r="AK88" s="403"/>
      <c r="AL88" s="401"/>
      <c r="AM88" s="402"/>
      <c r="AN88" s="403"/>
      <c r="AO88" s="401"/>
      <c r="AP88" s="402"/>
      <c r="AQ88" s="403"/>
      <c r="AR88" s="401"/>
      <c r="AS88" s="202"/>
    </row>
    <row r="89" spans="1:45" ht="13.5" hidden="1" customHeight="1">
      <c r="A89" s="12"/>
      <c r="B89" s="358" t="s">
        <v>339</v>
      </c>
      <c r="C89" s="359">
        <v>2</v>
      </c>
      <c r="D89" s="359">
        <v>42</v>
      </c>
      <c r="E89" s="360" t="s">
        <v>349</v>
      </c>
      <c r="F89" s="230" t="s">
        <v>348</v>
      </c>
      <c r="G89" s="361" t="s">
        <v>43</v>
      </c>
      <c r="H89" s="230"/>
      <c r="I89" s="230">
        <v>42686</v>
      </c>
      <c r="J89" s="230">
        <v>7</v>
      </c>
      <c r="K89" s="230"/>
      <c r="L89" s="364"/>
      <c r="M89" s="405" t="s">
        <v>350</v>
      </c>
      <c r="N89" s="366" t="s">
        <v>351</v>
      </c>
      <c r="O89" s="367">
        <v>17533081</v>
      </c>
      <c r="P89" s="368">
        <v>4149122618</v>
      </c>
      <c r="Q89" s="504" t="s">
        <v>352</v>
      </c>
      <c r="R89" s="370" t="s">
        <v>353</v>
      </c>
      <c r="S89" s="370" t="s">
        <v>130</v>
      </c>
      <c r="T89" s="371" t="s">
        <v>288</v>
      </c>
      <c r="U89" s="384"/>
      <c r="V89" s="373">
        <v>300</v>
      </c>
      <c r="W89" s="374" t="s">
        <v>78</v>
      </c>
      <c r="X89" s="404">
        <v>45303</v>
      </c>
      <c r="Y89" s="372" t="s">
        <v>353</v>
      </c>
      <c r="Z89" s="381">
        <v>240</v>
      </c>
      <c r="AA89" s="359"/>
      <c r="AB89" s="230"/>
      <c r="AC89" s="381"/>
      <c r="AD89" s="402"/>
      <c r="AE89" s="403"/>
      <c r="AF89" s="401"/>
      <c r="AG89" s="402"/>
      <c r="AH89" s="403"/>
      <c r="AI89" s="401"/>
      <c r="AJ89" s="402"/>
      <c r="AK89" s="403"/>
      <c r="AL89" s="401"/>
      <c r="AM89" s="402"/>
      <c r="AN89" s="403"/>
      <c r="AO89" s="401"/>
      <c r="AP89" s="402"/>
      <c r="AQ89" s="403"/>
      <c r="AR89" s="401"/>
      <c r="AS89" s="202"/>
    </row>
    <row r="90" spans="1:45" ht="15.75" hidden="1" customHeight="1">
      <c r="A90" s="12"/>
      <c r="B90" s="358"/>
      <c r="C90" s="359"/>
      <c r="D90" s="359"/>
      <c r="E90" s="360"/>
      <c r="F90" s="230"/>
      <c r="G90" s="378"/>
      <c r="H90" s="230"/>
      <c r="I90" s="230"/>
      <c r="J90" s="230"/>
      <c r="K90" s="230"/>
      <c r="L90" s="364"/>
      <c r="M90" s="405"/>
      <c r="N90" s="366"/>
      <c r="O90" s="367"/>
      <c r="P90" s="368"/>
      <c r="Q90" s="507"/>
      <c r="R90" s="370"/>
      <c r="S90" s="370"/>
      <c r="T90" s="371"/>
      <c r="U90" s="384"/>
      <c r="V90" s="373"/>
      <c r="W90" s="383"/>
      <c r="X90" s="404"/>
      <c r="Y90" s="372"/>
      <c r="Z90" s="381"/>
      <c r="AA90" s="359"/>
      <c r="AB90" s="230"/>
      <c r="AC90" s="381"/>
      <c r="AD90" s="402"/>
      <c r="AE90" s="403"/>
      <c r="AF90" s="401"/>
      <c r="AG90" s="402"/>
      <c r="AH90" s="403"/>
      <c r="AI90" s="401"/>
      <c r="AJ90" s="402"/>
      <c r="AK90" s="403"/>
      <c r="AL90" s="401"/>
      <c r="AM90" s="402"/>
      <c r="AN90" s="403"/>
      <c r="AO90" s="401"/>
      <c r="AP90" s="402"/>
      <c r="AQ90" s="403"/>
      <c r="AR90" s="401"/>
      <c r="AS90" s="202"/>
    </row>
    <row r="91" spans="1:45" ht="13.5" hidden="1" customHeight="1">
      <c r="A91" s="12"/>
      <c r="B91" s="358" t="s">
        <v>339</v>
      </c>
      <c r="C91" s="359">
        <v>3</v>
      </c>
      <c r="D91" s="359">
        <v>43</v>
      </c>
      <c r="E91" s="360" t="s">
        <v>355</v>
      </c>
      <c r="F91" s="230" t="s">
        <v>354</v>
      </c>
      <c r="G91" s="361" t="s">
        <v>43</v>
      </c>
      <c r="H91" s="230" t="s">
        <v>356</v>
      </c>
      <c r="I91" s="230">
        <v>40100</v>
      </c>
      <c r="J91" s="230">
        <v>14</v>
      </c>
      <c r="K91" s="363" t="s">
        <v>357</v>
      </c>
      <c r="L91" s="364">
        <v>4141105035</v>
      </c>
      <c r="M91" s="452" t="s">
        <v>358</v>
      </c>
      <c r="N91" s="409" t="s">
        <v>359</v>
      </c>
      <c r="O91" s="453" t="s">
        <v>360</v>
      </c>
      <c r="P91" s="454" t="s">
        <v>361</v>
      </c>
      <c r="Q91" s="508" t="s">
        <v>362</v>
      </c>
      <c r="R91" s="370" t="s">
        <v>50</v>
      </c>
      <c r="S91" s="370" t="s">
        <v>146</v>
      </c>
      <c r="T91" s="371" t="s">
        <v>288</v>
      </c>
      <c r="U91" s="384"/>
      <c r="V91" s="373">
        <v>300</v>
      </c>
      <c r="W91" s="374" t="s">
        <v>78</v>
      </c>
      <c r="X91" s="404">
        <v>45306</v>
      </c>
      <c r="Y91" s="372" t="s">
        <v>50</v>
      </c>
      <c r="Z91" s="381">
        <v>90</v>
      </c>
      <c r="AA91" s="359"/>
      <c r="AB91" s="399"/>
      <c r="AC91" s="381"/>
      <c r="AD91" s="402"/>
      <c r="AE91" s="403"/>
      <c r="AF91" s="401"/>
      <c r="AG91" s="402"/>
      <c r="AH91" s="403"/>
      <c r="AI91" s="401"/>
      <c r="AJ91" s="402"/>
      <c r="AK91" s="403"/>
      <c r="AL91" s="401"/>
      <c r="AM91" s="402"/>
      <c r="AN91" s="403"/>
      <c r="AO91" s="401"/>
      <c r="AP91" s="402"/>
      <c r="AQ91" s="403"/>
      <c r="AR91" s="401"/>
      <c r="AS91" s="202"/>
    </row>
    <row r="92" spans="1:45" ht="13.5" hidden="1" customHeight="1">
      <c r="A92" s="12"/>
      <c r="B92" s="358"/>
      <c r="C92" s="359"/>
      <c r="D92" s="359"/>
      <c r="E92" s="360"/>
      <c r="F92" s="230"/>
      <c r="G92" s="378"/>
      <c r="H92" s="230"/>
      <c r="I92" s="230"/>
      <c r="J92" s="230"/>
      <c r="K92" s="368"/>
      <c r="L92" s="364"/>
      <c r="M92" s="439"/>
      <c r="N92" s="425"/>
      <c r="O92" s="440"/>
      <c r="P92" s="429"/>
      <c r="Q92" s="430"/>
      <c r="R92" s="370"/>
      <c r="S92" s="370"/>
      <c r="T92" s="371"/>
      <c r="U92" s="384"/>
      <c r="V92" s="373"/>
      <c r="W92" s="383"/>
      <c r="X92" s="404"/>
      <c r="Y92" s="372"/>
      <c r="Z92" s="381"/>
      <c r="AA92" s="359"/>
      <c r="AB92" s="399"/>
      <c r="AC92" s="381"/>
      <c r="AD92" s="402"/>
      <c r="AE92" s="403"/>
      <c r="AF92" s="401"/>
      <c r="AG92" s="402"/>
      <c r="AH92" s="403"/>
      <c r="AI92" s="401"/>
      <c r="AJ92" s="402"/>
      <c r="AK92" s="403"/>
      <c r="AL92" s="401"/>
      <c r="AM92" s="402"/>
      <c r="AN92" s="403"/>
      <c r="AO92" s="401"/>
      <c r="AP92" s="402"/>
      <c r="AQ92" s="403"/>
      <c r="AR92" s="401"/>
      <c r="AS92" s="202"/>
    </row>
    <row r="93" spans="1:45" ht="21.75" customHeight="1">
      <c r="A93" s="12"/>
      <c r="B93" s="358" t="s">
        <v>339</v>
      </c>
      <c r="C93" s="359">
        <v>4</v>
      </c>
      <c r="D93" s="359">
        <v>3</v>
      </c>
      <c r="E93" s="360" t="s">
        <v>364</v>
      </c>
      <c r="F93" s="230" t="s">
        <v>363</v>
      </c>
      <c r="G93" s="361" t="s">
        <v>278</v>
      </c>
      <c r="H93" s="362">
        <v>34428906</v>
      </c>
      <c r="I93" s="230">
        <v>41423</v>
      </c>
      <c r="J93" s="230">
        <v>9</v>
      </c>
      <c r="K93" s="368"/>
      <c r="L93" s="364"/>
      <c r="M93" s="452" t="s">
        <v>365</v>
      </c>
      <c r="N93" s="409" t="s">
        <v>366</v>
      </c>
      <c r="O93" s="453">
        <v>16394794</v>
      </c>
      <c r="P93" s="454" t="s">
        <v>367</v>
      </c>
      <c r="Q93" s="504" t="s">
        <v>368</v>
      </c>
      <c r="R93" s="370" t="s">
        <v>369</v>
      </c>
      <c r="S93" s="370" t="s">
        <v>130</v>
      </c>
      <c r="T93" s="371" t="s">
        <v>85</v>
      </c>
      <c r="U93" s="384"/>
      <c r="V93" s="373">
        <v>240</v>
      </c>
      <c r="W93" s="374" t="s">
        <v>54</v>
      </c>
      <c r="X93" s="404">
        <v>45230</v>
      </c>
      <c r="Y93" s="372" t="s">
        <v>370</v>
      </c>
      <c r="Z93" s="381"/>
      <c r="AA93" s="359"/>
      <c r="AB93" s="230"/>
      <c r="AC93" s="381"/>
      <c r="AD93" s="402"/>
      <c r="AE93" s="403"/>
      <c r="AF93" s="401"/>
      <c r="AG93" s="402"/>
      <c r="AH93" s="403"/>
      <c r="AI93" s="401"/>
      <c r="AJ93" s="402"/>
      <c r="AK93" s="403"/>
      <c r="AL93" s="401"/>
      <c r="AM93" s="402"/>
      <c r="AN93" s="403"/>
      <c r="AO93" s="401"/>
      <c r="AP93" s="402"/>
      <c r="AQ93" s="403"/>
      <c r="AR93" s="401"/>
      <c r="AS93" s="202"/>
    </row>
    <row r="94" spans="1:45" ht="13.5" hidden="1" customHeight="1">
      <c r="A94" s="12"/>
      <c r="B94" s="358"/>
      <c r="C94" s="359"/>
      <c r="D94" s="359"/>
      <c r="E94" s="360"/>
      <c r="F94" s="230"/>
      <c r="G94" s="378"/>
      <c r="H94" s="230"/>
      <c r="I94" s="230"/>
      <c r="J94" s="230"/>
      <c r="K94" s="368"/>
      <c r="L94" s="364"/>
      <c r="M94" s="439"/>
      <c r="N94" s="425"/>
      <c r="O94" s="440"/>
      <c r="P94" s="429"/>
      <c r="Q94" s="430"/>
      <c r="R94" s="370"/>
      <c r="S94" s="370"/>
      <c r="T94" s="371"/>
      <c r="U94" s="384"/>
      <c r="V94" s="373"/>
      <c r="W94" s="383"/>
      <c r="X94" s="404"/>
      <c r="Y94" s="372"/>
      <c r="Z94" s="381"/>
      <c r="AA94" s="359"/>
      <c r="AB94" s="230"/>
      <c r="AC94" s="381"/>
      <c r="AD94" s="402"/>
      <c r="AE94" s="403"/>
      <c r="AF94" s="401"/>
      <c r="AG94" s="402"/>
      <c r="AH94" s="403"/>
      <c r="AI94" s="401"/>
      <c r="AJ94" s="402"/>
      <c r="AK94" s="403"/>
      <c r="AL94" s="401"/>
      <c r="AM94" s="402"/>
      <c r="AN94" s="403"/>
      <c r="AO94" s="401"/>
      <c r="AP94" s="402"/>
      <c r="AQ94" s="403"/>
      <c r="AR94" s="401"/>
      <c r="AS94" s="202"/>
    </row>
    <row r="95" spans="1:45" ht="13.5" hidden="1" customHeight="1">
      <c r="A95" s="12"/>
      <c r="B95" s="358" t="s">
        <v>339</v>
      </c>
      <c r="C95" s="359">
        <v>5</v>
      </c>
      <c r="D95" s="359">
        <v>45</v>
      </c>
      <c r="E95" s="360" t="s">
        <v>372</v>
      </c>
      <c r="F95" s="230" t="s">
        <v>371</v>
      </c>
      <c r="G95" s="361" t="s">
        <v>43</v>
      </c>
      <c r="H95" s="362"/>
      <c r="I95" s="230">
        <v>41501</v>
      </c>
      <c r="J95" s="230">
        <v>10</v>
      </c>
      <c r="K95" s="363" t="s">
        <v>373</v>
      </c>
      <c r="L95" s="364"/>
      <c r="M95" s="452" t="s">
        <v>374</v>
      </c>
      <c r="N95" s="366" t="s">
        <v>375</v>
      </c>
      <c r="O95" s="443">
        <v>17978648</v>
      </c>
      <c r="P95" s="368" t="s">
        <v>376</v>
      </c>
      <c r="Q95" s="406" t="s">
        <v>373</v>
      </c>
      <c r="R95" s="370" t="s">
        <v>129</v>
      </c>
      <c r="S95" s="370" t="s">
        <v>130</v>
      </c>
      <c r="T95" s="371" t="s">
        <v>138</v>
      </c>
      <c r="U95" s="384"/>
      <c r="V95" s="373">
        <v>300</v>
      </c>
      <c r="W95" s="374" t="s">
        <v>78</v>
      </c>
      <c r="X95" s="404">
        <v>45307</v>
      </c>
      <c r="Y95" s="372" t="s">
        <v>129</v>
      </c>
      <c r="Z95" s="381">
        <v>300</v>
      </c>
      <c r="AA95" s="359"/>
      <c r="AB95" s="230"/>
      <c r="AC95" s="381"/>
      <c r="AD95" s="402"/>
      <c r="AE95" s="403"/>
      <c r="AF95" s="401"/>
      <c r="AG95" s="402"/>
      <c r="AH95" s="403"/>
      <c r="AI95" s="401"/>
      <c r="AJ95" s="402"/>
      <c r="AK95" s="403"/>
      <c r="AL95" s="401"/>
      <c r="AM95" s="402"/>
      <c r="AN95" s="403"/>
      <c r="AO95" s="401"/>
      <c r="AP95" s="402"/>
      <c r="AQ95" s="403"/>
      <c r="AR95" s="401"/>
      <c r="AS95" s="202"/>
    </row>
    <row r="96" spans="1:45" ht="13.5" hidden="1" customHeight="1">
      <c r="A96" s="12"/>
      <c r="B96" s="358"/>
      <c r="C96" s="359"/>
      <c r="D96" s="359"/>
      <c r="E96" s="360"/>
      <c r="F96" s="230"/>
      <c r="G96" s="378"/>
      <c r="H96" s="362"/>
      <c r="I96" s="230"/>
      <c r="J96" s="230"/>
      <c r="K96" s="230"/>
      <c r="L96" s="364"/>
      <c r="M96" s="439"/>
      <c r="N96" s="366"/>
      <c r="O96" s="368"/>
      <c r="P96" s="368"/>
      <c r="Q96" s="408"/>
      <c r="R96" s="370"/>
      <c r="S96" s="370"/>
      <c r="T96" s="371"/>
      <c r="U96" s="384"/>
      <c r="V96" s="373"/>
      <c r="W96" s="383"/>
      <c r="X96" s="404"/>
      <c r="Y96" s="372"/>
      <c r="Z96" s="381"/>
      <c r="AA96" s="359"/>
      <c r="AB96" s="230"/>
      <c r="AC96" s="381"/>
      <c r="AD96" s="402"/>
      <c r="AE96" s="403"/>
      <c r="AF96" s="401"/>
      <c r="AG96" s="402"/>
      <c r="AH96" s="403"/>
      <c r="AI96" s="401"/>
      <c r="AJ96" s="402"/>
      <c r="AK96" s="403"/>
      <c r="AL96" s="401"/>
      <c r="AM96" s="402"/>
      <c r="AN96" s="403"/>
      <c r="AO96" s="401"/>
      <c r="AP96" s="402"/>
      <c r="AQ96" s="403"/>
      <c r="AR96" s="401"/>
      <c r="AS96" s="202"/>
    </row>
    <row r="97" spans="1:45" ht="13.5" hidden="1" customHeight="1">
      <c r="A97" s="12"/>
      <c r="B97" s="358" t="s">
        <v>339</v>
      </c>
      <c r="C97" s="359">
        <v>6</v>
      </c>
      <c r="D97" s="359">
        <v>46</v>
      </c>
      <c r="E97" s="360" t="s">
        <v>378</v>
      </c>
      <c r="F97" s="230" t="s">
        <v>377</v>
      </c>
      <c r="G97" s="361" t="s">
        <v>43</v>
      </c>
      <c r="H97" s="230"/>
      <c r="I97" s="230">
        <v>41039</v>
      </c>
      <c r="J97" s="230">
        <v>11</v>
      </c>
      <c r="K97" s="363" t="s">
        <v>110</v>
      </c>
      <c r="L97" s="364" t="s">
        <v>113</v>
      </c>
      <c r="M97" s="365" t="s">
        <v>379</v>
      </c>
      <c r="N97" s="366" t="s">
        <v>380</v>
      </c>
      <c r="O97" s="367" t="s">
        <v>381</v>
      </c>
      <c r="P97" s="368">
        <v>4123856987</v>
      </c>
      <c r="Q97" s="406" t="s">
        <v>373</v>
      </c>
      <c r="R97" s="370" t="s">
        <v>271</v>
      </c>
      <c r="S97" s="370" t="s">
        <v>146</v>
      </c>
      <c r="T97" s="371" t="s">
        <v>138</v>
      </c>
      <c r="U97" s="372"/>
      <c r="V97" s="373">
        <v>300</v>
      </c>
      <c r="W97" s="374" t="s">
        <v>78</v>
      </c>
      <c r="X97" s="404">
        <v>45307</v>
      </c>
      <c r="Y97" s="372" t="s">
        <v>50</v>
      </c>
      <c r="Z97" s="381">
        <v>150</v>
      </c>
      <c r="AA97" s="359"/>
      <c r="AB97" s="230"/>
      <c r="AC97" s="381"/>
      <c r="AD97" s="359"/>
      <c r="AE97" s="230"/>
      <c r="AF97" s="381"/>
      <c r="AG97" s="402"/>
      <c r="AH97" s="403"/>
      <c r="AI97" s="401"/>
      <c r="AJ97" s="402"/>
      <c r="AK97" s="403"/>
      <c r="AL97" s="401"/>
      <c r="AM97" s="402"/>
      <c r="AN97" s="403"/>
      <c r="AO97" s="401"/>
      <c r="AP97" s="402"/>
      <c r="AQ97" s="403"/>
      <c r="AR97" s="401"/>
      <c r="AS97" s="202"/>
    </row>
    <row r="98" spans="1:45" ht="13.5" hidden="1" customHeight="1">
      <c r="A98" s="12"/>
      <c r="B98" s="358"/>
      <c r="C98" s="359"/>
      <c r="D98" s="359"/>
      <c r="E98" s="360"/>
      <c r="F98" s="230"/>
      <c r="G98" s="378"/>
      <c r="H98" s="230"/>
      <c r="I98" s="230"/>
      <c r="J98" s="230"/>
      <c r="K98" s="368"/>
      <c r="L98" s="364"/>
      <c r="M98" s="365"/>
      <c r="N98" s="366"/>
      <c r="O98" s="367"/>
      <c r="P98" s="368"/>
      <c r="Q98" s="408"/>
      <c r="R98" s="370"/>
      <c r="S98" s="370"/>
      <c r="T98" s="371"/>
      <c r="U98" s="372"/>
      <c r="V98" s="373"/>
      <c r="W98" s="383"/>
      <c r="X98" s="404"/>
      <c r="Y98" s="372"/>
      <c r="Z98" s="381"/>
      <c r="AA98" s="359"/>
      <c r="AB98" s="230"/>
      <c r="AC98" s="381"/>
      <c r="AD98" s="359"/>
      <c r="AE98" s="230"/>
      <c r="AF98" s="381"/>
      <c r="AG98" s="402"/>
      <c r="AH98" s="403"/>
      <c r="AI98" s="401"/>
      <c r="AJ98" s="402"/>
      <c r="AK98" s="403"/>
      <c r="AL98" s="401"/>
      <c r="AM98" s="402"/>
      <c r="AN98" s="403"/>
      <c r="AO98" s="401"/>
      <c r="AP98" s="402"/>
      <c r="AQ98" s="403"/>
      <c r="AR98" s="401"/>
      <c r="AS98" s="202"/>
    </row>
    <row r="99" spans="1:45" ht="13.5" hidden="1" customHeight="1">
      <c r="A99" s="12"/>
      <c r="B99" s="358" t="s">
        <v>339</v>
      </c>
      <c r="C99" s="359">
        <v>7</v>
      </c>
      <c r="D99" s="359">
        <v>47</v>
      </c>
      <c r="E99" s="360" t="s">
        <v>383</v>
      </c>
      <c r="F99" s="230" t="s">
        <v>382</v>
      </c>
      <c r="G99" s="361" t="s">
        <v>43</v>
      </c>
      <c r="H99" s="362"/>
      <c r="I99" s="230">
        <v>42280</v>
      </c>
      <c r="J99" s="230">
        <v>8</v>
      </c>
      <c r="K99" s="363" t="s">
        <v>384</v>
      </c>
      <c r="L99" s="364"/>
      <c r="M99" s="365" t="s">
        <v>385</v>
      </c>
      <c r="N99" s="366" t="s">
        <v>386</v>
      </c>
      <c r="O99" s="368" t="s">
        <v>387</v>
      </c>
      <c r="P99" s="368" t="s">
        <v>388</v>
      </c>
      <c r="Q99" s="406" t="s">
        <v>384</v>
      </c>
      <c r="R99" s="370" t="s">
        <v>129</v>
      </c>
      <c r="S99" s="370" t="s">
        <v>146</v>
      </c>
      <c r="T99" s="371" t="s">
        <v>138</v>
      </c>
      <c r="U99" s="372"/>
      <c r="V99" s="373">
        <v>300</v>
      </c>
      <c r="W99" s="374" t="s">
        <v>78</v>
      </c>
      <c r="X99" s="404">
        <v>45307</v>
      </c>
      <c r="Y99" s="372" t="s">
        <v>129</v>
      </c>
      <c r="Z99" s="381">
        <v>300</v>
      </c>
      <c r="AA99" s="359"/>
      <c r="AB99" s="230"/>
      <c r="AC99" s="381"/>
      <c r="AD99" s="402"/>
      <c r="AE99" s="403"/>
      <c r="AF99" s="401"/>
      <c r="AG99" s="402"/>
      <c r="AH99" s="403"/>
      <c r="AI99" s="401"/>
      <c r="AJ99" s="402"/>
      <c r="AK99" s="403"/>
      <c r="AL99" s="401"/>
      <c r="AM99" s="402"/>
      <c r="AN99" s="403"/>
      <c r="AO99" s="401"/>
      <c r="AP99" s="402"/>
      <c r="AQ99" s="403"/>
      <c r="AR99" s="401"/>
      <c r="AS99" s="202"/>
    </row>
    <row r="100" spans="1:45" ht="13.5" hidden="1" customHeight="1">
      <c r="A100" s="12"/>
      <c r="B100" s="358"/>
      <c r="C100" s="359"/>
      <c r="D100" s="359"/>
      <c r="E100" s="360"/>
      <c r="F100" s="230"/>
      <c r="G100" s="378"/>
      <c r="H100" s="362"/>
      <c r="I100" s="230"/>
      <c r="J100" s="230"/>
      <c r="K100" s="230"/>
      <c r="L100" s="364"/>
      <c r="M100" s="365"/>
      <c r="N100" s="366"/>
      <c r="O100" s="368"/>
      <c r="P100" s="368"/>
      <c r="Q100" s="408"/>
      <c r="R100" s="370"/>
      <c r="S100" s="370"/>
      <c r="T100" s="371"/>
      <c r="U100" s="372"/>
      <c r="V100" s="373"/>
      <c r="W100" s="383"/>
      <c r="X100" s="404"/>
      <c r="Y100" s="372"/>
      <c r="Z100" s="381"/>
      <c r="AA100" s="359"/>
      <c r="AB100" s="230"/>
      <c r="AC100" s="381"/>
      <c r="AD100" s="402"/>
      <c r="AE100" s="403"/>
      <c r="AF100" s="401"/>
      <c r="AG100" s="402"/>
      <c r="AH100" s="403"/>
      <c r="AI100" s="401"/>
      <c r="AJ100" s="402"/>
      <c r="AK100" s="403"/>
      <c r="AL100" s="401"/>
      <c r="AM100" s="402"/>
      <c r="AN100" s="403"/>
      <c r="AO100" s="401"/>
      <c r="AP100" s="402"/>
      <c r="AQ100" s="403"/>
      <c r="AR100" s="401"/>
      <c r="AS100" s="202"/>
    </row>
    <row r="101" spans="1:45" ht="13.5" hidden="1" customHeight="1">
      <c r="A101" s="12"/>
      <c r="B101" s="358" t="s">
        <v>339</v>
      </c>
      <c r="C101" s="359">
        <v>8</v>
      </c>
      <c r="D101" s="359">
        <v>48</v>
      </c>
      <c r="E101" s="360" t="s">
        <v>390</v>
      </c>
      <c r="F101" s="230" t="s">
        <v>389</v>
      </c>
      <c r="G101" s="361" t="s">
        <v>43</v>
      </c>
      <c r="H101" s="362">
        <v>30411645</v>
      </c>
      <c r="I101" s="230">
        <v>37555</v>
      </c>
      <c r="J101" s="230">
        <v>21</v>
      </c>
      <c r="K101" s="363" t="s">
        <v>391</v>
      </c>
      <c r="L101" s="364" t="s">
        <v>392</v>
      </c>
      <c r="M101" s="365" t="s">
        <v>393</v>
      </c>
      <c r="N101" s="366" t="s">
        <v>394</v>
      </c>
      <c r="O101" s="367">
        <v>8677462</v>
      </c>
      <c r="P101" s="368" t="s">
        <v>395</v>
      </c>
      <c r="Q101" s="430"/>
      <c r="R101" s="370" t="s">
        <v>76</v>
      </c>
      <c r="S101" s="370" t="s">
        <v>310</v>
      </c>
      <c r="T101" s="371" t="s">
        <v>396</v>
      </c>
      <c r="U101" s="372"/>
      <c r="V101" s="373" t="s">
        <v>397</v>
      </c>
      <c r="W101" s="374" t="s">
        <v>54</v>
      </c>
      <c r="X101" s="404">
        <v>45308</v>
      </c>
      <c r="Y101" s="372" t="s">
        <v>76</v>
      </c>
      <c r="Z101" s="381" t="s">
        <v>396</v>
      </c>
      <c r="AA101" s="359"/>
      <c r="AB101" s="230"/>
      <c r="AC101" s="381"/>
      <c r="AD101" s="359"/>
      <c r="AE101" s="381"/>
      <c r="AF101" s="230"/>
      <c r="AG101" s="402"/>
      <c r="AH101" s="403"/>
      <c r="AI101" s="401"/>
      <c r="AJ101" s="402"/>
      <c r="AK101" s="403"/>
      <c r="AL101" s="401"/>
      <c r="AM101" s="402"/>
      <c r="AN101" s="403"/>
      <c r="AO101" s="401"/>
      <c r="AP101" s="402"/>
      <c r="AQ101" s="403"/>
      <c r="AR101" s="401"/>
      <c r="AS101" s="202"/>
    </row>
    <row r="102" spans="1:45" ht="13.5" hidden="1" customHeight="1">
      <c r="A102" s="12"/>
      <c r="B102" s="358"/>
      <c r="C102" s="359"/>
      <c r="D102" s="359"/>
      <c r="E102" s="360"/>
      <c r="F102" s="230"/>
      <c r="G102" s="378"/>
      <c r="H102" s="362"/>
      <c r="I102" s="230"/>
      <c r="J102" s="230"/>
      <c r="K102" s="368"/>
      <c r="L102" s="364"/>
      <c r="M102" s="365"/>
      <c r="N102" s="366"/>
      <c r="O102" s="367"/>
      <c r="P102" s="368"/>
      <c r="Q102" s="430"/>
      <c r="R102" s="370"/>
      <c r="S102" s="370"/>
      <c r="T102" s="371"/>
      <c r="U102" s="372"/>
      <c r="V102" s="373"/>
      <c r="W102" s="383"/>
      <c r="X102" s="404"/>
      <c r="Y102" s="372"/>
      <c r="Z102" s="381"/>
      <c r="AA102" s="359"/>
      <c r="AB102" s="230"/>
      <c r="AC102" s="381"/>
      <c r="AD102" s="359"/>
      <c r="AE102" s="381"/>
      <c r="AF102" s="230"/>
      <c r="AG102" s="402"/>
      <c r="AH102" s="403"/>
      <c r="AI102" s="401"/>
      <c r="AJ102" s="402"/>
      <c r="AK102" s="403"/>
      <c r="AL102" s="401"/>
      <c r="AM102" s="402"/>
      <c r="AN102" s="403"/>
      <c r="AO102" s="401"/>
      <c r="AP102" s="402"/>
      <c r="AQ102" s="403"/>
      <c r="AR102" s="401"/>
      <c r="AS102" s="202"/>
    </row>
    <row r="103" spans="1:45" ht="21.75" customHeight="1">
      <c r="A103" s="12"/>
      <c r="B103" s="358" t="s">
        <v>339</v>
      </c>
      <c r="C103" s="359">
        <v>9</v>
      </c>
      <c r="D103" s="359">
        <v>4</v>
      </c>
      <c r="E103" s="360" t="s">
        <v>399</v>
      </c>
      <c r="F103" s="230" t="s">
        <v>398</v>
      </c>
      <c r="G103" s="361" t="s">
        <v>278</v>
      </c>
      <c r="H103" s="362">
        <v>33993093</v>
      </c>
      <c r="I103" s="230">
        <v>40749</v>
      </c>
      <c r="J103" s="230">
        <v>12</v>
      </c>
      <c r="K103" s="368"/>
      <c r="L103" s="364" t="s">
        <v>400</v>
      </c>
      <c r="M103" s="405" t="s">
        <v>401</v>
      </c>
      <c r="N103" s="366" t="s">
        <v>402</v>
      </c>
      <c r="O103" s="443">
        <v>19587074</v>
      </c>
      <c r="P103" s="368" t="s">
        <v>403</v>
      </c>
      <c r="Q103" s="408"/>
      <c r="R103" s="370" t="s">
        <v>404</v>
      </c>
      <c r="S103" s="370" t="s">
        <v>77</v>
      </c>
      <c r="T103" s="371"/>
      <c r="U103" s="372"/>
      <c r="V103" s="373"/>
      <c r="W103" s="374" t="s">
        <v>54</v>
      </c>
      <c r="X103" s="404"/>
      <c r="Y103" s="372" t="s">
        <v>50</v>
      </c>
      <c r="Z103" s="381"/>
      <c r="AA103" s="359"/>
      <c r="AB103" s="230"/>
      <c r="AC103" s="381"/>
      <c r="AD103" s="402"/>
      <c r="AE103" s="403"/>
      <c r="AF103" s="401"/>
      <c r="AG103" s="402"/>
      <c r="AH103" s="403"/>
      <c r="AI103" s="401"/>
      <c r="AJ103" s="402"/>
      <c r="AK103" s="403"/>
      <c r="AL103" s="401"/>
      <c r="AM103" s="402"/>
      <c r="AN103" s="403"/>
      <c r="AO103" s="401"/>
      <c r="AP103" s="402"/>
      <c r="AQ103" s="403"/>
      <c r="AR103" s="401"/>
      <c r="AS103" s="202"/>
    </row>
    <row r="104" spans="1:45" ht="13.5" hidden="1" customHeight="1">
      <c r="A104" s="12"/>
      <c r="B104" s="358"/>
      <c r="C104" s="359"/>
      <c r="D104" s="359"/>
      <c r="E104" s="360"/>
      <c r="F104" s="230"/>
      <c r="G104" s="378"/>
      <c r="H104" s="362"/>
      <c r="I104" s="230"/>
      <c r="J104" s="230"/>
      <c r="K104" s="368"/>
      <c r="L104" s="364"/>
      <c r="M104" s="405"/>
      <c r="N104" s="366"/>
      <c r="O104" s="368"/>
      <c r="P104" s="368"/>
      <c r="Q104" s="408"/>
      <c r="R104" s="370"/>
      <c r="S104" s="370"/>
      <c r="T104" s="371"/>
      <c r="U104" s="372"/>
      <c r="V104" s="373"/>
      <c r="W104" s="383"/>
      <c r="X104" s="404"/>
      <c r="Y104" s="372"/>
      <c r="Z104" s="381"/>
      <c r="AA104" s="359"/>
      <c r="AB104" s="230"/>
      <c r="AC104" s="381"/>
      <c r="AD104" s="402"/>
      <c r="AE104" s="403"/>
      <c r="AF104" s="401"/>
      <c r="AG104" s="402"/>
      <c r="AH104" s="403"/>
      <c r="AI104" s="401"/>
      <c r="AJ104" s="402"/>
      <c r="AK104" s="403"/>
      <c r="AL104" s="401"/>
      <c r="AM104" s="402"/>
      <c r="AN104" s="403"/>
      <c r="AO104" s="401"/>
      <c r="AP104" s="402"/>
      <c r="AQ104" s="403"/>
      <c r="AR104" s="401"/>
      <c r="AS104" s="202"/>
    </row>
    <row r="105" spans="1:45" ht="21.75" customHeight="1">
      <c r="A105" s="12"/>
      <c r="B105" s="358" t="s">
        <v>339</v>
      </c>
      <c r="C105" s="359">
        <v>10</v>
      </c>
      <c r="D105" s="359">
        <v>5</v>
      </c>
      <c r="E105" s="360" t="s">
        <v>406</v>
      </c>
      <c r="F105" s="230" t="s">
        <v>405</v>
      </c>
      <c r="G105" s="361" t="s">
        <v>278</v>
      </c>
      <c r="H105" s="230"/>
      <c r="I105" s="510">
        <v>47058</v>
      </c>
      <c r="J105" s="230">
        <v>5</v>
      </c>
      <c r="K105" s="368"/>
      <c r="L105" s="364"/>
      <c r="M105" s="365" t="s">
        <v>407</v>
      </c>
      <c r="N105" s="366" t="s">
        <v>408</v>
      </c>
      <c r="O105" s="367">
        <v>19528260</v>
      </c>
      <c r="P105" s="368" t="s">
        <v>409</v>
      </c>
      <c r="Q105" s="369" t="s">
        <v>410</v>
      </c>
      <c r="R105" s="370" t="s">
        <v>411</v>
      </c>
      <c r="S105" s="370" t="s">
        <v>130</v>
      </c>
      <c r="T105" s="371"/>
      <c r="U105" s="384"/>
      <c r="V105" s="373"/>
      <c r="W105" s="374" t="s">
        <v>54</v>
      </c>
      <c r="X105" s="404">
        <v>44981</v>
      </c>
      <c r="Y105" s="372" t="s">
        <v>412</v>
      </c>
      <c r="Z105" s="381"/>
      <c r="AA105" s="359"/>
      <c r="AB105" s="230"/>
      <c r="AC105" s="381"/>
      <c r="AD105" s="402"/>
      <c r="AE105" s="403"/>
      <c r="AF105" s="401"/>
      <c r="AG105" s="402"/>
      <c r="AH105" s="403"/>
      <c r="AI105" s="401"/>
      <c r="AJ105" s="402"/>
      <c r="AK105" s="403"/>
      <c r="AL105" s="401"/>
      <c r="AM105" s="402"/>
      <c r="AN105" s="403"/>
      <c r="AO105" s="401"/>
      <c r="AP105" s="402"/>
      <c r="AQ105" s="403"/>
      <c r="AR105" s="401"/>
      <c r="AS105" s="202"/>
    </row>
    <row r="106" spans="1:45" ht="13.5" hidden="1" customHeight="1">
      <c r="A106" s="12"/>
      <c r="B106" s="358"/>
      <c r="C106" s="359"/>
      <c r="D106" s="359"/>
      <c r="E106" s="360"/>
      <c r="F106" s="230"/>
      <c r="G106" s="378"/>
      <c r="H106" s="230"/>
      <c r="I106" s="510"/>
      <c r="J106" s="230"/>
      <c r="K106" s="368"/>
      <c r="L106" s="364"/>
      <c r="M106" s="365"/>
      <c r="N106" s="366"/>
      <c r="O106" s="367"/>
      <c r="P106" s="368"/>
      <c r="Q106" s="391"/>
      <c r="R106" s="370"/>
      <c r="S106" s="370"/>
      <c r="T106" s="371"/>
      <c r="U106" s="384"/>
      <c r="V106" s="373"/>
      <c r="W106" s="383"/>
      <c r="X106" s="404"/>
      <c r="Y106" s="372"/>
      <c r="Z106" s="381"/>
      <c r="AA106" s="359"/>
      <c r="AB106" s="230"/>
      <c r="AC106" s="381"/>
      <c r="AD106" s="402"/>
      <c r="AE106" s="403"/>
      <c r="AF106" s="401"/>
      <c r="AG106" s="402"/>
      <c r="AH106" s="403"/>
      <c r="AI106" s="401"/>
      <c r="AJ106" s="402"/>
      <c r="AK106" s="403"/>
      <c r="AL106" s="401"/>
      <c r="AM106" s="402"/>
      <c r="AN106" s="403"/>
      <c r="AO106" s="401"/>
      <c r="AP106" s="402"/>
      <c r="AQ106" s="403"/>
      <c r="AR106" s="401"/>
      <c r="AS106" s="202"/>
    </row>
    <row r="107" spans="1:45" ht="21.75" customHeight="1">
      <c r="A107" s="12"/>
      <c r="B107" s="358" t="s">
        <v>339</v>
      </c>
      <c r="C107" s="359">
        <v>11</v>
      </c>
      <c r="D107" s="359">
        <v>6</v>
      </c>
      <c r="E107" s="360" t="s">
        <v>414</v>
      </c>
      <c r="F107" s="230" t="s">
        <v>413</v>
      </c>
      <c r="G107" s="361" t="s">
        <v>278</v>
      </c>
      <c r="H107" s="230"/>
      <c r="I107" s="230">
        <v>42002</v>
      </c>
      <c r="J107" s="230">
        <v>10</v>
      </c>
      <c r="K107" s="363" t="s">
        <v>415</v>
      </c>
      <c r="L107" s="364"/>
      <c r="M107" s="365" t="s">
        <v>416</v>
      </c>
      <c r="N107" s="366" t="s">
        <v>417</v>
      </c>
      <c r="O107" s="367">
        <v>17534484</v>
      </c>
      <c r="P107" s="368" t="s">
        <v>418</v>
      </c>
      <c r="Q107" s="504" t="s">
        <v>415</v>
      </c>
      <c r="R107" s="370" t="s">
        <v>419</v>
      </c>
      <c r="S107" s="370" t="s">
        <v>77</v>
      </c>
      <c r="T107" s="371"/>
      <c r="U107" s="384"/>
      <c r="V107" s="373"/>
      <c r="W107" s="374" t="s">
        <v>54</v>
      </c>
      <c r="X107" s="404">
        <v>44985</v>
      </c>
      <c r="Y107" s="372" t="s">
        <v>420</v>
      </c>
      <c r="Z107" s="381"/>
      <c r="AA107" s="359"/>
      <c r="AB107" s="230"/>
      <c r="AC107" s="381"/>
      <c r="AD107" s="359"/>
      <c r="AE107" s="230"/>
      <c r="AF107" s="381"/>
      <c r="AG107" s="359"/>
      <c r="AH107" s="230"/>
      <c r="AI107" s="381"/>
      <c r="AJ107" s="402"/>
      <c r="AK107" s="403"/>
      <c r="AL107" s="401"/>
      <c r="AM107" s="402"/>
      <c r="AN107" s="403"/>
      <c r="AO107" s="401"/>
      <c r="AP107" s="402"/>
      <c r="AQ107" s="403"/>
      <c r="AR107" s="401"/>
      <c r="AS107" s="202"/>
    </row>
    <row r="108" spans="1:45" ht="13.5" hidden="1" customHeight="1">
      <c r="A108" s="12"/>
      <c r="B108" s="358"/>
      <c r="C108" s="359"/>
      <c r="D108" s="359"/>
      <c r="E108" s="360"/>
      <c r="F108" s="230"/>
      <c r="G108" s="378"/>
      <c r="H108" s="230"/>
      <c r="I108" s="230"/>
      <c r="J108" s="230"/>
      <c r="K108" s="368"/>
      <c r="L108" s="364"/>
      <c r="M108" s="365"/>
      <c r="N108" s="366"/>
      <c r="O108" s="367"/>
      <c r="P108" s="368"/>
      <c r="Q108" s="511"/>
      <c r="R108" s="370"/>
      <c r="S108" s="370"/>
      <c r="T108" s="371"/>
      <c r="U108" s="384"/>
      <c r="V108" s="373"/>
      <c r="W108" s="383"/>
      <c r="X108" s="404"/>
      <c r="Y108" s="372"/>
      <c r="Z108" s="381"/>
      <c r="AA108" s="359"/>
      <c r="AB108" s="230"/>
      <c r="AC108" s="381"/>
      <c r="AD108" s="359"/>
      <c r="AE108" s="230"/>
      <c r="AF108" s="381"/>
      <c r="AG108" s="359"/>
      <c r="AH108" s="230"/>
      <c r="AI108" s="381"/>
      <c r="AJ108" s="402"/>
      <c r="AK108" s="403"/>
      <c r="AL108" s="401"/>
      <c r="AM108" s="402"/>
      <c r="AN108" s="403"/>
      <c r="AO108" s="401"/>
      <c r="AP108" s="402"/>
      <c r="AQ108" s="403"/>
      <c r="AR108" s="401"/>
      <c r="AS108" s="202"/>
    </row>
    <row r="109" spans="1:45" ht="21.75" customHeight="1">
      <c r="A109" s="12"/>
      <c r="B109" s="358" t="s">
        <v>339</v>
      </c>
      <c r="C109" s="359">
        <v>12</v>
      </c>
      <c r="D109" s="359">
        <v>7</v>
      </c>
      <c r="E109" s="360" t="s">
        <v>422</v>
      </c>
      <c r="F109" s="230" t="s">
        <v>421</v>
      </c>
      <c r="G109" s="361" t="s">
        <v>278</v>
      </c>
      <c r="H109" s="362"/>
      <c r="I109" s="230">
        <v>42535</v>
      </c>
      <c r="J109" s="230">
        <v>6</v>
      </c>
      <c r="K109" s="363" t="s">
        <v>423</v>
      </c>
      <c r="L109" s="364"/>
      <c r="M109" s="365" t="s">
        <v>416</v>
      </c>
      <c r="N109" s="366" t="s">
        <v>417</v>
      </c>
      <c r="O109" s="367">
        <v>17534484</v>
      </c>
      <c r="P109" s="368" t="s">
        <v>424</v>
      </c>
      <c r="Q109" s="442" t="s">
        <v>425</v>
      </c>
      <c r="R109" s="370" t="s">
        <v>369</v>
      </c>
      <c r="S109" s="370" t="s">
        <v>146</v>
      </c>
      <c r="T109" s="371"/>
      <c r="U109" s="372"/>
      <c r="V109" s="373">
        <v>320</v>
      </c>
      <c r="W109" s="374" t="s">
        <v>54</v>
      </c>
      <c r="X109" s="404">
        <v>44985</v>
      </c>
      <c r="Y109" s="372" t="s">
        <v>420</v>
      </c>
      <c r="Z109" s="381"/>
      <c r="AA109" s="359"/>
      <c r="AB109" s="230"/>
      <c r="AC109" s="381"/>
      <c r="AD109" s="402"/>
      <c r="AE109" s="403"/>
      <c r="AF109" s="401"/>
      <c r="AG109" s="402"/>
      <c r="AH109" s="403"/>
      <c r="AI109" s="401"/>
      <c r="AJ109" s="402"/>
      <c r="AK109" s="403"/>
      <c r="AL109" s="401"/>
      <c r="AM109" s="402"/>
      <c r="AN109" s="403"/>
      <c r="AO109" s="401"/>
      <c r="AP109" s="402"/>
      <c r="AQ109" s="403"/>
      <c r="AR109" s="401"/>
      <c r="AS109" s="202"/>
    </row>
    <row r="110" spans="1:45" ht="13.5" hidden="1" customHeight="1">
      <c r="A110" s="12"/>
      <c r="B110" s="358"/>
      <c r="C110" s="359"/>
      <c r="D110" s="359"/>
      <c r="E110" s="360"/>
      <c r="F110" s="230"/>
      <c r="G110" s="378"/>
      <c r="H110" s="362"/>
      <c r="I110" s="230"/>
      <c r="J110" s="230"/>
      <c r="K110" s="368"/>
      <c r="L110" s="364"/>
      <c r="M110" s="365"/>
      <c r="N110" s="366"/>
      <c r="O110" s="367"/>
      <c r="P110" s="368"/>
      <c r="Q110" s="430"/>
      <c r="R110" s="370"/>
      <c r="S110" s="370"/>
      <c r="T110" s="371"/>
      <c r="U110" s="372"/>
      <c r="V110" s="373"/>
      <c r="W110" s="383"/>
      <c r="X110" s="404"/>
      <c r="Y110" s="372"/>
      <c r="Z110" s="381"/>
      <c r="AA110" s="359"/>
      <c r="AB110" s="230"/>
      <c r="AC110" s="381"/>
      <c r="AD110" s="402"/>
      <c r="AE110" s="403"/>
      <c r="AF110" s="401"/>
      <c r="AG110" s="402"/>
      <c r="AH110" s="403"/>
      <c r="AI110" s="401"/>
      <c r="AJ110" s="402"/>
      <c r="AK110" s="403"/>
      <c r="AL110" s="401"/>
      <c r="AM110" s="402"/>
      <c r="AN110" s="403"/>
      <c r="AO110" s="401"/>
      <c r="AP110" s="402"/>
      <c r="AQ110" s="403"/>
      <c r="AR110" s="401"/>
      <c r="AS110" s="202"/>
    </row>
    <row r="111" spans="1:45" ht="21.75" customHeight="1">
      <c r="A111" s="12"/>
      <c r="B111" s="358" t="s">
        <v>339</v>
      </c>
      <c r="C111" s="359">
        <v>13</v>
      </c>
      <c r="D111" s="359">
        <v>8</v>
      </c>
      <c r="E111" s="360" t="s">
        <v>427</v>
      </c>
      <c r="F111" s="230" t="s">
        <v>426</v>
      </c>
      <c r="G111" s="361" t="s">
        <v>278</v>
      </c>
      <c r="H111" s="362">
        <v>33884872</v>
      </c>
      <c r="I111" s="230">
        <v>40889</v>
      </c>
      <c r="J111" s="230">
        <v>11</v>
      </c>
      <c r="K111" s="363" t="s">
        <v>428</v>
      </c>
      <c r="L111" s="364">
        <v>4122522273</v>
      </c>
      <c r="M111" s="365" t="s">
        <v>429</v>
      </c>
      <c r="N111" s="366" t="s">
        <v>430</v>
      </c>
      <c r="O111" s="367">
        <v>13551625</v>
      </c>
      <c r="P111" s="368" t="s">
        <v>431</v>
      </c>
      <c r="Q111" s="406" t="s">
        <v>432</v>
      </c>
      <c r="R111" s="370" t="s">
        <v>404</v>
      </c>
      <c r="S111" s="370" t="s">
        <v>77</v>
      </c>
      <c r="T111" s="371"/>
      <c r="U111" s="384"/>
      <c r="V111" s="373"/>
      <c r="W111" s="374" t="s">
        <v>54</v>
      </c>
      <c r="X111" s="404"/>
      <c r="Y111" s="372" t="s">
        <v>433</v>
      </c>
      <c r="Z111" s="381"/>
      <c r="AA111" s="402"/>
      <c r="AB111" s="403"/>
      <c r="AC111" s="401"/>
      <c r="AD111" s="402"/>
      <c r="AE111" s="403"/>
      <c r="AF111" s="401"/>
      <c r="AG111" s="402"/>
      <c r="AH111" s="403"/>
      <c r="AI111" s="401"/>
      <c r="AJ111" s="402"/>
      <c r="AK111" s="403"/>
      <c r="AL111" s="401"/>
      <c r="AM111" s="402"/>
      <c r="AN111" s="403"/>
      <c r="AO111" s="401"/>
      <c r="AP111" s="402"/>
      <c r="AQ111" s="403"/>
      <c r="AR111" s="401"/>
      <c r="AS111" s="202"/>
    </row>
    <row r="112" spans="1:45" ht="13.5" hidden="1" customHeight="1">
      <c r="A112" s="12"/>
      <c r="B112" s="358"/>
      <c r="C112" s="359"/>
      <c r="D112" s="359"/>
      <c r="E112" s="360"/>
      <c r="F112" s="230"/>
      <c r="G112" s="378"/>
      <c r="H112" s="362"/>
      <c r="I112" s="230"/>
      <c r="J112" s="230"/>
      <c r="K112" s="368"/>
      <c r="L112" s="364"/>
      <c r="M112" s="365"/>
      <c r="N112" s="366"/>
      <c r="O112" s="367"/>
      <c r="P112" s="368"/>
      <c r="Q112" s="408"/>
      <c r="R112" s="370"/>
      <c r="S112" s="370"/>
      <c r="T112" s="371"/>
      <c r="U112" s="384"/>
      <c r="V112" s="373"/>
      <c r="W112" s="383"/>
      <c r="X112" s="404"/>
      <c r="Y112" s="372"/>
      <c r="Z112" s="381"/>
      <c r="AA112" s="402"/>
      <c r="AB112" s="403"/>
      <c r="AC112" s="401"/>
      <c r="AD112" s="402"/>
      <c r="AE112" s="403"/>
      <c r="AF112" s="401"/>
      <c r="AG112" s="402"/>
      <c r="AH112" s="403"/>
      <c r="AI112" s="401"/>
      <c r="AJ112" s="402"/>
      <c r="AK112" s="403"/>
      <c r="AL112" s="401"/>
      <c r="AM112" s="402"/>
      <c r="AN112" s="403"/>
      <c r="AO112" s="401"/>
      <c r="AP112" s="402"/>
      <c r="AQ112" s="403"/>
      <c r="AR112" s="401"/>
      <c r="AS112" s="202"/>
    </row>
    <row r="113" spans="1:45" ht="13.5" hidden="1" customHeight="1">
      <c r="A113" s="12"/>
      <c r="B113" s="358" t="s">
        <v>339</v>
      </c>
      <c r="C113" s="359">
        <v>14</v>
      </c>
      <c r="D113" s="359">
        <v>54</v>
      </c>
      <c r="E113" s="360" t="s">
        <v>435</v>
      </c>
      <c r="F113" s="230" t="s">
        <v>434</v>
      </c>
      <c r="G113" s="361" t="s">
        <v>43</v>
      </c>
      <c r="H113" s="362">
        <v>24143761</v>
      </c>
      <c r="I113" s="230">
        <v>34254</v>
      </c>
      <c r="J113" s="230">
        <v>30</v>
      </c>
      <c r="K113" s="363" t="s">
        <v>436</v>
      </c>
      <c r="L113" s="364" t="s">
        <v>437</v>
      </c>
      <c r="M113" s="365" t="s">
        <v>438</v>
      </c>
      <c r="N113" s="366"/>
      <c r="O113" s="368"/>
      <c r="P113" s="368"/>
      <c r="Q113" s="408"/>
      <c r="R113" s="370" t="s">
        <v>281</v>
      </c>
      <c r="S113" s="370" t="s">
        <v>77</v>
      </c>
      <c r="T113" s="371"/>
      <c r="U113" s="384"/>
      <c r="V113" s="373">
        <v>300</v>
      </c>
      <c r="W113" s="374" t="s">
        <v>78</v>
      </c>
      <c r="X113" s="404">
        <v>45309</v>
      </c>
      <c r="Y113" s="372" t="s">
        <v>281</v>
      </c>
      <c r="Z113" s="381">
        <v>300</v>
      </c>
      <c r="AA113" s="359"/>
      <c r="AB113" s="230"/>
      <c r="AC113" s="381"/>
      <c r="AD113" s="402"/>
      <c r="AE113" s="403"/>
      <c r="AF113" s="401"/>
      <c r="AG113" s="402"/>
      <c r="AH113" s="403"/>
      <c r="AI113" s="401"/>
      <c r="AJ113" s="402"/>
      <c r="AK113" s="403"/>
      <c r="AL113" s="401"/>
      <c r="AM113" s="402"/>
      <c r="AN113" s="403"/>
      <c r="AO113" s="401"/>
      <c r="AP113" s="402"/>
      <c r="AQ113" s="403"/>
      <c r="AR113" s="401"/>
      <c r="AS113" s="202"/>
    </row>
    <row r="114" spans="1:45" ht="13.5" hidden="1" customHeight="1">
      <c r="A114" s="12"/>
      <c r="B114" s="358"/>
      <c r="C114" s="359"/>
      <c r="D114" s="359"/>
      <c r="E114" s="360"/>
      <c r="F114" s="230"/>
      <c r="G114" s="378"/>
      <c r="H114" s="362"/>
      <c r="I114" s="230"/>
      <c r="J114" s="230"/>
      <c r="K114" s="368"/>
      <c r="L114" s="364"/>
      <c r="M114" s="365"/>
      <c r="N114" s="366"/>
      <c r="O114" s="368"/>
      <c r="P114" s="368"/>
      <c r="Q114" s="408"/>
      <c r="R114" s="370"/>
      <c r="S114" s="370"/>
      <c r="T114" s="371"/>
      <c r="U114" s="384"/>
      <c r="V114" s="373"/>
      <c r="W114" s="383"/>
      <c r="X114" s="404"/>
      <c r="Y114" s="372"/>
      <c r="Z114" s="381"/>
      <c r="AA114" s="359"/>
      <c r="AB114" s="230"/>
      <c r="AC114" s="381"/>
      <c r="AD114" s="402"/>
      <c r="AE114" s="403"/>
      <c r="AF114" s="401"/>
      <c r="AG114" s="402"/>
      <c r="AH114" s="403"/>
      <c r="AI114" s="401"/>
      <c r="AJ114" s="402"/>
      <c r="AK114" s="403"/>
      <c r="AL114" s="401"/>
      <c r="AM114" s="402"/>
      <c r="AN114" s="403"/>
      <c r="AO114" s="401"/>
      <c r="AP114" s="402"/>
      <c r="AQ114" s="403"/>
      <c r="AR114" s="401"/>
      <c r="AS114" s="202"/>
    </row>
    <row r="115" spans="1:45" ht="21.75" customHeight="1">
      <c r="A115" s="12"/>
      <c r="B115" s="358" t="s">
        <v>339</v>
      </c>
      <c r="C115" s="359">
        <v>15</v>
      </c>
      <c r="D115" s="359">
        <v>9</v>
      </c>
      <c r="E115" s="360" t="s">
        <v>440</v>
      </c>
      <c r="F115" s="230" t="s">
        <v>439</v>
      </c>
      <c r="G115" s="361" t="s">
        <v>278</v>
      </c>
      <c r="H115" s="362">
        <v>33328935</v>
      </c>
      <c r="I115" s="230">
        <v>40810</v>
      </c>
      <c r="J115" s="230">
        <v>13</v>
      </c>
      <c r="K115" s="363" t="s">
        <v>441</v>
      </c>
      <c r="L115" s="364" t="s">
        <v>442</v>
      </c>
      <c r="M115" s="365" t="s">
        <v>443</v>
      </c>
      <c r="N115" s="366" t="s">
        <v>444</v>
      </c>
      <c r="O115" s="443">
        <v>18536818</v>
      </c>
      <c r="P115" s="368" t="s">
        <v>445</v>
      </c>
      <c r="Q115" s="406" t="s">
        <v>441</v>
      </c>
      <c r="R115" s="370" t="s">
        <v>404</v>
      </c>
      <c r="S115" s="370" t="s">
        <v>77</v>
      </c>
      <c r="T115" s="371"/>
      <c r="U115" s="372"/>
      <c r="V115" s="373"/>
      <c r="W115" s="374" t="s">
        <v>54</v>
      </c>
      <c r="X115" s="404">
        <v>45063</v>
      </c>
      <c r="Y115" s="372"/>
      <c r="Z115" s="381"/>
      <c r="AA115" s="402"/>
      <c r="AB115" s="403"/>
      <c r="AC115" s="401"/>
      <c r="AD115" s="359"/>
      <c r="AE115" s="230"/>
      <c r="AF115" s="381"/>
      <c r="AG115" s="402"/>
      <c r="AH115" s="403"/>
      <c r="AI115" s="401"/>
      <c r="AJ115" s="402"/>
      <c r="AK115" s="403"/>
      <c r="AL115" s="401"/>
      <c r="AM115" s="402"/>
      <c r="AN115" s="403"/>
      <c r="AO115" s="401"/>
      <c r="AP115" s="402"/>
      <c r="AQ115" s="403"/>
      <c r="AR115" s="401"/>
      <c r="AS115" s="202"/>
    </row>
    <row r="116" spans="1:45" ht="13.5" hidden="1" customHeight="1">
      <c r="A116" s="12"/>
      <c r="B116" s="358"/>
      <c r="C116" s="359"/>
      <c r="D116" s="359"/>
      <c r="E116" s="360"/>
      <c r="F116" s="230"/>
      <c r="G116" s="378"/>
      <c r="H116" s="362"/>
      <c r="I116" s="230"/>
      <c r="J116" s="230"/>
      <c r="K116" s="368"/>
      <c r="L116" s="364"/>
      <c r="M116" s="365"/>
      <c r="N116" s="366"/>
      <c r="O116" s="368"/>
      <c r="P116" s="368"/>
      <c r="Q116" s="408"/>
      <c r="R116" s="370"/>
      <c r="S116" s="370"/>
      <c r="T116" s="371"/>
      <c r="U116" s="372"/>
      <c r="V116" s="373"/>
      <c r="W116" s="383"/>
      <c r="X116" s="404"/>
      <c r="Y116" s="372"/>
      <c r="Z116" s="381"/>
      <c r="AA116" s="402"/>
      <c r="AB116" s="403"/>
      <c r="AC116" s="401"/>
      <c r="AD116" s="359"/>
      <c r="AE116" s="230"/>
      <c r="AF116" s="381"/>
      <c r="AG116" s="402"/>
      <c r="AH116" s="403"/>
      <c r="AI116" s="401"/>
      <c r="AJ116" s="402"/>
      <c r="AK116" s="403"/>
      <c r="AL116" s="401"/>
      <c r="AM116" s="402"/>
      <c r="AN116" s="403"/>
      <c r="AO116" s="401"/>
      <c r="AP116" s="402"/>
      <c r="AQ116" s="403"/>
      <c r="AR116" s="401"/>
      <c r="AS116" s="202"/>
    </row>
    <row r="117" spans="1:45" ht="21.75" customHeight="1">
      <c r="A117" s="12"/>
      <c r="B117" s="358" t="s">
        <v>339</v>
      </c>
      <c r="C117" s="359">
        <v>16</v>
      </c>
      <c r="D117" s="359">
        <v>10</v>
      </c>
      <c r="E117" s="360" t="s">
        <v>447</v>
      </c>
      <c r="F117" s="230" t="s">
        <v>446</v>
      </c>
      <c r="G117" s="361" t="s">
        <v>278</v>
      </c>
      <c r="H117" s="230"/>
      <c r="I117" s="510">
        <v>41906</v>
      </c>
      <c r="J117" s="230">
        <v>9</v>
      </c>
      <c r="K117" s="363" t="s">
        <v>441</v>
      </c>
      <c r="L117" s="364" t="s">
        <v>448</v>
      </c>
      <c r="M117" s="365" t="s">
        <v>449</v>
      </c>
      <c r="N117" s="366" t="s">
        <v>444</v>
      </c>
      <c r="O117" s="367">
        <v>18536818</v>
      </c>
      <c r="P117" s="368" t="s">
        <v>448</v>
      </c>
      <c r="Q117" s="406" t="s">
        <v>441</v>
      </c>
      <c r="R117" s="370" t="s">
        <v>419</v>
      </c>
      <c r="S117" s="370" t="s">
        <v>77</v>
      </c>
      <c r="T117" s="371"/>
      <c r="U117" s="384"/>
      <c r="V117" s="373"/>
      <c r="W117" s="374" t="s">
        <v>54</v>
      </c>
      <c r="X117" s="404">
        <v>45063</v>
      </c>
      <c r="Y117" s="372"/>
      <c r="Z117" s="381"/>
      <c r="AA117" s="402"/>
      <c r="AB117" s="230"/>
      <c r="AC117" s="381"/>
      <c r="AD117" s="402"/>
      <c r="AE117" s="403"/>
      <c r="AF117" s="381"/>
      <c r="AG117" s="402"/>
      <c r="AH117" s="403"/>
      <c r="AI117" s="401"/>
      <c r="AJ117" s="402"/>
      <c r="AK117" s="403"/>
      <c r="AL117" s="401"/>
      <c r="AM117" s="402"/>
      <c r="AN117" s="403"/>
      <c r="AO117" s="401"/>
      <c r="AP117" s="402"/>
      <c r="AQ117" s="403"/>
      <c r="AR117" s="401"/>
      <c r="AS117" s="202"/>
    </row>
    <row r="118" spans="1:45" ht="15.75" hidden="1" customHeight="1">
      <c r="A118" s="12"/>
      <c r="B118" s="358"/>
      <c r="C118" s="359"/>
      <c r="D118" s="359"/>
      <c r="E118" s="360"/>
      <c r="F118" s="230"/>
      <c r="G118" s="378"/>
      <c r="H118" s="230"/>
      <c r="I118" s="510"/>
      <c r="J118" s="230"/>
      <c r="K118" s="368"/>
      <c r="L118" s="364"/>
      <c r="M118" s="365"/>
      <c r="N118" s="366"/>
      <c r="O118" s="367"/>
      <c r="P118" s="368"/>
      <c r="Q118" s="408"/>
      <c r="R118" s="370"/>
      <c r="S118" s="370"/>
      <c r="T118" s="371"/>
      <c r="U118" s="384"/>
      <c r="V118" s="373"/>
      <c r="W118" s="383"/>
      <c r="X118" s="404"/>
      <c r="Y118" s="372"/>
      <c r="Z118" s="381"/>
      <c r="AA118" s="402"/>
      <c r="AB118" s="230"/>
      <c r="AC118" s="381"/>
      <c r="AD118" s="402"/>
      <c r="AE118" s="403"/>
      <c r="AF118" s="381"/>
      <c r="AG118" s="402"/>
      <c r="AH118" s="403"/>
      <c r="AI118" s="401"/>
      <c r="AJ118" s="402"/>
      <c r="AK118" s="403"/>
      <c r="AL118" s="401"/>
      <c r="AM118" s="402"/>
      <c r="AN118" s="403"/>
      <c r="AO118" s="401"/>
      <c r="AP118" s="402"/>
      <c r="AQ118" s="403"/>
      <c r="AR118" s="401"/>
      <c r="AS118" s="202"/>
    </row>
    <row r="119" spans="1:45" ht="21.75" customHeight="1">
      <c r="A119" s="12"/>
      <c r="B119" s="358" t="s">
        <v>339</v>
      </c>
      <c r="C119" s="359">
        <v>17</v>
      </c>
      <c r="D119" s="359">
        <v>11</v>
      </c>
      <c r="E119" s="360" t="s">
        <v>451</v>
      </c>
      <c r="F119" s="230" t="s">
        <v>450</v>
      </c>
      <c r="G119" s="361" t="s">
        <v>278</v>
      </c>
      <c r="H119" s="362"/>
      <c r="I119" s="230">
        <v>43481</v>
      </c>
      <c r="J119" s="230">
        <v>5</v>
      </c>
      <c r="K119" s="368"/>
      <c r="L119" s="364"/>
      <c r="M119" s="365" t="s">
        <v>452</v>
      </c>
      <c r="N119" s="366" t="s">
        <v>453</v>
      </c>
      <c r="O119" s="367">
        <v>17743056</v>
      </c>
      <c r="P119" s="368" t="s">
        <v>454</v>
      </c>
      <c r="Q119" s="369" t="s">
        <v>455</v>
      </c>
      <c r="R119" s="370" t="s">
        <v>456</v>
      </c>
      <c r="S119" s="370" t="s">
        <v>130</v>
      </c>
      <c r="T119" s="371"/>
      <c r="U119" s="384"/>
      <c r="V119" s="373"/>
      <c r="W119" s="374" t="s">
        <v>54</v>
      </c>
      <c r="X119" s="404">
        <v>45434</v>
      </c>
      <c r="Y119" s="372"/>
      <c r="Z119" s="381"/>
      <c r="AA119" s="359"/>
      <c r="AB119" s="230"/>
      <c r="AC119" s="381"/>
      <c r="AD119" s="402"/>
      <c r="AE119" s="403"/>
      <c r="AF119" s="401"/>
      <c r="AG119" s="402"/>
      <c r="AH119" s="403"/>
      <c r="AI119" s="401"/>
      <c r="AJ119" s="402"/>
      <c r="AK119" s="403"/>
      <c r="AL119" s="401"/>
      <c r="AM119" s="402"/>
      <c r="AN119" s="403"/>
      <c r="AO119" s="401"/>
      <c r="AP119" s="402"/>
      <c r="AQ119" s="403"/>
      <c r="AR119" s="401"/>
      <c r="AS119" s="202"/>
    </row>
    <row r="120" spans="1:45" ht="13.5" hidden="1" customHeight="1">
      <c r="A120" s="12"/>
      <c r="B120" s="358"/>
      <c r="C120" s="359"/>
      <c r="D120" s="359"/>
      <c r="E120" s="360"/>
      <c r="F120" s="230"/>
      <c r="G120" s="378"/>
      <c r="H120" s="362"/>
      <c r="I120" s="230"/>
      <c r="J120" s="230"/>
      <c r="K120" s="368"/>
      <c r="L120" s="364"/>
      <c r="M120" s="365"/>
      <c r="N120" s="366"/>
      <c r="O120" s="367"/>
      <c r="P120" s="368"/>
      <c r="Q120" s="382"/>
      <c r="R120" s="370"/>
      <c r="S120" s="370"/>
      <c r="T120" s="371"/>
      <c r="U120" s="384"/>
      <c r="V120" s="373"/>
      <c r="W120" s="383"/>
      <c r="X120" s="404"/>
      <c r="Y120" s="372"/>
      <c r="Z120" s="381"/>
      <c r="AA120" s="359"/>
      <c r="AB120" s="230"/>
      <c r="AC120" s="381"/>
      <c r="AD120" s="402"/>
      <c r="AE120" s="403"/>
      <c r="AF120" s="401"/>
      <c r="AG120" s="402"/>
      <c r="AH120" s="403"/>
      <c r="AI120" s="401"/>
      <c r="AJ120" s="402"/>
      <c r="AK120" s="403"/>
      <c r="AL120" s="401"/>
      <c r="AM120" s="402"/>
      <c r="AN120" s="403"/>
      <c r="AO120" s="401"/>
      <c r="AP120" s="402"/>
      <c r="AQ120" s="403"/>
      <c r="AR120" s="401"/>
      <c r="AS120" s="202"/>
    </row>
    <row r="121" spans="1:45" ht="21.75" customHeight="1">
      <c r="A121" s="12"/>
      <c r="B121" s="358" t="s">
        <v>339</v>
      </c>
      <c r="C121" s="359">
        <v>18</v>
      </c>
      <c r="D121" s="359">
        <v>12</v>
      </c>
      <c r="E121" s="360" t="s">
        <v>458</v>
      </c>
      <c r="F121" s="230" t="s">
        <v>457</v>
      </c>
      <c r="G121" s="361" t="s">
        <v>278</v>
      </c>
      <c r="H121" s="362"/>
      <c r="I121" s="230"/>
      <c r="J121" s="230">
        <v>5</v>
      </c>
      <c r="K121" s="368"/>
      <c r="L121" s="364"/>
      <c r="M121" s="365"/>
      <c r="N121" s="366" t="s">
        <v>459</v>
      </c>
      <c r="O121" s="367">
        <v>17199811</v>
      </c>
      <c r="P121" s="368" t="s">
        <v>460</v>
      </c>
      <c r="Q121" s="369" t="s">
        <v>461</v>
      </c>
      <c r="R121" s="370" t="s">
        <v>456</v>
      </c>
      <c r="S121" s="370" t="s">
        <v>130</v>
      </c>
      <c r="T121" s="371"/>
      <c r="U121" s="384"/>
      <c r="V121" s="373"/>
      <c r="W121" s="374" t="s">
        <v>54</v>
      </c>
      <c r="X121" s="404">
        <v>45069</v>
      </c>
      <c r="Y121" s="372"/>
      <c r="Z121" s="381"/>
      <c r="AA121" s="359"/>
      <c r="AB121" s="230"/>
      <c r="AC121" s="381"/>
      <c r="AD121" s="359"/>
      <c r="AE121" s="230"/>
      <c r="AF121" s="381"/>
      <c r="AG121" s="359"/>
      <c r="AH121" s="230"/>
      <c r="AI121" s="381"/>
      <c r="AJ121" s="402"/>
      <c r="AK121" s="403"/>
      <c r="AL121" s="381"/>
      <c r="AM121" s="402"/>
      <c r="AN121" s="403"/>
      <c r="AO121" s="381"/>
      <c r="AP121" s="402"/>
      <c r="AQ121" s="403"/>
      <c r="AR121" s="401"/>
      <c r="AS121" s="202"/>
    </row>
    <row r="122" spans="1:45" ht="14.25" hidden="1" customHeight="1">
      <c r="A122" s="12"/>
      <c r="B122" s="358"/>
      <c r="C122" s="359"/>
      <c r="D122" s="359"/>
      <c r="E122" s="360"/>
      <c r="F122" s="230"/>
      <c r="G122" s="378"/>
      <c r="H122" s="362"/>
      <c r="I122" s="230"/>
      <c r="J122" s="230"/>
      <c r="K122" s="368"/>
      <c r="L122" s="364"/>
      <c r="M122" s="365"/>
      <c r="N122" s="366"/>
      <c r="O122" s="367"/>
      <c r="P122" s="368"/>
      <c r="Q122" s="391"/>
      <c r="R122" s="370"/>
      <c r="S122" s="370"/>
      <c r="T122" s="371"/>
      <c r="U122" s="384"/>
      <c r="V122" s="373"/>
      <c r="W122" s="400"/>
      <c r="X122" s="404"/>
      <c r="Y122" s="372"/>
      <c r="Z122" s="381"/>
      <c r="AA122" s="359"/>
      <c r="AB122" s="230"/>
      <c r="AC122" s="381"/>
      <c r="AD122" s="359"/>
      <c r="AE122" s="230"/>
      <c r="AF122" s="381"/>
      <c r="AG122" s="359"/>
      <c r="AH122" s="230"/>
      <c r="AI122" s="381"/>
      <c r="AJ122" s="402"/>
      <c r="AK122" s="403"/>
      <c r="AL122" s="381"/>
      <c r="AM122" s="402"/>
      <c r="AN122" s="403"/>
      <c r="AO122" s="381"/>
      <c r="AP122" s="402"/>
      <c r="AQ122" s="403"/>
      <c r="AR122" s="401"/>
      <c r="AS122" s="202"/>
    </row>
    <row r="123" spans="1:45" ht="21.75" customHeight="1">
      <c r="A123" s="12"/>
      <c r="B123" s="358" t="s">
        <v>339</v>
      </c>
      <c r="C123" s="359">
        <v>19</v>
      </c>
      <c r="D123" s="359">
        <v>13</v>
      </c>
      <c r="E123" s="360" t="s">
        <v>463</v>
      </c>
      <c r="F123" s="230" t="s">
        <v>462</v>
      </c>
      <c r="G123" s="361" t="s">
        <v>278</v>
      </c>
      <c r="H123" s="230"/>
      <c r="I123" s="230">
        <v>42692</v>
      </c>
      <c r="J123" s="230">
        <v>6</v>
      </c>
      <c r="K123" s="368"/>
      <c r="L123" s="364"/>
      <c r="M123" s="365" t="s">
        <v>464</v>
      </c>
      <c r="N123" s="366" t="s">
        <v>465</v>
      </c>
      <c r="O123" s="367">
        <v>17743181</v>
      </c>
      <c r="P123" s="368" t="s">
        <v>466</v>
      </c>
      <c r="Q123" s="369" t="s">
        <v>467</v>
      </c>
      <c r="R123" s="370" t="s">
        <v>369</v>
      </c>
      <c r="S123" s="370" t="s">
        <v>130</v>
      </c>
      <c r="T123" s="371"/>
      <c r="U123" s="384"/>
      <c r="V123" s="373"/>
      <c r="W123" s="398" t="s">
        <v>54</v>
      </c>
      <c r="X123" s="404">
        <v>45078</v>
      </c>
      <c r="Y123" s="372"/>
      <c r="Z123" s="381"/>
      <c r="AA123" s="359"/>
      <c r="AB123" s="230"/>
      <c r="AC123" s="381"/>
      <c r="AD123" s="359"/>
      <c r="AE123" s="230"/>
      <c r="AF123" s="381"/>
      <c r="AG123" s="359"/>
      <c r="AH123" s="230"/>
      <c r="AI123" s="381"/>
      <c r="AJ123" s="402"/>
      <c r="AK123" s="403"/>
      <c r="AL123" s="381"/>
      <c r="AM123" s="402"/>
      <c r="AN123" s="403"/>
      <c r="AO123" s="401"/>
      <c r="AP123" s="402"/>
      <c r="AQ123" s="403"/>
      <c r="AR123" s="401"/>
      <c r="AS123" s="202"/>
    </row>
    <row r="124" spans="1:45" ht="14.25" hidden="1" customHeight="1">
      <c r="A124" s="12"/>
      <c r="B124" s="358"/>
      <c r="C124" s="359"/>
      <c r="D124" s="359"/>
      <c r="E124" s="360"/>
      <c r="F124" s="230"/>
      <c r="G124" s="378"/>
      <c r="H124" s="230"/>
      <c r="I124" s="230"/>
      <c r="J124" s="230"/>
      <c r="K124" s="368"/>
      <c r="L124" s="364"/>
      <c r="M124" s="365"/>
      <c r="N124" s="366"/>
      <c r="O124" s="367"/>
      <c r="P124" s="368"/>
      <c r="Q124" s="391"/>
      <c r="R124" s="370"/>
      <c r="S124" s="370"/>
      <c r="T124" s="371"/>
      <c r="U124" s="384"/>
      <c r="V124" s="373"/>
      <c r="W124" s="400"/>
      <c r="X124" s="404"/>
      <c r="Y124" s="372"/>
      <c r="Z124" s="381"/>
      <c r="AA124" s="359"/>
      <c r="AB124" s="230"/>
      <c r="AC124" s="381"/>
      <c r="AD124" s="359"/>
      <c r="AE124" s="230"/>
      <c r="AF124" s="381"/>
      <c r="AG124" s="359"/>
      <c r="AH124" s="230"/>
      <c r="AI124" s="381"/>
      <c r="AJ124" s="402"/>
      <c r="AK124" s="403"/>
      <c r="AL124" s="381"/>
      <c r="AM124" s="402"/>
      <c r="AN124" s="403"/>
      <c r="AO124" s="401"/>
      <c r="AP124" s="402"/>
      <c r="AQ124" s="403"/>
      <c r="AR124" s="401"/>
      <c r="AS124" s="202"/>
    </row>
    <row r="125" spans="1:45" ht="21.75" customHeight="1">
      <c r="A125" s="12"/>
      <c r="B125" s="358" t="s">
        <v>339</v>
      </c>
      <c r="C125" s="359">
        <v>20</v>
      </c>
      <c r="D125" s="359">
        <v>14</v>
      </c>
      <c r="E125" s="360" t="s">
        <v>469</v>
      </c>
      <c r="F125" s="230" t="s">
        <v>468</v>
      </c>
      <c r="G125" s="361" t="s">
        <v>278</v>
      </c>
      <c r="H125" s="230"/>
      <c r="I125" s="230">
        <v>43228</v>
      </c>
      <c r="J125" s="230">
        <v>5</v>
      </c>
      <c r="K125" s="368"/>
      <c r="L125" s="364"/>
      <c r="M125" s="365" t="s">
        <v>464</v>
      </c>
      <c r="N125" s="366" t="s">
        <v>465</v>
      </c>
      <c r="O125" s="367">
        <v>17743181</v>
      </c>
      <c r="P125" s="368" t="s">
        <v>466</v>
      </c>
      <c r="Q125" s="369" t="s">
        <v>467</v>
      </c>
      <c r="R125" s="370" t="s">
        <v>456</v>
      </c>
      <c r="S125" s="370" t="s">
        <v>130</v>
      </c>
      <c r="T125" s="371"/>
      <c r="U125" s="384"/>
      <c r="V125" s="373"/>
      <c r="W125" s="398" t="s">
        <v>54</v>
      </c>
      <c r="X125" s="512">
        <v>45337</v>
      </c>
      <c r="Y125" s="384"/>
      <c r="Z125" s="513"/>
      <c r="AA125" s="402"/>
      <c r="AB125" s="403"/>
      <c r="AC125" s="401"/>
      <c r="AD125" s="359"/>
      <c r="AE125" s="230"/>
      <c r="AF125" s="381"/>
      <c r="AG125" s="359"/>
      <c r="AH125" s="230"/>
      <c r="AI125" s="381"/>
      <c r="AJ125" s="402"/>
      <c r="AK125" s="403"/>
      <c r="AL125" s="401"/>
      <c r="AM125" s="402"/>
      <c r="AN125" s="403"/>
      <c r="AO125" s="401"/>
      <c r="AP125" s="402"/>
      <c r="AQ125" s="403"/>
      <c r="AR125" s="401"/>
      <c r="AS125" s="202"/>
    </row>
    <row r="126" spans="1:45" ht="13.5" hidden="1" customHeight="1">
      <c r="A126" s="12"/>
      <c r="B126" s="358"/>
      <c r="C126" s="359"/>
      <c r="D126" s="359"/>
      <c r="E126" s="360"/>
      <c r="F126" s="230"/>
      <c r="G126" s="378"/>
      <c r="H126" s="230"/>
      <c r="I126" s="230"/>
      <c r="J126" s="230"/>
      <c r="K126" s="368"/>
      <c r="L126" s="364"/>
      <c r="M126" s="365"/>
      <c r="N126" s="366"/>
      <c r="O126" s="367"/>
      <c r="P126" s="368"/>
      <c r="Q126" s="382"/>
      <c r="R126" s="370"/>
      <c r="S126" s="370"/>
      <c r="T126" s="371"/>
      <c r="U126" s="384"/>
      <c r="V126" s="373"/>
      <c r="W126" s="400"/>
      <c r="X126" s="512"/>
      <c r="Y126" s="384"/>
      <c r="Z126" s="513"/>
      <c r="AA126" s="402"/>
      <c r="AB126" s="403"/>
      <c r="AC126" s="401"/>
      <c r="AD126" s="359"/>
      <c r="AE126" s="230"/>
      <c r="AF126" s="381"/>
      <c r="AG126" s="359"/>
      <c r="AH126" s="230"/>
      <c r="AI126" s="381"/>
      <c r="AJ126" s="402"/>
      <c r="AK126" s="403"/>
      <c r="AL126" s="401"/>
      <c r="AM126" s="402"/>
      <c r="AN126" s="403"/>
      <c r="AO126" s="401"/>
      <c r="AP126" s="402"/>
      <c r="AQ126" s="403"/>
      <c r="AR126" s="401"/>
      <c r="AS126" s="202"/>
    </row>
    <row r="127" spans="1:45" ht="21.75" customHeight="1">
      <c r="A127" s="12"/>
      <c r="B127" s="358" t="s">
        <v>470</v>
      </c>
      <c r="C127" s="359">
        <v>1</v>
      </c>
      <c r="D127" s="359">
        <v>15</v>
      </c>
      <c r="E127" s="360" t="s">
        <v>472</v>
      </c>
      <c r="F127" s="230" t="s">
        <v>471</v>
      </c>
      <c r="G127" s="361" t="s">
        <v>278</v>
      </c>
      <c r="H127" s="362">
        <v>31404186</v>
      </c>
      <c r="I127" s="230">
        <v>38876</v>
      </c>
      <c r="J127" s="230">
        <v>17</v>
      </c>
      <c r="K127" s="363" t="s">
        <v>473</v>
      </c>
      <c r="L127" s="364" t="s">
        <v>474</v>
      </c>
      <c r="M127" s="365" t="s">
        <v>475</v>
      </c>
      <c r="N127" s="366" t="s">
        <v>476</v>
      </c>
      <c r="O127" s="367">
        <v>15119858</v>
      </c>
      <c r="P127" s="368" t="s">
        <v>477</v>
      </c>
      <c r="Q127" s="369" t="s">
        <v>478</v>
      </c>
      <c r="R127" s="370" t="s">
        <v>479</v>
      </c>
      <c r="S127" s="370" t="s">
        <v>480</v>
      </c>
      <c r="T127" s="371"/>
      <c r="U127" s="384"/>
      <c r="V127" s="373"/>
      <c r="W127" s="398" t="s">
        <v>54</v>
      </c>
      <c r="X127" s="512">
        <v>45104</v>
      </c>
      <c r="Y127" s="384"/>
      <c r="Z127" s="514"/>
      <c r="AA127" s="359"/>
      <c r="AB127" s="230"/>
      <c r="AC127" s="381"/>
      <c r="AD127" s="359"/>
      <c r="AE127" s="230"/>
      <c r="AF127" s="381"/>
      <c r="AG127" s="359"/>
      <c r="AH127" s="230"/>
      <c r="AI127" s="381"/>
      <c r="AJ127" s="402"/>
      <c r="AK127" s="403"/>
      <c r="AL127" s="401"/>
      <c r="AM127" s="402"/>
      <c r="AN127" s="403"/>
      <c r="AO127" s="401"/>
      <c r="AP127" s="402"/>
      <c r="AQ127" s="403"/>
      <c r="AR127" s="401"/>
      <c r="AS127" s="202"/>
    </row>
    <row r="128" spans="1:45" ht="13.5" hidden="1" customHeight="1">
      <c r="A128" s="12"/>
      <c r="B128" s="358"/>
      <c r="C128" s="359"/>
      <c r="D128" s="359"/>
      <c r="E128" s="360"/>
      <c r="F128" s="230"/>
      <c r="G128" s="378"/>
      <c r="H128" s="230"/>
      <c r="I128" s="230"/>
      <c r="J128" s="230"/>
      <c r="K128" s="363"/>
      <c r="L128" s="364"/>
      <c r="M128" s="365"/>
      <c r="N128" s="366"/>
      <c r="O128" s="367"/>
      <c r="P128" s="368"/>
      <c r="Q128" s="382"/>
      <c r="R128" s="370"/>
      <c r="S128" s="370"/>
      <c r="T128" s="371"/>
      <c r="U128" s="384"/>
      <c r="V128" s="373"/>
      <c r="W128" s="400"/>
      <c r="X128" s="512"/>
      <c r="Y128" s="384"/>
      <c r="Z128" s="514"/>
      <c r="AA128" s="359"/>
      <c r="AB128" s="230"/>
      <c r="AC128" s="381"/>
      <c r="AD128" s="359"/>
      <c r="AE128" s="230"/>
      <c r="AF128" s="381"/>
      <c r="AG128" s="359"/>
      <c r="AH128" s="230"/>
      <c r="AI128" s="381"/>
      <c r="AJ128" s="402"/>
      <c r="AK128" s="403"/>
      <c r="AL128" s="401"/>
      <c r="AM128" s="402"/>
      <c r="AN128" s="403"/>
      <c r="AO128" s="401"/>
      <c r="AP128" s="402"/>
      <c r="AQ128" s="403"/>
      <c r="AR128" s="401"/>
      <c r="AS128" s="202"/>
    </row>
    <row r="129" spans="1:45" ht="21.75" customHeight="1">
      <c r="A129" s="12"/>
      <c r="B129" s="358" t="s">
        <v>470</v>
      </c>
      <c r="C129" s="359">
        <v>2</v>
      </c>
      <c r="D129" s="359">
        <v>16</v>
      </c>
      <c r="E129" s="360" t="s">
        <v>482</v>
      </c>
      <c r="F129" s="230" t="s">
        <v>481</v>
      </c>
      <c r="G129" s="361" t="s">
        <v>278</v>
      </c>
      <c r="H129" s="362"/>
      <c r="I129" s="230">
        <v>43194</v>
      </c>
      <c r="J129" s="230">
        <v>5</v>
      </c>
      <c r="K129" s="368"/>
      <c r="L129" s="364"/>
      <c r="M129" s="365" t="s">
        <v>483</v>
      </c>
      <c r="N129" s="366" t="s">
        <v>484</v>
      </c>
      <c r="O129" s="443">
        <v>14363252</v>
      </c>
      <c r="P129" s="368" t="s">
        <v>485</v>
      </c>
      <c r="Q129" s="406" t="s">
        <v>486</v>
      </c>
      <c r="R129" s="370" t="s">
        <v>411</v>
      </c>
      <c r="S129" s="370" t="s">
        <v>130</v>
      </c>
      <c r="T129" s="371"/>
      <c r="U129" s="384"/>
      <c r="V129" s="373"/>
      <c r="W129" s="398" t="s">
        <v>54</v>
      </c>
      <c r="X129" s="404"/>
      <c r="Y129" s="372"/>
      <c r="Z129" s="381"/>
      <c r="AA129" s="359"/>
      <c r="AB129" s="230"/>
      <c r="AC129" s="381"/>
      <c r="AD129" s="359"/>
      <c r="AE129" s="230"/>
      <c r="AF129" s="381"/>
      <c r="AG129" s="402"/>
      <c r="AH129" s="230"/>
      <c r="AI129" s="381"/>
      <c r="AJ129" s="402"/>
      <c r="AK129" s="403"/>
      <c r="AL129" s="401"/>
      <c r="AM129" s="402"/>
      <c r="AN129" s="403"/>
      <c r="AO129" s="401"/>
      <c r="AP129" s="402"/>
      <c r="AQ129" s="403"/>
      <c r="AR129" s="401"/>
      <c r="AS129" s="202"/>
    </row>
    <row r="130" spans="1:45" ht="13.5" hidden="1" customHeight="1">
      <c r="A130" s="12"/>
      <c r="B130" s="358"/>
      <c r="C130" s="359"/>
      <c r="D130" s="359"/>
      <c r="E130" s="360"/>
      <c r="F130" s="230"/>
      <c r="G130" s="378"/>
      <c r="H130" s="362"/>
      <c r="I130" s="230"/>
      <c r="J130" s="230"/>
      <c r="K130" s="368"/>
      <c r="L130" s="364"/>
      <c r="M130" s="365"/>
      <c r="N130" s="366"/>
      <c r="O130" s="368"/>
      <c r="P130" s="368"/>
      <c r="Q130" s="408"/>
      <c r="R130" s="370"/>
      <c r="S130" s="370"/>
      <c r="T130" s="371"/>
      <c r="U130" s="384"/>
      <c r="V130" s="373"/>
      <c r="W130" s="400"/>
      <c r="X130" s="404"/>
      <c r="Y130" s="372"/>
      <c r="Z130" s="381"/>
      <c r="AA130" s="359"/>
      <c r="AB130" s="230"/>
      <c r="AC130" s="381"/>
      <c r="AD130" s="359"/>
      <c r="AE130" s="230"/>
      <c r="AF130" s="381"/>
      <c r="AG130" s="402"/>
      <c r="AH130" s="230"/>
      <c r="AI130" s="381"/>
      <c r="AJ130" s="402"/>
      <c r="AK130" s="403"/>
      <c r="AL130" s="401"/>
      <c r="AM130" s="402"/>
      <c r="AN130" s="403"/>
      <c r="AO130" s="401"/>
      <c r="AP130" s="402"/>
      <c r="AQ130" s="403"/>
      <c r="AR130" s="401"/>
      <c r="AS130" s="202"/>
    </row>
    <row r="131" spans="1:45" ht="21.75" customHeight="1">
      <c r="A131" s="12"/>
      <c r="B131" s="358" t="s">
        <v>470</v>
      </c>
      <c r="C131" s="359">
        <v>3</v>
      </c>
      <c r="D131" s="359">
        <v>17</v>
      </c>
      <c r="E131" s="360" t="s">
        <v>488</v>
      </c>
      <c r="F131" s="230" t="s">
        <v>487</v>
      </c>
      <c r="G131" s="361" t="s">
        <v>278</v>
      </c>
      <c r="H131" s="362"/>
      <c r="I131" s="230">
        <v>42565</v>
      </c>
      <c r="J131" s="230">
        <v>7</v>
      </c>
      <c r="K131" s="363"/>
      <c r="L131" s="364"/>
      <c r="M131" s="365" t="s">
        <v>483</v>
      </c>
      <c r="N131" s="366" t="s">
        <v>484</v>
      </c>
      <c r="O131" s="443">
        <v>14363252</v>
      </c>
      <c r="P131" s="368" t="s">
        <v>485</v>
      </c>
      <c r="Q131" s="406" t="s">
        <v>486</v>
      </c>
      <c r="R131" s="370" t="s">
        <v>370</v>
      </c>
      <c r="S131" s="370" t="s">
        <v>130</v>
      </c>
      <c r="T131" s="371"/>
      <c r="U131" s="384"/>
      <c r="V131" s="373"/>
      <c r="W131" s="398" t="s">
        <v>54</v>
      </c>
      <c r="X131" s="512"/>
      <c r="Y131" s="384"/>
      <c r="Z131" s="513"/>
      <c r="AA131" s="402"/>
      <c r="AB131" s="403"/>
      <c r="AC131" s="401"/>
      <c r="AD131" s="359"/>
      <c r="AE131" s="230"/>
      <c r="AF131" s="381"/>
      <c r="AG131" s="359"/>
      <c r="AH131" s="230"/>
      <c r="AI131" s="381"/>
      <c r="AJ131" s="359"/>
      <c r="AK131" s="230"/>
      <c r="AL131" s="381"/>
      <c r="AM131" s="402"/>
      <c r="AN131" s="403"/>
      <c r="AO131" s="401"/>
      <c r="AP131" s="402"/>
      <c r="AQ131" s="403"/>
      <c r="AR131" s="401"/>
      <c r="AS131" s="202"/>
    </row>
    <row r="132" spans="1:45" ht="13.5" hidden="1" customHeight="1">
      <c r="A132" s="12"/>
      <c r="B132" s="358"/>
      <c r="C132" s="359"/>
      <c r="D132" s="359"/>
      <c r="E132" s="360"/>
      <c r="F132" s="230"/>
      <c r="G132" s="378"/>
      <c r="H132" s="362"/>
      <c r="I132" s="230"/>
      <c r="J132" s="230"/>
      <c r="K132" s="230"/>
      <c r="L132" s="364"/>
      <c r="M132" s="365"/>
      <c r="N132" s="366"/>
      <c r="O132" s="368"/>
      <c r="P132" s="368"/>
      <c r="Q132" s="408"/>
      <c r="R132" s="370"/>
      <c r="S132" s="370"/>
      <c r="T132" s="371"/>
      <c r="U132" s="384"/>
      <c r="V132" s="373"/>
      <c r="W132" s="400"/>
      <c r="X132" s="512"/>
      <c r="Y132" s="384"/>
      <c r="Z132" s="513"/>
      <c r="AA132" s="402"/>
      <c r="AB132" s="403"/>
      <c r="AC132" s="401"/>
      <c r="AD132" s="359"/>
      <c r="AE132" s="230"/>
      <c r="AF132" s="381"/>
      <c r="AG132" s="359"/>
      <c r="AH132" s="230"/>
      <c r="AI132" s="381"/>
      <c r="AJ132" s="359"/>
      <c r="AK132" s="230"/>
      <c r="AL132" s="381"/>
      <c r="AM132" s="402"/>
      <c r="AN132" s="403"/>
      <c r="AO132" s="401"/>
      <c r="AP132" s="402"/>
      <c r="AQ132" s="403"/>
      <c r="AR132" s="401"/>
      <c r="AS132" s="202"/>
    </row>
    <row r="133" spans="1:45" ht="21.75" customHeight="1">
      <c r="A133" s="12"/>
      <c r="B133" s="358" t="s">
        <v>470</v>
      </c>
      <c r="C133" s="359">
        <v>4</v>
      </c>
      <c r="D133" s="359">
        <v>18</v>
      </c>
      <c r="E133" s="360" t="s">
        <v>490</v>
      </c>
      <c r="F133" s="230" t="s">
        <v>489</v>
      </c>
      <c r="G133" s="361" t="s">
        <v>278</v>
      </c>
      <c r="H133" s="362"/>
      <c r="I133" s="230">
        <v>41849</v>
      </c>
      <c r="J133" s="230">
        <v>9</v>
      </c>
      <c r="K133" s="368"/>
      <c r="L133" s="364"/>
      <c r="M133" s="365" t="s">
        <v>491</v>
      </c>
      <c r="N133" s="366" t="s">
        <v>492</v>
      </c>
      <c r="O133" s="367">
        <v>14351705</v>
      </c>
      <c r="P133" s="368" t="s">
        <v>493</v>
      </c>
      <c r="Q133" s="369" t="s">
        <v>494</v>
      </c>
      <c r="R133" s="370" t="s">
        <v>370</v>
      </c>
      <c r="S133" s="370" t="s">
        <v>130</v>
      </c>
      <c r="T133" s="371"/>
      <c r="U133" s="384"/>
      <c r="V133" s="373"/>
      <c r="W133" s="398" t="s">
        <v>54</v>
      </c>
      <c r="X133" s="404">
        <v>45157</v>
      </c>
      <c r="Y133" s="384"/>
      <c r="Z133" s="513"/>
      <c r="AA133" s="359"/>
      <c r="AB133" s="230"/>
      <c r="AC133" s="381"/>
      <c r="AD133" s="359"/>
      <c r="AE133" s="230"/>
      <c r="AF133" s="381"/>
      <c r="AG133" s="402"/>
      <c r="AH133" s="403"/>
      <c r="AI133" s="401"/>
      <c r="AJ133" s="402"/>
      <c r="AK133" s="403"/>
      <c r="AL133" s="401"/>
      <c r="AM133" s="402"/>
      <c r="AN133" s="403"/>
      <c r="AO133" s="401"/>
      <c r="AP133" s="402"/>
      <c r="AQ133" s="403"/>
      <c r="AR133" s="401"/>
      <c r="AS133" s="202"/>
    </row>
    <row r="134" spans="1:45" ht="13.5" hidden="1" customHeight="1">
      <c r="A134" s="12"/>
      <c r="B134" s="358"/>
      <c r="C134" s="359"/>
      <c r="D134" s="359"/>
      <c r="E134" s="360"/>
      <c r="F134" s="230"/>
      <c r="G134" s="378"/>
      <c r="H134" s="362"/>
      <c r="I134" s="230"/>
      <c r="J134" s="230"/>
      <c r="K134" s="368"/>
      <c r="L134" s="364"/>
      <c r="M134" s="365"/>
      <c r="N134" s="366"/>
      <c r="O134" s="367"/>
      <c r="P134" s="368"/>
      <c r="Q134" s="382"/>
      <c r="R134" s="370"/>
      <c r="S134" s="370"/>
      <c r="T134" s="371"/>
      <c r="U134" s="384"/>
      <c r="V134" s="373"/>
      <c r="W134" s="400"/>
      <c r="X134" s="404"/>
      <c r="Y134" s="384"/>
      <c r="Z134" s="513"/>
      <c r="AA134" s="359"/>
      <c r="AB134" s="230"/>
      <c r="AC134" s="381"/>
      <c r="AD134" s="359"/>
      <c r="AE134" s="230"/>
      <c r="AF134" s="381"/>
      <c r="AG134" s="402"/>
      <c r="AH134" s="403"/>
      <c r="AI134" s="401"/>
      <c r="AJ134" s="402"/>
      <c r="AK134" s="403"/>
      <c r="AL134" s="401"/>
      <c r="AM134" s="402"/>
      <c r="AN134" s="403"/>
      <c r="AO134" s="401"/>
      <c r="AP134" s="402"/>
      <c r="AQ134" s="403"/>
      <c r="AR134" s="401"/>
      <c r="AS134" s="202"/>
    </row>
    <row r="135" spans="1:45" ht="21.75" customHeight="1">
      <c r="A135" s="12"/>
      <c r="B135" s="358" t="s">
        <v>470</v>
      </c>
      <c r="C135" s="359">
        <v>5</v>
      </c>
      <c r="D135" s="359">
        <v>19</v>
      </c>
      <c r="E135" s="360" t="s">
        <v>496</v>
      </c>
      <c r="F135" s="230" t="s">
        <v>495</v>
      </c>
      <c r="G135" s="361" t="s">
        <v>278</v>
      </c>
      <c r="H135" s="362"/>
      <c r="I135" s="230">
        <v>41726</v>
      </c>
      <c r="J135" s="230">
        <v>9</v>
      </c>
      <c r="K135" s="363"/>
      <c r="L135" s="364"/>
      <c r="M135" s="365" t="s">
        <v>497</v>
      </c>
      <c r="N135" s="366" t="s">
        <v>498</v>
      </c>
      <c r="O135" s="443">
        <v>18440643</v>
      </c>
      <c r="P135" s="368" t="s">
        <v>499</v>
      </c>
      <c r="Q135" s="406" t="s">
        <v>500</v>
      </c>
      <c r="R135" s="370" t="s">
        <v>501</v>
      </c>
      <c r="S135" s="370" t="s">
        <v>146</v>
      </c>
      <c r="T135" s="371"/>
      <c r="U135" s="384"/>
      <c r="V135" s="373"/>
      <c r="W135" s="374" t="s">
        <v>78</v>
      </c>
      <c r="X135" s="384">
        <v>45159</v>
      </c>
      <c r="Y135" s="202"/>
      <c r="Z135" s="513"/>
      <c r="AA135" s="402"/>
      <c r="AB135" s="403"/>
      <c r="AC135" s="401"/>
      <c r="AD135" s="359"/>
      <c r="AE135" s="230"/>
      <c r="AF135" s="381"/>
      <c r="AG135" s="402"/>
      <c r="AH135" s="403"/>
      <c r="AI135" s="401"/>
      <c r="AJ135" s="402"/>
      <c r="AK135" s="403"/>
      <c r="AL135" s="401"/>
      <c r="AM135" s="402"/>
      <c r="AN135" s="403"/>
      <c r="AO135" s="401"/>
      <c r="AP135" s="402"/>
      <c r="AQ135" s="403"/>
      <c r="AR135" s="401"/>
      <c r="AS135" s="202"/>
    </row>
    <row r="136" spans="1:45" ht="6" hidden="1" customHeight="1">
      <c r="A136" s="12"/>
      <c r="B136" s="358"/>
      <c r="C136" s="359"/>
      <c r="D136" s="359"/>
      <c r="E136" s="360"/>
      <c r="F136" s="230"/>
      <c r="G136" s="378"/>
      <c r="H136" s="362"/>
      <c r="I136" s="230"/>
      <c r="J136" s="230"/>
      <c r="K136" s="230"/>
      <c r="L136" s="364"/>
      <c r="M136" s="365"/>
      <c r="N136" s="366"/>
      <c r="O136" s="368"/>
      <c r="P136" s="368"/>
      <c r="Q136" s="408"/>
      <c r="R136" s="370"/>
      <c r="S136" s="370"/>
      <c r="T136" s="371"/>
      <c r="U136" s="384"/>
      <c r="V136" s="373"/>
      <c r="W136" s="383"/>
      <c r="X136" s="384"/>
      <c r="Y136" s="202"/>
      <c r="Z136" s="513"/>
      <c r="AA136" s="402"/>
      <c r="AB136" s="403"/>
      <c r="AC136" s="401"/>
      <c r="AD136" s="359"/>
      <c r="AE136" s="230"/>
      <c r="AF136" s="381"/>
      <c r="AG136" s="402"/>
      <c r="AH136" s="403"/>
      <c r="AI136" s="401"/>
      <c r="AJ136" s="402"/>
      <c r="AK136" s="403"/>
      <c r="AL136" s="401"/>
      <c r="AM136" s="402"/>
      <c r="AN136" s="403"/>
      <c r="AO136" s="401"/>
      <c r="AP136" s="402"/>
      <c r="AQ136" s="403"/>
      <c r="AR136" s="401"/>
      <c r="AS136" s="202"/>
    </row>
    <row r="137" spans="1:45" ht="21.75" customHeight="1">
      <c r="A137" s="12"/>
      <c r="B137" s="358" t="s">
        <v>470</v>
      </c>
      <c r="C137" s="359">
        <v>6</v>
      </c>
      <c r="D137" s="359">
        <v>20</v>
      </c>
      <c r="E137" s="360" t="s">
        <v>503</v>
      </c>
      <c r="F137" s="230" t="s">
        <v>502</v>
      </c>
      <c r="G137" s="361" t="s">
        <v>278</v>
      </c>
      <c r="H137" s="362"/>
      <c r="I137" s="230">
        <v>42516</v>
      </c>
      <c r="J137" s="230">
        <v>7</v>
      </c>
      <c r="K137" s="230"/>
      <c r="L137" s="364"/>
      <c r="M137" s="365" t="s">
        <v>504</v>
      </c>
      <c r="N137" s="366" t="s">
        <v>505</v>
      </c>
      <c r="O137" s="443">
        <v>16888252</v>
      </c>
      <c r="P137" s="368" t="s">
        <v>506</v>
      </c>
      <c r="Q137" s="406" t="s">
        <v>507</v>
      </c>
      <c r="R137" s="370" t="s">
        <v>370</v>
      </c>
      <c r="S137" s="370" t="s">
        <v>130</v>
      </c>
      <c r="T137" s="371"/>
      <c r="U137" s="384"/>
      <c r="V137" s="373"/>
      <c r="W137" s="374" t="s">
        <v>78</v>
      </c>
      <c r="X137" s="404">
        <v>45162</v>
      </c>
      <c r="Y137" s="384"/>
      <c r="Z137" s="513"/>
      <c r="AA137" s="359"/>
      <c r="AB137" s="230"/>
      <c r="AC137" s="381"/>
      <c r="AD137" s="359"/>
      <c r="AE137" s="230"/>
      <c r="AF137" s="381"/>
      <c r="AG137" s="402"/>
      <c r="AH137" s="403"/>
      <c r="AI137" s="401"/>
      <c r="AJ137" s="402"/>
      <c r="AK137" s="403"/>
      <c r="AL137" s="401"/>
      <c r="AM137" s="402"/>
      <c r="AN137" s="403"/>
      <c r="AO137" s="401"/>
      <c r="AP137" s="402"/>
      <c r="AQ137" s="403"/>
      <c r="AR137" s="401"/>
      <c r="AS137" s="202"/>
    </row>
    <row r="138" spans="1:45" ht="13.5" hidden="1" customHeight="1">
      <c r="A138" s="12"/>
      <c r="B138" s="358"/>
      <c r="C138" s="359"/>
      <c r="D138" s="359"/>
      <c r="E138" s="360"/>
      <c r="F138" s="230"/>
      <c r="G138" s="378"/>
      <c r="H138" s="362"/>
      <c r="I138" s="230"/>
      <c r="J138" s="230"/>
      <c r="K138" s="230"/>
      <c r="L138" s="364"/>
      <c r="M138" s="365"/>
      <c r="N138" s="366"/>
      <c r="O138" s="368"/>
      <c r="P138" s="368"/>
      <c r="Q138" s="408"/>
      <c r="R138" s="370"/>
      <c r="S138" s="370"/>
      <c r="T138" s="371"/>
      <c r="U138" s="384"/>
      <c r="V138" s="373"/>
      <c r="W138" s="383"/>
      <c r="X138" s="404"/>
      <c r="Y138" s="384"/>
      <c r="Z138" s="513"/>
      <c r="AA138" s="359"/>
      <c r="AB138" s="230"/>
      <c r="AC138" s="381"/>
      <c r="AD138" s="359"/>
      <c r="AE138" s="230"/>
      <c r="AF138" s="381"/>
      <c r="AG138" s="402"/>
      <c r="AH138" s="403"/>
      <c r="AI138" s="401"/>
      <c r="AJ138" s="402"/>
      <c r="AK138" s="403"/>
      <c r="AL138" s="401"/>
      <c r="AM138" s="402"/>
      <c r="AN138" s="403"/>
      <c r="AO138" s="401"/>
      <c r="AP138" s="402"/>
      <c r="AQ138" s="403"/>
      <c r="AR138" s="401"/>
      <c r="AS138" s="202"/>
    </row>
    <row r="139" spans="1:45" ht="21.75" customHeight="1">
      <c r="A139" s="12"/>
      <c r="B139" s="358" t="s">
        <v>470</v>
      </c>
      <c r="C139" s="359">
        <v>7</v>
      </c>
      <c r="D139" s="359">
        <v>21</v>
      </c>
      <c r="E139" s="360" t="s">
        <v>509</v>
      </c>
      <c r="F139" s="230" t="s">
        <v>508</v>
      </c>
      <c r="G139" s="361" t="s">
        <v>278</v>
      </c>
      <c r="H139" s="230"/>
      <c r="I139" s="230">
        <v>31820</v>
      </c>
      <c r="J139" s="230">
        <v>36</v>
      </c>
      <c r="K139" s="363" t="s">
        <v>510</v>
      </c>
      <c r="L139" s="364" t="s">
        <v>511</v>
      </c>
      <c r="M139" s="365" t="s">
        <v>504</v>
      </c>
      <c r="N139" s="366"/>
      <c r="O139" s="367"/>
      <c r="P139" s="368"/>
      <c r="Q139" s="391"/>
      <c r="R139" s="370" t="s">
        <v>281</v>
      </c>
      <c r="S139" s="370" t="s">
        <v>77</v>
      </c>
      <c r="T139" s="371"/>
      <c r="U139" s="384"/>
      <c r="V139" s="373"/>
      <c r="W139" s="374" t="s">
        <v>512</v>
      </c>
      <c r="X139" s="512">
        <v>45164</v>
      </c>
      <c r="Y139" s="384"/>
      <c r="Z139" s="513"/>
      <c r="AA139" s="359"/>
      <c r="AB139" s="230"/>
      <c r="AC139" s="381"/>
      <c r="AD139" s="359"/>
      <c r="AE139" s="230"/>
      <c r="AF139" s="381"/>
      <c r="AG139" s="359"/>
      <c r="AH139" s="230"/>
      <c r="AI139" s="381"/>
      <c r="AJ139" s="402"/>
      <c r="AK139" s="403"/>
      <c r="AL139" s="401"/>
      <c r="AM139" s="402"/>
      <c r="AN139" s="403"/>
      <c r="AO139" s="401"/>
      <c r="AP139" s="402"/>
      <c r="AQ139" s="403"/>
      <c r="AR139" s="401"/>
      <c r="AS139" s="202"/>
    </row>
    <row r="140" spans="1:45" ht="13.5" hidden="1" customHeight="1">
      <c r="A140" s="12"/>
      <c r="B140" s="358"/>
      <c r="C140" s="359"/>
      <c r="D140" s="359"/>
      <c r="E140" s="360"/>
      <c r="F140" s="230"/>
      <c r="G140" s="378"/>
      <c r="H140" s="230"/>
      <c r="I140" s="230"/>
      <c r="J140" s="230"/>
      <c r="K140" s="368"/>
      <c r="L140" s="364"/>
      <c r="M140" s="365"/>
      <c r="N140" s="366"/>
      <c r="O140" s="367"/>
      <c r="P140" s="368"/>
      <c r="Q140" s="391"/>
      <c r="R140" s="370"/>
      <c r="S140" s="370"/>
      <c r="T140" s="371"/>
      <c r="U140" s="384"/>
      <c r="V140" s="373"/>
      <c r="W140" s="400"/>
      <c r="X140" s="512"/>
      <c r="Y140" s="384"/>
      <c r="Z140" s="513"/>
      <c r="AA140" s="359"/>
      <c r="AB140" s="230"/>
      <c r="AC140" s="381"/>
      <c r="AD140" s="359"/>
      <c r="AE140" s="230"/>
      <c r="AF140" s="381"/>
      <c r="AG140" s="359"/>
      <c r="AH140" s="230"/>
      <c r="AI140" s="381"/>
      <c r="AJ140" s="402"/>
      <c r="AK140" s="403"/>
      <c r="AL140" s="401"/>
      <c r="AM140" s="402"/>
      <c r="AN140" s="403"/>
      <c r="AO140" s="401"/>
      <c r="AP140" s="402"/>
      <c r="AQ140" s="403"/>
      <c r="AR140" s="401"/>
      <c r="AS140" s="202"/>
    </row>
    <row r="141" spans="1:45" ht="21.75" customHeight="1">
      <c r="A141" s="12"/>
      <c r="B141" s="358" t="s">
        <v>470</v>
      </c>
      <c r="C141" s="359">
        <v>8</v>
      </c>
      <c r="D141" s="359">
        <v>22</v>
      </c>
      <c r="E141" s="360" t="s">
        <v>514</v>
      </c>
      <c r="F141" s="230" t="s">
        <v>513</v>
      </c>
      <c r="G141" s="361" t="s">
        <v>278</v>
      </c>
      <c r="H141" s="362"/>
      <c r="I141" s="230">
        <v>41634</v>
      </c>
      <c r="J141" s="230">
        <v>10</v>
      </c>
      <c r="K141" s="368"/>
      <c r="L141" s="451"/>
      <c r="M141" s="452" t="s">
        <v>515</v>
      </c>
      <c r="N141" s="409" t="s">
        <v>516</v>
      </c>
      <c r="O141" s="453">
        <v>13086280</v>
      </c>
      <c r="P141" s="454" t="s">
        <v>517</v>
      </c>
      <c r="Q141" s="504" t="s">
        <v>518</v>
      </c>
      <c r="R141" s="370" t="s">
        <v>370</v>
      </c>
      <c r="S141" s="370" t="s">
        <v>130</v>
      </c>
      <c r="T141" s="371"/>
      <c r="U141" s="384"/>
      <c r="V141" s="373"/>
      <c r="W141" s="398" t="s">
        <v>54</v>
      </c>
      <c r="X141" s="404">
        <v>45173</v>
      </c>
      <c r="Y141" s="384"/>
      <c r="Z141" s="513"/>
      <c r="AA141" s="402"/>
      <c r="AB141" s="403"/>
      <c r="AC141" s="401"/>
      <c r="AD141" s="402"/>
      <c r="AE141" s="403"/>
      <c r="AF141" s="401"/>
      <c r="AG141" s="402"/>
      <c r="AH141" s="403"/>
      <c r="AI141" s="401"/>
      <c r="AJ141" s="402"/>
      <c r="AK141" s="403"/>
      <c r="AL141" s="401"/>
      <c r="AM141" s="402"/>
      <c r="AN141" s="403"/>
      <c r="AO141" s="401"/>
      <c r="AP141" s="402"/>
      <c r="AQ141" s="403"/>
      <c r="AR141" s="401"/>
      <c r="AS141" s="202"/>
    </row>
    <row r="142" spans="1:45" ht="13.5" hidden="1" customHeight="1">
      <c r="A142" s="12"/>
      <c r="B142" s="358"/>
      <c r="C142" s="359"/>
      <c r="D142" s="359"/>
      <c r="E142" s="360"/>
      <c r="F142" s="230"/>
      <c r="G142" s="378"/>
      <c r="H142" s="362"/>
      <c r="I142" s="230"/>
      <c r="J142" s="230"/>
      <c r="K142" s="368"/>
      <c r="L142" s="427"/>
      <c r="M142" s="439"/>
      <c r="N142" s="425"/>
      <c r="O142" s="440"/>
      <c r="P142" s="429"/>
      <c r="Q142" s="430"/>
      <c r="R142" s="370"/>
      <c r="S142" s="370"/>
      <c r="T142" s="371"/>
      <c r="U142" s="384"/>
      <c r="V142" s="373"/>
      <c r="W142" s="400"/>
      <c r="X142" s="404"/>
      <c r="Y142" s="384"/>
      <c r="Z142" s="513"/>
      <c r="AA142" s="402"/>
      <c r="AB142" s="403"/>
      <c r="AC142" s="401"/>
      <c r="AD142" s="402"/>
      <c r="AE142" s="403"/>
      <c r="AF142" s="401"/>
      <c r="AG142" s="402"/>
      <c r="AH142" s="403"/>
      <c r="AI142" s="401"/>
      <c r="AJ142" s="402"/>
      <c r="AK142" s="403"/>
      <c r="AL142" s="401"/>
      <c r="AM142" s="402"/>
      <c r="AN142" s="403"/>
      <c r="AO142" s="401"/>
      <c r="AP142" s="402"/>
      <c r="AQ142" s="403"/>
      <c r="AR142" s="401"/>
      <c r="AS142" s="202"/>
    </row>
    <row r="143" spans="1:45" ht="21.75" customHeight="1">
      <c r="A143" s="12"/>
      <c r="B143" s="358" t="s">
        <v>470</v>
      </c>
      <c r="C143" s="359">
        <v>9</v>
      </c>
      <c r="D143" s="359">
        <v>23</v>
      </c>
      <c r="E143" s="360" t="s">
        <v>520</v>
      </c>
      <c r="F143" s="230" t="s">
        <v>519</v>
      </c>
      <c r="G143" s="361" t="s">
        <v>278</v>
      </c>
      <c r="H143" s="362"/>
      <c r="I143" s="230">
        <v>45523</v>
      </c>
      <c r="J143" s="230">
        <v>9</v>
      </c>
      <c r="K143" s="363" t="s">
        <v>521</v>
      </c>
      <c r="L143" s="451" t="s">
        <v>522</v>
      </c>
      <c r="M143" s="452" t="s">
        <v>523</v>
      </c>
      <c r="N143" s="409" t="s">
        <v>524</v>
      </c>
      <c r="O143" s="453">
        <v>4483451</v>
      </c>
      <c r="P143" s="454" t="s">
        <v>522</v>
      </c>
      <c r="Q143" s="504" t="s">
        <v>525</v>
      </c>
      <c r="R143" s="370" t="s">
        <v>370</v>
      </c>
      <c r="S143" s="370" t="s">
        <v>130</v>
      </c>
      <c r="T143" s="371"/>
      <c r="U143" s="384"/>
      <c r="V143" s="373"/>
      <c r="W143" s="398" t="s">
        <v>54</v>
      </c>
      <c r="X143" s="512">
        <v>45177</v>
      </c>
      <c r="Y143" s="384"/>
      <c r="Z143" s="513"/>
      <c r="AA143" s="402"/>
      <c r="AB143" s="403"/>
      <c r="AC143" s="401"/>
      <c r="AD143" s="402"/>
      <c r="AE143" s="403"/>
      <c r="AF143" s="401"/>
      <c r="AG143" s="402"/>
      <c r="AH143" s="403"/>
      <c r="AI143" s="401"/>
      <c r="AJ143" s="402"/>
      <c r="AK143" s="403"/>
      <c r="AL143" s="401"/>
      <c r="AM143" s="402"/>
      <c r="AN143" s="403"/>
      <c r="AO143" s="401"/>
      <c r="AP143" s="402"/>
      <c r="AQ143" s="403"/>
      <c r="AR143" s="401"/>
      <c r="AS143" s="202"/>
    </row>
    <row r="144" spans="1:45" ht="13.5" hidden="1" customHeight="1">
      <c r="A144" s="12"/>
      <c r="B144" s="358"/>
      <c r="C144" s="359"/>
      <c r="D144" s="359"/>
      <c r="E144" s="360"/>
      <c r="F144" s="230"/>
      <c r="G144" s="378"/>
      <c r="H144" s="362"/>
      <c r="I144" s="230"/>
      <c r="J144" s="230"/>
      <c r="K144" s="368"/>
      <c r="L144" s="427"/>
      <c r="M144" s="439"/>
      <c r="N144" s="425"/>
      <c r="O144" s="440"/>
      <c r="P144" s="429"/>
      <c r="Q144" s="430"/>
      <c r="R144" s="370"/>
      <c r="S144" s="370"/>
      <c r="T144" s="371"/>
      <c r="U144" s="384"/>
      <c r="V144" s="373"/>
      <c r="W144" s="400"/>
      <c r="X144" s="512"/>
      <c r="Y144" s="384"/>
      <c r="Z144" s="513"/>
      <c r="AA144" s="402"/>
      <c r="AB144" s="403"/>
      <c r="AC144" s="401"/>
      <c r="AD144" s="402"/>
      <c r="AE144" s="403"/>
      <c r="AF144" s="401"/>
      <c r="AG144" s="402"/>
      <c r="AH144" s="403"/>
      <c r="AI144" s="401"/>
      <c r="AJ144" s="402"/>
      <c r="AK144" s="403"/>
      <c r="AL144" s="401"/>
      <c r="AM144" s="402"/>
      <c r="AN144" s="403"/>
      <c r="AO144" s="401"/>
      <c r="AP144" s="402"/>
      <c r="AQ144" s="403"/>
      <c r="AR144" s="401"/>
      <c r="AS144" s="202"/>
    </row>
    <row r="145" spans="1:45" ht="21.75" customHeight="1">
      <c r="A145" s="12"/>
      <c r="B145" s="358" t="s">
        <v>470</v>
      </c>
      <c r="C145" s="359">
        <v>10</v>
      </c>
      <c r="D145" s="359">
        <v>24</v>
      </c>
      <c r="E145" s="360" t="s">
        <v>2561</v>
      </c>
      <c r="F145" s="230" t="s">
        <v>526</v>
      </c>
      <c r="G145" s="361" t="s">
        <v>278</v>
      </c>
      <c r="H145" s="362">
        <v>27322267</v>
      </c>
      <c r="I145" s="510">
        <v>36448</v>
      </c>
      <c r="J145" s="230">
        <v>23</v>
      </c>
      <c r="K145" s="363" t="s">
        <v>528</v>
      </c>
      <c r="L145" s="364" t="s">
        <v>529</v>
      </c>
      <c r="M145" s="405" t="s">
        <v>530</v>
      </c>
      <c r="N145" s="366" t="s">
        <v>531</v>
      </c>
      <c r="O145" s="443">
        <v>11820753</v>
      </c>
      <c r="P145" s="368" t="s">
        <v>529</v>
      </c>
      <c r="Q145" s="406" t="s">
        <v>532</v>
      </c>
      <c r="R145" s="370" t="s">
        <v>479</v>
      </c>
      <c r="S145" s="370" t="s">
        <v>310</v>
      </c>
      <c r="T145" s="371"/>
      <c r="U145" s="384"/>
      <c r="V145" s="515"/>
      <c r="W145" s="398" t="s">
        <v>54</v>
      </c>
      <c r="X145" s="512">
        <v>45177</v>
      </c>
      <c r="Y145" s="384"/>
      <c r="Z145" s="513"/>
      <c r="AA145" s="402"/>
      <c r="AB145" s="403"/>
      <c r="AC145" s="401"/>
      <c r="AD145" s="402"/>
      <c r="AE145" s="403"/>
      <c r="AF145" s="401"/>
      <c r="AG145" s="402"/>
      <c r="AH145" s="403"/>
      <c r="AI145" s="401"/>
      <c r="AJ145" s="402"/>
      <c r="AK145" s="403"/>
      <c r="AL145" s="401"/>
      <c r="AM145" s="402"/>
      <c r="AN145" s="403"/>
      <c r="AO145" s="401"/>
      <c r="AP145" s="402"/>
      <c r="AQ145" s="403"/>
      <c r="AR145" s="401"/>
      <c r="AS145" s="202"/>
    </row>
    <row r="146" spans="1:45" ht="13.5" hidden="1" customHeight="1">
      <c r="A146" s="12"/>
      <c r="B146" s="358"/>
      <c r="C146" s="359"/>
      <c r="D146" s="359"/>
      <c r="E146" s="360"/>
      <c r="F146" s="230"/>
      <c r="G146" s="378"/>
      <c r="H146" s="230"/>
      <c r="I146" s="510"/>
      <c r="J146" s="230"/>
      <c r="K146" s="368"/>
      <c r="L146" s="364"/>
      <c r="M146" s="405"/>
      <c r="N146" s="366"/>
      <c r="O146" s="368"/>
      <c r="P146" s="368"/>
      <c r="Q146" s="408"/>
      <c r="R146" s="370"/>
      <c r="S146" s="370"/>
      <c r="T146" s="371"/>
      <c r="U146" s="384"/>
      <c r="V146" s="515"/>
      <c r="W146" s="400"/>
      <c r="X146" s="512"/>
      <c r="Y146" s="384"/>
      <c r="Z146" s="513"/>
      <c r="AA146" s="402"/>
      <c r="AB146" s="403"/>
      <c r="AC146" s="401"/>
      <c r="AD146" s="402"/>
      <c r="AE146" s="403"/>
      <c r="AF146" s="401"/>
      <c r="AG146" s="402"/>
      <c r="AH146" s="403"/>
      <c r="AI146" s="401"/>
      <c r="AJ146" s="402"/>
      <c r="AK146" s="403"/>
      <c r="AL146" s="401"/>
      <c r="AM146" s="402"/>
      <c r="AN146" s="403"/>
      <c r="AO146" s="401"/>
      <c r="AP146" s="402"/>
      <c r="AQ146" s="403"/>
      <c r="AR146" s="401"/>
      <c r="AS146" s="202"/>
    </row>
    <row r="147" spans="1:45" ht="21.75" customHeight="1">
      <c r="A147" s="12"/>
      <c r="B147" s="358" t="s">
        <v>470</v>
      </c>
      <c r="C147" s="359">
        <v>11</v>
      </c>
      <c r="D147" s="359">
        <v>25</v>
      </c>
      <c r="E147" s="360" t="s">
        <v>534</v>
      </c>
      <c r="F147" s="230" t="s">
        <v>533</v>
      </c>
      <c r="G147" s="361" t="s">
        <v>278</v>
      </c>
      <c r="H147" s="362">
        <v>36034348</v>
      </c>
      <c r="I147" s="510">
        <v>42215</v>
      </c>
      <c r="J147" s="230">
        <v>10</v>
      </c>
      <c r="K147" s="368"/>
      <c r="L147" s="364" t="s">
        <v>535</v>
      </c>
      <c r="M147" s="405" t="s">
        <v>536</v>
      </c>
      <c r="N147" s="366" t="s">
        <v>537</v>
      </c>
      <c r="O147" s="443">
        <v>18109178</v>
      </c>
      <c r="P147" s="368" t="s">
        <v>538</v>
      </c>
      <c r="Q147" s="406" t="s">
        <v>539</v>
      </c>
      <c r="R147" s="370" t="s">
        <v>369</v>
      </c>
      <c r="S147" s="370" t="s">
        <v>146</v>
      </c>
      <c r="T147" s="371"/>
      <c r="U147" s="384"/>
      <c r="V147" s="515"/>
      <c r="W147" s="374" t="s">
        <v>78</v>
      </c>
      <c r="X147" s="512">
        <v>45238</v>
      </c>
      <c r="Y147" s="384"/>
      <c r="Z147" s="513"/>
      <c r="AA147" s="402"/>
      <c r="AB147" s="403"/>
      <c r="AC147" s="401"/>
      <c r="AD147" s="402"/>
      <c r="AE147" s="403"/>
      <c r="AF147" s="401"/>
      <c r="AG147" s="402"/>
      <c r="AH147" s="403"/>
      <c r="AI147" s="401"/>
      <c r="AJ147" s="402"/>
      <c r="AK147" s="403"/>
      <c r="AL147" s="401"/>
      <c r="AM147" s="402"/>
      <c r="AN147" s="403"/>
      <c r="AO147" s="401"/>
      <c r="AP147" s="402"/>
      <c r="AQ147" s="403"/>
      <c r="AR147" s="401"/>
      <c r="AS147" s="202"/>
    </row>
    <row r="148" spans="1:45" ht="13.5" hidden="1" customHeight="1">
      <c r="A148" s="12"/>
      <c r="B148" s="358"/>
      <c r="C148" s="359"/>
      <c r="D148" s="359"/>
      <c r="E148" s="360"/>
      <c r="F148" s="230"/>
      <c r="G148" s="378"/>
      <c r="H148" s="230"/>
      <c r="I148" s="510"/>
      <c r="J148" s="230"/>
      <c r="K148" s="368"/>
      <c r="L148" s="364"/>
      <c r="M148" s="405"/>
      <c r="N148" s="366"/>
      <c r="O148" s="368"/>
      <c r="P148" s="368"/>
      <c r="Q148" s="408"/>
      <c r="R148" s="370"/>
      <c r="S148" s="370"/>
      <c r="T148" s="371"/>
      <c r="U148" s="384"/>
      <c r="V148" s="515"/>
      <c r="W148" s="383"/>
      <c r="X148" s="512"/>
      <c r="Y148" s="384"/>
      <c r="Z148" s="513"/>
      <c r="AA148" s="402"/>
      <c r="AB148" s="403"/>
      <c r="AC148" s="401"/>
      <c r="AD148" s="402"/>
      <c r="AE148" s="403"/>
      <c r="AF148" s="401"/>
      <c r="AG148" s="402"/>
      <c r="AH148" s="403"/>
      <c r="AI148" s="401"/>
      <c r="AJ148" s="402"/>
      <c r="AK148" s="403"/>
      <c r="AL148" s="401"/>
      <c r="AM148" s="402"/>
      <c r="AN148" s="403"/>
      <c r="AO148" s="401"/>
      <c r="AP148" s="402"/>
      <c r="AQ148" s="403"/>
      <c r="AR148" s="401"/>
      <c r="AS148" s="202"/>
    </row>
    <row r="149" spans="1:45" ht="13.5" hidden="1" customHeight="1">
      <c r="A149" s="12"/>
      <c r="B149" s="358" t="s">
        <v>470</v>
      </c>
      <c r="C149" s="359">
        <v>12</v>
      </c>
      <c r="D149" s="359">
        <v>72</v>
      </c>
      <c r="E149" s="360" t="s">
        <v>541</v>
      </c>
      <c r="F149" s="230" t="s">
        <v>540</v>
      </c>
      <c r="G149" s="361" t="s">
        <v>43</v>
      </c>
      <c r="H149" s="362">
        <v>24462857</v>
      </c>
      <c r="I149" s="230">
        <v>20690</v>
      </c>
      <c r="J149" s="230">
        <v>27</v>
      </c>
      <c r="K149" s="368"/>
      <c r="L149" s="364" t="s">
        <v>542</v>
      </c>
      <c r="M149" s="365" t="s">
        <v>543</v>
      </c>
      <c r="N149" s="366"/>
      <c r="O149" s="367"/>
      <c r="P149" s="368"/>
      <c r="Q149" s="455"/>
      <c r="R149" s="370" t="s">
        <v>544</v>
      </c>
      <c r="S149" s="370" t="s">
        <v>310</v>
      </c>
      <c r="T149" s="371"/>
      <c r="U149" s="384"/>
      <c r="V149" s="373"/>
      <c r="W149" s="374" t="s">
        <v>78</v>
      </c>
      <c r="X149" s="512">
        <v>45310</v>
      </c>
      <c r="Y149" s="384"/>
      <c r="Z149" s="513"/>
      <c r="AA149" s="359"/>
      <c r="AB149" s="230"/>
      <c r="AC149" s="501"/>
      <c r="AD149" s="359"/>
      <c r="AE149" s="230"/>
      <c r="AF149" s="501"/>
      <c r="AG149" s="402"/>
      <c r="AH149" s="403"/>
      <c r="AI149" s="401"/>
      <c r="AJ149" s="402"/>
      <c r="AK149" s="403"/>
      <c r="AL149" s="401"/>
      <c r="AM149" s="402"/>
      <c r="AN149" s="403"/>
      <c r="AO149" s="401"/>
      <c r="AP149" s="402"/>
      <c r="AQ149" s="403"/>
      <c r="AR149" s="401"/>
      <c r="AS149" s="202"/>
    </row>
    <row r="150" spans="1:45" ht="13.5" hidden="1" customHeight="1">
      <c r="A150" s="12"/>
      <c r="B150" s="358"/>
      <c r="C150" s="359"/>
      <c r="D150" s="359"/>
      <c r="E150" s="360"/>
      <c r="F150" s="230"/>
      <c r="G150" s="378"/>
      <c r="H150" s="362"/>
      <c r="I150" s="230"/>
      <c r="J150" s="230"/>
      <c r="K150" s="368"/>
      <c r="L150" s="364"/>
      <c r="M150" s="365"/>
      <c r="N150" s="366"/>
      <c r="O150" s="367"/>
      <c r="P150" s="368"/>
      <c r="Q150" s="455"/>
      <c r="R150" s="370"/>
      <c r="S150" s="370"/>
      <c r="T150" s="371"/>
      <c r="U150" s="384"/>
      <c r="V150" s="373"/>
      <c r="W150" s="383"/>
      <c r="X150" s="512"/>
      <c r="Y150" s="384"/>
      <c r="Z150" s="513"/>
      <c r="AA150" s="359"/>
      <c r="AB150" s="230"/>
      <c r="AC150" s="501"/>
      <c r="AD150" s="359"/>
      <c r="AE150" s="230"/>
      <c r="AF150" s="501"/>
      <c r="AG150" s="402"/>
      <c r="AH150" s="403"/>
      <c r="AI150" s="401"/>
      <c r="AJ150" s="402"/>
      <c r="AK150" s="403"/>
      <c r="AL150" s="401"/>
      <c r="AM150" s="402"/>
      <c r="AN150" s="403"/>
      <c r="AO150" s="401"/>
      <c r="AP150" s="402"/>
      <c r="AQ150" s="403"/>
      <c r="AR150" s="401"/>
      <c r="AS150" s="202"/>
    </row>
    <row r="151" spans="1:45" ht="13.5" hidden="1" customHeight="1">
      <c r="A151" s="12"/>
      <c r="B151" s="358" t="s">
        <v>470</v>
      </c>
      <c r="C151" s="359">
        <v>13</v>
      </c>
      <c r="D151" s="359">
        <v>73</v>
      </c>
      <c r="E151" s="360" t="s">
        <v>546</v>
      </c>
      <c r="F151" s="230" t="s">
        <v>545</v>
      </c>
      <c r="G151" s="361" t="s">
        <v>43</v>
      </c>
      <c r="H151" s="230"/>
      <c r="I151" s="230">
        <v>40461</v>
      </c>
      <c r="J151" s="230">
        <v>13</v>
      </c>
      <c r="K151" s="363" t="s">
        <v>547</v>
      </c>
      <c r="L151" s="364" t="s">
        <v>548</v>
      </c>
      <c r="M151" s="452" t="s">
        <v>549</v>
      </c>
      <c r="N151" s="409" t="s">
        <v>550</v>
      </c>
      <c r="O151" s="453" t="s">
        <v>551</v>
      </c>
      <c r="P151" s="454">
        <v>4143004467</v>
      </c>
      <c r="Q151" s="397" t="s">
        <v>547</v>
      </c>
      <c r="R151" s="370" t="s">
        <v>552</v>
      </c>
      <c r="S151" s="370" t="s">
        <v>553</v>
      </c>
      <c r="T151" s="371"/>
      <c r="U151" s="384"/>
      <c r="V151" s="515">
        <v>300</v>
      </c>
      <c r="W151" s="374" t="s">
        <v>78</v>
      </c>
      <c r="X151" s="512">
        <v>45310</v>
      </c>
      <c r="Y151" s="384" t="s">
        <v>552</v>
      </c>
      <c r="Z151" s="513">
        <v>300</v>
      </c>
      <c r="AA151" s="359"/>
      <c r="AB151" s="230"/>
      <c r="AC151" s="501"/>
      <c r="AD151" s="402"/>
      <c r="AE151" s="403"/>
      <c r="AF151" s="401"/>
      <c r="AG151" s="402"/>
      <c r="AH151" s="403"/>
      <c r="AI151" s="401"/>
      <c r="AJ151" s="402"/>
      <c r="AK151" s="403"/>
      <c r="AL151" s="401"/>
      <c r="AM151" s="402"/>
      <c r="AN151" s="403"/>
      <c r="AO151" s="401"/>
      <c r="AP151" s="402"/>
      <c r="AQ151" s="403"/>
      <c r="AR151" s="401"/>
      <c r="AS151" s="202"/>
    </row>
    <row r="152" spans="1:45" ht="13.5" hidden="1" customHeight="1">
      <c r="A152" s="12"/>
      <c r="B152" s="358"/>
      <c r="C152" s="359"/>
      <c r="D152" s="359"/>
      <c r="E152" s="360"/>
      <c r="F152" s="230"/>
      <c r="G152" s="378"/>
      <c r="H152" s="230"/>
      <c r="I152" s="230"/>
      <c r="J152" s="230"/>
      <c r="K152" s="368"/>
      <c r="L152" s="364"/>
      <c r="M152" s="439"/>
      <c r="N152" s="425"/>
      <c r="O152" s="440"/>
      <c r="P152" s="429"/>
      <c r="Q152" s="399"/>
      <c r="R152" s="370"/>
      <c r="S152" s="370"/>
      <c r="T152" s="371"/>
      <c r="U152" s="384"/>
      <c r="V152" s="515"/>
      <c r="W152" s="383"/>
      <c r="X152" s="512"/>
      <c r="Y152" s="384"/>
      <c r="Z152" s="513"/>
      <c r="AA152" s="359"/>
      <c r="AB152" s="230"/>
      <c r="AC152" s="501"/>
      <c r="AD152" s="402"/>
      <c r="AE152" s="403"/>
      <c r="AF152" s="401"/>
      <c r="AG152" s="402"/>
      <c r="AH152" s="403"/>
      <c r="AI152" s="401"/>
      <c r="AJ152" s="402"/>
      <c r="AK152" s="403"/>
      <c r="AL152" s="401"/>
      <c r="AM152" s="402"/>
      <c r="AN152" s="403"/>
      <c r="AO152" s="401"/>
      <c r="AP152" s="402"/>
      <c r="AQ152" s="403"/>
      <c r="AR152" s="401"/>
      <c r="AS152" s="202"/>
    </row>
    <row r="153" spans="1:45" ht="13.5" hidden="1" customHeight="1">
      <c r="A153" s="12"/>
      <c r="B153" s="358" t="s">
        <v>470</v>
      </c>
      <c r="C153" s="359">
        <v>14</v>
      </c>
      <c r="D153" s="359">
        <v>74</v>
      </c>
      <c r="E153" s="360" t="s">
        <v>555</v>
      </c>
      <c r="F153" s="230" t="s">
        <v>554</v>
      </c>
      <c r="G153" s="361" t="s">
        <v>43</v>
      </c>
      <c r="H153" s="362" t="s">
        <v>556</v>
      </c>
      <c r="I153" s="230">
        <v>40009</v>
      </c>
      <c r="J153" s="230">
        <v>14</v>
      </c>
      <c r="K153" s="363" t="s">
        <v>557</v>
      </c>
      <c r="L153" s="364" t="s">
        <v>558</v>
      </c>
      <c r="M153" s="452" t="s">
        <v>559</v>
      </c>
      <c r="N153" s="409" t="s">
        <v>560</v>
      </c>
      <c r="O153" s="453" t="s">
        <v>561</v>
      </c>
      <c r="P153" s="454" t="s">
        <v>562</v>
      </c>
      <c r="Q153" s="504" t="s">
        <v>563</v>
      </c>
      <c r="R153" s="370" t="s">
        <v>50</v>
      </c>
      <c r="S153" s="370" t="s">
        <v>146</v>
      </c>
      <c r="T153" s="371"/>
      <c r="U153" s="384"/>
      <c r="V153" s="515">
        <v>300</v>
      </c>
      <c r="W153" s="374" t="s">
        <v>78</v>
      </c>
      <c r="X153" s="512">
        <v>45310</v>
      </c>
      <c r="Y153" s="384" t="s">
        <v>50</v>
      </c>
      <c r="Z153" s="513">
        <v>300</v>
      </c>
      <c r="AA153" s="359"/>
      <c r="AB153" s="230"/>
      <c r="AC153" s="501"/>
      <c r="AD153" s="402"/>
      <c r="AE153" s="403"/>
      <c r="AF153" s="401"/>
      <c r="AG153" s="402"/>
      <c r="AH153" s="403"/>
      <c r="AI153" s="401"/>
      <c r="AJ153" s="402"/>
      <c r="AK153" s="403"/>
      <c r="AL153" s="401"/>
      <c r="AM153" s="402"/>
      <c r="AN153" s="403"/>
      <c r="AO153" s="401"/>
      <c r="AP153" s="402"/>
      <c r="AQ153" s="403"/>
      <c r="AR153" s="401"/>
      <c r="AS153" s="202"/>
    </row>
    <row r="154" spans="1:45" ht="13.5" hidden="1" customHeight="1">
      <c r="A154" s="12"/>
      <c r="B154" s="358"/>
      <c r="C154" s="359"/>
      <c r="D154" s="359"/>
      <c r="E154" s="360"/>
      <c r="F154" s="230"/>
      <c r="G154" s="378"/>
      <c r="H154" s="362"/>
      <c r="I154" s="230"/>
      <c r="J154" s="230"/>
      <c r="K154" s="368"/>
      <c r="L154" s="364"/>
      <c r="M154" s="439"/>
      <c r="N154" s="425"/>
      <c r="O154" s="440"/>
      <c r="P154" s="429"/>
      <c r="Q154" s="430"/>
      <c r="R154" s="370"/>
      <c r="S154" s="370"/>
      <c r="T154" s="371"/>
      <c r="U154" s="384"/>
      <c r="V154" s="515"/>
      <c r="W154" s="400"/>
      <c r="X154" s="512"/>
      <c r="Y154" s="384"/>
      <c r="Z154" s="513"/>
      <c r="AA154" s="359"/>
      <c r="AB154" s="230"/>
      <c r="AC154" s="501"/>
      <c r="AD154" s="402"/>
      <c r="AE154" s="403"/>
      <c r="AF154" s="401"/>
      <c r="AG154" s="402"/>
      <c r="AH154" s="403"/>
      <c r="AI154" s="401"/>
      <c r="AJ154" s="402"/>
      <c r="AK154" s="403"/>
      <c r="AL154" s="401"/>
      <c r="AM154" s="402"/>
      <c r="AN154" s="403"/>
      <c r="AO154" s="401"/>
      <c r="AP154" s="402"/>
      <c r="AQ154" s="403"/>
      <c r="AR154" s="401"/>
      <c r="AS154" s="202"/>
    </row>
    <row r="155" spans="1:45" ht="13.5" hidden="1" customHeight="1">
      <c r="A155" s="12"/>
      <c r="B155" s="358" t="s">
        <v>470</v>
      </c>
      <c r="C155" s="359">
        <v>15</v>
      </c>
      <c r="D155" s="359">
        <v>75</v>
      </c>
      <c r="E155" s="360" t="s">
        <v>565</v>
      </c>
      <c r="F155" s="230" t="s">
        <v>564</v>
      </c>
      <c r="G155" s="361" t="s">
        <v>43</v>
      </c>
      <c r="H155" s="362">
        <v>33510356</v>
      </c>
      <c r="I155" s="510">
        <v>39923</v>
      </c>
      <c r="J155" s="230">
        <v>14</v>
      </c>
      <c r="K155" s="363" t="s">
        <v>566</v>
      </c>
      <c r="L155" s="364" t="s">
        <v>567</v>
      </c>
      <c r="M155" s="405" t="s">
        <v>568</v>
      </c>
      <c r="N155" s="366" t="s">
        <v>569</v>
      </c>
      <c r="O155" s="367" t="s">
        <v>570</v>
      </c>
      <c r="P155" s="368" t="s">
        <v>571</v>
      </c>
      <c r="Q155" s="406" t="s">
        <v>572</v>
      </c>
      <c r="R155" s="370" t="s">
        <v>50</v>
      </c>
      <c r="S155" s="370" t="s">
        <v>146</v>
      </c>
      <c r="T155" s="371"/>
      <c r="U155" s="384"/>
      <c r="V155" s="373">
        <v>390</v>
      </c>
      <c r="W155" s="374" t="s">
        <v>78</v>
      </c>
      <c r="X155" s="512">
        <v>45313</v>
      </c>
      <c r="Y155" s="384" t="s">
        <v>50</v>
      </c>
      <c r="Z155" s="513">
        <v>130</v>
      </c>
      <c r="AA155" s="402"/>
      <c r="AB155" s="403"/>
      <c r="AC155" s="401"/>
      <c r="AD155" s="359"/>
      <c r="AE155" s="230"/>
      <c r="AF155" s="381"/>
      <c r="AG155" s="402"/>
      <c r="AH155" s="403"/>
      <c r="AI155" s="401"/>
      <c r="AJ155" s="402"/>
      <c r="AK155" s="403"/>
      <c r="AL155" s="401"/>
      <c r="AM155" s="402"/>
      <c r="AN155" s="403"/>
      <c r="AO155" s="401"/>
      <c r="AP155" s="402"/>
      <c r="AQ155" s="403"/>
      <c r="AR155" s="401"/>
      <c r="AS155" s="202"/>
    </row>
    <row r="156" spans="1:45" ht="13.5" hidden="1" customHeight="1">
      <c r="A156" s="12"/>
      <c r="B156" s="358"/>
      <c r="C156" s="359"/>
      <c r="D156" s="359"/>
      <c r="E156" s="360"/>
      <c r="F156" s="230"/>
      <c r="G156" s="378"/>
      <c r="H156" s="230"/>
      <c r="I156" s="510"/>
      <c r="J156" s="230"/>
      <c r="K156" s="368"/>
      <c r="L156" s="364"/>
      <c r="M156" s="405"/>
      <c r="N156" s="366"/>
      <c r="O156" s="367"/>
      <c r="P156" s="368"/>
      <c r="Q156" s="408"/>
      <c r="R156" s="370"/>
      <c r="S156" s="370"/>
      <c r="T156" s="371"/>
      <c r="U156" s="384"/>
      <c r="V156" s="373"/>
      <c r="W156" s="400"/>
      <c r="X156" s="512"/>
      <c r="Y156" s="384"/>
      <c r="Z156" s="513"/>
      <c r="AA156" s="402"/>
      <c r="AB156" s="403"/>
      <c r="AC156" s="401"/>
      <c r="AD156" s="359"/>
      <c r="AE156" s="230"/>
      <c r="AF156" s="381"/>
      <c r="AG156" s="402"/>
      <c r="AH156" s="403"/>
      <c r="AI156" s="401"/>
      <c r="AJ156" s="402"/>
      <c r="AK156" s="403"/>
      <c r="AL156" s="401"/>
      <c r="AM156" s="402"/>
      <c r="AN156" s="403"/>
      <c r="AO156" s="401"/>
      <c r="AP156" s="402"/>
      <c r="AQ156" s="403"/>
      <c r="AR156" s="401"/>
      <c r="AS156" s="202"/>
    </row>
    <row r="157" spans="1:45" ht="13.5" hidden="1" customHeight="1">
      <c r="A157" s="12"/>
      <c r="B157" s="358" t="s">
        <v>470</v>
      </c>
      <c r="C157" s="359">
        <v>16</v>
      </c>
      <c r="D157" s="359">
        <v>76</v>
      </c>
      <c r="E157" s="360" t="s">
        <v>574</v>
      </c>
      <c r="F157" s="230" t="s">
        <v>573</v>
      </c>
      <c r="G157" s="361" t="s">
        <v>43</v>
      </c>
      <c r="H157" s="362">
        <v>36235519</v>
      </c>
      <c r="I157" s="230">
        <v>41411</v>
      </c>
      <c r="J157" s="230">
        <v>10</v>
      </c>
      <c r="K157" s="368"/>
      <c r="L157" s="364"/>
      <c r="M157" s="365" t="s">
        <v>575</v>
      </c>
      <c r="N157" s="366" t="s">
        <v>576</v>
      </c>
      <c r="O157" s="367">
        <v>14674498</v>
      </c>
      <c r="P157" s="368" t="s">
        <v>577</v>
      </c>
      <c r="Q157" s="369" t="s">
        <v>578</v>
      </c>
      <c r="R157" s="370" t="s">
        <v>579</v>
      </c>
      <c r="S157" s="370" t="s">
        <v>580</v>
      </c>
      <c r="T157" s="371"/>
      <c r="U157" s="384"/>
      <c r="V157" s="373">
        <v>300</v>
      </c>
      <c r="W157" s="398" t="s">
        <v>78</v>
      </c>
      <c r="X157" s="512">
        <v>45313</v>
      </c>
      <c r="Y157" s="384" t="s">
        <v>369</v>
      </c>
      <c r="Z157" s="513">
        <v>300</v>
      </c>
      <c r="AA157" s="359"/>
      <c r="AB157" s="230"/>
      <c r="AC157" s="381"/>
      <c r="AD157" s="402"/>
      <c r="AE157" s="403"/>
      <c r="AF157" s="401"/>
      <c r="AG157" s="402"/>
      <c r="AH157" s="403"/>
      <c r="AI157" s="401"/>
      <c r="AJ157" s="402"/>
      <c r="AK157" s="403"/>
      <c r="AL157" s="401"/>
      <c r="AM157" s="402"/>
      <c r="AN157" s="403"/>
      <c r="AO157" s="401"/>
      <c r="AP157" s="402"/>
      <c r="AQ157" s="403"/>
      <c r="AR157" s="401"/>
      <c r="AS157" s="202"/>
    </row>
    <row r="158" spans="1:45" ht="13.5" hidden="1" customHeight="1">
      <c r="A158" s="12"/>
      <c r="B158" s="358"/>
      <c r="C158" s="359"/>
      <c r="D158" s="359"/>
      <c r="E158" s="360"/>
      <c r="F158" s="230"/>
      <c r="G158" s="378"/>
      <c r="H158" s="362"/>
      <c r="I158" s="230"/>
      <c r="J158" s="230"/>
      <c r="K158" s="368"/>
      <c r="L158" s="364"/>
      <c r="M158" s="365"/>
      <c r="N158" s="366"/>
      <c r="O158" s="367"/>
      <c r="P158" s="368"/>
      <c r="Q158" s="382"/>
      <c r="R158" s="370"/>
      <c r="S158" s="370"/>
      <c r="T158" s="371"/>
      <c r="U158" s="384"/>
      <c r="V158" s="373"/>
      <c r="W158" s="400"/>
      <c r="X158" s="512"/>
      <c r="Y158" s="384"/>
      <c r="Z158" s="513"/>
      <c r="AA158" s="359"/>
      <c r="AB158" s="230"/>
      <c r="AC158" s="381"/>
      <c r="AD158" s="402"/>
      <c r="AE158" s="403"/>
      <c r="AF158" s="401"/>
      <c r="AG158" s="402"/>
      <c r="AH158" s="403"/>
      <c r="AI158" s="401"/>
      <c r="AJ158" s="402"/>
      <c r="AK158" s="403"/>
      <c r="AL158" s="401"/>
      <c r="AM158" s="402"/>
      <c r="AN158" s="403"/>
      <c r="AO158" s="401"/>
      <c r="AP158" s="402"/>
      <c r="AQ158" s="403"/>
      <c r="AR158" s="401"/>
      <c r="AS158" s="202"/>
    </row>
    <row r="159" spans="1:45" ht="13.5" hidden="1" customHeight="1">
      <c r="A159" s="12"/>
      <c r="B159" s="358" t="s">
        <v>470</v>
      </c>
      <c r="C159" s="359">
        <v>17</v>
      </c>
      <c r="D159" s="359">
        <v>77</v>
      </c>
      <c r="E159" s="360" t="s">
        <v>582</v>
      </c>
      <c r="F159" s="230" t="s">
        <v>581</v>
      </c>
      <c r="G159" s="361" t="s">
        <v>43</v>
      </c>
      <c r="H159" s="362">
        <v>35121040</v>
      </c>
      <c r="I159" s="230">
        <v>41510</v>
      </c>
      <c r="J159" s="230">
        <v>10</v>
      </c>
      <c r="K159" s="368"/>
      <c r="L159" s="364"/>
      <c r="M159" s="365" t="s">
        <v>583</v>
      </c>
      <c r="N159" s="366" t="s">
        <v>584</v>
      </c>
      <c r="O159" s="367">
        <v>14574474</v>
      </c>
      <c r="P159" s="368" t="s">
        <v>585</v>
      </c>
      <c r="Q159" s="369" t="s">
        <v>586</v>
      </c>
      <c r="R159" s="370" t="s">
        <v>579</v>
      </c>
      <c r="S159" s="370" t="s">
        <v>146</v>
      </c>
      <c r="T159" s="371"/>
      <c r="U159" s="384"/>
      <c r="V159" s="515">
        <v>300</v>
      </c>
      <c r="W159" s="398" t="s">
        <v>78</v>
      </c>
      <c r="X159" s="512">
        <v>45313</v>
      </c>
      <c r="Y159" s="384" t="s">
        <v>369</v>
      </c>
      <c r="Z159" s="513">
        <v>300</v>
      </c>
      <c r="AA159" s="402"/>
      <c r="AB159" s="403"/>
      <c r="AC159" s="401"/>
      <c r="AD159" s="402"/>
      <c r="AE159" s="403"/>
      <c r="AF159" s="401"/>
      <c r="AG159" s="402"/>
      <c r="AH159" s="403"/>
      <c r="AI159" s="401"/>
      <c r="AJ159" s="402"/>
      <c r="AK159" s="403"/>
      <c r="AL159" s="401"/>
      <c r="AM159" s="402"/>
      <c r="AN159" s="403"/>
      <c r="AO159" s="401"/>
      <c r="AP159" s="402"/>
      <c r="AQ159" s="403"/>
      <c r="AR159" s="401"/>
      <c r="AS159" s="202"/>
    </row>
    <row r="160" spans="1:45" ht="13.5" hidden="1" customHeight="1">
      <c r="A160" s="12"/>
      <c r="B160" s="358"/>
      <c r="C160" s="359"/>
      <c r="D160" s="359"/>
      <c r="E160" s="360"/>
      <c r="F160" s="230"/>
      <c r="G160" s="378"/>
      <c r="H160" s="230"/>
      <c r="I160" s="230"/>
      <c r="J160" s="230"/>
      <c r="K160" s="368"/>
      <c r="L160" s="364"/>
      <c r="M160" s="365"/>
      <c r="N160" s="366"/>
      <c r="O160" s="367"/>
      <c r="P160" s="368"/>
      <c r="Q160" s="382"/>
      <c r="R160" s="370"/>
      <c r="S160" s="370"/>
      <c r="T160" s="371"/>
      <c r="U160" s="384"/>
      <c r="V160" s="515"/>
      <c r="W160" s="400"/>
      <c r="X160" s="512"/>
      <c r="Y160" s="384"/>
      <c r="Z160" s="513"/>
      <c r="AA160" s="402"/>
      <c r="AB160" s="403"/>
      <c r="AC160" s="401"/>
      <c r="AD160" s="402"/>
      <c r="AE160" s="403"/>
      <c r="AF160" s="401"/>
      <c r="AG160" s="402"/>
      <c r="AH160" s="403"/>
      <c r="AI160" s="401"/>
      <c r="AJ160" s="402"/>
      <c r="AK160" s="403"/>
      <c r="AL160" s="401"/>
      <c r="AM160" s="402"/>
      <c r="AN160" s="403"/>
      <c r="AO160" s="401"/>
      <c r="AP160" s="402"/>
      <c r="AQ160" s="403"/>
      <c r="AR160" s="401"/>
      <c r="AS160" s="202"/>
    </row>
    <row r="161" spans="1:45" ht="13.5" hidden="1" customHeight="1">
      <c r="A161" s="12" t="s">
        <v>587</v>
      </c>
      <c r="B161" s="358" t="s">
        <v>470</v>
      </c>
      <c r="C161" s="359">
        <v>18</v>
      </c>
      <c r="D161" s="359">
        <v>78</v>
      </c>
      <c r="E161" s="360" t="s">
        <v>589</v>
      </c>
      <c r="F161" s="230" t="s">
        <v>588</v>
      </c>
      <c r="G161" s="361" t="s">
        <v>43</v>
      </c>
      <c r="H161" s="362"/>
      <c r="I161" s="230"/>
      <c r="J161" s="230"/>
      <c r="K161" s="368"/>
      <c r="L161" s="364"/>
      <c r="M161" s="365"/>
      <c r="N161" s="366"/>
      <c r="O161" s="367"/>
      <c r="P161" s="368"/>
      <c r="Q161" s="455"/>
      <c r="R161" s="370" t="s">
        <v>281</v>
      </c>
      <c r="S161" s="370" t="s">
        <v>146</v>
      </c>
      <c r="T161" s="371"/>
      <c r="U161" s="384"/>
      <c r="V161" s="373">
        <v>300</v>
      </c>
      <c r="W161" s="398" t="s">
        <v>78</v>
      </c>
      <c r="X161" s="512">
        <v>45302</v>
      </c>
      <c r="Y161" s="384" t="s">
        <v>590</v>
      </c>
      <c r="Z161" s="513"/>
      <c r="AA161" s="402"/>
      <c r="AB161" s="403"/>
      <c r="AC161" s="401"/>
      <c r="AD161" s="359"/>
      <c r="AE161" s="230"/>
      <c r="AF161" s="381"/>
      <c r="AG161" s="402"/>
      <c r="AH161" s="403"/>
      <c r="AI161" s="401"/>
      <c r="AJ161" s="402"/>
      <c r="AK161" s="403"/>
      <c r="AL161" s="401"/>
      <c r="AM161" s="402"/>
      <c r="AN161" s="403"/>
      <c r="AO161" s="401"/>
      <c r="AP161" s="402"/>
      <c r="AQ161" s="403"/>
      <c r="AR161" s="401"/>
      <c r="AS161" s="202"/>
    </row>
    <row r="162" spans="1:45" ht="13.5" hidden="1" customHeight="1">
      <c r="A162" s="12"/>
      <c r="B162" s="358"/>
      <c r="C162" s="359"/>
      <c r="D162" s="359"/>
      <c r="E162" s="516"/>
      <c r="F162" s="230"/>
      <c r="G162" s="378"/>
      <c r="H162" s="362"/>
      <c r="I162" s="230"/>
      <c r="J162" s="230"/>
      <c r="K162" s="368"/>
      <c r="L162" s="364"/>
      <c r="M162" s="365"/>
      <c r="N162" s="366"/>
      <c r="O162" s="367"/>
      <c r="P162" s="368"/>
      <c r="Q162" s="455"/>
      <c r="R162" s="370"/>
      <c r="S162" s="370"/>
      <c r="T162" s="371"/>
      <c r="U162" s="384"/>
      <c r="V162" s="373"/>
      <c r="W162" s="400"/>
      <c r="X162" s="512"/>
      <c r="Y162" s="384"/>
      <c r="Z162" s="513"/>
      <c r="AA162" s="402"/>
      <c r="AB162" s="403"/>
      <c r="AC162" s="401"/>
      <c r="AD162" s="359"/>
      <c r="AE162" s="230"/>
      <c r="AF162" s="381"/>
      <c r="AG162" s="402"/>
      <c r="AH162" s="403"/>
      <c r="AI162" s="401"/>
      <c r="AJ162" s="402"/>
      <c r="AK162" s="403"/>
      <c r="AL162" s="401"/>
      <c r="AM162" s="402"/>
      <c r="AN162" s="403"/>
      <c r="AO162" s="401"/>
      <c r="AP162" s="402"/>
      <c r="AQ162" s="403"/>
      <c r="AR162" s="401"/>
      <c r="AS162" s="202"/>
    </row>
    <row r="163" spans="1:45" ht="13.5" hidden="1" customHeight="1">
      <c r="A163" s="12"/>
      <c r="B163" s="358" t="s">
        <v>470</v>
      </c>
      <c r="C163" s="359">
        <v>19</v>
      </c>
      <c r="D163" s="359">
        <v>79</v>
      </c>
      <c r="E163" s="360" t="s">
        <v>592</v>
      </c>
      <c r="F163" s="230" t="s">
        <v>591</v>
      </c>
      <c r="G163" s="361" t="s">
        <v>43</v>
      </c>
      <c r="H163" s="362">
        <v>36057718</v>
      </c>
      <c r="I163" s="230">
        <v>41768</v>
      </c>
      <c r="J163" s="230">
        <v>9</v>
      </c>
      <c r="K163" s="230"/>
      <c r="L163" s="364" t="s">
        <v>593</v>
      </c>
      <c r="M163" s="365" t="s">
        <v>594</v>
      </c>
      <c r="N163" s="366" t="s">
        <v>595</v>
      </c>
      <c r="O163" s="443">
        <v>13980047</v>
      </c>
      <c r="P163" s="368" t="s">
        <v>596</v>
      </c>
      <c r="Q163" s="406" t="s">
        <v>597</v>
      </c>
      <c r="R163" s="370" t="s">
        <v>579</v>
      </c>
      <c r="S163" s="370" t="s">
        <v>130</v>
      </c>
      <c r="T163" s="371"/>
      <c r="U163" s="384"/>
      <c r="V163" s="373">
        <v>300</v>
      </c>
      <c r="W163" s="398" t="s">
        <v>78</v>
      </c>
      <c r="X163" s="512">
        <v>45315</v>
      </c>
      <c r="Y163" s="384" t="s">
        <v>369</v>
      </c>
      <c r="Z163" s="513">
        <v>300</v>
      </c>
      <c r="AA163" s="402"/>
      <c r="AB163" s="403"/>
      <c r="AC163" s="401"/>
      <c r="AD163" s="359"/>
      <c r="AE163" s="230"/>
      <c r="AF163" s="381"/>
      <c r="AG163" s="402"/>
      <c r="AH163" s="403"/>
      <c r="AI163" s="401"/>
      <c r="AJ163" s="402"/>
      <c r="AK163" s="403"/>
      <c r="AL163" s="401"/>
      <c r="AM163" s="402"/>
      <c r="AN163" s="403"/>
      <c r="AO163" s="401"/>
      <c r="AP163" s="402"/>
      <c r="AQ163" s="403"/>
      <c r="AR163" s="401"/>
      <c r="AS163" s="202"/>
    </row>
    <row r="164" spans="1:45" ht="13.5" hidden="1" customHeight="1">
      <c r="A164" s="12"/>
      <c r="B164" s="358"/>
      <c r="C164" s="359"/>
      <c r="D164" s="359"/>
      <c r="E164" s="360"/>
      <c r="F164" s="230"/>
      <c r="G164" s="378"/>
      <c r="H164" s="362"/>
      <c r="I164" s="230"/>
      <c r="J164" s="230"/>
      <c r="K164" s="230"/>
      <c r="L164" s="364"/>
      <c r="M164" s="365"/>
      <c r="N164" s="366"/>
      <c r="O164" s="368"/>
      <c r="P164" s="368"/>
      <c r="Q164" s="408"/>
      <c r="R164" s="370"/>
      <c r="S164" s="370"/>
      <c r="T164" s="371"/>
      <c r="U164" s="384"/>
      <c r="V164" s="373"/>
      <c r="W164" s="400"/>
      <c r="X164" s="512"/>
      <c r="Y164" s="384"/>
      <c r="Z164" s="513"/>
      <c r="AA164" s="402"/>
      <c r="AB164" s="403"/>
      <c r="AC164" s="401"/>
      <c r="AD164" s="359"/>
      <c r="AE164" s="230"/>
      <c r="AF164" s="381"/>
      <c r="AG164" s="402"/>
      <c r="AH164" s="403"/>
      <c r="AI164" s="401"/>
      <c r="AJ164" s="402"/>
      <c r="AK164" s="403"/>
      <c r="AL164" s="401"/>
      <c r="AM164" s="402"/>
      <c r="AN164" s="403"/>
      <c r="AO164" s="401"/>
      <c r="AP164" s="402"/>
      <c r="AQ164" s="403"/>
      <c r="AR164" s="401"/>
      <c r="AS164" s="202"/>
    </row>
    <row r="165" spans="1:45" ht="13.5" hidden="1" customHeight="1">
      <c r="A165" s="12"/>
      <c r="B165" s="358" t="s">
        <v>470</v>
      </c>
      <c r="C165" s="359">
        <v>20</v>
      </c>
      <c r="D165" s="359">
        <v>80</v>
      </c>
      <c r="E165" s="360" t="s">
        <v>599</v>
      </c>
      <c r="F165" s="230" t="s">
        <v>598</v>
      </c>
      <c r="G165" s="361" t="s">
        <v>43</v>
      </c>
      <c r="H165" s="362">
        <v>33884397</v>
      </c>
      <c r="I165" s="230"/>
      <c r="J165" s="230"/>
      <c r="K165" s="363" t="s">
        <v>600</v>
      </c>
      <c r="L165" s="364" t="s">
        <v>601</v>
      </c>
      <c r="M165" s="365" t="s">
        <v>602</v>
      </c>
      <c r="N165" s="366" t="s">
        <v>603</v>
      </c>
      <c r="O165" s="367">
        <v>12729203</v>
      </c>
      <c r="P165" s="368" t="s">
        <v>604</v>
      </c>
      <c r="Q165" s="369" t="s">
        <v>605</v>
      </c>
      <c r="R165" s="370" t="s">
        <v>281</v>
      </c>
      <c r="S165" s="370" t="s">
        <v>146</v>
      </c>
      <c r="T165" s="371"/>
      <c r="U165" s="384"/>
      <c r="V165" s="373">
        <v>280</v>
      </c>
      <c r="W165" s="398" t="s">
        <v>78</v>
      </c>
      <c r="X165" s="404">
        <v>45315</v>
      </c>
      <c r="Y165" s="384" t="s">
        <v>281</v>
      </c>
      <c r="Z165" s="513">
        <v>280</v>
      </c>
      <c r="AA165" s="359"/>
      <c r="AB165" s="230"/>
      <c r="AC165" s="381"/>
      <c r="AD165" s="359"/>
      <c r="AE165" s="230"/>
      <c r="AF165" s="381"/>
      <c r="AG165" s="402"/>
      <c r="AH165" s="403"/>
      <c r="AI165" s="401"/>
      <c r="AJ165" s="402"/>
      <c r="AK165" s="403"/>
      <c r="AL165" s="401"/>
      <c r="AM165" s="402"/>
      <c r="AN165" s="403"/>
      <c r="AO165" s="401"/>
      <c r="AP165" s="402"/>
      <c r="AQ165" s="403"/>
      <c r="AR165" s="401"/>
      <c r="AS165" s="202"/>
    </row>
    <row r="166" spans="1:45" ht="13.5" hidden="1" customHeight="1">
      <c r="A166" s="12"/>
      <c r="B166" s="358"/>
      <c r="C166" s="359"/>
      <c r="D166" s="359"/>
      <c r="E166" s="360"/>
      <c r="F166" s="230"/>
      <c r="G166" s="378"/>
      <c r="H166" s="362"/>
      <c r="I166" s="230"/>
      <c r="J166" s="230"/>
      <c r="K166" s="368"/>
      <c r="L166" s="364"/>
      <c r="M166" s="365"/>
      <c r="N166" s="366"/>
      <c r="O166" s="367"/>
      <c r="P166" s="368"/>
      <c r="Q166" s="382"/>
      <c r="R166" s="370"/>
      <c r="S166" s="370"/>
      <c r="T166" s="371"/>
      <c r="U166" s="384"/>
      <c r="V166" s="373"/>
      <c r="W166" s="400"/>
      <c r="X166" s="404"/>
      <c r="Y166" s="384"/>
      <c r="Z166" s="513"/>
      <c r="AA166" s="359"/>
      <c r="AB166" s="230"/>
      <c r="AC166" s="381"/>
      <c r="AD166" s="359"/>
      <c r="AE166" s="230"/>
      <c r="AF166" s="381"/>
      <c r="AG166" s="402"/>
      <c r="AH166" s="403"/>
      <c r="AI166" s="401"/>
      <c r="AJ166" s="402"/>
      <c r="AK166" s="403"/>
      <c r="AL166" s="401"/>
      <c r="AM166" s="402"/>
      <c r="AN166" s="403"/>
      <c r="AO166" s="401"/>
      <c r="AP166" s="402"/>
      <c r="AQ166" s="403"/>
      <c r="AR166" s="401"/>
      <c r="AS166" s="202"/>
    </row>
    <row r="167" spans="1:45" ht="13.5" hidden="1" customHeight="1">
      <c r="A167" s="12"/>
      <c r="B167" s="358" t="s">
        <v>606</v>
      </c>
      <c r="C167" s="359">
        <v>1</v>
      </c>
      <c r="D167" s="359">
        <v>81</v>
      </c>
      <c r="E167" s="360" t="s">
        <v>608</v>
      </c>
      <c r="F167" s="230" t="s">
        <v>607</v>
      </c>
      <c r="G167" s="361" t="s">
        <v>43</v>
      </c>
      <c r="H167" s="230"/>
      <c r="I167" s="230"/>
      <c r="J167" s="230">
        <v>15</v>
      </c>
      <c r="K167" s="368"/>
      <c r="L167" s="364" t="s">
        <v>609</v>
      </c>
      <c r="M167" s="365" t="s">
        <v>610</v>
      </c>
      <c r="N167" s="366" t="s">
        <v>611</v>
      </c>
      <c r="O167" s="367">
        <v>15519023</v>
      </c>
      <c r="P167" s="368"/>
      <c r="Q167" s="442" t="s">
        <v>612</v>
      </c>
      <c r="R167" s="370" t="s">
        <v>281</v>
      </c>
      <c r="S167" s="370"/>
      <c r="T167" s="371"/>
      <c r="U167" s="384"/>
      <c r="V167" s="373">
        <v>280</v>
      </c>
      <c r="W167" s="398" t="s">
        <v>78</v>
      </c>
      <c r="X167" s="512">
        <v>45320</v>
      </c>
      <c r="Y167" s="384" t="s">
        <v>281</v>
      </c>
      <c r="Z167" s="513">
        <v>280</v>
      </c>
      <c r="AA167" s="359"/>
      <c r="AB167" s="230"/>
      <c r="AC167" s="381"/>
      <c r="AD167" s="402"/>
      <c r="AE167" s="230"/>
      <c r="AF167" s="381"/>
      <c r="AG167" s="402"/>
      <c r="AH167" s="403"/>
      <c r="AI167" s="401"/>
      <c r="AJ167" s="402"/>
      <c r="AK167" s="403"/>
      <c r="AL167" s="401"/>
      <c r="AM167" s="402"/>
      <c r="AN167" s="403"/>
      <c r="AO167" s="401"/>
      <c r="AP167" s="402"/>
      <c r="AQ167" s="403"/>
      <c r="AR167" s="401"/>
      <c r="AS167" s="202"/>
    </row>
    <row r="168" spans="1:45" ht="13.5" hidden="1" customHeight="1">
      <c r="A168" s="12"/>
      <c r="B168" s="358"/>
      <c r="C168" s="359"/>
      <c r="D168" s="359"/>
      <c r="E168" s="360"/>
      <c r="F168" s="230"/>
      <c r="G168" s="378"/>
      <c r="H168" s="230"/>
      <c r="I168" s="230"/>
      <c r="J168" s="230"/>
      <c r="K168" s="368"/>
      <c r="L168" s="364"/>
      <c r="M168" s="365"/>
      <c r="N168" s="366"/>
      <c r="O168" s="367"/>
      <c r="P168" s="368"/>
      <c r="Q168" s="430"/>
      <c r="R168" s="370"/>
      <c r="S168" s="370"/>
      <c r="T168" s="371"/>
      <c r="U168" s="384"/>
      <c r="V168" s="373"/>
      <c r="W168" s="400"/>
      <c r="X168" s="512"/>
      <c r="Y168" s="384"/>
      <c r="Z168" s="513"/>
      <c r="AA168" s="359"/>
      <c r="AB168" s="230"/>
      <c r="AC168" s="381"/>
      <c r="AD168" s="402"/>
      <c r="AE168" s="230"/>
      <c r="AF168" s="381"/>
      <c r="AG168" s="402"/>
      <c r="AH168" s="403"/>
      <c r="AI168" s="401"/>
      <c r="AJ168" s="402"/>
      <c r="AK168" s="403"/>
      <c r="AL168" s="401"/>
      <c r="AM168" s="402"/>
      <c r="AN168" s="403"/>
      <c r="AO168" s="401"/>
      <c r="AP168" s="402"/>
      <c r="AQ168" s="403"/>
      <c r="AR168" s="401"/>
      <c r="AS168" s="202"/>
    </row>
    <row r="169" spans="1:45" ht="13.5" hidden="1" customHeight="1">
      <c r="A169" s="12"/>
      <c r="B169" s="358" t="s">
        <v>606</v>
      </c>
      <c r="C169" s="359">
        <v>2</v>
      </c>
      <c r="D169" s="359">
        <v>82</v>
      </c>
      <c r="E169" s="360" t="s">
        <v>614</v>
      </c>
      <c r="F169" s="230" t="s">
        <v>613</v>
      </c>
      <c r="G169" s="361" t="s">
        <v>43</v>
      </c>
      <c r="H169" s="362"/>
      <c r="I169" s="230">
        <v>41810</v>
      </c>
      <c r="J169" s="230">
        <v>9</v>
      </c>
      <c r="K169" s="363" t="s">
        <v>615</v>
      </c>
      <c r="L169" s="364" t="s">
        <v>616</v>
      </c>
      <c r="M169" s="365" t="s">
        <v>617</v>
      </c>
      <c r="N169" s="366" t="s">
        <v>618</v>
      </c>
      <c r="O169" s="367">
        <v>17056273</v>
      </c>
      <c r="P169" s="368">
        <v>4123786366</v>
      </c>
      <c r="Q169" s="369" t="s">
        <v>615</v>
      </c>
      <c r="R169" s="370" t="s">
        <v>552</v>
      </c>
      <c r="S169" s="370" t="s">
        <v>619</v>
      </c>
      <c r="T169" s="371"/>
      <c r="U169" s="384"/>
      <c r="V169" s="373">
        <v>300</v>
      </c>
      <c r="W169" s="398" t="s">
        <v>620</v>
      </c>
      <c r="X169" s="404">
        <v>45320</v>
      </c>
      <c r="Y169" s="384" t="s">
        <v>552</v>
      </c>
      <c r="Z169" s="513">
        <v>100</v>
      </c>
      <c r="AA169" s="359"/>
      <c r="AB169" s="230"/>
      <c r="AC169" s="381"/>
      <c r="AD169" s="359"/>
      <c r="AE169" s="230"/>
      <c r="AF169" s="381"/>
      <c r="AG169" s="359"/>
      <c r="AH169" s="230"/>
      <c r="AI169" s="381"/>
      <c r="AJ169" s="402"/>
      <c r="AK169" s="403"/>
      <c r="AL169" s="401"/>
      <c r="AM169" s="402"/>
      <c r="AN169" s="403"/>
      <c r="AO169" s="401"/>
      <c r="AP169" s="402"/>
      <c r="AQ169" s="403"/>
      <c r="AR169" s="401"/>
      <c r="AS169" s="202"/>
    </row>
    <row r="170" spans="1:45" ht="13.5" hidden="1" customHeight="1">
      <c r="A170" s="12"/>
      <c r="B170" s="358"/>
      <c r="C170" s="359"/>
      <c r="D170" s="359"/>
      <c r="E170" s="360"/>
      <c r="F170" s="230"/>
      <c r="G170" s="378"/>
      <c r="H170" s="362"/>
      <c r="I170" s="230"/>
      <c r="J170" s="230"/>
      <c r="K170" s="368"/>
      <c r="L170" s="364"/>
      <c r="M170" s="365"/>
      <c r="N170" s="366"/>
      <c r="O170" s="367"/>
      <c r="P170" s="368"/>
      <c r="Q170" s="391"/>
      <c r="R170" s="370"/>
      <c r="S170" s="370"/>
      <c r="T170" s="371"/>
      <c r="U170" s="384"/>
      <c r="V170" s="373"/>
      <c r="W170" s="400"/>
      <c r="X170" s="404"/>
      <c r="Y170" s="384"/>
      <c r="Z170" s="513"/>
      <c r="AA170" s="359"/>
      <c r="AB170" s="230"/>
      <c r="AC170" s="381"/>
      <c r="AD170" s="359"/>
      <c r="AE170" s="230"/>
      <c r="AF170" s="381"/>
      <c r="AG170" s="359"/>
      <c r="AH170" s="230"/>
      <c r="AI170" s="381"/>
      <c r="AJ170" s="402"/>
      <c r="AK170" s="403"/>
      <c r="AL170" s="401"/>
      <c r="AM170" s="402"/>
      <c r="AN170" s="403"/>
      <c r="AO170" s="401"/>
      <c r="AP170" s="402"/>
      <c r="AQ170" s="403"/>
      <c r="AR170" s="401"/>
      <c r="AS170" s="202"/>
    </row>
    <row r="171" spans="1:45" ht="13.5" hidden="1" customHeight="1">
      <c r="A171" s="12"/>
      <c r="B171" s="358" t="s">
        <v>606</v>
      </c>
      <c r="C171" s="359">
        <v>3</v>
      </c>
      <c r="D171" s="359">
        <v>83</v>
      </c>
      <c r="E171" s="360" t="s">
        <v>622</v>
      </c>
      <c r="F171" s="230" t="s">
        <v>621</v>
      </c>
      <c r="G171" s="361" t="s">
        <v>43</v>
      </c>
      <c r="H171" s="362">
        <v>25702379</v>
      </c>
      <c r="I171" s="230">
        <v>35006</v>
      </c>
      <c r="J171" s="230">
        <v>28</v>
      </c>
      <c r="K171" s="517" t="s">
        <v>623</v>
      </c>
      <c r="L171" s="364" t="s">
        <v>624</v>
      </c>
      <c r="M171" s="365" t="s">
        <v>625</v>
      </c>
      <c r="N171" s="366"/>
      <c r="O171" s="367"/>
      <c r="P171" s="368"/>
      <c r="Q171" s="369"/>
      <c r="R171" s="370" t="s">
        <v>281</v>
      </c>
      <c r="S171" s="370" t="s">
        <v>626</v>
      </c>
      <c r="T171" s="371"/>
      <c r="U171" s="384"/>
      <c r="V171" s="373">
        <v>280</v>
      </c>
      <c r="W171" s="398" t="s">
        <v>78</v>
      </c>
      <c r="X171" s="512">
        <v>45320</v>
      </c>
      <c r="Y171" s="372" t="s">
        <v>627</v>
      </c>
      <c r="Z171" s="513">
        <v>280</v>
      </c>
      <c r="AA171" s="359"/>
      <c r="AB171" s="230"/>
      <c r="AC171" s="401"/>
      <c r="AD171" s="359"/>
      <c r="AE171" s="230"/>
      <c r="AF171" s="381"/>
      <c r="AG171" s="402"/>
      <c r="AH171" s="403"/>
      <c r="AI171" s="401"/>
      <c r="AJ171" s="359"/>
      <c r="AK171" s="230"/>
      <c r="AL171" s="381"/>
      <c r="AM171" s="402"/>
      <c r="AN171" s="403"/>
      <c r="AO171" s="401"/>
      <c r="AP171" s="402"/>
      <c r="AQ171" s="403"/>
      <c r="AR171" s="401"/>
      <c r="AS171" s="202"/>
    </row>
    <row r="172" spans="1:45" ht="13.5" hidden="1" customHeight="1">
      <c r="A172" s="12"/>
      <c r="B172" s="358"/>
      <c r="C172" s="359"/>
      <c r="D172" s="359"/>
      <c r="E172" s="360"/>
      <c r="F172" s="230"/>
      <c r="G172" s="378"/>
      <c r="H172" s="362"/>
      <c r="I172" s="230"/>
      <c r="J172" s="230"/>
      <c r="K172" s="230"/>
      <c r="L172" s="364"/>
      <c r="M172" s="365"/>
      <c r="N172" s="366"/>
      <c r="O172" s="367"/>
      <c r="P172" s="368"/>
      <c r="Q172" s="382"/>
      <c r="R172" s="370"/>
      <c r="S172" s="370"/>
      <c r="T172" s="371"/>
      <c r="U172" s="384"/>
      <c r="V172" s="373"/>
      <c r="W172" s="400"/>
      <c r="X172" s="512"/>
      <c r="Y172" s="372"/>
      <c r="Z172" s="513"/>
      <c r="AA172" s="359"/>
      <c r="AB172" s="230"/>
      <c r="AC172" s="401"/>
      <c r="AD172" s="359"/>
      <c r="AE172" s="230"/>
      <c r="AF172" s="381"/>
      <c r="AG172" s="402"/>
      <c r="AH172" s="403"/>
      <c r="AI172" s="401"/>
      <c r="AJ172" s="359"/>
      <c r="AK172" s="230"/>
      <c r="AL172" s="381"/>
      <c r="AM172" s="402"/>
      <c r="AN172" s="403"/>
      <c r="AO172" s="401"/>
      <c r="AP172" s="402"/>
      <c r="AQ172" s="403"/>
      <c r="AR172" s="401"/>
      <c r="AS172" s="202"/>
    </row>
    <row r="173" spans="1:45" ht="13.5" hidden="1" customHeight="1">
      <c r="A173" s="12"/>
      <c r="B173" s="358" t="s">
        <v>606</v>
      </c>
      <c r="C173" s="359">
        <v>4</v>
      </c>
      <c r="D173" s="359">
        <v>84</v>
      </c>
      <c r="E173" s="360" t="s">
        <v>629</v>
      </c>
      <c r="F173" s="230" t="s">
        <v>628</v>
      </c>
      <c r="G173" s="361" t="s">
        <v>43</v>
      </c>
      <c r="H173" s="362">
        <v>36190356</v>
      </c>
      <c r="I173" s="230">
        <v>41672</v>
      </c>
      <c r="J173" s="230">
        <v>10</v>
      </c>
      <c r="K173" s="363" t="s">
        <v>630</v>
      </c>
      <c r="L173" s="364" t="s">
        <v>631</v>
      </c>
      <c r="M173" s="365" t="s">
        <v>632</v>
      </c>
      <c r="N173" s="366" t="s">
        <v>633</v>
      </c>
      <c r="O173" s="443">
        <v>18738222</v>
      </c>
      <c r="P173" s="368">
        <v>4241503683</v>
      </c>
      <c r="Q173" s="397" t="s">
        <v>630</v>
      </c>
      <c r="R173" s="370" t="s">
        <v>50</v>
      </c>
      <c r="S173" s="370" t="s">
        <v>634</v>
      </c>
      <c r="T173" s="371"/>
      <c r="U173" s="384"/>
      <c r="V173" s="515">
        <v>300</v>
      </c>
      <c r="W173" s="398" t="s">
        <v>78</v>
      </c>
      <c r="X173" s="512">
        <v>45322</v>
      </c>
      <c r="Y173" s="384" t="s">
        <v>50</v>
      </c>
      <c r="Z173" s="513">
        <v>100</v>
      </c>
      <c r="AA173" s="404"/>
      <c r="AB173" s="368"/>
      <c r="AC173" s="381"/>
      <c r="AD173" s="402"/>
      <c r="AE173" s="403"/>
      <c r="AF173" s="401"/>
      <c r="AG173" s="402"/>
      <c r="AH173" s="403"/>
      <c r="AI173" s="401"/>
      <c r="AJ173" s="402"/>
      <c r="AK173" s="403"/>
      <c r="AL173" s="401"/>
      <c r="AM173" s="402"/>
      <c r="AN173" s="403"/>
      <c r="AO173" s="401"/>
      <c r="AP173" s="402"/>
      <c r="AQ173" s="403"/>
      <c r="AR173" s="401"/>
      <c r="AS173" s="202"/>
    </row>
    <row r="174" spans="1:45" ht="13.5" hidden="1" customHeight="1">
      <c r="A174" s="12"/>
      <c r="B174" s="358"/>
      <c r="C174" s="359"/>
      <c r="D174" s="359"/>
      <c r="E174" s="360"/>
      <c r="F174" s="230"/>
      <c r="G174" s="378"/>
      <c r="H174" s="230"/>
      <c r="I174" s="230"/>
      <c r="J174" s="230"/>
      <c r="K174" s="230"/>
      <c r="L174" s="364"/>
      <c r="M174" s="365"/>
      <c r="N174" s="366"/>
      <c r="O174" s="368"/>
      <c r="P174" s="368"/>
      <c r="Q174" s="510"/>
      <c r="R174" s="370"/>
      <c r="S174" s="370"/>
      <c r="T174" s="371"/>
      <c r="U174" s="384"/>
      <c r="V174" s="515"/>
      <c r="W174" s="400"/>
      <c r="X174" s="512"/>
      <c r="Y174" s="384"/>
      <c r="Z174" s="513"/>
      <c r="AA174" s="404"/>
      <c r="AB174" s="368"/>
      <c r="AC174" s="381"/>
      <c r="AD174" s="402"/>
      <c r="AE174" s="403"/>
      <c r="AF174" s="401"/>
      <c r="AG174" s="402"/>
      <c r="AH174" s="403"/>
      <c r="AI174" s="401"/>
      <c r="AJ174" s="402"/>
      <c r="AK174" s="403"/>
      <c r="AL174" s="401"/>
      <c r="AM174" s="402"/>
      <c r="AN174" s="403"/>
      <c r="AO174" s="401"/>
      <c r="AP174" s="402"/>
      <c r="AQ174" s="403"/>
      <c r="AR174" s="401"/>
      <c r="AS174" s="202"/>
    </row>
    <row r="175" spans="1:45" ht="13.5" hidden="1" customHeight="1">
      <c r="A175" s="12"/>
      <c r="B175" s="358" t="s">
        <v>606</v>
      </c>
      <c r="C175" s="359">
        <v>5</v>
      </c>
      <c r="D175" s="359">
        <v>85</v>
      </c>
      <c r="E175" s="360" t="s">
        <v>636</v>
      </c>
      <c r="F175" s="230" t="s">
        <v>635</v>
      </c>
      <c r="G175" s="361" t="s">
        <v>43</v>
      </c>
      <c r="H175" s="230"/>
      <c r="I175" s="230">
        <v>43369</v>
      </c>
      <c r="J175" s="230">
        <v>5</v>
      </c>
      <c r="K175" s="363" t="s">
        <v>637</v>
      </c>
      <c r="L175" s="364">
        <v>4241050545</v>
      </c>
      <c r="M175" s="365" t="s">
        <v>638</v>
      </c>
      <c r="N175" s="366" t="s">
        <v>639</v>
      </c>
      <c r="O175" s="367">
        <v>19228704</v>
      </c>
      <c r="P175" s="368" t="s">
        <v>640</v>
      </c>
      <c r="Q175" s="406" t="s">
        <v>637</v>
      </c>
      <c r="R175" s="370" t="s">
        <v>641</v>
      </c>
      <c r="S175" s="370" t="s">
        <v>642</v>
      </c>
      <c r="T175" s="371"/>
      <c r="U175" s="372"/>
      <c r="V175" s="373">
        <v>300</v>
      </c>
      <c r="W175" s="398" t="s">
        <v>78</v>
      </c>
      <c r="X175" s="512">
        <v>45327</v>
      </c>
      <c r="Y175" s="384" t="s">
        <v>641</v>
      </c>
      <c r="Z175" s="513">
        <v>300</v>
      </c>
      <c r="AA175" s="359"/>
      <c r="AB175" s="230"/>
      <c r="AC175" s="381"/>
      <c r="AD175" s="359"/>
      <c r="AE175" s="230"/>
      <c r="AF175" s="381"/>
      <c r="AG175" s="359"/>
      <c r="AH175" s="230"/>
      <c r="AI175" s="381"/>
      <c r="AJ175" s="402"/>
      <c r="AK175" s="403"/>
      <c r="AL175" s="401"/>
      <c r="AM175" s="402"/>
      <c r="AN175" s="403"/>
      <c r="AO175" s="401"/>
      <c r="AP175" s="402"/>
      <c r="AQ175" s="403"/>
      <c r="AR175" s="401"/>
      <c r="AS175" s="202"/>
    </row>
    <row r="176" spans="1:45" ht="13.5" hidden="1" customHeight="1">
      <c r="A176" s="12"/>
      <c r="B176" s="358"/>
      <c r="C176" s="359"/>
      <c r="D176" s="359"/>
      <c r="E176" s="360"/>
      <c r="F176" s="230"/>
      <c r="G176" s="378"/>
      <c r="H176" s="230"/>
      <c r="I176" s="230"/>
      <c r="J176" s="230"/>
      <c r="K176" s="368"/>
      <c r="L176" s="364"/>
      <c r="M176" s="365"/>
      <c r="N176" s="366"/>
      <c r="O176" s="367"/>
      <c r="P176" s="368"/>
      <c r="Q176" s="408"/>
      <c r="R176" s="370"/>
      <c r="S176" s="370"/>
      <c r="T176" s="371"/>
      <c r="U176" s="372"/>
      <c r="V176" s="373"/>
      <c r="W176" s="400"/>
      <c r="X176" s="512"/>
      <c r="Y176" s="384"/>
      <c r="Z176" s="513"/>
      <c r="AA176" s="359"/>
      <c r="AB176" s="230"/>
      <c r="AC176" s="381"/>
      <c r="AD176" s="359"/>
      <c r="AE176" s="230"/>
      <c r="AF176" s="381"/>
      <c r="AG176" s="359"/>
      <c r="AH176" s="230"/>
      <c r="AI176" s="381"/>
      <c r="AJ176" s="402"/>
      <c r="AK176" s="403"/>
      <c r="AL176" s="401"/>
      <c r="AM176" s="402"/>
      <c r="AN176" s="403"/>
      <c r="AO176" s="401"/>
      <c r="AP176" s="402"/>
      <c r="AQ176" s="403"/>
      <c r="AR176" s="401"/>
      <c r="AS176" s="202"/>
    </row>
    <row r="177" spans="1:45" ht="13.5" hidden="1" customHeight="1">
      <c r="A177" s="12"/>
      <c r="B177" s="358" t="s">
        <v>606</v>
      </c>
      <c r="C177" s="359">
        <v>6</v>
      </c>
      <c r="D177" s="359">
        <v>86</v>
      </c>
      <c r="E177" s="360" t="s">
        <v>644</v>
      </c>
      <c r="F177" s="230" t="s">
        <v>643</v>
      </c>
      <c r="G177" s="361" t="s">
        <v>43</v>
      </c>
      <c r="H177" s="362">
        <v>29765783</v>
      </c>
      <c r="I177" s="230">
        <v>36762</v>
      </c>
      <c r="J177" s="230">
        <v>23</v>
      </c>
      <c r="K177" s="368"/>
      <c r="L177" s="364">
        <v>4125930704</v>
      </c>
      <c r="M177" s="365" t="s">
        <v>645</v>
      </c>
      <c r="N177" s="366" t="s">
        <v>646</v>
      </c>
      <c r="O177" s="367">
        <v>22906241</v>
      </c>
      <c r="P177" s="368" t="s">
        <v>647</v>
      </c>
      <c r="Q177" s="518" t="s">
        <v>648</v>
      </c>
      <c r="R177" s="370"/>
      <c r="S177" s="370"/>
      <c r="T177" s="371"/>
      <c r="U177" s="384"/>
      <c r="V177" s="373">
        <v>280</v>
      </c>
      <c r="W177" s="398" t="s">
        <v>649</v>
      </c>
      <c r="X177" s="512">
        <v>45327</v>
      </c>
      <c r="Y177" s="372"/>
      <c r="Z177" s="513">
        <v>150</v>
      </c>
      <c r="AA177" s="402"/>
      <c r="AB177" s="230"/>
      <c r="AC177" s="401"/>
      <c r="AD177" s="402"/>
      <c r="AE177" s="230"/>
      <c r="AF177" s="401"/>
      <c r="AG177" s="359"/>
      <c r="AH177" s="230"/>
      <c r="AI177" s="381"/>
      <c r="AJ177" s="359"/>
      <c r="AK177" s="230"/>
      <c r="AL177" s="381"/>
      <c r="AM177" s="402"/>
      <c r="AN177" s="403"/>
      <c r="AO177" s="401"/>
      <c r="AP177" s="402"/>
      <c r="AQ177" s="403"/>
      <c r="AR177" s="401"/>
      <c r="AS177" s="202"/>
    </row>
    <row r="178" spans="1:45" ht="13.5" hidden="1" customHeight="1">
      <c r="A178" s="12"/>
      <c r="B178" s="358"/>
      <c r="C178" s="359"/>
      <c r="D178" s="359"/>
      <c r="E178" s="360"/>
      <c r="F178" s="230"/>
      <c r="G178" s="378"/>
      <c r="H178" s="362"/>
      <c r="I178" s="230"/>
      <c r="J178" s="230"/>
      <c r="K178" s="368"/>
      <c r="L178" s="364"/>
      <c r="M178" s="365"/>
      <c r="N178" s="409"/>
      <c r="O178" s="367"/>
      <c r="P178" s="368"/>
      <c r="Q178" s="382"/>
      <c r="R178" s="370"/>
      <c r="S178" s="370"/>
      <c r="T178" s="371"/>
      <c r="U178" s="384"/>
      <c r="V178" s="373"/>
      <c r="W178" s="400"/>
      <c r="X178" s="512"/>
      <c r="Y178" s="372"/>
      <c r="Z178" s="513"/>
      <c r="AA178" s="402"/>
      <c r="AB178" s="230"/>
      <c r="AC178" s="401"/>
      <c r="AD178" s="402"/>
      <c r="AE178" s="230"/>
      <c r="AF178" s="401"/>
      <c r="AG178" s="359"/>
      <c r="AH178" s="230"/>
      <c r="AI178" s="381"/>
      <c r="AJ178" s="359"/>
      <c r="AK178" s="230"/>
      <c r="AL178" s="381"/>
      <c r="AM178" s="402"/>
      <c r="AN178" s="403"/>
      <c r="AO178" s="401"/>
      <c r="AP178" s="402"/>
      <c r="AQ178" s="403"/>
      <c r="AR178" s="401"/>
      <c r="AS178" s="202"/>
    </row>
    <row r="179" spans="1:45" ht="13.5" hidden="1" customHeight="1">
      <c r="A179" s="12"/>
      <c r="B179" s="358" t="s">
        <v>606</v>
      </c>
      <c r="C179" s="359">
        <v>7</v>
      </c>
      <c r="D179" s="359">
        <v>87</v>
      </c>
      <c r="E179" s="360" t="s">
        <v>2562</v>
      </c>
      <c r="F179" s="230" t="s">
        <v>650</v>
      </c>
      <c r="G179" s="361" t="s">
        <v>43</v>
      </c>
      <c r="H179" s="362">
        <v>36158232</v>
      </c>
      <c r="I179" s="230">
        <v>41231</v>
      </c>
      <c r="J179" s="230">
        <v>11</v>
      </c>
      <c r="K179" s="363" t="s">
        <v>652</v>
      </c>
      <c r="L179" s="364">
        <v>4125930704</v>
      </c>
      <c r="M179" s="519" t="s">
        <v>645</v>
      </c>
      <c r="N179" s="366" t="s">
        <v>646</v>
      </c>
      <c r="O179" s="367">
        <v>22906241</v>
      </c>
      <c r="P179" s="368" t="s">
        <v>647</v>
      </c>
      <c r="Q179" s="518" t="s">
        <v>648</v>
      </c>
      <c r="R179" s="370" t="s">
        <v>653</v>
      </c>
      <c r="S179" s="370" t="s">
        <v>634</v>
      </c>
      <c r="T179" s="371"/>
      <c r="U179" s="372"/>
      <c r="V179" s="373">
        <v>280</v>
      </c>
      <c r="W179" s="398" t="s">
        <v>649</v>
      </c>
      <c r="X179" s="512">
        <v>45327</v>
      </c>
      <c r="Y179" s="384" t="s">
        <v>654</v>
      </c>
      <c r="Z179" s="513">
        <v>100</v>
      </c>
      <c r="AA179" s="402"/>
      <c r="AB179" s="403"/>
      <c r="AC179" s="401"/>
      <c r="AD179" s="402"/>
      <c r="AE179" s="403"/>
      <c r="AF179" s="401"/>
      <c r="AG179" s="402"/>
      <c r="AH179" s="403"/>
      <c r="AI179" s="401"/>
      <c r="AJ179" s="402"/>
      <c r="AK179" s="403"/>
      <c r="AL179" s="401"/>
      <c r="AM179" s="402"/>
      <c r="AN179" s="403"/>
      <c r="AO179" s="401"/>
      <c r="AP179" s="402"/>
      <c r="AQ179" s="403"/>
      <c r="AR179" s="401"/>
      <c r="AS179" s="202"/>
    </row>
    <row r="180" spans="1:45" ht="13.5" hidden="1" customHeight="1">
      <c r="A180" s="12"/>
      <c r="B180" s="358"/>
      <c r="C180" s="359"/>
      <c r="D180" s="359"/>
      <c r="E180" s="360"/>
      <c r="F180" s="230"/>
      <c r="G180" s="378"/>
      <c r="H180" s="362"/>
      <c r="I180" s="230"/>
      <c r="J180" s="230"/>
      <c r="K180" s="368"/>
      <c r="L180" s="364"/>
      <c r="M180" s="519"/>
      <c r="N180" s="409"/>
      <c r="O180" s="367"/>
      <c r="P180" s="368"/>
      <c r="Q180" s="382"/>
      <c r="R180" s="370"/>
      <c r="S180" s="370"/>
      <c r="T180" s="371"/>
      <c r="U180" s="372"/>
      <c r="V180" s="373"/>
      <c r="W180" s="400"/>
      <c r="X180" s="512"/>
      <c r="Y180" s="384"/>
      <c r="Z180" s="513"/>
      <c r="AA180" s="402"/>
      <c r="AB180" s="403"/>
      <c r="AC180" s="401"/>
      <c r="AD180" s="402"/>
      <c r="AE180" s="403"/>
      <c r="AF180" s="401"/>
      <c r="AG180" s="402"/>
      <c r="AH180" s="403"/>
      <c r="AI180" s="401"/>
      <c r="AJ180" s="402"/>
      <c r="AK180" s="403"/>
      <c r="AL180" s="401"/>
      <c r="AM180" s="402"/>
      <c r="AN180" s="403"/>
      <c r="AO180" s="401"/>
      <c r="AP180" s="402"/>
      <c r="AQ180" s="403"/>
      <c r="AR180" s="401"/>
      <c r="AS180" s="202"/>
    </row>
    <row r="181" spans="1:45" ht="13.5" hidden="1" customHeight="1">
      <c r="A181" s="12"/>
      <c r="B181" s="358" t="s">
        <v>606</v>
      </c>
      <c r="C181" s="359">
        <v>8</v>
      </c>
      <c r="D181" s="359">
        <v>88</v>
      </c>
      <c r="E181" s="360" t="s">
        <v>656</v>
      </c>
      <c r="F181" s="230" t="s">
        <v>655</v>
      </c>
      <c r="G181" s="361" t="s">
        <v>43</v>
      </c>
      <c r="H181" s="362">
        <v>30411302</v>
      </c>
      <c r="I181" s="230">
        <v>37672</v>
      </c>
      <c r="J181" s="230">
        <v>20</v>
      </c>
      <c r="K181" s="368"/>
      <c r="L181" s="364">
        <v>4125930704</v>
      </c>
      <c r="M181" s="519" t="s">
        <v>645</v>
      </c>
      <c r="N181" s="366" t="s">
        <v>646</v>
      </c>
      <c r="O181" s="367">
        <v>22906241</v>
      </c>
      <c r="P181" s="368" t="s">
        <v>647</v>
      </c>
      <c r="Q181" s="518" t="s">
        <v>648</v>
      </c>
      <c r="R181" s="370" t="s">
        <v>657</v>
      </c>
      <c r="S181" s="370" t="s">
        <v>658</v>
      </c>
      <c r="T181" s="371"/>
      <c r="U181" s="372"/>
      <c r="V181" s="373">
        <v>280</v>
      </c>
      <c r="W181" s="398" t="s">
        <v>649</v>
      </c>
      <c r="X181" s="512">
        <v>45327</v>
      </c>
      <c r="Y181" s="384"/>
      <c r="Z181" s="513">
        <v>200</v>
      </c>
      <c r="AA181" s="402"/>
      <c r="AB181" s="403"/>
      <c r="AC181" s="401"/>
      <c r="AD181" s="402"/>
      <c r="AE181" s="403"/>
      <c r="AF181" s="401"/>
      <c r="AG181" s="402"/>
      <c r="AH181" s="403"/>
      <c r="AI181" s="401"/>
      <c r="AJ181" s="402"/>
      <c r="AK181" s="403"/>
      <c r="AL181" s="401"/>
      <c r="AM181" s="402"/>
      <c r="AN181" s="403"/>
      <c r="AO181" s="401"/>
      <c r="AP181" s="402"/>
      <c r="AQ181" s="403"/>
      <c r="AR181" s="401"/>
      <c r="AS181" s="202"/>
    </row>
    <row r="182" spans="1:45" ht="13.5" hidden="1" customHeight="1">
      <c r="A182" s="12"/>
      <c r="B182" s="358"/>
      <c r="C182" s="359"/>
      <c r="D182" s="359"/>
      <c r="E182" s="360"/>
      <c r="F182" s="230"/>
      <c r="G182" s="378"/>
      <c r="H182" s="362"/>
      <c r="I182" s="230"/>
      <c r="J182" s="230"/>
      <c r="K182" s="368"/>
      <c r="L182" s="364"/>
      <c r="M182" s="519"/>
      <c r="N182" s="409"/>
      <c r="O182" s="367"/>
      <c r="P182" s="368"/>
      <c r="Q182" s="382"/>
      <c r="R182" s="370"/>
      <c r="S182" s="370"/>
      <c r="T182" s="371"/>
      <c r="U182" s="372"/>
      <c r="V182" s="373"/>
      <c r="W182" s="400"/>
      <c r="X182" s="512"/>
      <c r="Y182" s="384"/>
      <c r="Z182" s="513"/>
      <c r="AA182" s="402"/>
      <c r="AB182" s="403"/>
      <c r="AC182" s="401"/>
      <c r="AD182" s="402"/>
      <c r="AE182" s="403"/>
      <c r="AF182" s="401"/>
      <c r="AG182" s="402"/>
      <c r="AH182" s="403"/>
      <c r="AI182" s="401"/>
      <c r="AJ182" s="402"/>
      <c r="AK182" s="403"/>
      <c r="AL182" s="401"/>
      <c r="AM182" s="402"/>
      <c r="AN182" s="403"/>
      <c r="AO182" s="401"/>
      <c r="AP182" s="402"/>
      <c r="AQ182" s="403"/>
      <c r="AR182" s="401"/>
      <c r="AS182" s="202"/>
    </row>
    <row r="183" spans="1:45" ht="13.5" hidden="1" customHeight="1">
      <c r="A183" s="12"/>
      <c r="B183" s="358" t="s">
        <v>606</v>
      </c>
      <c r="C183" s="359">
        <v>9</v>
      </c>
      <c r="D183" s="359">
        <v>89</v>
      </c>
      <c r="E183" s="360" t="s">
        <v>660</v>
      </c>
      <c r="F183" s="230" t="s">
        <v>659</v>
      </c>
      <c r="G183" s="361" t="s">
        <v>43</v>
      </c>
      <c r="H183" s="362">
        <v>27448331</v>
      </c>
      <c r="I183" s="230">
        <v>36535</v>
      </c>
      <c r="J183" s="230">
        <v>24</v>
      </c>
      <c r="K183" s="363" t="s">
        <v>661</v>
      </c>
      <c r="L183" s="364">
        <v>4122556366</v>
      </c>
      <c r="M183" s="365" t="s">
        <v>662</v>
      </c>
      <c r="N183" s="425"/>
      <c r="O183" s="368"/>
      <c r="P183" s="368"/>
      <c r="Q183" s="408"/>
      <c r="R183" s="370" t="s">
        <v>50</v>
      </c>
      <c r="S183" s="370" t="s">
        <v>663</v>
      </c>
      <c r="T183" s="371" t="s">
        <v>664</v>
      </c>
      <c r="U183" s="384"/>
      <c r="V183" s="515" t="s">
        <v>396</v>
      </c>
      <c r="W183" s="398" t="s">
        <v>78</v>
      </c>
      <c r="X183" s="512">
        <v>45327</v>
      </c>
      <c r="Y183" s="384" t="s">
        <v>50</v>
      </c>
      <c r="Z183" s="513" t="s">
        <v>396</v>
      </c>
      <c r="AA183" s="402"/>
      <c r="AB183" s="403"/>
      <c r="AC183" s="401"/>
      <c r="AD183" s="402"/>
      <c r="AE183" s="403"/>
      <c r="AF183" s="401"/>
      <c r="AG183" s="402"/>
      <c r="AH183" s="403"/>
      <c r="AI183" s="401"/>
      <c r="AJ183" s="402"/>
      <c r="AK183" s="403"/>
      <c r="AL183" s="401"/>
      <c r="AM183" s="402"/>
      <c r="AN183" s="403"/>
      <c r="AO183" s="401"/>
      <c r="AP183" s="402"/>
      <c r="AQ183" s="403"/>
      <c r="AR183" s="401"/>
      <c r="AS183" s="202"/>
    </row>
    <row r="184" spans="1:45" ht="13.5" hidden="1" customHeight="1">
      <c r="A184" s="12"/>
      <c r="B184" s="358"/>
      <c r="C184" s="359"/>
      <c r="D184" s="359"/>
      <c r="E184" s="360"/>
      <c r="F184" s="230"/>
      <c r="G184" s="378"/>
      <c r="H184" s="230"/>
      <c r="I184" s="230"/>
      <c r="J184" s="230"/>
      <c r="K184" s="368"/>
      <c r="L184" s="364"/>
      <c r="M184" s="365"/>
      <c r="N184" s="366"/>
      <c r="O184" s="368"/>
      <c r="P184" s="368"/>
      <c r="Q184" s="408"/>
      <c r="R184" s="370"/>
      <c r="S184" s="370"/>
      <c r="T184" s="371"/>
      <c r="U184" s="384"/>
      <c r="V184" s="515"/>
      <c r="W184" s="400"/>
      <c r="X184" s="512"/>
      <c r="Y184" s="384"/>
      <c r="Z184" s="513"/>
      <c r="AA184" s="402"/>
      <c r="AB184" s="403"/>
      <c r="AC184" s="401"/>
      <c r="AD184" s="402"/>
      <c r="AE184" s="403"/>
      <c r="AF184" s="401"/>
      <c r="AG184" s="402"/>
      <c r="AH184" s="403"/>
      <c r="AI184" s="401"/>
      <c r="AJ184" s="402"/>
      <c r="AK184" s="403"/>
      <c r="AL184" s="401"/>
      <c r="AM184" s="402"/>
      <c r="AN184" s="403"/>
      <c r="AO184" s="401"/>
      <c r="AP184" s="402"/>
      <c r="AQ184" s="403"/>
      <c r="AR184" s="401"/>
      <c r="AS184" s="202"/>
    </row>
    <row r="185" spans="1:45" ht="13.5" hidden="1" customHeight="1">
      <c r="A185" s="12"/>
      <c r="B185" s="358" t="s">
        <v>606</v>
      </c>
      <c r="C185" s="359">
        <v>10</v>
      </c>
      <c r="D185" s="359">
        <v>90</v>
      </c>
      <c r="E185" s="360" t="s">
        <v>666</v>
      </c>
      <c r="F185" s="230" t="s">
        <v>665</v>
      </c>
      <c r="G185" s="361" t="s">
        <v>43</v>
      </c>
      <c r="H185" s="230"/>
      <c r="I185" s="230">
        <v>42229</v>
      </c>
      <c r="J185" s="230">
        <v>8</v>
      </c>
      <c r="K185" s="363" t="s">
        <v>667</v>
      </c>
      <c r="L185" s="364">
        <v>4142357496</v>
      </c>
      <c r="M185" s="405" t="s">
        <v>668</v>
      </c>
      <c r="N185" s="366" t="s">
        <v>669</v>
      </c>
      <c r="O185" s="367">
        <v>11817664</v>
      </c>
      <c r="P185" s="368">
        <f>-F1</f>
        <v>0</v>
      </c>
      <c r="Q185" s="369" t="s">
        <v>670</v>
      </c>
      <c r="R185" s="370"/>
      <c r="S185" s="370" t="s">
        <v>671</v>
      </c>
      <c r="T185" s="371"/>
      <c r="U185" s="372"/>
      <c r="V185" s="373">
        <v>300</v>
      </c>
      <c r="W185" s="398" t="s">
        <v>649</v>
      </c>
      <c r="X185" s="512">
        <v>45327</v>
      </c>
      <c r="Y185" s="372"/>
      <c r="Z185" s="513">
        <v>150</v>
      </c>
      <c r="AA185" s="359"/>
      <c r="AB185" s="230"/>
      <c r="AC185" s="381"/>
      <c r="AD185" s="359"/>
      <c r="AE185" s="230"/>
      <c r="AF185" s="381"/>
      <c r="AG185" s="359"/>
      <c r="AH185" s="230"/>
      <c r="AI185" s="381"/>
      <c r="AJ185" s="402"/>
      <c r="AK185" s="403"/>
      <c r="AL185" s="401"/>
      <c r="AM185" s="402"/>
      <c r="AN185" s="403"/>
      <c r="AO185" s="401"/>
      <c r="AP185" s="402"/>
      <c r="AQ185" s="403"/>
      <c r="AR185" s="401"/>
      <c r="AS185" s="202"/>
    </row>
    <row r="186" spans="1:45" ht="15.75" hidden="1" customHeight="1">
      <c r="A186" s="12"/>
      <c r="B186" s="358"/>
      <c r="C186" s="359"/>
      <c r="D186" s="359"/>
      <c r="E186" s="360"/>
      <c r="F186" s="230"/>
      <c r="G186" s="378"/>
      <c r="H186" s="230"/>
      <c r="I186" s="230"/>
      <c r="J186" s="230"/>
      <c r="K186" s="368"/>
      <c r="L186" s="364"/>
      <c r="M186" s="405"/>
      <c r="N186" s="366"/>
      <c r="O186" s="367"/>
      <c r="P186" s="368"/>
      <c r="Q186" s="382"/>
      <c r="R186" s="370"/>
      <c r="S186" s="370"/>
      <c r="T186" s="371"/>
      <c r="U186" s="372"/>
      <c r="V186" s="373"/>
      <c r="W186" s="400"/>
      <c r="X186" s="512"/>
      <c r="Y186" s="372"/>
      <c r="Z186" s="513"/>
      <c r="AA186" s="359"/>
      <c r="AB186" s="230"/>
      <c r="AC186" s="381"/>
      <c r="AD186" s="359"/>
      <c r="AE186" s="230"/>
      <c r="AF186" s="381"/>
      <c r="AG186" s="359"/>
      <c r="AH186" s="230"/>
      <c r="AI186" s="381"/>
      <c r="AJ186" s="402"/>
      <c r="AK186" s="403"/>
      <c r="AL186" s="401"/>
      <c r="AM186" s="402"/>
      <c r="AN186" s="403"/>
      <c r="AO186" s="401"/>
      <c r="AP186" s="402"/>
      <c r="AQ186" s="403"/>
      <c r="AR186" s="401"/>
      <c r="AS186" s="202"/>
    </row>
    <row r="187" spans="1:45" ht="13.5" hidden="1" customHeight="1">
      <c r="A187" s="12"/>
      <c r="B187" s="358" t="s">
        <v>606</v>
      </c>
      <c r="C187" s="359">
        <v>11</v>
      </c>
      <c r="D187" s="359">
        <v>91</v>
      </c>
      <c r="E187" s="360" t="s">
        <v>673</v>
      </c>
      <c r="F187" s="230" t="s">
        <v>672</v>
      </c>
      <c r="G187" s="361" t="s">
        <v>43</v>
      </c>
      <c r="H187" s="362">
        <v>17199811</v>
      </c>
      <c r="I187" s="510">
        <v>31572</v>
      </c>
      <c r="J187" s="230">
        <v>37</v>
      </c>
      <c r="K187" s="363" t="s">
        <v>461</v>
      </c>
      <c r="L187" s="364" t="s">
        <v>674</v>
      </c>
      <c r="M187" s="405" t="s">
        <v>675</v>
      </c>
      <c r="N187" s="366"/>
      <c r="O187" s="368"/>
      <c r="P187" s="368"/>
      <c r="Q187" s="408"/>
      <c r="R187" s="370" t="s">
        <v>479</v>
      </c>
      <c r="S187" s="370" t="s">
        <v>663</v>
      </c>
      <c r="T187" s="371"/>
      <c r="U187" s="384"/>
      <c r="V187" s="373">
        <v>300</v>
      </c>
      <c r="W187" s="398" t="s">
        <v>78</v>
      </c>
      <c r="X187" s="512">
        <v>45327</v>
      </c>
      <c r="Y187" s="387" t="s">
        <v>657</v>
      </c>
      <c r="Z187" s="381">
        <v>300</v>
      </c>
      <c r="AA187" s="359"/>
      <c r="AB187" s="230"/>
      <c r="AC187" s="381"/>
      <c r="AD187" s="402"/>
      <c r="AE187" s="403"/>
      <c r="AF187" s="401"/>
      <c r="AG187" s="359"/>
      <c r="AH187" s="230"/>
      <c r="AI187" s="381"/>
      <c r="AJ187" s="402"/>
      <c r="AK187" s="403"/>
      <c r="AL187" s="401"/>
      <c r="AM187" s="402"/>
      <c r="AN187" s="403"/>
      <c r="AO187" s="401"/>
      <c r="AP187" s="402"/>
      <c r="AQ187" s="403"/>
      <c r="AR187" s="401"/>
      <c r="AS187" s="202"/>
    </row>
    <row r="188" spans="1:45" ht="13.5" hidden="1" customHeight="1">
      <c r="A188" s="12"/>
      <c r="B188" s="358"/>
      <c r="C188" s="359"/>
      <c r="D188" s="359"/>
      <c r="E188" s="360"/>
      <c r="F188" s="230"/>
      <c r="G188" s="378"/>
      <c r="H188" s="230"/>
      <c r="I188" s="510"/>
      <c r="J188" s="230"/>
      <c r="K188" s="368"/>
      <c r="L188" s="364"/>
      <c r="M188" s="405"/>
      <c r="N188" s="366"/>
      <c r="O188" s="368"/>
      <c r="P188" s="368"/>
      <c r="Q188" s="408"/>
      <c r="R188" s="370"/>
      <c r="S188" s="370"/>
      <c r="T188" s="371"/>
      <c r="U188" s="384"/>
      <c r="V188" s="373"/>
      <c r="W188" s="400"/>
      <c r="X188" s="512"/>
      <c r="Y188" s="376"/>
      <c r="Z188" s="381"/>
      <c r="AA188" s="359"/>
      <c r="AB188" s="230"/>
      <c r="AC188" s="381"/>
      <c r="AD188" s="402"/>
      <c r="AE188" s="403"/>
      <c r="AF188" s="401"/>
      <c r="AG188" s="359"/>
      <c r="AH188" s="230"/>
      <c r="AI188" s="381"/>
      <c r="AJ188" s="402"/>
      <c r="AK188" s="403"/>
      <c r="AL188" s="401"/>
      <c r="AM188" s="402"/>
      <c r="AN188" s="403"/>
      <c r="AO188" s="401"/>
      <c r="AP188" s="402"/>
      <c r="AQ188" s="403"/>
      <c r="AR188" s="401"/>
      <c r="AS188" s="202"/>
    </row>
    <row r="189" spans="1:45" ht="13.5" hidden="1" customHeight="1">
      <c r="A189" s="12"/>
      <c r="B189" s="358" t="s">
        <v>606</v>
      </c>
      <c r="C189" s="359">
        <v>12</v>
      </c>
      <c r="D189" s="359">
        <v>92</v>
      </c>
      <c r="E189" s="360" t="s">
        <v>677</v>
      </c>
      <c r="F189" s="230" t="s">
        <v>676</v>
      </c>
      <c r="G189" s="361" t="s">
        <v>43</v>
      </c>
      <c r="H189" s="362">
        <v>19061035</v>
      </c>
      <c r="I189" s="510">
        <v>32520</v>
      </c>
      <c r="J189" s="230">
        <v>35</v>
      </c>
      <c r="K189" s="363" t="s">
        <v>678</v>
      </c>
      <c r="L189" s="364" t="s">
        <v>679</v>
      </c>
      <c r="M189" s="405" t="s">
        <v>675</v>
      </c>
      <c r="N189" s="366"/>
      <c r="O189" s="368"/>
      <c r="P189" s="368"/>
      <c r="Q189" s="408"/>
      <c r="R189" s="370" t="s">
        <v>479</v>
      </c>
      <c r="S189" s="370" t="s">
        <v>663</v>
      </c>
      <c r="T189" s="371"/>
      <c r="U189" s="384"/>
      <c r="V189" s="515">
        <v>300</v>
      </c>
      <c r="W189" s="398" t="s">
        <v>78</v>
      </c>
      <c r="X189" s="512">
        <v>45327</v>
      </c>
      <c r="Y189" s="387" t="s">
        <v>657</v>
      </c>
      <c r="Z189" s="513">
        <v>300</v>
      </c>
      <c r="AA189" s="402"/>
      <c r="AB189" s="403"/>
      <c r="AC189" s="401"/>
      <c r="AD189" s="402"/>
      <c r="AE189" s="403"/>
      <c r="AF189" s="401"/>
      <c r="AG189" s="402"/>
      <c r="AH189" s="403"/>
      <c r="AI189" s="401"/>
      <c r="AJ189" s="402"/>
      <c r="AK189" s="403"/>
      <c r="AL189" s="401"/>
      <c r="AM189" s="402"/>
      <c r="AN189" s="403"/>
      <c r="AO189" s="401"/>
      <c r="AP189" s="402"/>
      <c r="AQ189" s="403"/>
      <c r="AR189" s="401"/>
      <c r="AS189" s="202"/>
    </row>
    <row r="190" spans="1:45" ht="13.5" hidden="1" customHeight="1">
      <c r="A190" s="12"/>
      <c r="B190" s="358"/>
      <c r="C190" s="359"/>
      <c r="D190" s="359"/>
      <c r="E190" s="360"/>
      <c r="F190" s="230"/>
      <c r="G190" s="378"/>
      <c r="H190" s="230"/>
      <c r="I190" s="510"/>
      <c r="J190" s="230"/>
      <c r="K190" s="368"/>
      <c r="L190" s="364"/>
      <c r="M190" s="405"/>
      <c r="N190" s="366"/>
      <c r="O190" s="368"/>
      <c r="P190" s="368"/>
      <c r="Q190" s="408"/>
      <c r="R190" s="370"/>
      <c r="S190" s="370"/>
      <c r="T190" s="371"/>
      <c r="U190" s="384"/>
      <c r="V190" s="515"/>
      <c r="W190" s="400"/>
      <c r="X190" s="512"/>
      <c r="Y190" s="376"/>
      <c r="Z190" s="513"/>
      <c r="AA190" s="402"/>
      <c r="AB190" s="403"/>
      <c r="AC190" s="401"/>
      <c r="AD190" s="402"/>
      <c r="AE190" s="403"/>
      <c r="AF190" s="401"/>
      <c r="AG190" s="402"/>
      <c r="AH190" s="403"/>
      <c r="AI190" s="401"/>
      <c r="AJ190" s="402"/>
      <c r="AK190" s="403"/>
      <c r="AL190" s="401"/>
      <c r="AM190" s="402"/>
      <c r="AN190" s="403"/>
      <c r="AO190" s="401"/>
      <c r="AP190" s="402"/>
      <c r="AQ190" s="403"/>
      <c r="AR190" s="401"/>
      <c r="AS190" s="202"/>
    </row>
    <row r="191" spans="1:45" ht="13.5" hidden="1" customHeight="1">
      <c r="A191" s="12"/>
      <c r="B191" s="358" t="s">
        <v>606</v>
      </c>
      <c r="C191" s="359">
        <v>13</v>
      </c>
      <c r="D191" s="359">
        <v>93</v>
      </c>
      <c r="E191" s="360" t="s">
        <v>681</v>
      </c>
      <c r="F191" s="230" t="s">
        <v>680</v>
      </c>
      <c r="G191" s="361" t="s">
        <v>43</v>
      </c>
      <c r="H191" s="362">
        <v>24461140</v>
      </c>
      <c r="I191" s="510">
        <v>35012</v>
      </c>
      <c r="J191" s="230">
        <v>28</v>
      </c>
      <c r="K191" s="363" t="s">
        <v>682</v>
      </c>
      <c r="L191" s="364" t="s">
        <v>683</v>
      </c>
      <c r="M191" s="365"/>
      <c r="N191" s="366"/>
      <c r="O191" s="367"/>
      <c r="P191" s="368"/>
      <c r="Q191" s="382"/>
      <c r="R191" s="370" t="s">
        <v>684</v>
      </c>
      <c r="S191" s="370" t="s">
        <v>663</v>
      </c>
      <c r="T191" s="371"/>
      <c r="U191" s="384"/>
      <c r="V191" s="373">
        <v>300</v>
      </c>
      <c r="W191" s="398" t="s">
        <v>649</v>
      </c>
      <c r="X191" s="512">
        <v>45329</v>
      </c>
      <c r="Y191" s="387" t="s">
        <v>657</v>
      </c>
      <c r="Z191" s="513">
        <v>300</v>
      </c>
      <c r="AA191" s="402"/>
      <c r="AB191" s="403"/>
      <c r="AC191" s="401"/>
      <c r="AD191" s="359"/>
      <c r="AE191" s="230"/>
      <c r="AF191" s="381"/>
      <c r="AG191" s="402"/>
      <c r="AH191" s="403"/>
      <c r="AI191" s="401"/>
      <c r="AJ191" s="402"/>
      <c r="AK191" s="403"/>
      <c r="AL191" s="401"/>
      <c r="AM191" s="402"/>
      <c r="AN191" s="403"/>
      <c r="AO191" s="401"/>
      <c r="AP191" s="402"/>
      <c r="AQ191" s="403"/>
      <c r="AR191" s="401"/>
      <c r="AS191" s="202"/>
    </row>
    <row r="192" spans="1:45" ht="13.5" hidden="1" customHeight="1">
      <c r="A192" s="12"/>
      <c r="B192" s="358"/>
      <c r="C192" s="359"/>
      <c r="D192" s="359"/>
      <c r="E192" s="360"/>
      <c r="F192" s="230"/>
      <c r="G192" s="521"/>
      <c r="H192" s="230"/>
      <c r="I192" s="510"/>
      <c r="J192" s="230"/>
      <c r="K192" s="368"/>
      <c r="L192" s="364"/>
      <c r="M192" s="365"/>
      <c r="N192" s="366"/>
      <c r="O192" s="367"/>
      <c r="P192" s="368"/>
      <c r="Q192" s="382"/>
      <c r="R192" s="370"/>
      <c r="S192" s="370"/>
      <c r="T192" s="371"/>
      <c r="U192" s="384"/>
      <c r="V192" s="373"/>
      <c r="W192" s="400"/>
      <c r="X192" s="512"/>
      <c r="Y192" s="376"/>
      <c r="Z192" s="513"/>
      <c r="AA192" s="402"/>
      <c r="AB192" s="403"/>
      <c r="AC192" s="401"/>
      <c r="AD192" s="359"/>
      <c r="AE192" s="230"/>
      <c r="AF192" s="381"/>
      <c r="AG192" s="402"/>
      <c r="AH192" s="403"/>
      <c r="AI192" s="401"/>
      <c r="AJ192" s="402"/>
      <c r="AK192" s="403"/>
      <c r="AL192" s="401"/>
      <c r="AM192" s="402"/>
      <c r="AN192" s="403"/>
      <c r="AO192" s="401"/>
      <c r="AP192" s="402"/>
      <c r="AQ192" s="403"/>
      <c r="AR192" s="401"/>
      <c r="AS192" s="202"/>
    </row>
    <row r="193" spans="1:45" ht="13.5" hidden="1" customHeight="1">
      <c r="A193" s="12"/>
      <c r="B193" s="358" t="s">
        <v>606</v>
      </c>
      <c r="C193" s="359">
        <v>14</v>
      </c>
      <c r="D193" s="359">
        <v>94</v>
      </c>
      <c r="E193" s="360" t="s">
        <v>686</v>
      </c>
      <c r="F193" s="230" t="s">
        <v>685</v>
      </c>
      <c r="G193" s="361" t="s">
        <v>43</v>
      </c>
      <c r="H193" s="230"/>
      <c r="I193" s="230">
        <v>36613</v>
      </c>
      <c r="J193" s="230">
        <v>17</v>
      </c>
      <c r="K193" s="368"/>
      <c r="L193" s="364" t="s">
        <v>687</v>
      </c>
      <c r="M193" s="365" t="s">
        <v>688</v>
      </c>
      <c r="N193" s="366" t="s">
        <v>689</v>
      </c>
      <c r="O193" s="367">
        <v>15403317</v>
      </c>
      <c r="P193" s="368" t="s">
        <v>687</v>
      </c>
      <c r="Q193" s="382"/>
      <c r="R193" s="370" t="s">
        <v>657</v>
      </c>
      <c r="S193" s="370" t="s">
        <v>690</v>
      </c>
      <c r="T193" s="371" t="s">
        <v>664</v>
      </c>
      <c r="U193" s="384"/>
      <c r="V193" s="373"/>
      <c r="W193" s="398" t="s">
        <v>691</v>
      </c>
      <c r="X193" s="512">
        <v>45331</v>
      </c>
      <c r="Y193" s="387" t="s">
        <v>657</v>
      </c>
      <c r="Z193" s="513"/>
      <c r="AA193" s="402"/>
      <c r="AB193" s="403"/>
      <c r="AC193" s="401"/>
      <c r="AD193" s="359"/>
      <c r="AE193" s="230"/>
      <c r="AF193" s="381"/>
      <c r="AG193" s="402"/>
      <c r="AH193" s="403"/>
      <c r="AI193" s="401"/>
      <c r="AJ193" s="402"/>
      <c r="AK193" s="403"/>
      <c r="AL193" s="401"/>
      <c r="AM193" s="402"/>
      <c r="AN193" s="403"/>
      <c r="AO193" s="401"/>
      <c r="AP193" s="402"/>
      <c r="AQ193" s="403"/>
      <c r="AR193" s="401"/>
      <c r="AS193" s="202"/>
    </row>
    <row r="194" spans="1:45" ht="13.5" hidden="1" customHeight="1">
      <c r="A194" s="12"/>
      <c r="B194" s="358"/>
      <c r="C194" s="359"/>
      <c r="D194" s="359"/>
      <c r="E194" s="360"/>
      <c r="F194" s="230"/>
      <c r="G194" s="521"/>
      <c r="H194" s="230"/>
      <c r="I194" s="230"/>
      <c r="J194" s="230"/>
      <c r="K194" s="368"/>
      <c r="L194" s="364"/>
      <c r="M194" s="365"/>
      <c r="N194" s="366"/>
      <c r="O194" s="367"/>
      <c r="P194" s="368"/>
      <c r="Q194" s="382"/>
      <c r="R194" s="370"/>
      <c r="S194" s="370"/>
      <c r="T194" s="371"/>
      <c r="U194" s="384"/>
      <c r="V194" s="373"/>
      <c r="W194" s="400"/>
      <c r="X194" s="512"/>
      <c r="Y194" s="376"/>
      <c r="Z194" s="513"/>
      <c r="AA194" s="402"/>
      <c r="AB194" s="403"/>
      <c r="AC194" s="401"/>
      <c r="AD194" s="359"/>
      <c r="AE194" s="230"/>
      <c r="AF194" s="381"/>
      <c r="AG194" s="402"/>
      <c r="AH194" s="403"/>
      <c r="AI194" s="401"/>
      <c r="AJ194" s="402"/>
      <c r="AK194" s="403"/>
      <c r="AL194" s="401"/>
      <c r="AM194" s="402"/>
      <c r="AN194" s="403"/>
      <c r="AO194" s="401"/>
      <c r="AP194" s="402"/>
      <c r="AQ194" s="403"/>
      <c r="AR194" s="401"/>
      <c r="AS194" s="202"/>
    </row>
    <row r="195" spans="1:45" ht="13.5" hidden="1" customHeight="1">
      <c r="A195" s="12"/>
      <c r="B195" s="358" t="s">
        <v>606</v>
      </c>
      <c r="C195" s="359">
        <v>15</v>
      </c>
      <c r="D195" s="359">
        <v>95</v>
      </c>
      <c r="E195" s="360" t="s">
        <v>693</v>
      </c>
      <c r="F195" s="230" t="s">
        <v>692</v>
      </c>
      <c r="G195" s="361" t="s">
        <v>43</v>
      </c>
      <c r="H195" s="362">
        <v>22034284</v>
      </c>
      <c r="I195" s="230">
        <v>34758</v>
      </c>
      <c r="J195" s="230">
        <v>28</v>
      </c>
      <c r="K195" s="363" t="s">
        <v>694</v>
      </c>
      <c r="L195" s="364" t="s">
        <v>687</v>
      </c>
      <c r="M195" s="405" t="s">
        <v>688</v>
      </c>
      <c r="N195" s="365" t="s">
        <v>695</v>
      </c>
      <c r="O195" s="443">
        <v>15403318</v>
      </c>
      <c r="P195" s="368" t="s">
        <v>687</v>
      </c>
      <c r="Q195" s="408"/>
      <c r="R195" s="370" t="s">
        <v>479</v>
      </c>
      <c r="S195" s="370" t="s">
        <v>696</v>
      </c>
      <c r="T195" s="371" t="s">
        <v>664</v>
      </c>
      <c r="U195" s="384"/>
      <c r="V195" s="515"/>
      <c r="W195" s="398" t="s">
        <v>691</v>
      </c>
      <c r="X195" s="512">
        <v>45331</v>
      </c>
      <c r="Y195" s="387" t="s">
        <v>479</v>
      </c>
      <c r="Z195" s="513"/>
      <c r="AA195" s="402"/>
      <c r="AB195" s="403"/>
      <c r="AC195" s="401"/>
      <c r="AD195" s="402"/>
      <c r="AE195" s="403"/>
      <c r="AF195" s="401"/>
      <c r="AG195" s="402"/>
      <c r="AH195" s="403"/>
      <c r="AI195" s="401"/>
      <c r="AJ195" s="402"/>
      <c r="AK195" s="403"/>
      <c r="AL195" s="401"/>
      <c r="AM195" s="402"/>
      <c r="AN195" s="403"/>
      <c r="AO195" s="401"/>
      <c r="AP195" s="402"/>
      <c r="AQ195" s="403"/>
      <c r="AR195" s="401"/>
      <c r="AS195" s="202"/>
    </row>
    <row r="196" spans="1:45" ht="13.5" hidden="1" customHeight="1">
      <c r="A196" s="12"/>
      <c r="B196" s="358"/>
      <c r="C196" s="359"/>
      <c r="D196" s="359"/>
      <c r="E196" s="360"/>
      <c r="F196" s="230"/>
      <c r="G196" s="521"/>
      <c r="H196" s="230"/>
      <c r="I196" s="230"/>
      <c r="J196" s="230"/>
      <c r="K196" s="368"/>
      <c r="L196" s="364"/>
      <c r="M196" s="405"/>
      <c r="N196" s="365"/>
      <c r="O196" s="368"/>
      <c r="P196" s="368"/>
      <c r="Q196" s="408"/>
      <c r="R196" s="370"/>
      <c r="S196" s="370"/>
      <c r="T196" s="371"/>
      <c r="U196" s="384"/>
      <c r="V196" s="515"/>
      <c r="W196" s="400"/>
      <c r="X196" s="512"/>
      <c r="Y196" s="376"/>
      <c r="Z196" s="513"/>
      <c r="AA196" s="402"/>
      <c r="AB196" s="403"/>
      <c r="AC196" s="401"/>
      <c r="AD196" s="402"/>
      <c r="AE196" s="403"/>
      <c r="AF196" s="401"/>
      <c r="AG196" s="402"/>
      <c r="AH196" s="403"/>
      <c r="AI196" s="401"/>
      <c r="AJ196" s="402"/>
      <c r="AK196" s="403"/>
      <c r="AL196" s="401"/>
      <c r="AM196" s="402"/>
      <c r="AN196" s="403"/>
      <c r="AO196" s="401"/>
      <c r="AP196" s="402"/>
      <c r="AQ196" s="403"/>
      <c r="AR196" s="401"/>
      <c r="AS196" s="202"/>
    </row>
    <row r="197" spans="1:45" ht="13.5" hidden="1" customHeight="1">
      <c r="A197" s="12"/>
      <c r="B197" s="358" t="s">
        <v>606</v>
      </c>
      <c r="C197" s="359">
        <v>16</v>
      </c>
      <c r="D197" s="359">
        <v>96</v>
      </c>
      <c r="E197" s="360" t="s">
        <v>698</v>
      </c>
      <c r="F197" s="230" t="s">
        <v>697</v>
      </c>
      <c r="G197" s="361" t="s">
        <v>43</v>
      </c>
      <c r="H197" s="362">
        <v>34815830</v>
      </c>
      <c r="I197" s="230">
        <v>41434</v>
      </c>
      <c r="J197" s="230">
        <v>10</v>
      </c>
      <c r="K197" s="363" t="s">
        <v>699</v>
      </c>
      <c r="L197" s="364" t="s">
        <v>700</v>
      </c>
      <c r="M197" s="365" t="s">
        <v>701</v>
      </c>
      <c r="N197" s="366" t="s">
        <v>702</v>
      </c>
      <c r="O197" s="443">
        <v>15913016</v>
      </c>
      <c r="P197" s="368" t="s">
        <v>703</v>
      </c>
      <c r="Q197" s="408"/>
      <c r="R197" s="370" t="s">
        <v>704</v>
      </c>
      <c r="S197" s="370" t="s">
        <v>705</v>
      </c>
      <c r="T197" s="371" t="s">
        <v>706</v>
      </c>
      <c r="U197" s="384"/>
      <c r="V197" s="515">
        <v>480</v>
      </c>
      <c r="W197" s="398" t="s">
        <v>78</v>
      </c>
      <c r="X197" s="512">
        <v>45331</v>
      </c>
      <c r="Y197" s="384" t="s">
        <v>704</v>
      </c>
      <c r="Z197" s="513">
        <v>120</v>
      </c>
      <c r="AA197" s="402"/>
      <c r="AB197" s="403"/>
      <c r="AC197" s="401"/>
      <c r="AD197" s="402"/>
      <c r="AE197" s="403"/>
      <c r="AF197" s="401"/>
      <c r="AG197" s="402"/>
      <c r="AH197" s="403"/>
      <c r="AI197" s="401"/>
      <c r="AJ197" s="402"/>
      <c r="AK197" s="403"/>
      <c r="AL197" s="401"/>
      <c r="AM197" s="402"/>
      <c r="AN197" s="403"/>
      <c r="AO197" s="401"/>
      <c r="AP197" s="402"/>
      <c r="AQ197" s="403"/>
      <c r="AR197" s="401"/>
      <c r="AS197" s="202"/>
    </row>
    <row r="198" spans="1:45" ht="13.5" hidden="1" customHeight="1">
      <c r="A198" s="12"/>
      <c r="B198" s="358"/>
      <c r="C198" s="359"/>
      <c r="D198" s="359"/>
      <c r="E198" s="360"/>
      <c r="F198" s="230"/>
      <c r="G198" s="521"/>
      <c r="H198" s="362"/>
      <c r="I198" s="230"/>
      <c r="J198" s="230"/>
      <c r="K198" s="368"/>
      <c r="L198" s="364"/>
      <c r="M198" s="365"/>
      <c r="N198" s="366"/>
      <c r="O198" s="368"/>
      <c r="P198" s="368"/>
      <c r="Q198" s="408"/>
      <c r="R198" s="370"/>
      <c r="S198" s="370"/>
      <c r="T198" s="371"/>
      <c r="U198" s="384"/>
      <c r="V198" s="515"/>
      <c r="W198" s="400"/>
      <c r="X198" s="512"/>
      <c r="Y198" s="384"/>
      <c r="Z198" s="513"/>
      <c r="AA198" s="402"/>
      <c r="AB198" s="403"/>
      <c r="AC198" s="401"/>
      <c r="AD198" s="402"/>
      <c r="AE198" s="403"/>
      <c r="AF198" s="401"/>
      <c r="AG198" s="402"/>
      <c r="AH198" s="403"/>
      <c r="AI198" s="401"/>
      <c r="AJ198" s="402"/>
      <c r="AK198" s="403"/>
      <c r="AL198" s="401"/>
      <c r="AM198" s="402"/>
      <c r="AN198" s="403"/>
      <c r="AO198" s="401"/>
      <c r="AP198" s="402"/>
      <c r="AQ198" s="403"/>
      <c r="AR198" s="401"/>
      <c r="AS198" s="202"/>
    </row>
    <row r="199" spans="1:45" ht="13.5" hidden="1" customHeight="1">
      <c r="A199" s="12"/>
      <c r="B199" s="358" t="s">
        <v>606</v>
      </c>
      <c r="C199" s="359">
        <v>17</v>
      </c>
      <c r="D199" s="359">
        <v>97</v>
      </c>
      <c r="E199" s="360" t="s">
        <v>708</v>
      </c>
      <c r="F199" s="230" t="s">
        <v>707</v>
      </c>
      <c r="G199" s="361" t="s">
        <v>43</v>
      </c>
      <c r="H199" s="362">
        <v>29751428</v>
      </c>
      <c r="I199" s="510">
        <v>41408</v>
      </c>
      <c r="J199" s="230">
        <v>10</v>
      </c>
      <c r="K199" s="363" t="s">
        <v>709</v>
      </c>
      <c r="L199" s="364" t="s">
        <v>710</v>
      </c>
      <c r="M199" s="365" t="s">
        <v>701</v>
      </c>
      <c r="N199" s="366" t="s">
        <v>702</v>
      </c>
      <c r="O199" s="443">
        <v>15913016</v>
      </c>
      <c r="P199" s="368" t="s">
        <v>703</v>
      </c>
      <c r="Q199" s="408"/>
      <c r="R199" s="370" t="s">
        <v>704</v>
      </c>
      <c r="S199" s="370" t="s">
        <v>705</v>
      </c>
      <c r="T199" s="371" t="s">
        <v>706</v>
      </c>
      <c r="U199" s="384"/>
      <c r="V199" s="515">
        <v>480</v>
      </c>
      <c r="W199" s="398" t="s">
        <v>78</v>
      </c>
      <c r="X199" s="512">
        <v>45331</v>
      </c>
      <c r="Y199" s="384" t="s">
        <v>704</v>
      </c>
      <c r="Z199" s="513">
        <v>120</v>
      </c>
      <c r="AA199" s="402"/>
      <c r="AB199" s="403"/>
      <c r="AC199" s="401"/>
      <c r="AD199" s="402"/>
      <c r="AE199" s="403"/>
      <c r="AF199" s="401"/>
      <c r="AG199" s="402"/>
      <c r="AH199" s="403"/>
      <c r="AI199" s="401"/>
      <c r="AJ199" s="402"/>
      <c r="AK199" s="403"/>
      <c r="AL199" s="401"/>
      <c r="AM199" s="402"/>
      <c r="AN199" s="403"/>
      <c r="AO199" s="401"/>
      <c r="AP199" s="402"/>
      <c r="AQ199" s="403"/>
      <c r="AR199" s="401"/>
      <c r="AS199" s="202"/>
    </row>
    <row r="200" spans="1:45" ht="13.5" hidden="1" customHeight="1">
      <c r="A200" s="12"/>
      <c r="B200" s="358"/>
      <c r="C200" s="359"/>
      <c r="D200" s="359"/>
      <c r="E200" s="360"/>
      <c r="F200" s="230"/>
      <c r="G200" s="521"/>
      <c r="H200" s="230"/>
      <c r="I200" s="510"/>
      <c r="J200" s="230"/>
      <c r="K200" s="368"/>
      <c r="L200" s="364"/>
      <c r="M200" s="365"/>
      <c r="N200" s="366"/>
      <c r="O200" s="368"/>
      <c r="P200" s="368"/>
      <c r="Q200" s="408"/>
      <c r="R200" s="370"/>
      <c r="S200" s="370"/>
      <c r="T200" s="371"/>
      <c r="U200" s="384"/>
      <c r="V200" s="515"/>
      <c r="W200" s="400"/>
      <c r="X200" s="512"/>
      <c r="Y200" s="384"/>
      <c r="Z200" s="513"/>
      <c r="AA200" s="402"/>
      <c r="AB200" s="403"/>
      <c r="AC200" s="401"/>
      <c r="AD200" s="402"/>
      <c r="AE200" s="403"/>
      <c r="AF200" s="401"/>
      <c r="AG200" s="402"/>
      <c r="AH200" s="403"/>
      <c r="AI200" s="401"/>
      <c r="AJ200" s="402"/>
      <c r="AK200" s="403"/>
      <c r="AL200" s="401"/>
      <c r="AM200" s="402"/>
      <c r="AN200" s="403"/>
      <c r="AO200" s="401"/>
      <c r="AP200" s="402"/>
      <c r="AQ200" s="403"/>
      <c r="AR200" s="401"/>
      <c r="AS200" s="202"/>
    </row>
    <row r="201" spans="1:45" ht="13.5" hidden="1" customHeight="1">
      <c r="A201" s="12"/>
      <c r="B201" s="358" t="s">
        <v>606</v>
      </c>
      <c r="C201" s="359">
        <v>18</v>
      </c>
      <c r="D201" s="359">
        <v>98</v>
      </c>
      <c r="E201" s="360" t="s">
        <v>712</v>
      </c>
      <c r="F201" s="230" t="s">
        <v>711</v>
      </c>
      <c r="G201" s="361" t="s">
        <v>43</v>
      </c>
      <c r="H201" s="362">
        <v>17533068</v>
      </c>
      <c r="I201" s="230">
        <v>86</v>
      </c>
      <c r="J201" s="230">
        <v>38</v>
      </c>
      <c r="K201" s="363" t="s">
        <v>713</v>
      </c>
      <c r="L201" s="364">
        <v>4241472552</v>
      </c>
      <c r="M201" s="365" t="s">
        <v>2563</v>
      </c>
      <c r="N201" s="366"/>
      <c r="O201" s="367"/>
      <c r="P201" s="368"/>
      <c r="Q201" s="382"/>
      <c r="R201" s="370" t="s">
        <v>657</v>
      </c>
      <c r="S201" s="370" t="s">
        <v>690</v>
      </c>
      <c r="T201" s="371" t="s">
        <v>715</v>
      </c>
      <c r="U201" s="384" t="s">
        <v>716</v>
      </c>
      <c r="V201" s="373">
        <v>300</v>
      </c>
      <c r="W201" s="398" t="s">
        <v>78</v>
      </c>
      <c r="X201" s="512">
        <v>45331</v>
      </c>
      <c r="Y201" s="387" t="s">
        <v>657</v>
      </c>
      <c r="Z201" s="513">
        <v>300</v>
      </c>
      <c r="AA201" s="402"/>
      <c r="AB201" s="403"/>
      <c r="AC201" s="401"/>
      <c r="AD201" s="402"/>
      <c r="AE201" s="403"/>
      <c r="AF201" s="401"/>
      <c r="AG201" s="402"/>
      <c r="AH201" s="403"/>
      <c r="AI201" s="401"/>
      <c r="AJ201" s="402"/>
      <c r="AK201" s="403"/>
      <c r="AL201" s="401"/>
      <c r="AM201" s="402"/>
      <c r="AN201" s="403"/>
      <c r="AO201" s="401"/>
      <c r="AP201" s="402"/>
      <c r="AQ201" s="403"/>
      <c r="AR201" s="401"/>
      <c r="AS201" s="202"/>
    </row>
    <row r="202" spans="1:45" ht="11.25" hidden="1" customHeight="1">
      <c r="A202" s="12"/>
      <c r="B202" s="358"/>
      <c r="C202" s="359"/>
      <c r="D202" s="359"/>
      <c r="E202" s="360"/>
      <c r="F202" s="230"/>
      <c r="G202" s="521"/>
      <c r="H202" s="362"/>
      <c r="I202" s="230"/>
      <c r="J202" s="230"/>
      <c r="K202" s="230"/>
      <c r="L202" s="364"/>
      <c r="M202" s="365"/>
      <c r="N202" s="366"/>
      <c r="O202" s="367"/>
      <c r="P202" s="368"/>
      <c r="Q202" s="382"/>
      <c r="R202" s="370"/>
      <c r="S202" s="370"/>
      <c r="T202" s="371"/>
      <c r="U202" s="384"/>
      <c r="V202" s="373"/>
      <c r="W202" s="400"/>
      <c r="X202" s="512"/>
      <c r="Y202" s="376"/>
      <c r="Z202" s="513"/>
      <c r="AA202" s="402"/>
      <c r="AB202" s="403"/>
      <c r="AC202" s="401"/>
      <c r="AD202" s="402"/>
      <c r="AE202" s="403"/>
      <c r="AF202" s="401"/>
      <c r="AG202" s="402"/>
      <c r="AH202" s="403"/>
      <c r="AI202" s="401"/>
      <c r="AJ202" s="402"/>
      <c r="AK202" s="403"/>
      <c r="AL202" s="401"/>
      <c r="AM202" s="402"/>
      <c r="AN202" s="403"/>
      <c r="AO202" s="401"/>
      <c r="AP202" s="402"/>
      <c r="AQ202" s="403"/>
      <c r="AR202" s="401"/>
      <c r="AS202" s="202"/>
    </row>
    <row r="203" spans="1:45" ht="13.5" hidden="1" customHeight="1">
      <c r="A203" s="12"/>
      <c r="B203" s="358" t="s">
        <v>606</v>
      </c>
      <c r="C203" s="359">
        <v>19</v>
      </c>
      <c r="D203" s="359">
        <v>99</v>
      </c>
      <c r="E203" s="360" t="s">
        <v>718</v>
      </c>
      <c r="F203" s="230" t="s">
        <v>717</v>
      </c>
      <c r="G203" s="361" t="s">
        <v>43</v>
      </c>
      <c r="H203" s="362">
        <v>36038273</v>
      </c>
      <c r="I203" s="230">
        <v>41761</v>
      </c>
      <c r="J203" s="230">
        <v>9</v>
      </c>
      <c r="K203" s="368"/>
      <c r="L203" s="364"/>
      <c r="M203" s="365" t="s">
        <v>719</v>
      </c>
      <c r="N203" s="366" t="s">
        <v>720</v>
      </c>
      <c r="O203" s="367">
        <v>16286872</v>
      </c>
      <c r="P203" s="368">
        <v>4140250526</v>
      </c>
      <c r="Q203" s="382"/>
      <c r="R203" s="370" t="s">
        <v>369</v>
      </c>
      <c r="S203" s="370" t="s">
        <v>721</v>
      </c>
      <c r="T203" s="371" t="s">
        <v>715</v>
      </c>
      <c r="U203" s="384"/>
      <c r="V203" s="373">
        <v>300</v>
      </c>
      <c r="W203" s="398" t="s">
        <v>649</v>
      </c>
      <c r="X203" s="512">
        <v>45331</v>
      </c>
      <c r="Y203" s="372" t="s">
        <v>369</v>
      </c>
      <c r="Z203" s="381">
        <v>300</v>
      </c>
      <c r="AA203" s="359"/>
      <c r="AB203" s="230"/>
      <c r="AC203" s="381"/>
      <c r="AD203" s="359"/>
      <c r="AE203" s="230"/>
      <c r="AF203" s="381"/>
      <c r="AG203" s="359"/>
      <c r="AH203" s="230"/>
      <c r="AI203" s="381"/>
      <c r="AJ203" s="402"/>
      <c r="AK203" s="403"/>
      <c r="AL203" s="401"/>
      <c r="AM203" s="402"/>
      <c r="AN203" s="403"/>
      <c r="AO203" s="401"/>
      <c r="AP203" s="402"/>
      <c r="AQ203" s="403"/>
      <c r="AR203" s="401"/>
      <c r="AS203" s="202"/>
    </row>
    <row r="204" spans="1:45" ht="13.5" hidden="1" customHeight="1">
      <c r="A204" s="12"/>
      <c r="B204" s="358"/>
      <c r="C204" s="359"/>
      <c r="D204" s="359"/>
      <c r="E204" s="360"/>
      <c r="F204" s="230"/>
      <c r="G204" s="521"/>
      <c r="H204" s="362"/>
      <c r="I204" s="230"/>
      <c r="J204" s="230"/>
      <c r="K204" s="368"/>
      <c r="L204" s="364"/>
      <c r="M204" s="365"/>
      <c r="N204" s="366"/>
      <c r="O204" s="367"/>
      <c r="P204" s="368"/>
      <c r="Q204" s="382"/>
      <c r="R204" s="370"/>
      <c r="S204" s="370"/>
      <c r="T204" s="371"/>
      <c r="U204" s="384"/>
      <c r="V204" s="373"/>
      <c r="W204" s="400"/>
      <c r="X204" s="512"/>
      <c r="Y204" s="372"/>
      <c r="Z204" s="381"/>
      <c r="AA204" s="359"/>
      <c r="AB204" s="230"/>
      <c r="AC204" s="381"/>
      <c r="AD204" s="359"/>
      <c r="AE204" s="230"/>
      <c r="AF204" s="381"/>
      <c r="AG204" s="359"/>
      <c r="AH204" s="230"/>
      <c r="AI204" s="381"/>
      <c r="AJ204" s="402"/>
      <c r="AK204" s="403"/>
      <c r="AL204" s="401"/>
      <c r="AM204" s="402"/>
      <c r="AN204" s="403"/>
      <c r="AO204" s="401"/>
      <c r="AP204" s="402"/>
      <c r="AQ204" s="403"/>
      <c r="AR204" s="401"/>
      <c r="AS204" s="202"/>
    </row>
    <row r="205" spans="1:45" ht="13.5" hidden="1" customHeight="1">
      <c r="A205" s="12"/>
      <c r="B205" s="358" t="s">
        <v>606</v>
      </c>
      <c r="C205" s="359">
        <v>20</v>
      </c>
      <c r="D205" s="359">
        <v>100</v>
      </c>
      <c r="E205" s="360" t="s">
        <v>723</v>
      </c>
      <c r="F205" s="230" t="s">
        <v>722</v>
      </c>
      <c r="G205" s="361" t="s">
        <v>43</v>
      </c>
      <c r="H205" s="362">
        <v>30936611</v>
      </c>
      <c r="I205" s="230">
        <v>38430</v>
      </c>
      <c r="J205" s="230">
        <v>18</v>
      </c>
      <c r="K205" s="363" t="s">
        <v>724</v>
      </c>
      <c r="L205" s="364">
        <v>4120193934</v>
      </c>
      <c r="M205" s="365" t="s">
        <v>725</v>
      </c>
      <c r="N205" s="366"/>
      <c r="O205" s="367"/>
      <c r="P205" s="368"/>
      <c r="Q205" s="382"/>
      <c r="R205" s="370" t="s">
        <v>544</v>
      </c>
      <c r="S205" s="370" t="s">
        <v>726</v>
      </c>
      <c r="T205" s="371"/>
      <c r="U205" s="384"/>
      <c r="V205" s="373">
        <v>300</v>
      </c>
      <c r="W205" s="398" t="s">
        <v>649</v>
      </c>
      <c r="X205" s="512">
        <v>45332</v>
      </c>
      <c r="Y205" s="384" t="s">
        <v>76</v>
      </c>
      <c r="Z205" s="513">
        <v>300</v>
      </c>
      <c r="AA205" s="402"/>
      <c r="AB205" s="403"/>
      <c r="AC205" s="401"/>
      <c r="AD205" s="359"/>
      <c r="AE205" s="230"/>
      <c r="AF205" s="381"/>
      <c r="AG205" s="402"/>
      <c r="AH205" s="403"/>
      <c r="AI205" s="401"/>
      <c r="AJ205" s="402"/>
      <c r="AK205" s="403"/>
      <c r="AL205" s="401"/>
      <c r="AM205" s="402"/>
      <c r="AN205" s="403"/>
      <c r="AO205" s="401"/>
      <c r="AP205" s="402"/>
      <c r="AQ205" s="403"/>
      <c r="AR205" s="401"/>
      <c r="AS205" s="202"/>
    </row>
    <row r="206" spans="1:45" ht="13.5" hidden="1" customHeight="1">
      <c r="A206" s="12"/>
      <c r="B206" s="358"/>
      <c r="C206" s="359"/>
      <c r="D206" s="359"/>
      <c r="E206" s="360"/>
      <c r="F206" s="230"/>
      <c r="G206" s="521"/>
      <c r="H206" s="362"/>
      <c r="I206" s="230"/>
      <c r="J206" s="230"/>
      <c r="K206" s="368"/>
      <c r="L206" s="364"/>
      <c r="M206" s="365"/>
      <c r="N206" s="366"/>
      <c r="O206" s="367"/>
      <c r="P206" s="368"/>
      <c r="Q206" s="382"/>
      <c r="R206" s="370"/>
      <c r="S206" s="370"/>
      <c r="T206" s="371"/>
      <c r="U206" s="384"/>
      <c r="V206" s="373"/>
      <c r="W206" s="400"/>
      <c r="X206" s="512"/>
      <c r="Y206" s="384"/>
      <c r="Z206" s="513"/>
      <c r="AA206" s="402"/>
      <c r="AB206" s="403"/>
      <c r="AC206" s="401"/>
      <c r="AD206" s="359"/>
      <c r="AE206" s="230"/>
      <c r="AF206" s="381"/>
      <c r="AG206" s="402"/>
      <c r="AH206" s="403"/>
      <c r="AI206" s="401"/>
      <c r="AJ206" s="402"/>
      <c r="AK206" s="403"/>
      <c r="AL206" s="401"/>
      <c r="AM206" s="402"/>
      <c r="AN206" s="403"/>
      <c r="AO206" s="401"/>
      <c r="AP206" s="402"/>
      <c r="AQ206" s="403"/>
      <c r="AR206" s="401"/>
      <c r="AS206" s="202"/>
    </row>
    <row r="207" spans="1:45" ht="13.5" hidden="1" customHeight="1">
      <c r="A207" s="12"/>
      <c r="B207" s="358" t="s">
        <v>727</v>
      </c>
      <c r="C207" s="359">
        <v>1</v>
      </c>
      <c r="D207" s="359">
        <v>101</v>
      </c>
      <c r="E207" s="360" t="s">
        <v>729</v>
      </c>
      <c r="F207" s="445"/>
      <c r="G207" s="264" t="s">
        <v>43</v>
      </c>
      <c r="H207" s="523">
        <v>32453106</v>
      </c>
      <c r="I207" s="230">
        <v>39748</v>
      </c>
      <c r="J207" s="230">
        <v>16</v>
      </c>
      <c r="K207" s="363" t="s">
        <v>730</v>
      </c>
      <c r="L207" s="364" t="s">
        <v>731</v>
      </c>
      <c r="M207" s="452" t="s">
        <v>732</v>
      </c>
      <c r="N207" s="409" t="s">
        <v>733</v>
      </c>
      <c r="O207" s="453">
        <v>18740602</v>
      </c>
      <c r="P207" s="454" t="s">
        <v>731</v>
      </c>
      <c r="Q207" s="504" t="s">
        <v>730</v>
      </c>
      <c r="R207" s="370"/>
      <c r="S207" s="370" t="s">
        <v>696</v>
      </c>
      <c r="T207" s="371"/>
      <c r="U207" s="384"/>
      <c r="V207" s="515">
        <v>300</v>
      </c>
      <c r="W207" s="398" t="s">
        <v>78</v>
      </c>
      <c r="X207" s="404">
        <v>45337</v>
      </c>
      <c r="Y207" s="384"/>
      <c r="Z207" s="513">
        <v>300</v>
      </c>
      <c r="AA207" s="359"/>
      <c r="AB207" s="230"/>
      <c r="AC207" s="381"/>
      <c r="AD207" s="359"/>
      <c r="AE207" s="230"/>
      <c r="AF207" s="381"/>
      <c r="AG207" s="402"/>
      <c r="AH207" s="403"/>
      <c r="AI207" s="401"/>
      <c r="AJ207" s="402"/>
      <c r="AK207" s="403"/>
      <c r="AL207" s="401"/>
      <c r="AM207" s="402"/>
      <c r="AN207" s="403"/>
      <c r="AO207" s="401"/>
      <c r="AP207" s="402"/>
      <c r="AQ207" s="403"/>
      <c r="AR207" s="401"/>
      <c r="AS207" s="202"/>
    </row>
    <row r="208" spans="1:45" ht="13.5" hidden="1" customHeight="1">
      <c r="A208" s="12"/>
      <c r="B208" s="358"/>
      <c r="C208" s="359"/>
      <c r="D208" s="359"/>
      <c r="E208" s="360"/>
      <c r="F208" s="445"/>
      <c r="G208" s="521"/>
      <c r="H208" s="485"/>
      <c r="I208" s="230"/>
      <c r="J208" s="230"/>
      <c r="K208" s="363"/>
      <c r="L208" s="364"/>
      <c r="M208" s="439"/>
      <c r="N208" s="425"/>
      <c r="O208" s="440"/>
      <c r="P208" s="429"/>
      <c r="Q208" s="442"/>
      <c r="R208" s="370"/>
      <c r="S208" s="370"/>
      <c r="T208" s="371"/>
      <c r="U208" s="384"/>
      <c r="V208" s="515"/>
      <c r="W208" s="400"/>
      <c r="X208" s="404"/>
      <c r="Y208" s="384"/>
      <c r="Z208" s="513"/>
      <c r="AA208" s="359"/>
      <c r="AB208" s="230"/>
      <c r="AC208" s="381"/>
      <c r="AD208" s="359"/>
      <c r="AE208" s="230"/>
      <c r="AF208" s="381"/>
      <c r="AG208" s="402"/>
      <c r="AH208" s="403"/>
      <c r="AI208" s="401"/>
      <c r="AJ208" s="402"/>
      <c r="AK208" s="403"/>
      <c r="AL208" s="401"/>
      <c r="AM208" s="402"/>
      <c r="AN208" s="403"/>
      <c r="AO208" s="401"/>
      <c r="AP208" s="402"/>
      <c r="AQ208" s="403"/>
      <c r="AR208" s="401"/>
      <c r="AS208" s="202"/>
    </row>
    <row r="209" spans="1:45" ht="13.5" hidden="1" customHeight="1">
      <c r="A209" s="12"/>
      <c r="B209" s="358" t="s">
        <v>727</v>
      </c>
      <c r="C209" s="359">
        <v>2</v>
      </c>
      <c r="D209" s="359">
        <v>102</v>
      </c>
      <c r="E209" s="360" t="s">
        <v>735</v>
      </c>
      <c r="F209" s="524"/>
      <c r="G209" s="264" t="s">
        <v>43</v>
      </c>
      <c r="H209" s="362"/>
      <c r="I209" s="230">
        <v>43130</v>
      </c>
      <c r="J209" s="230">
        <v>6</v>
      </c>
      <c r="K209" s="363" t="s">
        <v>736</v>
      </c>
      <c r="L209" s="364">
        <v>4123685620</v>
      </c>
      <c r="M209" s="452" t="s">
        <v>737</v>
      </c>
      <c r="N209" s="409" t="s">
        <v>738</v>
      </c>
      <c r="O209" s="453">
        <v>16394794</v>
      </c>
      <c r="P209" s="454">
        <v>4123685620</v>
      </c>
      <c r="Q209" s="504" t="s">
        <v>739</v>
      </c>
      <c r="R209" s="370" t="s">
        <v>740</v>
      </c>
      <c r="S209" s="370" t="s">
        <v>741</v>
      </c>
      <c r="T209" s="371" t="s">
        <v>706</v>
      </c>
      <c r="U209" s="384"/>
      <c r="V209" s="515">
        <v>300</v>
      </c>
      <c r="W209" s="398" t="s">
        <v>78</v>
      </c>
      <c r="X209" s="512">
        <v>45339</v>
      </c>
      <c r="Y209" s="384" t="s">
        <v>2564</v>
      </c>
      <c r="Z209" s="513">
        <v>50</v>
      </c>
      <c r="AA209" s="359"/>
      <c r="AB209" s="230"/>
      <c r="AC209" s="381"/>
      <c r="AD209" s="359"/>
      <c r="AE209" s="230"/>
      <c r="AF209" s="381"/>
      <c r="AG209" s="402"/>
      <c r="AH209" s="403"/>
      <c r="AI209" s="401"/>
      <c r="AJ209" s="402"/>
      <c r="AK209" s="403"/>
      <c r="AL209" s="401"/>
      <c r="AM209" s="402"/>
      <c r="AN209" s="403"/>
      <c r="AO209" s="401"/>
      <c r="AP209" s="402"/>
      <c r="AQ209" s="403"/>
      <c r="AR209" s="401"/>
      <c r="AS209" s="202"/>
    </row>
    <row r="210" spans="1:45" ht="13.5" hidden="1" customHeight="1">
      <c r="A210" s="12"/>
      <c r="B210" s="358"/>
      <c r="C210" s="359"/>
      <c r="D210" s="359"/>
      <c r="E210" s="360"/>
      <c r="F210" s="524"/>
      <c r="G210" s="378"/>
      <c r="H210" s="362"/>
      <c r="I210" s="230"/>
      <c r="J210" s="230"/>
      <c r="K210" s="363"/>
      <c r="L210" s="364"/>
      <c r="M210" s="439"/>
      <c r="N210" s="425"/>
      <c r="O210" s="440"/>
      <c r="P210" s="429"/>
      <c r="Q210" s="430"/>
      <c r="R210" s="370"/>
      <c r="S210" s="370"/>
      <c r="T210" s="371"/>
      <c r="U210" s="384"/>
      <c r="V210" s="515"/>
      <c r="W210" s="400"/>
      <c r="X210" s="512"/>
      <c r="Y210" s="384"/>
      <c r="Z210" s="513"/>
      <c r="AA210" s="359"/>
      <c r="AB210" s="230"/>
      <c r="AC210" s="381"/>
      <c r="AD210" s="359"/>
      <c r="AE210" s="230"/>
      <c r="AF210" s="381"/>
      <c r="AG210" s="402"/>
      <c r="AH210" s="403"/>
      <c r="AI210" s="401"/>
      <c r="AJ210" s="402"/>
      <c r="AK210" s="403"/>
      <c r="AL210" s="401"/>
      <c r="AM210" s="402"/>
      <c r="AN210" s="403"/>
      <c r="AO210" s="401"/>
      <c r="AP210" s="402"/>
      <c r="AQ210" s="403"/>
      <c r="AR210" s="401"/>
      <c r="AS210" s="202"/>
    </row>
    <row r="211" spans="1:45" ht="13.5" hidden="1" customHeight="1">
      <c r="A211" s="12"/>
      <c r="B211" s="358" t="s">
        <v>727</v>
      </c>
      <c r="C211" s="359">
        <v>3</v>
      </c>
      <c r="D211" s="359">
        <v>103</v>
      </c>
      <c r="E211" s="360" t="s">
        <v>744</v>
      </c>
      <c r="F211" s="524"/>
      <c r="G211" s="361" t="s">
        <v>43</v>
      </c>
      <c r="H211" s="362">
        <v>29622244</v>
      </c>
      <c r="I211" s="230">
        <v>37223</v>
      </c>
      <c r="J211" s="230">
        <v>22</v>
      </c>
      <c r="K211" s="311"/>
      <c r="L211" s="364" t="s">
        <v>745</v>
      </c>
      <c r="M211" s="365" t="s">
        <v>746</v>
      </c>
      <c r="N211" s="366" t="s">
        <v>747</v>
      </c>
      <c r="O211" s="367">
        <v>13726233</v>
      </c>
      <c r="P211" s="368" t="s">
        <v>745</v>
      </c>
      <c r="Q211" s="369" t="s">
        <v>748</v>
      </c>
      <c r="R211" s="370" t="s">
        <v>657</v>
      </c>
      <c r="S211" s="370" t="s">
        <v>749</v>
      </c>
      <c r="T211" s="371" t="s">
        <v>706</v>
      </c>
      <c r="U211" s="384"/>
      <c r="V211" s="515">
        <v>480</v>
      </c>
      <c r="W211" s="398" t="s">
        <v>78</v>
      </c>
      <c r="X211" s="512">
        <v>45341</v>
      </c>
      <c r="Y211" s="384" t="s">
        <v>750</v>
      </c>
      <c r="Z211" s="513">
        <v>120</v>
      </c>
      <c r="AA211" s="402"/>
      <c r="AB211" s="403"/>
      <c r="AC211" s="401"/>
      <c r="AD211" s="402"/>
      <c r="AE211" s="403"/>
      <c r="AF211" s="401"/>
      <c r="AG211" s="402"/>
      <c r="AH211" s="403"/>
      <c r="AI211" s="401"/>
      <c r="AJ211" s="402"/>
      <c r="AK211" s="403"/>
      <c r="AL211" s="401"/>
      <c r="AM211" s="402"/>
      <c r="AN211" s="403"/>
      <c r="AO211" s="401"/>
      <c r="AP211" s="402"/>
      <c r="AQ211" s="403"/>
      <c r="AR211" s="401"/>
      <c r="AS211" s="202"/>
    </row>
    <row r="212" spans="1:45" ht="13.5" hidden="1" customHeight="1">
      <c r="A212" s="12"/>
      <c r="B212" s="358"/>
      <c r="C212" s="359"/>
      <c r="D212" s="359"/>
      <c r="E212" s="360"/>
      <c r="F212" s="524"/>
      <c r="G212" s="378"/>
      <c r="H212" s="362"/>
      <c r="I212" s="230"/>
      <c r="J212" s="230"/>
      <c r="K212" s="525" t="s">
        <v>2565</v>
      </c>
      <c r="L212" s="364"/>
      <c r="M212" s="365"/>
      <c r="N212" s="366"/>
      <c r="O212" s="367"/>
      <c r="P212" s="368"/>
      <c r="Q212" s="382"/>
      <c r="R212" s="370"/>
      <c r="S212" s="370"/>
      <c r="T212" s="371"/>
      <c r="U212" s="384"/>
      <c r="V212" s="515"/>
      <c r="W212" s="400"/>
      <c r="X212" s="512"/>
      <c r="Y212" s="384"/>
      <c r="Z212" s="513"/>
      <c r="AA212" s="402"/>
      <c r="AB212" s="403"/>
      <c r="AC212" s="401"/>
      <c r="AD212" s="402"/>
      <c r="AE212" s="403"/>
      <c r="AF212" s="401"/>
      <c r="AG212" s="402"/>
      <c r="AH212" s="403"/>
      <c r="AI212" s="401"/>
      <c r="AJ212" s="402"/>
      <c r="AK212" s="403"/>
      <c r="AL212" s="401"/>
      <c r="AM212" s="402"/>
      <c r="AN212" s="403"/>
      <c r="AO212" s="401"/>
      <c r="AP212" s="402"/>
      <c r="AQ212" s="403"/>
      <c r="AR212" s="401"/>
      <c r="AS212" s="202"/>
    </row>
    <row r="213" spans="1:45" ht="13.5" hidden="1" customHeight="1">
      <c r="A213" s="12"/>
      <c r="B213" s="358" t="s">
        <v>727</v>
      </c>
      <c r="C213" s="359">
        <v>4</v>
      </c>
      <c r="D213" s="359">
        <v>104</v>
      </c>
      <c r="E213" s="360" t="s">
        <v>752</v>
      </c>
      <c r="F213" s="524"/>
      <c r="G213" s="361" t="s">
        <v>43</v>
      </c>
      <c r="H213" s="362">
        <v>30318533</v>
      </c>
      <c r="I213" s="230">
        <v>38350</v>
      </c>
      <c r="J213" s="230">
        <v>20</v>
      </c>
      <c r="K213" s="363" t="s">
        <v>753</v>
      </c>
      <c r="L213" s="364" t="s">
        <v>754</v>
      </c>
      <c r="M213" s="365" t="s">
        <v>746</v>
      </c>
      <c r="N213" s="366" t="s">
        <v>747</v>
      </c>
      <c r="O213" s="367">
        <v>13726233</v>
      </c>
      <c r="P213" s="368" t="s">
        <v>745</v>
      </c>
      <c r="Q213" s="369" t="s">
        <v>748</v>
      </c>
      <c r="R213" s="370" t="s">
        <v>657</v>
      </c>
      <c r="S213" s="370" t="s">
        <v>749</v>
      </c>
      <c r="T213" s="371" t="s">
        <v>706</v>
      </c>
      <c r="U213" s="384"/>
      <c r="V213" s="373">
        <v>480</v>
      </c>
      <c r="W213" s="398" t="s">
        <v>78</v>
      </c>
      <c r="X213" s="512">
        <v>45341</v>
      </c>
      <c r="Y213" s="384" t="s">
        <v>750</v>
      </c>
      <c r="Z213" s="381">
        <v>120</v>
      </c>
      <c r="AA213" s="402"/>
      <c r="AB213" s="403"/>
      <c r="AC213" s="401"/>
      <c r="AD213" s="359"/>
      <c r="AE213" s="230"/>
      <c r="AF213" s="381"/>
      <c r="AG213" s="402"/>
      <c r="AH213" s="403"/>
      <c r="AI213" s="401"/>
      <c r="AJ213" s="402"/>
      <c r="AK213" s="403"/>
      <c r="AL213" s="401"/>
      <c r="AM213" s="402"/>
      <c r="AN213" s="403"/>
      <c r="AO213" s="401"/>
      <c r="AP213" s="402"/>
      <c r="AQ213" s="403"/>
      <c r="AR213" s="401"/>
      <c r="AS213" s="202"/>
    </row>
    <row r="214" spans="1:45" ht="13.5" hidden="1" customHeight="1">
      <c r="A214" s="12"/>
      <c r="B214" s="358"/>
      <c r="C214" s="359"/>
      <c r="D214" s="359"/>
      <c r="E214" s="360"/>
      <c r="F214" s="524"/>
      <c r="G214" s="378"/>
      <c r="H214" s="362"/>
      <c r="I214" s="230"/>
      <c r="J214" s="230"/>
      <c r="K214" s="230"/>
      <c r="L214" s="364"/>
      <c r="M214" s="365"/>
      <c r="N214" s="366"/>
      <c r="O214" s="367"/>
      <c r="P214" s="368"/>
      <c r="Q214" s="382"/>
      <c r="R214" s="370"/>
      <c r="S214" s="370"/>
      <c r="T214" s="371"/>
      <c r="U214" s="384"/>
      <c r="V214" s="373"/>
      <c r="W214" s="400"/>
      <c r="X214" s="512"/>
      <c r="Y214" s="384"/>
      <c r="Z214" s="381"/>
      <c r="AA214" s="402"/>
      <c r="AB214" s="403"/>
      <c r="AC214" s="401"/>
      <c r="AD214" s="359"/>
      <c r="AE214" s="230"/>
      <c r="AF214" s="381"/>
      <c r="AG214" s="402"/>
      <c r="AH214" s="403"/>
      <c r="AI214" s="401"/>
      <c r="AJ214" s="402"/>
      <c r="AK214" s="403"/>
      <c r="AL214" s="401"/>
      <c r="AM214" s="402"/>
      <c r="AN214" s="403"/>
      <c r="AO214" s="401"/>
      <c r="AP214" s="402"/>
      <c r="AQ214" s="403"/>
      <c r="AR214" s="401"/>
      <c r="AS214" s="202"/>
    </row>
    <row r="215" spans="1:45" ht="13.5" hidden="1" customHeight="1">
      <c r="A215" s="12"/>
      <c r="B215" s="358" t="s">
        <v>727</v>
      </c>
      <c r="C215" s="359">
        <v>5</v>
      </c>
      <c r="D215" s="359">
        <v>105</v>
      </c>
      <c r="E215" s="360" t="s">
        <v>756</v>
      </c>
      <c r="F215" s="524"/>
      <c r="G215" s="361" t="s">
        <v>43</v>
      </c>
      <c r="H215" s="362">
        <v>36023617</v>
      </c>
      <c r="I215" s="230">
        <v>41614</v>
      </c>
      <c r="J215" s="230">
        <v>10</v>
      </c>
      <c r="K215" s="363" t="s">
        <v>757</v>
      </c>
      <c r="L215" s="364" t="s">
        <v>758</v>
      </c>
      <c r="M215" s="365" t="s">
        <v>759</v>
      </c>
      <c r="N215" s="366" t="s">
        <v>760</v>
      </c>
      <c r="O215" s="367">
        <v>16370424</v>
      </c>
      <c r="P215" s="368" t="s">
        <v>758</v>
      </c>
      <c r="Q215" s="369" t="s">
        <v>757</v>
      </c>
      <c r="R215" s="370" t="s">
        <v>369</v>
      </c>
      <c r="S215" s="370" t="s">
        <v>761</v>
      </c>
      <c r="T215" s="371"/>
      <c r="U215" s="384"/>
      <c r="V215" s="373">
        <v>280</v>
      </c>
      <c r="W215" s="398" t="s">
        <v>78</v>
      </c>
      <c r="X215" s="404">
        <v>45342</v>
      </c>
      <c r="Y215" s="372" t="s">
        <v>369</v>
      </c>
      <c r="Z215" s="381">
        <v>280</v>
      </c>
      <c r="AA215" s="359"/>
      <c r="AB215" s="230"/>
      <c r="AC215" s="381"/>
      <c r="AD215" s="359"/>
      <c r="AE215" s="230"/>
      <c r="AF215" s="381"/>
      <c r="AG215" s="402"/>
      <c r="AH215" s="403"/>
      <c r="AI215" s="401"/>
      <c r="AJ215" s="402"/>
      <c r="AK215" s="403"/>
      <c r="AL215" s="401"/>
      <c r="AM215" s="402"/>
      <c r="AN215" s="403"/>
      <c r="AO215" s="401"/>
      <c r="AP215" s="402"/>
      <c r="AQ215" s="403"/>
      <c r="AR215" s="401"/>
      <c r="AS215" s="202"/>
    </row>
    <row r="216" spans="1:45" ht="13.5" hidden="1" customHeight="1">
      <c r="A216" s="12"/>
      <c r="B216" s="358"/>
      <c r="C216" s="359"/>
      <c r="D216" s="359"/>
      <c r="E216" s="360"/>
      <c r="F216" s="524"/>
      <c r="G216" s="378"/>
      <c r="H216" s="230"/>
      <c r="I216" s="230"/>
      <c r="J216" s="230"/>
      <c r="K216" s="368"/>
      <c r="L216" s="364"/>
      <c r="M216" s="365"/>
      <c r="N216" s="366"/>
      <c r="O216" s="367"/>
      <c r="P216" s="368"/>
      <c r="Q216" s="382"/>
      <c r="R216" s="370"/>
      <c r="S216" s="370"/>
      <c r="T216" s="371"/>
      <c r="U216" s="384"/>
      <c r="V216" s="373"/>
      <c r="W216" s="400"/>
      <c r="X216" s="404"/>
      <c r="Y216" s="372"/>
      <c r="Z216" s="381"/>
      <c r="AA216" s="359"/>
      <c r="AB216" s="230"/>
      <c r="AC216" s="381"/>
      <c r="AD216" s="359"/>
      <c r="AE216" s="230"/>
      <c r="AF216" s="381"/>
      <c r="AG216" s="402"/>
      <c r="AH216" s="403"/>
      <c r="AI216" s="401"/>
      <c r="AJ216" s="402"/>
      <c r="AK216" s="403"/>
      <c r="AL216" s="401"/>
      <c r="AM216" s="402"/>
      <c r="AN216" s="403"/>
      <c r="AO216" s="401"/>
      <c r="AP216" s="402"/>
      <c r="AQ216" s="403"/>
      <c r="AR216" s="401"/>
      <c r="AS216" s="202"/>
    </row>
    <row r="217" spans="1:45" ht="13.5" hidden="1" customHeight="1">
      <c r="A217" s="12"/>
      <c r="B217" s="358" t="s">
        <v>727</v>
      </c>
      <c r="C217" s="359">
        <v>6</v>
      </c>
      <c r="D217" s="359">
        <v>106</v>
      </c>
      <c r="E217" s="360" t="s">
        <v>763</v>
      </c>
      <c r="F217" s="524"/>
      <c r="G217" s="361" t="s">
        <v>43</v>
      </c>
      <c r="H217" s="362">
        <v>36023618</v>
      </c>
      <c r="I217" s="230">
        <v>41124</v>
      </c>
      <c r="J217" s="230">
        <v>11</v>
      </c>
      <c r="K217" s="363" t="s">
        <v>757</v>
      </c>
      <c r="L217" s="364" t="s">
        <v>758</v>
      </c>
      <c r="M217" s="365" t="s">
        <v>759</v>
      </c>
      <c r="N217" s="366" t="s">
        <v>760</v>
      </c>
      <c r="O217" s="367">
        <v>16370424</v>
      </c>
      <c r="P217" s="368" t="s">
        <v>758</v>
      </c>
      <c r="Q217" s="369" t="s">
        <v>757</v>
      </c>
      <c r="R217" s="370" t="s">
        <v>764</v>
      </c>
      <c r="S217" s="370" t="s">
        <v>761</v>
      </c>
      <c r="T217" s="371"/>
      <c r="U217" s="384"/>
      <c r="V217" s="373">
        <v>280</v>
      </c>
      <c r="W217" s="398" t="s">
        <v>78</v>
      </c>
      <c r="X217" s="404">
        <v>45342</v>
      </c>
      <c r="Y217" s="372" t="s">
        <v>369</v>
      </c>
      <c r="Z217" s="381">
        <v>280</v>
      </c>
      <c r="AA217" s="402"/>
      <c r="AB217" s="403"/>
      <c r="AC217" s="401"/>
      <c r="AD217" s="526"/>
      <c r="AE217" s="527"/>
      <c r="AF217" s="528"/>
      <c r="AG217" s="402"/>
      <c r="AH217" s="403"/>
      <c r="AI217" s="401"/>
      <c r="AJ217" s="402"/>
      <c r="AK217" s="403"/>
      <c r="AL217" s="401"/>
      <c r="AM217" s="402"/>
      <c r="AN217" s="403"/>
      <c r="AO217" s="401"/>
      <c r="AP217" s="402"/>
      <c r="AQ217" s="403"/>
      <c r="AR217" s="401"/>
      <c r="AS217" s="202"/>
    </row>
    <row r="218" spans="1:45" ht="13.5" hidden="1" customHeight="1">
      <c r="A218" s="12"/>
      <c r="B218" s="358"/>
      <c r="C218" s="359"/>
      <c r="D218" s="359"/>
      <c r="E218" s="360"/>
      <c r="F218" s="524"/>
      <c r="G218" s="378"/>
      <c r="H218" s="230"/>
      <c r="I218" s="230"/>
      <c r="J218" s="230"/>
      <c r="K218" s="368"/>
      <c r="L218" s="364"/>
      <c r="M218" s="365"/>
      <c r="N218" s="366"/>
      <c r="O218" s="367"/>
      <c r="P218" s="368"/>
      <c r="Q218" s="382"/>
      <c r="R218" s="370"/>
      <c r="S218" s="420"/>
      <c r="T218" s="371"/>
      <c r="U218" s="384"/>
      <c r="V218" s="373"/>
      <c r="W218" s="400"/>
      <c r="X218" s="404"/>
      <c r="Y218" s="372"/>
      <c r="Z218" s="381"/>
      <c r="AA218" s="402"/>
      <c r="AB218" s="403"/>
      <c r="AC218" s="401"/>
      <c r="AD218" s="529"/>
      <c r="AE218" s="379"/>
      <c r="AF218" s="380"/>
      <c r="AG218" s="402"/>
      <c r="AH218" s="403"/>
      <c r="AI218" s="401"/>
      <c r="AJ218" s="402"/>
      <c r="AK218" s="403"/>
      <c r="AL218" s="401"/>
      <c r="AM218" s="402"/>
      <c r="AN218" s="403"/>
      <c r="AO218" s="401"/>
      <c r="AP218" s="402"/>
      <c r="AQ218" s="403"/>
      <c r="AR218" s="401"/>
      <c r="AS218" s="202"/>
    </row>
    <row r="219" spans="1:45" ht="13.5" hidden="1" customHeight="1">
      <c r="A219" s="12"/>
      <c r="B219" s="358" t="s">
        <v>727</v>
      </c>
      <c r="C219" s="359">
        <v>7</v>
      </c>
      <c r="D219" s="359">
        <v>107</v>
      </c>
      <c r="E219" s="360" t="s">
        <v>766</v>
      </c>
      <c r="F219" s="230"/>
      <c r="G219" s="361" t="s">
        <v>43</v>
      </c>
      <c r="H219" s="362">
        <v>19274524</v>
      </c>
      <c r="I219" s="230">
        <v>32520</v>
      </c>
      <c r="J219" s="230">
        <v>35</v>
      </c>
      <c r="K219" s="363" t="s">
        <v>767</v>
      </c>
      <c r="L219" s="364" t="s">
        <v>768</v>
      </c>
      <c r="M219" s="365" t="s">
        <v>769</v>
      </c>
      <c r="N219" s="366"/>
      <c r="O219" s="367"/>
      <c r="P219" s="368"/>
      <c r="Q219" s="391"/>
      <c r="R219" s="530" t="s">
        <v>657</v>
      </c>
      <c r="S219" s="271" t="s">
        <v>770</v>
      </c>
      <c r="T219" s="531" t="s">
        <v>715</v>
      </c>
      <c r="U219" s="384"/>
      <c r="V219" s="373">
        <v>300</v>
      </c>
      <c r="W219" s="398" t="s">
        <v>620</v>
      </c>
      <c r="X219" s="404">
        <v>45345</v>
      </c>
      <c r="Y219" s="384" t="s">
        <v>750</v>
      </c>
      <c r="Z219" s="513">
        <v>300</v>
      </c>
      <c r="AA219" s="402"/>
      <c r="AB219" s="403"/>
      <c r="AC219" s="401"/>
      <c r="AD219" s="526"/>
      <c r="AE219" s="527"/>
      <c r="AF219" s="528"/>
      <c r="AG219" s="402"/>
      <c r="AH219" s="403"/>
      <c r="AI219" s="401"/>
      <c r="AJ219" s="402"/>
      <c r="AK219" s="403"/>
      <c r="AL219" s="401"/>
      <c r="AM219" s="402"/>
      <c r="AN219" s="403"/>
      <c r="AO219" s="401"/>
      <c r="AP219" s="402"/>
      <c r="AQ219" s="403"/>
      <c r="AR219" s="401"/>
      <c r="AS219" s="202"/>
    </row>
    <row r="220" spans="1:45" ht="13.5" hidden="1" customHeight="1">
      <c r="A220" s="12"/>
      <c r="B220" s="358"/>
      <c r="C220" s="359"/>
      <c r="D220" s="359"/>
      <c r="E220" s="360"/>
      <c r="F220" s="230"/>
      <c r="G220" s="378"/>
      <c r="H220" s="362"/>
      <c r="I220" s="230"/>
      <c r="J220" s="230"/>
      <c r="K220" s="368"/>
      <c r="L220" s="364"/>
      <c r="M220" s="365"/>
      <c r="N220" s="366"/>
      <c r="O220" s="367"/>
      <c r="P220" s="368"/>
      <c r="Q220" s="391"/>
      <c r="R220" s="530"/>
      <c r="S220" s="532"/>
      <c r="T220" s="531"/>
      <c r="U220" s="384"/>
      <c r="V220" s="373"/>
      <c r="W220" s="400"/>
      <c r="X220" s="404"/>
      <c r="Y220" s="384"/>
      <c r="Z220" s="513"/>
      <c r="AA220" s="402"/>
      <c r="AB220" s="403"/>
      <c r="AC220" s="401"/>
      <c r="AD220" s="529"/>
      <c r="AE220" s="379"/>
      <c r="AF220" s="380"/>
      <c r="AG220" s="402"/>
      <c r="AH220" s="403"/>
      <c r="AI220" s="401"/>
      <c r="AJ220" s="402"/>
      <c r="AK220" s="403"/>
      <c r="AL220" s="401"/>
      <c r="AM220" s="402"/>
      <c r="AN220" s="403"/>
      <c r="AO220" s="401"/>
      <c r="AP220" s="402"/>
      <c r="AQ220" s="403"/>
      <c r="AR220" s="401"/>
      <c r="AS220" s="202"/>
    </row>
    <row r="221" spans="1:45" ht="13.5" hidden="1" customHeight="1">
      <c r="A221" s="12"/>
      <c r="B221" s="358"/>
      <c r="C221" s="359">
        <v>8</v>
      </c>
      <c r="D221" s="359">
        <v>108</v>
      </c>
      <c r="E221" s="360" t="s">
        <v>772</v>
      </c>
      <c r="F221" s="230"/>
      <c r="G221" s="361" t="s">
        <v>43</v>
      </c>
      <c r="H221" s="362">
        <v>33993090</v>
      </c>
      <c r="I221" s="230">
        <v>40759</v>
      </c>
      <c r="J221" s="230">
        <v>12</v>
      </c>
      <c r="K221" s="363" t="s">
        <v>773</v>
      </c>
      <c r="L221" s="364" t="s">
        <v>774</v>
      </c>
      <c r="M221" s="365" t="s">
        <v>775</v>
      </c>
      <c r="N221" s="366" t="s">
        <v>776</v>
      </c>
      <c r="O221" s="367">
        <v>17534389</v>
      </c>
      <c r="P221" s="368" t="s">
        <v>774</v>
      </c>
      <c r="Q221" s="369" t="s">
        <v>773</v>
      </c>
      <c r="R221" s="530" t="s">
        <v>76</v>
      </c>
      <c r="S221" s="271" t="s">
        <v>741</v>
      </c>
      <c r="T221" s="531"/>
      <c r="U221" s="384"/>
      <c r="V221" s="373">
        <v>300</v>
      </c>
      <c r="W221" s="398" t="s">
        <v>777</v>
      </c>
      <c r="X221" s="404">
        <v>45346</v>
      </c>
      <c r="Y221" s="384" t="s">
        <v>778</v>
      </c>
      <c r="Z221" s="513">
        <v>300</v>
      </c>
      <c r="AA221" s="402"/>
      <c r="AB221" s="403"/>
      <c r="AC221" s="401"/>
      <c r="AD221" s="225"/>
      <c r="AE221" s="361"/>
      <c r="AF221" s="533"/>
      <c r="AG221" s="402"/>
      <c r="AH221" s="403"/>
      <c r="AI221" s="401"/>
      <c r="AJ221" s="402"/>
      <c r="AK221" s="403"/>
      <c r="AL221" s="401"/>
      <c r="AM221" s="402"/>
      <c r="AN221" s="403"/>
      <c r="AO221" s="401"/>
      <c r="AP221" s="402"/>
      <c r="AQ221" s="403"/>
      <c r="AR221" s="401"/>
      <c r="AS221" s="202"/>
    </row>
    <row r="222" spans="1:45" ht="13.5" hidden="1" customHeight="1">
      <c r="A222" s="12"/>
      <c r="B222" s="358"/>
      <c r="C222" s="359"/>
      <c r="D222" s="359"/>
      <c r="E222" s="360"/>
      <c r="F222" s="230"/>
      <c r="G222" s="378"/>
      <c r="H222" s="362"/>
      <c r="I222" s="230"/>
      <c r="J222" s="230"/>
      <c r="K222" s="368"/>
      <c r="L222" s="364"/>
      <c r="M222" s="365"/>
      <c r="N222" s="366"/>
      <c r="O222" s="367"/>
      <c r="P222" s="368"/>
      <c r="Q222" s="391"/>
      <c r="R222" s="530"/>
      <c r="S222" s="532"/>
      <c r="T222" s="531"/>
      <c r="U222" s="384"/>
      <c r="V222" s="373"/>
      <c r="W222" s="400"/>
      <c r="X222" s="404"/>
      <c r="Y222" s="384"/>
      <c r="Z222" s="513"/>
      <c r="AA222" s="402"/>
      <c r="AB222" s="403"/>
      <c r="AC222" s="401"/>
      <c r="AD222" s="325"/>
      <c r="AE222" s="378"/>
      <c r="AF222" s="377"/>
      <c r="AG222" s="402"/>
      <c r="AH222" s="403"/>
      <c r="AI222" s="401"/>
      <c r="AJ222" s="402"/>
      <c r="AK222" s="403"/>
      <c r="AL222" s="401"/>
      <c r="AM222" s="402"/>
      <c r="AN222" s="403"/>
      <c r="AO222" s="401"/>
      <c r="AP222" s="402"/>
      <c r="AQ222" s="403"/>
      <c r="AR222" s="401"/>
      <c r="AS222" s="202"/>
    </row>
    <row r="223" spans="1:45" ht="13.5" hidden="1" customHeight="1">
      <c r="A223" s="534"/>
      <c r="B223" s="358" t="s">
        <v>727</v>
      </c>
      <c r="C223" s="359">
        <v>9</v>
      </c>
      <c r="D223" s="359">
        <v>109</v>
      </c>
      <c r="E223" s="360" t="s">
        <v>780</v>
      </c>
      <c r="F223" s="524"/>
      <c r="G223" s="361" t="s">
        <v>43</v>
      </c>
      <c r="H223" s="362">
        <v>27222339</v>
      </c>
      <c r="I223" s="230">
        <v>36464</v>
      </c>
      <c r="J223" s="230">
        <v>24</v>
      </c>
      <c r="K223" s="363" t="s">
        <v>781</v>
      </c>
      <c r="L223" s="364" t="s">
        <v>782</v>
      </c>
      <c r="M223" s="365" t="s">
        <v>783</v>
      </c>
      <c r="N223" s="366"/>
      <c r="O223" s="230"/>
      <c r="P223" s="230"/>
      <c r="Q223" s="535"/>
      <c r="R223" s="370" t="s">
        <v>657</v>
      </c>
      <c r="S223" s="433" t="s">
        <v>784</v>
      </c>
      <c r="T223" s="371" t="s">
        <v>785</v>
      </c>
      <c r="U223" s="372"/>
      <c r="V223" s="373" t="s">
        <v>786</v>
      </c>
      <c r="W223" s="398" t="s">
        <v>78</v>
      </c>
      <c r="X223" s="359">
        <v>45348</v>
      </c>
      <c r="Y223" s="372" t="s">
        <v>281</v>
      </c>
      <c r="Z223" s="513">
        <v>300</v>
      </c>
      <c r="AA223" s="359"/>
      <c r="AB223" s="230"/>
      <c r="AC223" s="381"/>
      <c r="AD223" s="225"/>
      <c r="AE223" s="361"/>
      <c r="AF223" s="533"/>
      <c r="AG223" s="536"/>
      <c r="AH223" s="537"/>
      <c r="AI223" s="538"/>
      <c r="AJ223" s="536"/>
      <c r="AK223" s="537"/>
      <c r="AL223" s="538"/>
      <c r="AM223" s="536"/>
      <c r="AN223" s="537"/>
      <c r="AO223" s="538"/>
      <c r="AP223" s="536"/>
      <c r="AQ223" s="537"/>
      <c r="AR223" s="538"/>
      <c r="AS223" s="305"/>
    </row>
    <row r="224" spans="1:45" ht="13.5" hidden="1" customHeight="1">
      <c r="A224" s="534"/>
      <c r="B224" s="358"/>
      <c r="C224" s="359"/>
      <c r="D224" s="359"/>
      <c r="E224" s="360"/>
      <c r="F224" s="524"/>
      <c r="G224" s="378"/>
      <c r="H224" s="362"/>
      <c r="I224" s="230"/>
      <c r="J224" s="230"/>
      <c r="K224" s="230"/>
      <c r="L224" s="364"/>
      <c r="M224" s="365"/>
      <c r="N224" s="366"/>
      <c r="O224" s="230"/>
      <c r="P224" s="230"/>
      <c r="Q224" s="535"/>
      <c r="R224" s="370"/>
      <c r="S224" s="370"/>
      <c r="T224" s="371"/>
      <c r="U224" s="372"/>
      <c r="V224" s="373"/>
      <c r="W224" s="383"/>
      <c r="X224" s="359"/>
      <c r="Y224" s="372"/>
      <c r="Z224" s="513"/>
      <c r="AA224" s="359"/>
      <c r="AB224" s="230"/>
      <c r="AC224" s="381"/>
      <c r="AD224" s="325"/>
      <c r="AE224" s="378"/>
      <c r="AF224" s="377"/>
      <c r="AG224" s="536"/>
      <c r="AH224" s="537"/>
      <c r="AI224" s="538"/>
      <c r="AJ224" s="536"/>
      <c r="AK224" s="537"/>
      <c r="AL224" s="538"/>
      <c r="AM224" s="536"/>
      <c r="AN224" s="537"/>
      <c r="AO224" s="538"/>
      <c r="AP224" s="536"/>
      <c r="AQ224" s="537"/>
      <c r="AR224" s="538"/>
      <c r="AS224" s="305"/>
    </row>
    <row r="225" spans="1:45" ht="13.5" hidden="1" customHeight="1">
      <c r="A225" s="12"/>
      <c r="B225" s="358" t="s">
        <v>727</v>
      </c>
      <c r="C225" s="359">
        <v>10</v>
      </c>
      <c r="D225" s="359">
        <v>110</v>
      </c>
      <c r="E225" s="360" t="s">
        <v>788</v>
      </c>
      <c r="F225" s="524"/>
      <c r="G225" s="361" t="s">
        <v>43</v>
      </c>
      <c r="H225" s="362">
        <v>33206839</v>
      </c>
      <c r="I225" s="230">
        <v>39795</v>
      </c>
      <c r="J225" s="230">
        <v>15</v>
      </c>
      <c r="K225" s="363" t="s">
        <v>789</v>
      </c>
      <c r="L225" s="364" t="s">
        <v>790</v>
      </c>
      <c r="M225" s="365" t="s">
        <v>791</v>
      </c>
      <c r="N225" s="366" t="s">
        <v>792</v>
      </c>
      <c r="O225" s="454">
        <v>15107249</v>
      </c>
      <c r="P225" s="367" t="s">
        <v>793</v>
      </c>
      <c r="Q225" s="504" t="s">
        <v>794</v>
      </c>
      <c r="R225" s="370" t="s">
        <v>657</v>
      </c>
      <c r="S225" s="370" t="s">
        <v>795</v>
      </c>
      <c r="T225" s="371" t="s">
        <v>796</v>
      </c>
      <c r="U225" s="384"/>
      <c r="V225" s="373" t="s">
        <v>786</v>
      </c>
      <c r="W225" s="374" t="s">
        <v>78</v>
      </c>
      <c r="X225" s="404">
        <v>45348</v>
      </c>
      <c r="Y225" s="372" t="s">
        <v>778</v>
      </c>
      <c r="Z225" s="381"/>
      <c r="AA225" s="402"/>
      <c r="AB225" s="403"/>
      <c r="AC225" s="401"/>
      <c r="AD225" s="225"/>
      <c r="AE225" s="361"/>
      <c r="AF225" s="533"/>
      <c r="AG225" s="402"/>
      <c r="AH225" s="403"/>
      <c r="AI225" s="401"/>
      <c r="AJ225" s="402"/>
      <c r="AK225" s="403"/>
      <c r="AL225" s="401"/>
      <c r="AM225" s="402"/>
      <c r="AN225" s="403"/>
      <c r="AO225" s="401"/>
      <c r="AP225" s="402"/>
      <c r="AQ225" s="403"/>
      <c r="AR225" s="401"/>
      <c r="AS225" s="202"/>
    </row>
    <row r="226" spans="1:45" ht="13.5" hidden="1" customHeight="1">
      <c r="A226" s="12"/>
      <c r="B226" s="358"/>
      <c r="C226" s="359"/>
      <c r="D226" s="359"/>
      <c r="E226" s="360"/>
      <c r="F226" s="524"/>
      <c r="G226" s="378"/>
      <c r="H226" s="362"/>
      <c r="I226" s="230"/>
      <c r="J226" s="230"/>
      <c r="K226" s="363"/>
      <c r="L226" s="364"/>
      <c r="M226" s="365"/>
      <c r="N226" s="366"/>
      <c r="O226" s="429"/>
      <c r="P226" s="367"/>
      <c r="Q226" s="507"/>
      <c r="R226" s="370"/>
      <c r="S226" s="370"/>
      <c r="T226" s="371"/>
      <c r="U226" s="384"/>
      <c r="V226" s="373"/>
      <c r="W226" s="383"/>
      <c r="X226" s="404"/>
      <c r="Y226" s="372"/>
      <c r="Z226" s="381"/>
      <c r="AA226" s="402"/>
      <c r="AB226" s="403"/>
      <c r="AC226" s="401"/>
      <c r="AD226" s="325"/>
      <c r="AE226" s="378"/>
      <c r="AF226" s="377"/>
      <c r="AG226" s="402"/>
      <c r="AH226" s="403"/>
      <c r="AI226" s="401"/>
      <c r="AJ226" s="402"/>
      <c r="AK226" s="403"/>
      <c r="AL226" s="401"/>
      <c r="AM226" s="402"/>
      <c r="AN226" s="403"/>
      <c r="AO226" s="401"/>
      <c r="AP226" s="402"/>
      <c r="AQ226" s="403"/>
      <c r="AR226" s="401"/>
      <c r="AS226" s="202"/>
    </row>
    <row r="227" spans="1:45" ht="13.5" hidden="1" customHeight="1">
      <c r="A227" s="12"/>
      <c r="B227" s="358" t="s">
        <v>727</v>
      </c>
      <c r="C227" s="359">
        <v>11</v>
      </c>
      <c r="D227" s="359">
        <v>111</v>
      </c>
      <c r="E227" s="360" t="s">
        <v>798</v>
      </c>
      <c r="F227" s="524"/>
      <c r="G227" s="361" t="s">
        <v>43</v>
      </c>
      <c r="H227" s="362"/>
      <c r="I227" s="230"/>
      <c r="J227" s="230">
        <v>9</v>
      </c>
      <c r="K227" s="363" t="s">
        <v>313</v>
      </c>
      <c r="L227" s="364" t="s">
        <v>799</v>
      </c>
      <c r="M227" s="365" t="s">
        <v>800</v>
      </c>
      <c r="N227" s="366" t="s">
        <v>315</v>
      </c>
      <c r="O227" s="367">
        <v>15199917</v>
      </c>
      <c r="P227" s="368" t="s">
        <v>799</v>
      </c>
      <c r="Q227" s="508" t="s">
        <v>313</v>
      </c>
      <c r="R227" s="370" t="s">
        <v>369</v>
      </c>
      <c r="S227" s="370" t="s">
        <v>801</v>
      </c>
      <c r="T227" s="371"/>
      <c r="U227" s="372"/>
      <c r="V227" s="373"/>
      <c r="W227" s="374" t="s">
        <v>78</v>
      </c>
      <c r="X227" s="404">
        <v>45351</v>
      </c>
      <c r="Y227" s="372" t="s">
        <v>369</v>
      </c>
      <c r="Z227" s="381"/>
      <c r="AA227" s="402"/>
      <c r="AB227" s="403"/>
      <c r="AC227" s="401"/>
      <c r="AD227" s="225"/>
      <c r="AE227" s="361"/>
      <c r="AF227" s="533"/>
      <c r="AG227" s="402"/>
      <c r="AH227" s="403"/>
      <c r="AI227" s="401"/>
      <c r="AJ227" s="402"/>
      <c r="AK227" s="403"/>
      <c r="AL227" s="401"/>
      <c r="AM227" s="402"/>
      <c r="AN227" s="403"/>
      <c r="AO227" s="401"/>
      <c r="AP227" s="402"/>
      <c r="AQ227" s="403"/>
      <c r="AR227" s="401"/>
      <c r="AS227" s="202"/>
    </row>
    <row r="228" spans="1:45" ht="13.5" hidden="1" customHeight="1">
      <c r="A228" s="12"/>
      <c r="B228" s="358"/>
      <c r="C228" s="359"/>
      <c r="D228" s="359"/>
      <c r="E228" s="360"/>
      <c r="F228" s="524"/>
      <c r="G228" s="378"/>
      <c r="H228" s="362"/>
      <c r="I228" s="230"/>
      <c r="J228" s="230"/>
      <c r="K228" s="368"/>
      <c r="L228" s="364"/>
      <c r="M228" s="365"/>
      <c r="N228" s="366"/>
      <c r="O228" s="367"/>
      <c r="P228" s="368"/>
      <c r="Q228" s="442"/>
      <c r="R228" s="370"/>
      <c r="S228" s="370"/>
      <c r="T228" s="371"/>
      <c r="U228" s="372"/>
      <c r="V228" s="373"/>
      <c r="W228" s="383"/>
      <c r="X228" s="404"/>
      <c r="Y228" s="372"/>
      <c r="Z228" s="381"/>
      <c r="AA228" s="402"/>
      <c r="AB228" s="403"/>
      <c r="AC228" s="401"/>
      <c r="AD228" s="325"/>
      <c r="AE228" s="378"/>
      <c r="AF228" s="377"/>
      <c r="AG228" s="402"/>
      <c r="AH228" s="403"/>
      <c r="AI228" s="401"/>
      <c r="AJ228" s="402"/>
      <c r="AK228" s="403"/>
      <c r="AL228" s="401"/>
      <c r="AM228" s="402"/>
      <c r="AN228" s="403"/>
      <c r="AO228" s="401"/>
      <c r="AP228" s="402"/>
      <c r="AQ228" s="403"/>
      <c r="AR228" s="401"/>
      <c r="AS228" s="202"/>
    </row>
    <row r="229" spans="1:45" ht="13.5" hidden="1" customHeight="1">
      <c r="A229" s="539"/>
      <c r="B229" s="358" t="s">
        <v>727</v>
      </c>
      <c r="C229" s="359">
        <v>12</v>
      </c>
      <c r="D229" s="359">
        <v>112</v>
      </c>
      <c r="E229" s="360" t="s">
        <v>803</v>
      </c>
      <c r="F229" s="524"/>
      <c r="G229" s="361" t="s">
        <v>43</v>
      </c>
      <c r="H229" s="362"/>
      <c r="I229" s="230">
        <v>45601</v>
      </c>
      <c r="J229" s="230">
        <v>9</v>
      </c>
      <c r="K229" s="363" t="s">
        <v>804</v>
      </c>
      <c r="L229" s="364" t="s">
        <v>805</v>
      </c>
      <c r="M229" s="365" t="s">
        <v>806</v>
      </c>
      <c r="N229" s="366" t="s">
        <v>807</v>
      </c>
      <c r="O229" s="443">
        <v>18738711</v>
      </c>
      <c r="P229" s="368">
        <v>4127264455</v>
      </c>
      <c r="Q229" s="369" t="s">
        <v>804</v>
      </c>
      <c r="R229" s="370" t="s">
        <v>369</v>
      </c>
      <c r="S229" s="370" t="s">
        <v>741</v>
      </c>
      <c r="T229" s="371" t="s">
        <v>785</v>
      </c>
      <c r="U229" s="384"/>
      <c r="V229" s="373">
        <v>300</v>
      </c>
      <c r="W229" s="374" t="s">
        <v>78</v>
      </c>
      <c r="X229" s="404">
        <v>45352</v>
      </c>
      <c r="Y229" s="372"/>
      <c r="Z229" s="381"/>
      <c r="AA229" s="359"/>
      <c r="AB229" s="230"/>
      <c r="AC229" s="381"/>
      <c r="AD229" s="225"/>
      <c r="AE229" s="361"/>
      <c r="AF229" s="533"/>
      <c r="AG229" s="498"/>
      <c r="AH229" s="540"/>
      <c r="AI229" s="541"/>
      <c r="AJ229" s="498"/>
      <c r="AK229" s="540"/>
      <c r="AL229" s="541"/>
      <c r="AM229" s="498"/>
      <c r="AN229" s="540"/>
      <c r="AO229" s="541"/>
      <c r="AP229" s="498"/>
      <c r="AQ229" s="540"/>
      <c r="AR229" s="541"/>
      <c r="AS229" s="309"/>
    </row>
    <row r="230" spans="1:45" ht="13.5" hidden="1" customHeight="1">
      <c r="A230" s="539"/>
      <c r="B230" s="358"/>
      <c r="C230" s="359"/>
      <c r="D230" s="359"/>
      <c r="E230" s="360"/>
      <c r="F230" s="524"/>
      <c r="G230" s="378"/>
      <c r="H230" s="362"/>
      <c r="I230" s="230"/>
      <c r="J230" s="230"/>
      <c r="K230" s="368"/>
      <c r="L230" s="364"/>
      <c r="M230" s="365"/>
      <c r="N230" s="366"/>
      <c r="O230" s="368"/>
      <c r="P230" s="368"/>
      <c r="Q230" s="382"/>
      <c r="R230" s="370"/>
      <c r="S230" s="370"/>
      <c r="T230" s="371"/>
      <c r="U230" s="384"/>
      <c r="V230" s="373"/>
      <c r="W230" s="383"/>
      <c r="X230" s="404"/>
      <c r="Y230" s="372"/>
      <c r="Z230" s="381"/>
      <c r="AA230" s="359"/>
      <c r="AB230" s="230"/>
      <c r="AC230" s="381"/>
      <c r="AD230" s="325"/>
      <c r="AE230" s="378"/>
      <c r="AF230" s="377"/>
      <c r="AG230" s="498"/>
      <c r="AH230" s="540"/>
      <c r="AI230" s="541"/>
      <c r="AJ230" s="498"/>
      <c r="AK230" s="540"/>
      <c r="AL230" s="541"/>
      <c r="AM230" s="498"/>
      <c r="AN230" s="540"/>
      <c r="AO230" s="541"/>
      <c r="AP230" s="498"/>
      <c r="AQ230" s="540"/>
      <c r="AR230" s="541"/>
      <c r="AS230" s="309"/>
    </row>
    <row r="231" spans="1:45" ht="13.5" hidden="1" customHeight="1">
      <c r="A231" s="539"/>
      <c r="B231" s="358" t="s">
        <v>727</v>
      </c>
      <c r="C231" s="359">
        <v>13</v>
      </c>
      <c r="D231" s="359">
        <v>113</v>
      </c>
      <c r="E231" s="360" t="s">
        <v>809</v>
      </c>
      <c r="F231" s="524"/>
      <c r="G231" s="361" t="s">
        <v>43</v>
      </c>
      <c r="H231" s="362">
        <v>33351925</v>
      </c>
      <c r="I231" s="230">
        <v>40277</v>
      </c>
      <c r="J231" s="230">
        <v>13</v>
      </c>
      <c r="K231" s="363" t="s">
        <v>810</v>
      </c>
      <c r="L231" s="364" t="s">
        <v>811</v>
      </c>
      <c r="M231" s="365" t="s">
        <v>812</v>
      </c>
      <c r="N231" s="366" t="s">
        <v>813</v>
      </c>
      <c r="O231" s="367">
        <v>14215015</v>
      </c>
      <c r="P231" s="368">
        <v>4241002715</v>
      </c>
      <c r="Q231" s="369" t="s">
        <v>810</v>
      </c>
      <c r="R231" s="370" t="s">
        <v>814</v>
      </c>
      <c r="S231" s="370" t="s">
        <v>815</v>
      </c>
      <c r="T231" s="371"/>
      <c r="U231" s="372" t="s">
        <v>816</v>
      </c>
      <c r="V231" s="373">
        <v>480</v>
      </c>
      <c r="W231" s="374" t="s">
        <v>78</v>
      </c>
      <c r="X231" s="404">
        <v>45352</v>
      </c>
      <c r="Y231" s="372" t="s">
        <v>369</v>
      </c>
      <c r="Z231" s="381"/>
      <c r="AA231" s="359"/>
      <c r="AB231" s="230"/>
      <c r="AC231" s="381"/>
      <c r="AD231" s="225"/>
      <c r="AE231" s="361"/>
      <c r="AF231" s="533"/>
      <c r="AG231" s="498"/>
      <c r="AH231" s="540"/>
      <c r="AI231" s="541"/>
      <c r="AJ231" s="498"/>
      <c r="AK231" s="540"/>
      <c r="AL231" s="541"/>
      <c r="AM231" s="498"/>
      <c r="AN231" s="540"/>
      <c r="AO231" s="541"/>
      <c r="AP231" s="498"/>
      <c r="AQ231" s="540"/>
      <c r="AR231" s="541"/>
      <c r="AS231" s="309"/>
    </row>
    <row r="232" spans="1:45" ht="13.5" hidden="1" customHeight="1">
      <c r="A232" s="539"/>
      <c r="B232" s="358"/>
      <c r="C232" s="359"/>
      <c r="D232" s="359"/>
      <c r="E232" s="360"/>
      <c r="F232" s="524"/>
      <c r="G232" s="378"/>
      <c r="H232" s="362"/>
      <c r="I232" s="230"/>
      <c r="J232" s="230"/>
      <c r="K232" s="363"/>
      <c r="L232" s="364"/>
      <c r="M232" s="365"/>
      <c r="N232" s="366"/>
      <c r="O232" s="367"/>
      <c r="P232" s="368"/>
      <c r="Q232" s="382"/>
      <c r="R232" s="370"/>
      <c r="S232" s="370"/>
      <c r="T232" s="371"/>
      <c r="U232" s="372"/>
      <c r="V232" s="373"/>
      <c r="W232" s="383"/>
      <c r="X232" s="404"/>
      <c r="Y232" s="372"/>
      <c r="Z232" s="381"/>
      <c r="AA232" s="359"/>
      <c r="AB232" s="230"/>
      <c r="AC232" s="381"/>
      <c r="AD232" s="325"/>
      <c r="AE232" s="378"/>
      <c r="AF232" s="377"/>
      <c r="AG232" s="498"/>
      <c r="AH232" s="540"/>
      <c r="AI232" s="541"/>
      <c r="AJ232" s="498"/>
      <c r="AK232" s="540"/>
      <c r="AL232" s="541"/>
      <c r="AM232" s="498"/>
      <c r="AN232" s="540"/>
      <c r="AO232" s="541"/>
      <c r="AP232" s="498"/>
      <c r="AQ232" s="540"/>
      <c r="AR232" s="541"/>
      <c r="AS232" s="309"/>
    </row>
    <row r="233" spans="1:45" ht="13.5" hidden="1" customHeight="1">
      <c r="A233" s="12"/>
      <c r="B233" s="358" t="s">
        <v>727</v>
      </c>
      <c r="C233" s="359">
        <v>14</v>
      </c>
      <c r="D233" s="359">
        <v>114</v>
      </c>
      <c r="E233" s="360" t="s">
        <v>818</v>
      </c>
      <c r="F233" s="524"/>
      <c r="G233" s="361" t="s">
        <v>43</v>
      </c>
      <c r="H233" s="362">
        <v>32479015</v>
      </c>
      <c r="I233" s="230">
        <v>39619</v>
      </c>
      <c r="J233" s="230">
        <v>15</v>
      </c>
      <c r="K233" s="363" t="s">
        <v>810</v>
      </c>
      <c r="L233" s="364" t="s">
        <v>819</v>
      </c>
      <c r="M233" s="365" t="s">
        <v>812</v>
      </c>
      <c r="N233" s="366" t="s">
        <v>813</v>
      </c>
      <c r="O233" s="367">
        <v>14215015</v>
      </c>
      <c r="P233" s="368">
        <v>4241002715</v>
      </c>
      <c r="Q233" s="408"/>
      <c r="R233" s="370" t="s">
        <v>814</v>
      </c>
      <c r="S233" s="370"/>
      <c r="T233" s="371"/>
      <c r="U233" s="372"/>
      <c r="V233" s="373"/>
      <c r="W233" s="374" t="s">
        <v>78</v>
      </c>
      <c r="X233" s="404">
        <v>45352</v>
      </c>
      <c r="Y233" s="372"/>
      <c r="Z233" s="381"/>
      <c r="AA233" s="359"/>
      <c r="AB233" s="230"/>
      <c r="AC233" s="381"/>
      <c r="AD233" s="225"/>
      <c r="AE233" s="361"/>
      <c r="AF233" s="533"/>
      <c r="AG233" s="402"/>
      <c r="AH233" s="403"/>
      <c r="AI233" s="401"/>
      <c r="AJ233" s="402"/>
      <c r="AK233" s="403"/>
      <c r="AL233" s="401"/>
      <c r="AM233" s="402"/>
      <c r="AN233" s="403"/>
      <c r="AO233" s="401"/>
      <c r="AP233" s="402"/>
      <c r="AQ233" s="403"/>
      <c r="AR233" s="401"/>
      <c r="AS233" s="202"/>
    </row>
    <row r="234" spans="1:45" ht="13.5" hidden="1" customHeight="1">
      <c r="A234" s="12"/>
      <c r="B234" s="358"/>
      <c r="C234" s="359"/>
      <c r="D234" s="359"/>
      <c r="E234" s="360"/>
      <c r="F234" s="524"/>
      <c r="G234" s="378"/>
      <c r="H234" s="362"/>
      <c r="I234" s="230"/>
      <c r="J234" s="230"/>
      <c r="K234" s="363"/>
      <c r="L234" s="364"/>
      <c r="M234" s="365"/>
      <c r="N234" s="366"/>
      <c r="O234" s="367"/>
      <c r="P234" s="368"/>
      <c r="Q234" s="408"/>
      <c r="R234" s="370"/>
      <c r="S234" s="370"/>
      <c r="T234" s="371"/>
      <c r="U234" s="372"/>
      <c r="V234" s="373"/>
      <c r="W234" s="383"/>
      <c r="X234" s="404"/>
      <c r="Y234" s="372"/>
      <c r="Z234" s="381"/>
      <c r="AA234" s="359"/>
      <c r="AB234" s="230"/>
      <c r="AC234" s="381"/>
      <c r="AD234" s="325"/>
      <c r="AE234" s="378"/>
      <c r="AF234" s="377"/>
      <c r="AG234" s="402"/>
      <c r="AH234" s="403"/>
      <c r="AI234" s="401"/>
      <c r="AJ234" s="402"/>
      <c r="AK234" s="403"/>
      <c r="AL234" s="401"/>
      <c r="AM234" s="402"/>
      <c r="AN234" s="403"/>
      <c r="AO234" s="401"/>
      <c r="AP234" s="402"/>
      <c r="AQ234" s="403"/>
      <c r="AR234" s="401"/>
      <c r="AS234" s="202"/>
    </row>
    <row r="235" spans="1:45" ht="13.5" hidden="1" customHeight="1">
      <c r="A235" s="539"/>
      <c r="B235" s="358" t="s">
        <v>727</v>
      </c>
      <c r="C235" s="359">
        <v>15</v>
      </c>
      <c r="D235" s="359">
        <v>115</v>
      </c>
      <c r="E235" s="360" t="s">
        <v>821</v>
      </c>
      <c r="F235" s="524"/>
      <c r="G235" s="361" t="s">
        <v>43</v>
      </c>
      <c r="H235" s="362" t="s">
        <v>2566</v>
      </c>
      <c r="I235" s="230">
        <v>45463</v>
      </c>
      <c r="J235" s="230">
        <v>20</v>
      </c>
      <c r="K235" s="363" t="s">
        <v>823</v>
      </c>
      <c r="L235" s="364" t="s">
        <v>824</v>
      </c>
      <c r="M235" s="365"/>
      <c r="N235" s="366"/>
      <c r="O235" s="368"/>
      <c r="P235" s="368"/>
      <c r="Q235" s="382"/>
      <c r="R235" s="370" t="s">
        <v>778</v>
      </c>
      <c r="S235" s="370"/>
      <c r="T235" s="371"/>
      <c r="U235" s="372"/>
      <c r="V235" s="373"/>
      <c r="W235" s="374" t="s">
        <v>777</v>
      </c>
      <c r="X235" s="404">
        <v>45352</v>
      </c>
      <c r="Y235" s="372"/>
      <c r="Z235" s="381"/>
      <c r="AA235" s="359"/>
      <c r="AB235" s="230"/>
      <c r="AC235" s="381"/>
      <c r="AD235" s="225"/>
      <c r="AE235" s="361"/>
      <c r="AF235" s="533"/>
      <c r="AG235" s="498"/>
      <c r="AH235" s="540"/>
      <c r="AI235" s="541"/>
      <c r="AJ235" s="498"/>
      <c r="AK235" s="540"/>
      <c r="AL235" s="541"/>
      <c r="AM235" s="498"/>
      <c r="AN235" s="540"/>
      <c r="AO235" s="541"/>
      <c r="AP235" s="498"/>
      <c r="AQ235" s="540"/>
      <c r="AR235" s="541"/>
      <c r="AS235" s="309"/>
    </row>
    <row r="236" spans="1:45" ht="13.5" hidden="1" customHeight="1">
      <c r="A236" s="539"/>
      <c r="B236" s="358"/>
      <c r="C236" s="359"/>
      <c r="D236" s="359"/>
      <c r="E236" s="360"/>
      <c r="F236" s="524"/>
      <c r="G236" s="378"/>
      <c r="H236" s="362"/>
      <c r="I236" s="230"/>
      <c r="J236" s="230"/>
      <c r="K236" s="363"/>
      <c r="L236" s="364"/>
      <c r="M236" s="365"/>
      <c r="N236" s="366"/>
      <c r="O236" s="368"/>
      <c r="P236" s="368"/>
      <c r="Q236" s="382"/>
      <c r="R236" s="370"/>
      <c r="S236" s="370"/>
      <c r="T236" s="371"/>
      <c r="U236" s="372"/>
      <c r="V236" s="373"/>
      <c r="W236" s="383"/>
      <c r="X236" s="404"/>
      <c r="Y236" s="372"/>
      <c r="Z236" s="381"/>
      <c r="AA236" s="359"/>
      <c r="AB236" s="230"/>
      <c r="AC236" s="381"/>
      <c r="AD236" s="325"/>
      <c r="AE236" s="378"/>
      <c r="AF236" s="377"/>
      <c r="AG236" s="498"/>
      <c r="AH236" s="540"/>
      <c r="AI236" s="541"/>
      <c r="AJ236" s="498"/>
      <c r="AK236" s="540"/>
      <c r="AL236" s="541"/>
      <c r="AM236" s="498"/>
      <c r="AN236" s="540"/>
      <c r="AO236" s="541"/>
      <c r="AP236" s="498"/>
      <c r="AQ236" s="540"/>
      <c r="AR236" s="541"/>
      <c r="AS236" s="309"/>
    </row>
    <row r="237" spans="1:45" ht="13.5" hidden="1" customHeight="1">
      <c r="A237" s="12"/>
      <c r="B237" s="358" t="s">
        <v>727</v>
      </c>
      <c r="C237" s="359">
        <v>16</v>
      </c>
      <c r="D237" s="359">
        <v>116</v>
      </c>
      <c r="E237" s="360" t="s">
        <v>826</v>
      </c>
      <c r="F237" s="524"/>
      <c r="G237" s="361" t="s">
        <v>43</v>
      </c>
      <c r="H237" s="362">
        <v>32301598</v>
      </c>
      <c r="I237" s="230">
        <v>38837</v>
      </c>
      <c r="J237" s="230">
        <v>17</v>
      </c>
      <c r="K237" s="363" t="s">
        <v>827</v>
      </c>
      <c r="L237" s="364" t="s">
        <v>828</v>
      </c>
      <c r="M237" s="365" t="s">
        <v>829</v>
      </c>
      <c r="N237" s="366" t="s">
        <v>830</v>
      </c>
      <c r="O237" s="367">
        <v>19147251</v>
      </c>
      <c r="P237" s="230">
        <v>4126330677</v>
      </c>
      <c r="Q237" s="369" t="s">
        <v>831</v>
      </c>
      <c r="R237" s="370" t="s">
        <v>479</v>
      </c>
      <c r="S237" s="370"/>
      <c r="T237" s="371"/>
      <c r="U237" s="372"/>
      <c r="V237" s="373"/>
      <c r="W237" s="374" t="s">
        <v>78</v>
      </c>
      <c r="X237" s="404">
        <v>45353</v>
      </c>
      <c r="Y237" s="372"/>
      <c r="Z237" s="381"/>
      <c r="AA237" s="402"/>
      <c r="AB237" s="403"/>
      <c r="AC237" s="401"/>
      <c r="AD237" s="526"/>
      <c r="AE237" s="527"/>
      <c r="AF237" s="528"/>
      <c r="AG237" s="402"/>
      <c r="AH237" s="403"/>
      <c r="AI237" s="401"/>
      <c r="AJ237" s="402"/>
      <c r="AK237" s="403"/>
      <c r="AL237" s="401"/>
      <c r="AM237" s="402"/>
      <c r="AN237" s="403"/>
      <c r="AO237" s="401"/>
      <c r="AP237" s="402"/>
      <c r="AQ237" s="403"/>
      <c r="AR237" s="401"/>
      <c r="AS237" s="202"/>
    </row>
    <row r="238" spans="1:45" ht="13.5" hidden="1" customHeight="1">
      <c r="A238" s="12"/>
      <c r="B238" s="358"/>
      <c r="C238" s="359"/>
      <c r="D238" s="359"/>
      <c r="E238" s="360"/>
      <c r="F238" s="524"/>
      <c r="G238" s="378"/>
      <c r="H238" s="362"/>
      <c r="I238" s="230"/>
      <c r="J238" s="230"/>
      <c r="K238" s="363"/>
      <c r="L238" s="364"/>
      <c r="M238" s="365"/>
      <c r="N238" s="366"/>
      <c r="O238" s="367"/>
      <c r="P238" s="230"/>
      <c r="Q238" s="382"/>
      <c r="R238" s="370"/>
      <c r="S238" s="370"/>
      <c r="T238" s="371"/>
      <c r="U238" s="372"/>
      <c r="V238" s="373"/>
      <c r="W238" s="383"/>
      <c r="X238" s="404"/>
      <c r="Y238" s="372"/>
      <c r="Z238" s="381"/>
      <c r="AA238" s="402"/>
      <c r="AB238" s="403"/>
      <c r="AC238" s="401"/>
      <c r="AD238" s="529"/>
      <c r="AE238" s="379"/>
      <c r="AF238" s="380"/>
      <c r="AG238" s="402"/>
      <c r="AH238" s="403"/>
      <c r="AI238" s="401"/>
      <c r="AJ238" s="402"/>
      <c r="AK238" s="403"/>
      <c r="AL238" s="401"/>
      <c r="AM238" s="402"/>
      <c r="AN238" s="403"/>
      <c r="AO238" s="401"/>
      <c r="AP238" s="402"/>
      <c r="AQ238" s="403"/>
      <c r="AR238" s="401"/>
      <c r="AS238" s="202"/>
    </row>
    <row r="239" spans="1:45" ht="13.5" hidden="1" customHeight="1">
      <c r="A239" s="542"/>
      <c r="B239" s="358" t="s">
        <v>727</v>
      </c>
      <c r="C239" s="359">
        <v>17</v>
      </c>
      <c r="D239" s="359">
        <v>117</v>
      </c>
      <c r="E239" s="360" t="s">
        <v>833</v>
      </c>
      <c r="F239" s="230"/>
      <c r="G239" s="361" t="s">
        <v>43</v>
      </c>
      <c r="H239" s="230"/>
      <c r="I239" s="230">
        <v>42631</v>
      </c>
      <c r="J239" s="230">
        <v>8</v>
      </c>
      <c r="K239" s="363" t="s">
        <v>834</v>
      </c>
      <c r="L239" s="364" t="s">
        <v>835</v>
      </c>
      <c r="M239" s="452" t="s">
        <v>836</v>
      </c>
      <c r="N239" s="458" t="s">
        <v>837</v>
      </c>
      <c r="O239" s="486">
        <v>20115605</v>
      </c>
      <c r="P239" s="449">
        <v>4142408262</v>
      </c>
      <c r="Q239" s="460"/>
      <c r="R239" s="420" t="s">
        <v>369</v>
      </c>
      <c r="S239" s="420"/>
      <c r="T239" s="371"/>
      <c r="U239" s="372"/>
      <c r="V239" s="373"/>
      <c r="W239" s="374" t="s">
        <v>777</v>
      </c>
      <c r="X239" s="404">
        <v>45355</v>
      </c>
      <c r="Y239" s="372"/>
      <c r="Z239" s="381"/>
      <c r="AA239" s="404"/>
      <c r="AB239" s="368"/>
      <c r="AC239" s="382"/>
      <c r="AD239" s="424"/>
      <c r="AE239" s="454"/>
      <c r="AF239" s="455"/>
      <c r="AG239" s="404"/>
      <c r="AH239" s="368"/>
      <c r="AI239" s="382"/>
      <c r="AJ239" s="404"/>
      <c r="AK239" s="368"/>
      <c r="AL239" s="382"/>
      <c r="AM239" s="404"/>
      <c r="AN239" s="368"/>
      <c r="AO239" s="382"/>
      <c r="AP239" s="404"/>
      <c r="AQ239" s="368"/>
      <c r="AR239" s="382"/>
      <c r="AS239" s="311"/>
    </row>
    <row r="240" spans="1:45" ht="13.5" hidden="1" customHeight="1">
      <c r="A240" s="542"/>
      <c r="B240" s="358"/>
      <c r="C240" s="359"/>
      <c r="D240" s="359"/>
      <c r="E240" s="360"/>
      <c r="F240" s="230"/>
      <c r="G240" s="378"/>
      <c r="H240" s="230"/>
      <c r="I240" s="230"/>
      <c r="J240" s="230"/>
      <c r="K240" s="363"/>
      <c r="L240" s="364"/>
      <c r="M240" s="439"/>
      <c r="N240" s="479"/>
      <c r="O240" s="472"/>
      <c r="P240" s="472"/>
      <c r="Q240" s="475"/>
      <c r="R240" s="433"/>
      <c r="S240" s="433"/>
      <c r="T240" s="371"/>
      <c r="U240" s="372"/>
      <c r="V240" s="373"/>
      <c r="W240" s="383"/>
      <c r="X240" s="404"/>
      <c r="Y240" s="372"/>
      <c r="Z240" s="381"/>
      <c r="AA240" s="404"/>
      <c r="AB240" s="368"/>
      <c r="AC240" s="382"/>
      <c r="AD240" s="375"/>
      <c r="AE240" s="429"/>
      <c r="AF240" s="430"/>
      <c r="AG240" s="404"/>
      <c r="AH240" s="368"/>
      <c r="AI240" s="382"/>
      <c r="AJ240" s="404"/>
      <c r="AK240" s="368"/>
      <c r="AL240" s="382"/>
      <c r="AM240" s="404"/>
      <c r="AN240" s="368"/>
      <c r="AO240" s="382"/>
      <c r="AP240" s="404"/>
      <c r="AQ240" s="368"/>
      <c r="AR240" s="382"/>
      <c r="AS240" s="311"/>
    </row>
    <row r="241" spans="1:45" ht="13.5" hidden="1" customHeight="1">
      <c r="A241" s="12"/>
      <c r="B241" s="358" t="s">
        <v>727</v>
      </c>
      <c r="C241" s="359">
        <v>18</v>
      </c>
      <c r="D241" s="359">
        <v>118</v>
      </c>
      <c r="E241" s="360" t="s">
        <v>839</v>
      </c>
      <c r="F241" s="524"/>
      <c r="G241" s="361" t="s">
        <v>43</v>
      </c>
      <c r="H241" s="362">
        <v>4850006</v>
      </c>
      <c r="I241" s="510">
        <v>45629</v>
      </c>
      <c r="J241" s="230">
        <v>66</v>
      </c>
      <c r="K241" s="363" t="s">
        <v>840</v>
      </c>
      <c r="L241" s="364" t="s">
        <v>841</v>
      </c>
      <c r="M241" s="452" t="s">
        <v>842</v>
      </c>
      <c r="N241" s="458"/>
      <c r="O241" s="465"/>
      <c r="P241" s="449"/>
      <c r="Q241" s="460"/>
      <c r="R241" s="420" t="s">
        <v>657</v>
      </c>
      <c r="S241" s="420"/>
      <c r="T241" s="371"/>
      <c r="U241" s="372"/>
      <c r="V241" s="373"/>
      <c r="W241" s="374" t="s">
        <v>843</v>
      </c>
      <c r="X241" s="404">
        <v>45358</v>
      </c>
      <c r="Y241" s="372"/>
      <c r="Z241" s="381"/>
      <c r="AA241" s="359"/>
      <c r="AB241" s="230"/>
      <c r="AC241" s="381"/>
      <c r="AD241" s="526"/>
      <c r="AE241" s="527"/>
      <c r="AF241" s="528"/>
      <c r="AG241" s="402"/>
      <c r="AH241" s="403"/>
      <c r="AI241" s="401"/>
      <c r="AJ241" s="402"/>
      <c r="AK241" s="403"/>
      <c r="AL241" s="401"/>
      <c r="AM241" s="402"/>
      <c r="AN241" s="403"/>
      <c r="AO241" s="401"/>
      <c r="AP241" s="402"/>
      <c r="AQ241" s="403"/>
      <c r="AR241" s="401"/>
      <c r="AS241" s="202"/>
    </row>
    <row r="242" spans="1:45" ht="13.5" hidden="1" customHeight="1">
      <c r="A242" s="12"/>
      <c r="B242" s="358"/>
      <c r="C242" s="359"/>
      <c r="D242" s="359"/>
      <c r="E242" s="360"/>
      <c r="F242" s="524"/>
      <c r="G242" s="378"/>
      <c r="H242" s="230"/>
      <c r="I242" s="510"/>
      <c r="J242" s="230"/>
      <c r="K242" s="363"/>
      <c r="L242" s="364"/>
      <c r="M242" s="439"/>
      <c r="N242" s="479"/>
      <c r="O242" s="476"/>
      <c r="P242" s="472"/>
      <c r="Q242" s="475"/>
      <c r="R242" s="433"/>
      <c r="S242" s="433"/>
      <c r="T242" s="371"/>
      <c r="U242" s="372"/>
      <c r="V242" s="373"/>
      <c r="W242" s="383"/>
      <c r="X242" s="404"/>
      <c r="Y242" s="372"/>
      <c r="Z242" s="381"/>
      <c r="AA242" s="359"/>
      <c r="AB242" s="230"/>
      <c r="AC242" s="381"/>
      <c r="AD242" s="529"/>
      <c r="AE242" s="379"/>
      <c r="AF242" s="380"/>
      <c r="AG242" s="402"/>
      <c r="AH242" s="403"/>
      <c r="AI242" s="401"/>
      <c r="AJ242" s="402"/>
      <c r="AK242" s="403"/>
      <c r="AL242" s="401"/>
      <c r="AM242" s="402"/>
      <c r="AN242" s="403"/>
      <c r="AO242" s="401"/>
      <c r="AP242" s="402"/>
      <c r="AQ242" s="403"/>
      <c r="AR242" s="401"/>
      <c r="AS242" s="202"/>
    </row>
    <row r="243" spans="1:45" ht="13.5" hidden="1" customHeight="1">
      <c r="A243" s="12"/>
      <c r="B243" s="358" t="s">
        <v>727</v>
      </c>
      <c r="C243" s="359">
        <v>19</v>
      </c>
      <c r="D243" s="359">
        <v>119</v>
      </c>
      <c r="E243" s="360" t="s">
        <v>845</v>
      </c>
      <c r="F243" s="524"/>
      <c r="G243" s="361" t="s">
        <v>43</v>
      </c>
      <c r="H243" s="362"/>
      <c r="I243" s="230">
        <v>45465</v>
      </c>
      <c r="J243" s="230">
        <v>12</v>
      </c>
      <c r="K243" s="363" t="s">
        <v>846</v>
      </c>
      <c r="L243" s="364" t="s">
        <v>847</v>
      </c>
      <c r="M243" s="365" t="s">
        <v>848</v>
      </c>
      <c r="N243" s="366" t="s">
        <v>849</v>
      </c>
      <c r="O243" s="367">
        <v>13910263</v>
      </c>
      <c r="P243" s="368">
        <v>4241103872</v>
      </c>
      <c r="Q243" s="369" t="s">
        <v>850</v>
      </c>
      <c r="R243" s="370" t="s">
        <v>851</v>
      </c>
      <c r="S243" s="370"/>
      <c r="T243" s="371"/>
      <c r="U243" s="372"/>
      <c r="V243" s="373"/>
      <c r="W243" s="374" t="s">
        <v>852</v>
      </c>
      <c r="X243" s="404">
        <v>45365</v>
      </c>
      <c r="Y243" s="372"/>
      <c r="Z243" s="381"/>
      <c r="AA243" s="359"/>
      <c r="AB243" s="230"/>
      <c r="AC243" s="381"/>
      <c r="AD243" s="526"/>
      <c r="AE243" s="527"/>
      <c r="AF243" s="528"/>
      <c r="AG243" s="402"/>
      <c r="AH243" s="403"/>
      <c r="AI243" s="401"/>
      <c r="AJ243" s="402"/>
      <c r="AK243" s="403"/>
      <c r="AL243" s="401"/>
      <c r="AM243" s="402"/>
      <c r="AN243" s="403"/>
      <c r="AO243" s="401"/>
      <c r="AP243" s="402"/>
      <c r="AQ243" s="403"/>
      <c r="AR243" s="401"/>
      <c r="AS243" s="202"/>
    </row>
    <row r="244" spans="1:45" ht="13.5" hidden="1" customHeight="1">
      <c r="A244" s="12"/>
      <c r="B244" s="358"/>
      <c r="C244" s="359"/>
      <c r="D244" s="359"/>
      <c r="E244" s="360"/>
      <c r="F244" s="524"/>
      <c r="G244" s="378"/>
      <c r="H244" s="362"/>
      <c r="I244" s="230"/>
      <c r="J244" s="230"/>
      <c r="K244" s="368"/>
      <c r="L244" s="364"/>
      <c r="M244" s="365"/>
      <c r="N244" s="366"/>
      <c r="O244" s="367"/>
      <c r="P244" s="368"/>
      <c r="Q244" s="382"/>
      <c r="R244" s="370"/>
      <c r="S244" s="370"/>
      <c r="T244" s="371"/>
      <c r="U244" s="372"/>
      <c r="V244" s="373"/>
      <c r="W244" s="383"/>
      <c r="X244" s="404"/>
      <c r="Y244" s="372"/>
      <c r="Z244" s="381"/>
      <c r="AA244" s="359"/>
      <c r="AB244" s="230"/>
      <c r="AC244" s="381"/>
      <c r="AD244" s="529"/>
      <c r="AE244" s="379"/>
      <c r="AF244" s="380"/>
      <c r="AG244" s="402"/>
      <c r="AH244" s="403"/>
      <c r="AI244" s="401"/>
      <c r="AJ244" s="402"/>
      <c r="AK244" s="403"/>
      <c r="AL244" s="401"/>
      <c r="AM244" s="402"/>
      <c r="AN244" s="403"/>
      <c r="AO244" s="401"/>
      <c r="AP244" s="402"/>
      <c r="AQ244" s="403"/>
      <c r="AR244" s="401"/>
      <c r="AS244" s="202"/>
    </row>
    <row r="245" spans="1:45" ht="13.5" hidden="1" customHeight="1">
      <c r="A245" s="543"/>
      <c r="B245" s="358" t="s">
        <v>727</v>
      </c>
      <c r="C245" s="359">
        <v>20</v>
      </c>
      <c r="D245" s="359">
        <v>120</v>
      </c>
      <c r="E245" s="360" t="s">
        <v>854</v>
      </c>
      <c r="F245" s="524"/>
      <c r="G245" s="361" t="s">
        <v>43</v>
      </c>
      <c r="H245" s="362">
        <v>36362537</v>
      </c>
      <c r="I245" s="230">
        <v>41761</v>
      </c>
      <c r="J245" s="230">
        <v>9</v>
      </c>
      <c r="K245" s="544" t="s">
        <v>855</v>
      </c>
      <c r="L245" s="364" t="s">
        <v>856</v>
      </c>
      <c r="M245" s="365" t="s">
        <v>857</v>
      </c>
      <c r="N245" s="366" t="s">
        <v>858</v>
      </c>
      <c r="O245" s="362">
        <v>20413885</v>
      </c>
      <c r="P245" s="230">
        <v>4242997997</v>
      </c>
      <c r="Q245" s="369" t="s">
        <v>859</v>
      </c>
      <c r="R245" s="370"/>
      <c r="S245" s="370"/>
      <c r="T245" s="371"/>
      <c r="U245" s="372"/>
      <c r="V245" s="373"/>
      <c r="W245" s="374" t="s">
        <v>649</v>
      </c>
      <c r="X245" s="359">
        <v>45371</v>
      </c>
      <c r="Y245" s="372"/>
      <c r="Z245" s="381"/>
      <c r="AA245" s="359"/>
      <c r="AB245" s="230"/>
      <c r="AC245" s="381"/>
      <c r="AD245" s="545"/>
      <c r="AE245" s="546"/>
      <c r="AF245" s="547"/>
      <c r="AG245" s="548"/>
      <c r="AH245" s="524"/>
      <c r="AI245" s="549"/>
      <c r="AJ245" s="548"/>
      <c r="AK245" s="524"/>
      <c r="AL245" s="549"/>
      <c r="AM245" s="548"/>
      <c r="AN245" s="524"/>
      <c r="AO245" s="549"/>
      <c r="AP245" s="548"/>
      <c r="AQ245" s="524"/>
      <c r="AR245" s="549"/>
      <c r="AS245" s="8"/>
    </row>
    <row r="246" spans="1:45" ht="13.5" hidden="1" customHeight="1">
      <c r="A246" s="543"/>
      <c r="B246" s="358"/>
      <c r="C246" s="359"/>
      <c r="D246" s="359"/>
      <c r="E246" s="360"/>
      <c r="F246" s="524"/>
      <c r="G246" s="378"/>
      <c r="H246" s="362"/>
      <c r="I246" s="230"/>
      <c r="J246" s="230"/>
      <c r="K246" s="544"/>
      <c r="L246" s="364"/>
      <c r="M246" s="365"/>
      <c r="N246" s="366"/>
      <c r="O246" s="230"/>
      <c r="P246" s="230"/>
      <c r="Q246" s="391"/>
      <c r="R246" s="370"/>
      <c r="S246" s="370"/>
      <c r="T246" s="371"/>
      <c r="U246" s="372"/>
      <c r="V246" s="373"/>
      <c r="W246" s="383"/>
      <c r="X246" s="359"/>
      <c r="Y246" s="372"/>
      <c r="Z246" s="381"/>
      <c r="AA246" s="359"/>
      <c r="AB246" s="230"/>
      <c r="AC246" s="381"/>
      <c r="AD246" s="550"/>
      <c r="AE246" s="551"/>
      <c r="AF246" s="552"/>
      <c r="AG246" s="548"/>
      <c r="AH246" s="524"/>
      <c r="AI246" s="549"/>
      <c r="AJ246" s="548"/>
      <c r="AK246" s="524"/>
      <c r="AL246" s="549"/>
      <c r="AM246" s="548"/>
      <c r="AN246" s="524"/>
      <c r="AO246" s="549"/>
      <c r="AP246" s="548"/>
      <c r="AQ246" s="524"/>
      <c r="AR246" s="549"/>
      <c r="AS246" s="8"/>
    </row>
    <row r="247" spans="1:45" ht="13.5" hidden="1" customHeight="1">
      <c r="A247" s="12"/>
      <c r="B247" s="358" t="s">
        <v>860</v>
      </c>
      <c r="C247" s="359">
        <v>1</v>
      </c>
      <c r="D247" s="359">
        <v>121</v>
      </c>
      <c r="E247" s="360" t="s">
        <v>862</v>
      </c>
      <c r="F247" s="524"/>
      <c r="G247" s="361" t="s">
        <v>43</v>
      </c>
      <c r="H247" s="362">
        <v>26624400</v>
      </c>
      <c r="I247" s="230">
        <v>36069</v>
      </c>
      <c r="J247" s="230"/>
      <c r="K247" s="363" t="s">
        <v>863</v>
      </c>
      <c r="L247" s="364" t="s">
        <v>864</v>
      </c>
      <c r="M247" s="365" t="s">
        <v>865</v>
      </c>
      <c r="N247" s="366"/>
      <c r="O247" s="368"/>
      <c r="P247" s="368"/>
      <c r="Q247" s="408"/>
      <c r="R247" s="370" t="s">
        <v>684</v>
      </c>
      <c r="S247" s="370"/>
      <c r="T247" s="371"/>
      <c r="U247" s="372"/>
      <c r="V247" s="373"/>
      <c r="W247" s="398" t="s">
        <v>866</v>
      </c>
      <c r="X247" s="404">
        <v>45103</v>
      </c>
      <c r="Y247" s="372"/>
      <c r="Z247" s="381"/>
      <c r="AA247" s="402"/>
      <c r="AB247" s="403"/>
      <c r="AC247" s="401"/>
      <c r="AD247" s="526"/>
      <c r="AE247" s="527"/>
      <c r="AF247" s="528"/>
      <c r="AG247" s="402"/>
      <c r="AH247" s="403"/>
      <c r="AI247" s="401"/>
      <c r="AJ247" s="402"/>
      <c r="AK247" s="403"/>
      <c r="AL247" s="401"/>
      <c r="AM247" s="402"/>
      <c r="AN247" s="403"/>
      <c r="AO247" s="401"/>
      <c r="AP247" s="402"/>
      <c r="AQ247" s="403"/>
      <c r="AR247" s="401"/>
      <c r="AS247" s="202"/>
    </row>
    <row r="248" spans="1:45" ht="13.5" hidden="1" customHeight="1">
      <c r="A248" s="12"/>
      <c r="B248" s="358"/>
      <c r="C248" s="359"/>
      <c r="D248" s="359"/>
      <c r="E248" s="360"/>
      <c r="F248" s="524"/>
      <c r="G248" s="378"/>
      <c r="H248" s="362"/>
      <c r="I248" s="230"/>
      <c r="J248" s="230"/>
      <c r="K248" s="363"/>
      <c r="L248" s="364"/>
      <c r="M248" s="365"/>
      <c r="N248" s="366"/>
      <c r="O248" s="368"/>
      <c r="P248" s="368"/>
      <c r="Q248" s="408"/>
      <c r="R248" s="370"/>
      <c r="S248" s="370"/>
      <c r="T248" s="371"/>
      <c r="U248" s="372"/>
      <c r="V248" s="373"/>
      <c r="W248" s="383"/>
      <c r="X248" s="404"/>
      <c r="Y248" s="372"/>
      <c r="Z248" s="381"/>
      <c r="AA248" s="402"/>
      <c r="AB248" s="403"/>
      <c r="AC248" s="401"/>
      <c r="AD248" s="529"/>
      <c r="AE248" s="379"/>
      <c r="AF248" s="380"/>
      <c r="AG248" s="402"/>
      <c r="AH248" s="403"/>
      <c r="AI248" s="401"/>
      <c r="AJ248" s="402"/>
      <c r="AK248" s="403"/>
      <c r="AL248" s="401"/>
      <c r="AM248" s="402"/>
      <c r="AN248" s="403"/>
      <c r="AO248" s="401"/>
      <c r="AP248" s="402"/>
      <c r="AQ248" s="403"/>
      <c r="AR248" s="401"/>
      <c r="AS248" s="202"/>
    </row>
    <row r="249" spans="1:45" ht="13.5" hidden="1" customHeight="1">
      <c r="A249" s="12"/>
      <c r="B249" s="358" t="s">
        <v>860</v>
      </c>
      <c r="C249" s="359">
        <v>2</v>
      </c>
      <c r="D249" s="359">
        <v>122</v>
      </c>
      <c r="E249" s="360" t="s">
        <v>868</v>
      </c>
      <c r="F249" s="524"/>
      <c r="G249" s="361" t="s">
        <v>43</v>
      </c>
      <c r="H249" s="362">
        <v>34281740</v>
      </c>
      <c r="I249" s="230">
        <v>40737</v>
      </c>
      <c r="J249" s="230">
        <v>12</v>
      </c>
      <c r="K249" s="363" t="s">
        <v>869</v>
      </c>
      <c r="L249" s="364" t="s">
        <v>870</v>
      </c>
      <c r="M249" s="365" t="s">
        <v>871</v>
      </c>
      <c r="N249" s="366" t="s">
        <v>872</v>
      </c>
      <c r="O249" s="367">
        <v>16620650</v>
      </c>
      <c r="P249" s="368">
        <v>4241480194</v>
      </c>
      <c r="Q249" s="369" t="s">
        <v>873</v>
      </c>
      <c r="R249" s="370"/>
      <c r="S249" s="370"/>
      <c r="T249" s="371"/>
      <c r="U249" s="372"/>
      <c r="V249" s="373"/>
      <c r="W249" s="374" t="s">
        <v>78</v>
      </c>
      <c r="X249" s="404" t="s">
        <v>874</v>
      </c>
      <c r="Y249" s="372"/>
      <c r="Z249" s="381"/>
      <c r="AA249" s="402"/>
      <c r="AB249" s="403"/>
      <c r="AC249" s="401"/>
      <c r="AD249" s="526"/>
      <c r="AE249" s="527"/>
      <c r="AF249" s="528"/>
      <c r="AG249" s="402"/>
      <c r="AH249" s="403"/>
      <c r="AI249" s="401"/>
      <c r="AJ249" s="402"/>
      <c r="AK249" s="403"/>
      <c r="AL249" s="401"/>
      <c r="AM249" s="402"/>
      <c r="AN249" s="403"/>
      <c r="AO249" s="401"/>
      <c r="AP249" s="402"/>
      <c r="AQ249" s="403"/>
      <c r="AR249" s="401"/>
      <c r="AS249" s="202"/>
    </row>
    <row r="250" spans="1:45" ht="13.5" hidden="1" customHeight="1">
      <c r="A250" s="12"/>
      <c r="B250" s="358"/>
      <c r="C250" s="359"/>
      <c r="D250" s="359"/>
      <c r="E250" s="360"/>
      <c r="F250" s="524"/>
      <c r="G250" s="378"/>
      <c r="H250" s="230"/>
      <c r="I250" s="230"/>
      <c r="J250" s="230"/>
      <c r="K250" s="363"/>
      <c r="L250" s="364"/>
      <c r="M250" s="365"/>
      <c r="N250" s="366"/>
      <c r="O250" s="367"/>
      <c r="P250" s="368"/>
      <c r="Q250" s="382"/>
      <c r="R250" s="370"/>
      <c r="S250" s="370"/>
      <c r="T250" s="371"/>
      <c r="U250" s="372"/>
      <c r="V250" s="373"/>
      <c r="W250" s="383"/>
      <c r="X250" s="404"/>
      <c r="Y250" s="372"/>
      <c r="Z250" s="381"/>
      <c r="AA250" s="402"/>
      <c r="AB250" s="403"/>
      <c r="AC250" s="401"/>
      <c r="AD250" s="529"/>
      <c r="AE250" s="379"/>
      <c r="AF250" s="380"/>
      <c r="AG250" s="402"/>
      <c r="AH250" s="403"/>
      <c r="AI250" s="401"/>
      <c r="AJ250" s="402"/>
      <c r="AK250" s="403"/>
      <c r="AL250" s="401"/>
      <c r="AM250" s="402"/>
      <c r="AN250" s="403"/>
      <c r="AO250" s="401"/>
      <c r="AP250" s="402"/>
      <c r="AQ250" s="403"/>
      <c r="AR250" s="401"/>
      <c r="AS250" s="202"/>
    </row>
    <row r="251" spans="1:45" ht="13.5" hidden="1" customHeight="1">
      <c r="A251" s="12"/>
      <c r="B251" s="358" t="s">
        <v>860</v>
      </c>
      <c r="C251" s="359">
        <v>3</v>
      </c>
      <c r="D251" s="359">
        <v>123</v>
      </c>
      <c r="E251" s="360" t="s">
        <v>876</v>
      </c>
      <c r="F251" s="524"/>
      <c r="G251" s="361" t="s">
        <v>43</v>
      </c>
      <c r="H251" s="362">
        <v>31507745</v>
      </c>
      <c r="I251" s="230">
        <v>39036</v>
      </c>
      <c r="J251" s="230">
        <v>17</v>
      </c>
      <c r="K251" s="363" t="s">
        <v>877</v>
      </c>
      <c r="L251" s="364" t="s">
        <v>878</v>
      </c>
      <c r="M251" s="365" t="s">
        <v>879</v>
      </c>
      <c r="N251" s="366" t="s">
        <v>880</v>
      </c>
      <c r="O251" s="367">
        <v>13232041</v>
      </c>
      <c r="P251" s="368">
        <v>4129835368</v>
      </c>
      <c r="Q251" s="369" t="s">
        <v>881</v>
      </c>
      <c r="R251" s="370" t="s">
        <v>544</v>
      </c>
      <c r="S251" s="370" t="s">
        <v>882</v>
      </c>
      <c r="T251" s="371"/>
      <c r="U251" s="372"/>
      <c r="V251" s="373">
        <v>300</v>
      </c>
      <c r="W251" s="374" t="s">
        <v>78</v>
      </c>
      <c r="X251" s="404">
        <v>45383</v>
      </c>
      <c r="Y251" s="372"/>
      <c r="Z251" s="381"/>
      <c r="AA251" s="359"/>
      <c r="AB251" s="230"/>
      <c r="AC251" s="381"/>
      <c r="AD251" s="359"/>
      <c r="AE251" s="230"/>
      <c r="AF251" s="381"/>
      <c r="AG251" s="402"/>
      <c r="AH251" s="403"/>
      <c r="AI251" s="401"/>
      <c r="AJ251" s="402"/>
      <c r="AK251" s="403"/>
      <c r="AL251" s="401"/>
      <c r="AM251" s="402"/>
      <c r="AN251" s="403"/>
      <c r="AO251" s="401"/>
      <c r="AP251" s="402"/>
      <c r="AQ251" s="403"/>
      <c r="AR251" s="401"/>
      <c r="AS251" s="202"/>
    </row>
    <row r="252" spans="1:45" ht="13.5" hidden="1" customHeight="1">
      <c r="A252" s="12"/>
      <c r="B252" s="358"/>
      <c r="C252" s="359"/>
      <c r="D252" s="359"/>
      <c r="E252" s="360"/>
      <c r="F252" s="524"/>
      <c r="G252" s="378"/>
      <c r="H252" s="362"/>
      <c r="I252" s="230"/>
      <c r="J252" s="230"/>
      <c r="K252" s="363"/>
      <c r="L252" s="364"/>
      <c r="M252" s="365"/>
      <c r="N252" s="366"/>
      <c r="O252" s="367"/>
      <c r="P252" s="368"/>
      <c r="Q252" s="455"/>
      <c r="R252" s="370"/>
      <c r="S252" s="370"/>
      <c r="T252" s="371"/>
      <c r="U252" s="372"/>
      <c r="V252" s="373"/>
      <c r="W252" s="383"/>
      <c r="X252" s="404"/>
      <c r="Y252" s="372"/>
      <c r="Z252" s="381"/>
      <c r="AA252" s="359"/>
      <c r="AB252" s="230"/>
      <c r="AC252" s="381"/>
      <c r="AD252" s="359"/>
      <c r="AE252" s="230"/>
      <c r="AF252" s="381"/>
      <c r="AG252" s="402"/>
      <c r="AH252" s="403"/>
      <c r="AI252" s="401"/>
      <c r="AJ252" s="402"/>
      <c r="AK252" s="403"/>
      <c r="AL252" s="401"/>
      <c r="AM252" s="402"/>
      <c r="AN252" s="403"/>
      <c r="AO252" s="401"/>
      <c r="AP252" s="402"/>
      <c r="AQ252" s="403"/>
      <c r="AR252" s="401"/>
      <c r="AS252" s="202"/>
    </row>
    <row r="253" spans="1:45" ht="21.75" customHeight="1">
      <c r="A253" s="12"/>
      <c r="B253" s="358" t="s">
        <v>860</v>
      </c>
      <c r="C253" s="359">
        <v>4</v>
      </c>
      <c r="D253" s="359">
        <v>26</v>
      </c>
      <c r="E253" s="360" t="s">
        <v>884</v>
      </c>
      <c r="F253" s="524"/>
      <c r="G253" s="553" t="s">
        <v>278</v>
      </c>
      <c r="H253" s="362">
        <v>34183359</v>
      </c>
      <c r="I253" s="230">
        <v>40646</v>
      </c>
      <c r="J253" s="230">
        <v>11</v>
      </c>
      <c r="K253" s="363" t="s">
        <v>885</v>
      </c>
      <c r="L253" s="364" t="s">
        <v>886</v>
      </c>
      <c r="M253" s="452" t="s">
        <v>887</v>
      </c>
      <c r="N253" s="409" t="s">
        <v>888</v>
      </c>
      <c r="O253" s="453">
        <v>17978871</v>
      </c>
      <c r="P253" s="554" t="s">
        <v>889</v>
      </c>
      <c r="Q253" s="461" t="s">
        <v>890</v>
      </c>
      <c r="R253" s="419" t="s">
        <v>891</v>
      </c>
      <c r="S253" s="370" t="s">
        <v>892</v>
      </c>
      <c r="T253" s="421"/>
      <c r="U253" s="387"/>
      <c r="V253" s="423"/>
      <c r="W253" s="374" t="s">
        <v>866</v>
      </c>
      <c r="X253" s="404">
        <v>44943</v>
      </c>
      <c r="Y253" s="372"/>
      <c r="Z253" s="381"/>
      <c r="AA253" s="359"/>
      <c r="AB253" s="230"/>
      <c r="AC253" s="381"/>
      <c r="AD253" s="526"/>
      <c r="AE253" s="527"/>
      <c r="AF253" s="528"/>
      <c r="AG253" s="402"/>
      <c r="AH253" s="403"/>
      <c r="AI253" s="401"/>
      <c r="AJ253" s="402"/>
      <c r="AK253" s="403"/>
      <c r="AL253" s="401"/>
      <c r="AM253" s="402"/>
      <c r="AN253" s="403"/>
      <c r="AO253" s="401"/>
      <c r="AP253" s="402"/>
      <c r="AQ253" s="403"/>
      <c r="AR253" s="401"/>
      <c r="AS253" s="202"/>
    </row>
    <row r="254" spans="1:45" ht="13.5" hidden="1" customHeight="1">
      <c r="A254" s="12"/>
      <c r="B254" s="358"/>
      <c r="C254" s="359"/>
      <c r="D254" s="359"/>
      <c r="E254" s="360"/>
      <c r="F254" s="524"/>
      <c r="G254" s="555"/>
      <c r="H254" s="362"/>
      <c r="I254" s="230"/>
      <c r="J254" s="230"/>
      <c r="K254" s="368"/>
      <c r="L254" s="364"/>
      <c r="M254" s="439"/>
      <c r="N254" s="425"/>
      <c r="O254" s="440"/>
      <c r="P254" s="556"/>
      <c r="Q254" s="557"/>
      <c r="R254" s="432"/>
      <c r="S254" s="370"/>
      <c r="T254" s="434"/>
      <c r="U254" s="376"/>
      <c r="V254" s="436"/>
      <c r="W254" s="383"/>
      <c r="X254" s="404"/>
      <c r="Y254" s="372"/>
      <c r="Z254" s="381"/>
      <c r="AA254" s="359"/>
      <c r="AB254" s="230"/>
      <c r="AC254" s="381"/>
      <c r="AD254" s="529"/>
      <c r="AE254" s="379"/>
      <c r="AF254" s="380"/>
      <c r="AG254" s="402"/>
      <c r="AH254" s="403"/>
      <c r="AI254" s="401"/>
      <c r="AJ254" s="402"/>
      <c r="AK254" s="403"/>
      <c r="AL254" s="401"/>
      <c r="AM254" s="402"/>
      <c r="AN254" s="403"/>
      <c r="AO254" s="401"/>
      <c r="AP254" s="402"/>
      <c r="AQ254" s="403"/>
      <c r="AR254" s="401"/>
      <c r="AS254" s="202"/>
    </row>
    <row r="255" spans="1:45" ht="13.5" hidden="1" customHeight="1">
      <c r="A255" s="12"/>
      <c r="B255" s="358" t="s">
        <v>860</v>
      </c>
      <c r="C255" s="359">
        <v>5</v>
      </c>
      <c r="D255" s="359">
        <v>125</v>
      </c>
      <c r="E255" s="360" t="s">
        <v>894</v>
      </c>
      <c r="F255" s="524"/>
      <c r="G255" s="361" t="s">
        <v>43</v>
      </c>
      <c r="H255" s="362">
        <v>10663304</v>
      </c>
      <c r="I255" s="230">
        <v>27635</v>
      </c>
      <c r="J255" s="230">
        <v>48</v>
      </c>
      <c r="K255" s="363"/>
      <c r="L255" s="364" t="s">
        <v>895</v>
      </c>
      <c r="M255" s="452" t="s">
        <v>896</v>
      </c>
      <c r="N255" s="409"/>
      <c r="O255" s="453"/>
      <c r="P255" s="554"/>
      <c r="Q255" s="558"/>
      <c r="R255" s="419" t="s">
        <v>684</v>
      </c>
      <c r="S255" s="420" t="s">
        <v>892</v>
      </c>
      <c r="T255" s="421"/>
      <c r="U255" s="387"/>
      <c r="V255" s="423">
        <v>300</v>
      </c>
      <c r="W255" s="374" t="s">
        <v>78</v>
      </c>
      <c r="X255" s="404">
        <v>45390</v>
      </c>
      <c r="Y255" s="372"/>
      <c r="Z255" s="381"/>
      <c r="AA255" s="359"/>
      <c r="AB255" s="230"/>
      <c r="AC255" s="381"/>
      <c r="AD255" s="526"/>
      <c r="AE255" s="527"/>
      <c r="AF255" s="528"/>
      <c r="AG255" s="402"/>
      <c r="AH255" s="403"/>
      <c r="AI255" s="401"/>
      <c r="AJ255" s="402"/>
      <c r="AK255" s="403"/>
      <c r="AL255" s="401"/>
      <c r="AM255" s="402"/>
      <c r="AN255" s="403"/>
      <c r="AO255" s="401"/>
      <c r="AP255" s="402"/>
      <c r="AQ255" s="403"/>
      <c r="AR255" s="401"/>
      <c r="AS255" s="202"/>
    </row>
    <row r="256" spans="1:45" ht="13.5" hidden="1" customHeight="1">
      <c r="A256" s="12"/>
      <c r="B256" s="358"/>
      <c r="C256" s="359"/>
      <c r="D256" s="359"/>
      <c r="E256" s="360"/>
      <c r="F256" s="524"/>
      <c r="G256" s="378"/>
      <c r="H256" s="362"/>
      <c r="I256" s="230"/>
      <c r="J256" s="230"/>
      <c r="K256" s="363"/>
      <c r="L256" s="364"/>
      <c r="M256" s="439"/>
      <c r="N256" s="425"/>
      <c r="O256" s="440"/>
      <c r="P256" s="556"/>
      <c r="Q256" s="559"/>
      <c r="R256" s="432"/>
      <c r="S256" s="433"/>
      <c r="T256" s="434"/>
      <c r="U256" s="376"/>
      <c r="V256" s="436"/>
      <c r="W256" s="383"/>
      <c r="X256" s="404"/>
      <c r="Y256" s="372"/>
      <c r="Z256" s="381"/>
      <c r="AA256" s="359"/>
      <c r="AB256" s="230"/>
      <c r="AC256" s="381"/>
      <c r="AD256" s="529"/>
      <c r="AE256" s="379"/>
      <c r="AF256" s="380"/>
      <c r="AG256" s="402"/>
      <c r="AH256" s="403"/>
      <c r="AI256" s="401"/>
      <c r="AJ256" s="402"/>
      <c r="AK256" s="403"/>
      <c r="AL256" s="401"/>
      <c r="AM256" s="402"/>
      <c r="AN256" s="403"/>
      <c r="AO256" s="401"/>
      <c r="AP256" s="402"/>
      <c r="AQ256" s="403"/>
      <c r="AR256" s="401"/>
      <c r="AS256" s="202"/>
    </row>
    <row r="257" spans="1:45" ht="13.5" hidden="1" customHeight="1">
      <c r="A257" s="12"/>
      <c r="B257" s="358" t="s">
        <v>860</v>
      </c>
      <c r="C257" s="359">
        <v>6</v>
      </c>
      <c r="D257" s="359">
        <v>126</v>
      </c>
      <c r="E257" s="360" t="s">
        <v>898</v>
      </c>
      <c r="F257" s="524"/>
      <c r="G257" s="361" t="s">
        <v>43</v>
      </c>
      <c r="H257" s="362">
        <v>32270936</v>
      </c>
      <c r="I257" s="230">
        <v>39212</v>
      </c>
      <c r="J257" s="230">
        <v>16</v>
      </c>
      <c r="K257" s="363" t="s">
        <v>899</v>
      </c>
      <c r="L257" s="364" t="s">
        <v>900</v>
      </c>
      <c r="M257" s="452" t="s">
        <v>901</v>
      </c>
      <c r="N257" s="409" t="s">
        <v>902</v>
      </c>
      <c r="O257" s="453">
        <v>16591698</v>
      </c>
      <c r="P257" s="554" t="s">
        <v>903</v>
      </c>
      <c r="Q257" s="560" t="s">
        <v>899</v>
      </c>
      <c r="R257" s="561" t="s">
        <v>50</v>
      </c>
      <c r="S257" s="370" t="s">
        <v>904</v>
      </c>
      <c r="T257" s="421"/>
      <c r="U257" s="372"/>
      <c r="V257" s="373" t="s">
        <v>905</v>
      </c>
      <c r="W257" s="374" t="s">
        <v>649</v>
      </c>
      <c r="X257" s="404">
        <v>45393</v>
      </c>
      <c r="Y257" s="372"/>
      <c r="Z257" s="381"/>
      <c r="AA257" s="402"/>
      <c r="AB257" s="403"/>
      <c r="AC257" s="401"/>
      <c r="AD257" s="526"/>
      <c r="AE257" s="527"/>
      <c r="AF257" s="528"/>
      <c r="AG257" s="402"/>
      <c r="AH257" s="403"/>
      <c r="AI257" s="401"/>
      <c r="AJ257" s="402"/>
      <c r="AK257" s="403"/>
      <c r="AL257" s="401"/>
      <c r="AM257" s="402"/>
      <c r="AN257" s="403"/>
      <c r="AO257" s="401"/>
      <c r="AP257" s="402"/>
      <c r="AQ257" s="403"/>
      <c r="AR257" s="401"/>
      <c r="AS257" s="202"/>
    </row>
    <row r="258" spans="1:45" ht="13.5" hidden="1" customHeight="1">
      <c r="A258" s="12"/>
      <c r="B258" s="358"/>
      <c r="C258" s="359"/>
      <c r="D258" s="359"/>
      <c r="E258" s="360"/>
      <c r="F258" s="524"/>
      <c r="G258" s="378"/>
      <c r="H258" s="362"/>
      <c r="I258" s="230"/>
      <c r="J258" s="230"/>
      <c r="K258" s="368"/>
      <c r="L258" s="364"/>
      <c r="M258" s="439"/>
      <c r="N258" s="425"/>
      <c r="O258" s="440"/>
      <c r="P258" s="556"/>
      <c r="Q258" s="559"/>
      <c r="R258" s="561"/>
      <c r="S258" s="370"/>
      <c r="T258" s="434"/>
      <c r="U258" s="372"/>
      <c r="V258" s="373"/>
      <c r="W258" s="383"/>
      <c r="X258" s="404"/>
      <c r="Y258" s="372"/>
      <c r="Z258" s="381"/>
      <c r="AA258" s="402"/>
      <c r="AB258" s="403"/>
      <c r="AC258" s="401"/>
      <c r="AD258" s="529"/>
      <c r="AE258" s="379"/>
      <c r="AF258" s="380"/>
      <c r="AG258" s="402"/>
      <c r="AH258" s="403"/>
      <c r="AI258" s="401"/>
      <c r="AJ258" s="402"/>
      <c r="AK258" s="403"/>
      <c r="AL258" s="401"/>
      <c r="AM258" s="402"/>
      <c r="AN258" s="403"/>
      <c r="AO258" s="401"/>
      <c r="AP258" s="402"/>
      <c r="AQ258" s="403"/>
      <c r="AR258" s="401"/>
      <c r="AS258" s="202"/>
    </row>
    <row r="259" spans="1:45" ht="13.5" hidden="1" customHeight="1">
      <c r="A259" s="12"/>
      <c r="B259" s="358" t="s">
        <v>860</v>
      </c>
      <c r="C259" s="359">
        <v>7</v>
      </c>
      <c r="D259" s="359">
        <v>127</v>
      </c>
      <c r="E259" s="360" t="s">
        <v>907</v>
      </c>
      <c r="F259" s="524"/>
      <c r="G259" s="361" t="s">
        <v>43</v>
      </c>
      <c r="H259" s="362">
        <v>33884179</v>
      </c>
      <c r="I259" s="230">
        <v>40774</v>
      </c>
      <c r="J259" s="230">
        <v>12</v>
      </c>
      <c r="K259" s="363" t="s">
        <v>908</v>
      </c>
      <c r="L259" s="364" t="s">
        <v>909</v>
      </c>
      <c r="M259" s="452" t="s">
        <v>910</v>
      </c>
      <c r="N259" s="409" t="s">
        <v>911</v>
      </c>
      <c r="O259" s="453">
        <v>18537938</v>
      </c>
      <c r="P259" s="562" t="s">
        <v>909</v>
      </c>
      <c r="Q259" s="563" t="s">
        <v>908</v>
      </c>
      <c r="R259" s="370" t="s">
        <v>912</v>
      </c>
      <c r="S259" s="370" t="s">
        <v>913</v>
      </c>
      <c r="T259" s="421"/>
      <c r="U259" s="372"/>
      <c r="V259" s="373"/>
      <c r="W259" s="374" t="s">
        <v>905</v>
      </c>
      <c r="X259" s="404">
        <v>45394</v>
      </c>
      <c r="Y259" s="372"/>
      <c r="Z259" s="381"/>
      <c r="AA259" s="402"/>
      <c r="AB259" s="403"/>
      <c r="AC259" s="401"/>
      <c r="AD259" s="526"/>
      <c r="AE259" s="527"/>
      <c r="AF259" s="528"/>
      <c r="AG259" s="402"/>
      <c r="AH259" s="403"/>
      <c r="AI259" s="401"/>
      <c r="AJ259" s="402"/>
      <c r="AK259" s="403"/>
      <c r="AL259" s="401"/>
      <c r="AM259" s="402"/>
      <c r="AN259" s="403"/>
      <c r="AO259" s="401"/>
      <c r="AP259" s="402"/>
      <c r="AQ259" s="403"/>
      <c r="AR259" s="401"/>
      <c r="AS259" s="202"/>
    </row>
    <row r="260" spans="1:45" ht="13.5" hidden="1" customHeight="1">
      <c r="A260" s="12"/>
      <c r="B260" s="358"/>
      <c r="C260" s="359"/>
      <c r="D260" s="359"/>
      <c r="E260" s="360"/>
      <c r="F260" s="524"/>
      <c r="G260" s="378"/>
      <c r="H260" s="362"/>
      <c r="I260" s="230"/>
      <c r="J260" s="230"/>
      <c r="K260" s="368"/>
      <c r="L260" s="364"/>
      <c r="M260" s="439"/>
      <c r="N260" s="425"/>
      <c r="O260" s="440"/>
      <c r="P260" s="378"/>
      <c r="Q260" s="430"/>
      <c r="R260" s="370"/>
      <c r="S260" s="370"/>
      <c r="T260" s="434"/>
      <c r="U260" s="372"/>
      <c r="V260" s="373"/>
      <c r="W260" s="383"/>
      <c r="X260" s="404"/>
      <c r="Y260" s="372"/>
      <c r="Z260" s="381"/>
      <c r="AA260" s="402"/>
      <c r="AB260" s="403"/>
      <c r="AC260" s="401"/>
      <c r="AD260" s="529"/>
      <c r="AE260" s="379"/>
      <c r="AF260" s="380"/>
      <c r="AG260" s="402"/>
      <c r="AH260" s="403"/>
      <c r="AI260" s="401"/>
      <c r="AJ260" s="402"/>
      <c r="AK260" s="403"/>
      <c r="AL260" s="401"/>
      <c r="AM260" s="402"/>
      <c r="AN260" s="403"/>
      <c r="AO260" s="401"/>
      <c r="AP260" s="402"/>
      <c r="AQ260" s="403"/>
      <c r="AR260" s="401"/>
      <c r="AS260" s="202"/>
    </row>
    <row r="261" spans="1:45" ht="13.5" hidden="1" customHeight="1">
      <c r="A261" s="539"/>
      <c r="B261" s="358" t="s">
        <v>860</v>
      </c>
      <c r="C261" s="359">
        <v>8</v>
      </c>
      <c r="D261" s="359">
        <v>128</v>
      </c>
      <c r="E261" s="360" t="s">
        <v>915</v>
      </c>
      <c r="F261" s="524"/>
      <c r="G261" s="361" t="s">
        <v>43</v>
      </c>
      <c r="H261" s="362"/>
      <c r="I261" s="230"/>
      <c r="J261" s="230">
        <v>9</v>
      </c>
      <c r="K261" s="363" t="s">
        <v>916</v>
      </c>
      <c r="L261" s="364" t="s">
        <v>917</v>
      </c>
      <c r="M261" s="365" t="s">
        <v>918</v>
      </c>
      <c r="N261" s="409" t="s">
        <v>919</v>
      </c>
      <c r="O261" s="362">
        <v>16370194</v>
      </c>
      <c r="P261" s="368" t="s">
        <v>920</v>
      </c>
      <c r="Q261" s="369" t="s">
        <v>916</v>
      </c>
      <c r="R261" s="370" t="s">
        <v>369</v>
      </c>
      <c r="S261" s="370" t="s">
        <v>913</v>
      </c>
      <c r="T261" s="371"/>
      <c r="U261" s="372"/>
      <c r="V261" s="373"/>
      <c r="W261" s="374" t="s">
        <v>78</v>
      </c>
      <c r="X261" s="404">
        <v>45391</v>
      </c>
      <c r="Y261" s="372"/>
      <c r="Z261" s="381"/>
      <c r="AA261" s="498"/>
      <c r="AB261" s="540"/>
      <c r="AC261" s="541"/>
      <c r="AD261" s="564"/>
      <c r="AE261" s="565"/>
      <c r="AF261" s="566"/>
      <c r="AG261" s="498"/>
      <c r="AH261" s="540"/>
      <c r="AI261" s="541"/>
      <c r="AJ261" s="498"/>
      <c r="AK261" s="540"/>
      <c r="AL261" s="541"/>
      <c r="AM261" s="498"/>
      <c r="AN261" s="540"/>
      <c r="AO261" s="541"/>
      <c r="AP261" s="498"/>
      <c r="AQ261" s="540"/>
      <c r="AR261" s="541"/>
      <c r="AS261" s="309"/>
    </row>
    <row r="262" spans="1:45" ht="13.5" hidden="1" customHeight="1">
      <c r="A262" s="539"/>
      <c r="B262" s="358"/>
      <c r="C262" s="359"/>
      <c r="D262" s="359"/>
      <c r="E262" s="360"/>
      <c r="F262" s="524"/>
      <c r="G262" s="378"/>
      <c r="H262" s="362"/>
      <c r="I262" s="230"/>
      <c r="J262" s="230"/>
      <c r="K262" s="363"/>
      <c r="L262" s="364"/>
      <c r="M262" s="365"/>
      <c r="N262" s="425"/>
      <c r="O262" s="230"/>
      <c r="P262" s="368"/>
      <c r="Q262" s="382"/>
      <c r="R262" s="370"/>
      <c r="S262" s="370"/>
      <c r="T262" s="371"/>
      <c r="U262" s="372"/>
      <c r="V262" s="373"/>
      <c r="W262" s="383"/>
      <c r="X262" s="404"/>
      <c r="Y262" s="372"/>
      <c r="Z262" s="381"/>
      <c r="AA262" s="498"/>
      <c r="AB262" s="540"/>
      <c r="AC262" s="541"/>
      <c r="AD262" s="567"/>
      <c r="AE262" s="568"/>
      <c r="AF262" s="569"/>
      <c r="AG262" s="498"/>
      <c r="AH262" s="540"/>
      <c r="AI262" s="541"/>
      <c r="AJ262" s="498"/>
      <c r="AK262" s="540"/>
      <c r="AL262" s="541"/>
      <c r="AM262" s="498"/>
      <c r="AN262" s="540"/>
      <c r="AO262" s="541"/>
      <c r="AP262" s="498"/>
      <c r="AQ262" s="540"/>
      <c r="AR262" s="541"/>
      <c r="AS262" s="309"/>
    </row>
    <row r="263" spans="1:45" ht="13.5" hidden="1" customHeight="1">
      <c r="A263" s="12"/>
      <c r="B263" s="358" t="s">
        <v>860</v>
      </c>
      <c r="C263" s="359">
        <v>9</v>
      </c>
      <c r="D263" s="359">
        <v>129</v>
      </c>
      <c r="E263" s="360" t="s">
        <v>922</v>
      </c>
      <c r="F263" s="524"/>
      <c r="G263" s="361" t="s">
        <v>43</v>
      </c>
      <c r="H263" s="362">
        <v>30051946</v>
      </c>
      <c r="I263" s="230">
        <v>45444</v>
      </c>
      <c r="J263" s="230">
        <v>20</v>
      </c>
      <c r="K263" s="363" t="s">
        <v>923</v>
      </c>
      <c r="L263" s="364" t="s">
        <v>924</v>
      </c>
      <c r="M263" s="365" t="s">
        <v>925</v>
      </c>
      <c r="N263" s="366"/>
      <c r="O263" s="367"/>
      <c r="P263" s="368"/>
      <c r="Q263" s="382"/>
      <c r="R263" s="370" t="s">
        <v>63</v>
      </c>
      <c r="S263" s="370" t="s">
        <v>926</v>
      </c>
      <c r="T263" s="371"/>
      <c r="U263" s="372"/>
      <c r="V263" s="373"/>
      <c r="W263" s="374" t="s">
        <v>78</v>
      </c>
      <c r="X263" s="404">
        <v>45400</v>
      </c>
      <c r="Y263" s="372"/>
      <c r="Z263" s="381"/>
      <c r="AA263" s="359"/>
      <c r="AB263" s="230"/>
      <c r="AC263" s="381"/>
      <c r="AD263" s="526"/>
      <c r="AE263" s="527"/>
      <c r="AF263" s="528"/>
      <c r="AG263" s="402"/>
      <c r="AH263" s="403"/>
      <c r="AI263" s="401"/>
      <c r="AJ263" s="402"/>
      <c r="AK263" s="403"/>
      <c r="AL263" s="401"/>
      <c r="AM263" s="402"/>
      <c r="AN263" s="403"/>
      <c r="AO263" s="401"/>
      <c r="AP263" s="402"/>
      <c r="AQ263" s="403"/>
      <c r="AR263" s="401"/>
      <c r="AS263" s="202"/>
    </row>
    <row r="264" spans="1:45" ht="13.5" hidden="1" customHeight="1">
      <c r="A264" s="12"/>
      <c r="B264" s="358"/>
      <c r="C264" s="359"/>
      <c r="D264" s="359"/>
      <c r="E264" s="360"/>
      <c r="F264" s="524"/>
      <c r="G264" s="378"/>
      <c r="H264" s="362"/>
      <c r="I264" s="230"/>
      <c r="J264" s="230"/>
      <c r="K264" s="363"/>
      <c r="L264" s="364"/>
      <c r="M264" s="365"/>
      <c r="N264" s="366"/>
      <c r="O264" s="367"/>
      <c r="P264" s="368"/>
      <c r="Q264" s="382"/>
      <c r="R264" s="370"/>
      <c r="S264" s="370"/>
      <c r="T264" s="371"/>
      <c r="U264" s="372"/>
      <c r="V264" s="373"/>
      <c r="W264" s="383"/>
      <c r="X264" s="404"/>
      <c r="Y264" s="372"/>
      <c r="Z264" s="381"/>
      <c r="AA264" s="359"/>
      <c r="AB264" s="230"/>
      <c r="AC264" s="381"/>
      <c r="AD264" s="529"/>
      <c r="AE264" s="379"/>
      <c r="AF264" s="380"/>
      <c r="AG264" s="402"/>
      <c r="AH264" s="403"/>
      <c r="AI264" s="401"/>
      <c r="AJ264" s="402"/>
      <c r="AK264" s="403"/>
      <c r="AL264" s="401"/>
      <c r="AM264" s="402"/>
      <c r="AN264" s="403"/>
      <c r="AO264" s="401"/>
      <c r="AP264" s="402"/>
      <c r="AQ264" s="403"/>
      <c r="AR264" s="401"/>
      <c r="AS264" s="202"/>
    </row>
    <row r="265" spans="1:45" ht="13.5" hidden="1" customHeight="1">
      <c r="A265" s="12"/>
      <c r="B265" s="358" t="s">
        <v>860</v>
      </c>
      <c r="C265" s="359">
        <v>10</v>
      </c>
      <c r="D265" s="359">
        <v>130</v>
      </c>
      <c r="E265" s="360" t="s">
        <v>928</v>
      </c>
      <c r="F265" s="524"/>
      <c r="G265" s="361" t="s">
        <v>43</v>
      </c>
      <c r="H265" s="362"/>
      <c r="I265" s="230">
        <v>42766</v>
      </c>
      <c r="J265" s="230">
        <v>7</v>
      </c>
      <c r="K265" s="363"/>
      <c r="L265" s="364" t="s">
        <v>929</v>
      </c>
      <c r="M265" s="365" t="s">
        <v>930</v>
      </c>
      <c r="N265" s="366" t="s">
        <v>931</v>
      </c>
      <c r="O265" s="443">
        <v>16410861</v>
      </c>
      <c r="P265" s="368">
        <v>4123822180</v>
      </c>
      <c r="Q265" s="369" t="s">
        <v>932</v>
      </c>
      <c r="R265" s="370" t="s">
        <v>369</v>
      </c>
      <c r="S265" s="370" t="s">
        <v>933</v>
      </c>
      <c r="T265" s="371"/>
      <c r="U265" s="372"/>
      <c r="V265" s="373"/>
      <c r="W265" s="374" t="s">
        <v>78</v>
      </c>
      <c r="X265" s="404">
        <v>45411</v>
      </c>
      <c r="Y265" s="372"/>
      <c r="Z265" s="381"/>
      <c r="AA265" s="359"/>
      <c r="AB265" s="230"/>
      <c r="AC265" s="381"/>
      <c r="AD265" s="526"/>
      <c r="AE265" s="527"/>
      <c r="AF265" s="528"/>
      <c r="AG265" s="402"/>
      <c r="AH265" s="403"/>
      <c r="AI265" s="401"/>
      <c r="AJ265" s="402"/>
      <c r="AK265" s="403"/>
      <c r="AL265" s="401"/>
      <c r="AM265" s="402"/>
      <c r="AN265" s="403"/>
      <c r="AO265" s="401"/>
      <c r="AP265" s="402"/>
      <c r="AQ265" s="403"/>
      <c r="AR265" s="401"/>
      <c r="AS265" s="202"/>
    </row>
    <row r="266" spans="1:45" ht="13.5" hidden="1" customHeight="1">
      <c r="A266" s="12"/>
      <c r="B266" s="358"/>
      <c r="C266" s="359"/>
      <c r="D266" s="359"/>
      <c r="E266" s="360"/>
      <c r="F266" s="524"/>
      <c r="G266" s="378"/>
      <c r="H266" s="362"/>
      <c r="I266" s="230"/>
      <c r="J266" s="230"/>
      <c r="K266" s="363"/>
      <c r="L266" s="364"/>
      <c r="M266" s="365"/>
      <c r="N266" s="366"/>
      <c r="O266" s="368"/>
      <c r="P266" s="368"/>
      <c r="Q266" s="382"/>
      <c r="R266" s="370"/>
      <c r="S266" s="370"/>
      <c r="T266" s="371"/>
      <c r="U266" s="372"/>
      <c r="V266" s="373"/>
      <c r="W266" s="383"/>
      <c r="X266" s="404"/>
      <c r="Y266" s="372"/>
      <c r="Z266" s="381"/>
      <c r="AA266" s="359"/>
      <c r="AB266" s="230"/>
      <c r="AC266" s="381"/>
      <c r="AD266" s="529"/>
      <c r="AE266" s="379"/>
      <c r="AF266" s="380"/>
      <c r="AG266" s="402"/>
      <c r="AH266" s="403"/>
      <c r="AI266" s="401"/>
      <c r="AJ266" s="402"/>
      <c r="AK266" s="403"/>
      <c r="AL266" s="401"/>
      <c r="AM266" s="402"/>
      <c r="AN266" s="403"/>
      <c r="AO266" s="401"/>
      <c r="AP266" s="402"/>
      <c r="AQ266" s="403"/>
      <c r="AR266" s="401"/>
      <c r="AS266" s="202"/>
    </row>
    <row r="267" spans="1:45" ht="13.5" hidden="1" customHeight="1">
      <c r="A267" s="12"/>
      <c r="B267" s="358" t="s">
        <v>860</v>
      </c>
      <c r="C267" s="359">
        <v>11</v>
      </c>
      <c r="D267" s="359">
        <v>131</v>
      </c>
      <c r="E267" s="360" t="s">
        <v>935</v>
      </c>
      <c r="F267" s="524"/>
      <c r="G267" s="361" t="s">
        <v>43</v>
      </c>
      <c r="H267" s="230"/>
      <c r="I267" s="230">
        <v>42108</v>
      </c>
      <c r="J267" s="230">
        <v>9</v>
      </c>
      <c r="K267" s="368"/>
      <c r="L267" s="364" t="s">
        <v>936</v>
      </c>
      <c r="M267" s="365" t="s">
        <v>725</v>
      </c>
      <c r="N267" s="366" t="s">
        <v>937</v>
      </c>
      <c r="O267" s="367">
        <v>18709347</v>
      </c>
      <c r="P267" s="368">
        <v>4144771894</v>
      </c>
      <c r="Q267" s="369" t="s">
        <v>938</v>
      </c>
      <c r="R267" s="370" t="s">
        <v>369</v>
      </c>
      <c r="S267" s="370" t="s">
        <v>939</v>
      </c>
      <c r="T267" s="371"/>
      <c r="U267" s="372"/>
      <c r="V267" s="515"/>
      <c r="W267" s="374" t="s">
        <v>78</v>
      </c>
      <c r="X267" s="404">
        <v>45410</v>
      </c>
      <c r="Y267" s="372"/>
      <c r="Z267" s="381"/>
      <c r="AA267" s="359"/>
      <c r="AB267" s="230"/>
      <c r="AC267" s="381"/>
      <c r="AD267" s="526"/>
      <c r="AE267" s="527"/>
      <c r="AF267" s="528"/>
      <c r="AG267" s="402"/>
      <c r="AH267" s="403"/>
      <c r="AI267" s="401"/>
      <c r="AJ267" s="402"/>
      <c r="AK267" s="403"/>
      <c r="AL267" s="401"/>
      <c r="AM267" s="402"/>
      <c r="AN267" s="403"/>
      <c r="AO267" s="401"/>
      <c r="AP267" s="402"/>
      <c r="AQ267" s="403"/>
      <c r="AR267" s="401"/>
      <c r="AS267" s="202"/>
    </row>
    <row r="268" spans="1:45" ht="13.5" hidden="1" customHeight="1">
      <c r="A268" s="12"/>
      <c r="B268" s="358"/>
      <c r="C268" s="359"/>
      <c r="D268" s="359"/>
      <c r="E268" s="360"/>
      <c r="F268" s="524"/>
      <c r="G268" s="378"/>
      <c r="H268" s="230"/>
      <c r="I268" s="230"/>
      <c r="J268" s="230"/>
      <c r="K268" s="368"/>
      <c r="L268" s="364"/>
      <c r="M268" s="365"/>
      <c r="N268" s="366"/>
      <c r="O268" s="367"/>
      <c r="P268" s="368"/>
      <c r="Q268" s="382"/>
      <c r="R268" s="370"/>
      <c r="S268" s="370"/>
      <c r="T268" s="371"/>
      <c r="U268" s="372"/>
      <c r="V268" s="515"/>
      <c r="W268" s="383"/>
      <c r="X268" s="404"/>
      <c r="Y268" s="372"/>
      <c r="Z268" s="381"/>
      <c r="AA268" s="359"/>
      <c r="AB268" s="230"/>
      <c r="AC268" s="381"/>
      <c r="AD268" s="529"/>
      <c r="AE268" s="379"/>
      <c r="AF268" s="380"/>
      <c r="AG268" s="402"/>
      <c r="AH268" s="403"/>
      <c r="AI268" s="401"/>
      <c r="AJ268" s="402"/>
      <c r="AK268" s="403"/>
      <c r="AL268" s="401"/>
      <c r="AM268" s="402"/>
      <c r="AN268" s="403"/>
      <c r="AO268" s="401"/>
      <c r="AP268" s="402"/>
      <c r="AQ268" s="403"/>
      <c r="AR268" s="401"/>
      <c r="AS268" s="202"/>
    </row>
    <row r="269" spans="1:45" ht="13.5" hidden="1" customHeight="1">
      <c r="A269" s="534"/>
      <c r="B269" s="358" t="s">
        <v>860</v>
      </c>
      <c r="C269" s="359">
        <v>12</v>
      </c>
      <c r="D269" s="359">
        <v>132</v>
      </c>
      <c r="E269" s="360" t="s">
        <v>941</v>
      </c>
      <c r="F269" s="524"/>
      <c r="G269" s="361" t="s">
        <v>43</v>
      </c>
      <c r="H269" s="362">
        <v>33696987</v>
      </c>
      <c r="I269" s="230">
        <v>40354</v>
      </c>
      <c r="J269" s="230">
        <v>13</v>
      </c>
      <c r="K269" s="544" t="s">
        <v>942</v>
      </c>
      <c r="L269" s="364" t="s">
        <v>943</v>
      </c>
      <c r="M269" s="365" t="s">
        <v>944</v>
      </c>
      <c r="N269" s="366" t="s">
        <v>945</v>
      </c>
      <c r="O269" s="367">
        <v>16148098</v>
      </c>
      <c r="P269" s="230">
        <v>4125756303</v>
      </c>
      <c r="Q269" s="369" t="s">
        <v>946</v>
      </c>
      <c r="R269" s="370" t="s">
        <v>947</v>
      </c>
      <c r="S269" s="370" t="s">
        <v>933</v>
      </c>
      <c r="T269" s="371"/>
      <c r="U269" s="372"/>
      <c r="V269" s="373"/>
      <c r="W269" s="374" t="s">
        <v>78</v>
      </c>
      <c r="X269" s="359">
        <v>45417</v>
      </c>
      <c r="Y269" s="372"/>
      <c r="Z269" s="381"/>
      <c r="AA269" s="536"/>
      <c r="AB269" s="537"/>
      <c r="AC269" s="538"/>
      <c r="AD269" s="570"/>
      <c r="AE269" s="571"/>
      <c r="AF269" s="572"/>
      <c r="AG269" s="536"/>
      <c r="AH269" s="537"/>
      <c r="AI269" s="538"/>
      <c r="AJ269" s="536"/>
      <c r="AK269" s="537"/>
      <c r="AL269" s="538"/>
      <c r="AM269" s="536"/>
      <c r="AN269" s="537"/>
      <c r="AO269" s="538"/>
      <c r="AP269" s="536"/>
      <c r="AQ269" s="537"/>
      <c r="AR269" s="538"/>
      <c r="AS269" s="305"/>
    </row>
    <row r="270" spans="1:45" ht="14.25" hidden="1" customHeight="1">
      <c r="A270" s="534"/>
      <c r="B270" s="358"/>
      <c r="C270" s="359"/>
      <c r="D270" s="359"/>
      <c r="E270" s="360"/>
      <c r="F270" s="524"/>
      <c r="G270" s="378"/>
      <c r="H270" s="362"/>
      <c r="I270" s="230"/>
      <c r="J270" s="230"/>
      <c r="K270" s="544"/>
      <c r="L270" s="364"/>
      <c r="M270" s="365"/>
      <c r="N270" s="366"/>
      <c r="O270" s="367"/>
      <c r="P270" s="230"/>
      <c r="Q270" s="391"/>
      <c r="R270" s="370"/>
      <c r="S270" s="370"/>
      <c r="T270" s="371"/>
      <c r="U270" s="372"/>
      <c r="V270" s="373"/>
      <c r="W270" s="383"/>
      <c r="X270" s="359"/>
      <c r="Y270" s="372"/>
      <c r="Z270" s="381"/>
      <c r="AA270" s="536"/>
      <c r="AB270" s="537"/>
      <c r="AC270" s="538"/>
      <c r="AD270" s="573"/>
      <c r="AE270" s="574"/>
      <c r="AF270" s="575"/>
      <c r="AG270" s="536"/>
      <c r="AH270" s="537"/>
      <c r="AI270" s="538"/>
      <c r="AJ270" s="536"/>
      <c r="AK270" s="537"/>
      <c r="AL270" s="538"/>
      <c r="AM270" s="536"/>
      <c r="AN270" s="537"/>
      <c r="AO270" s="538"/>
      <c r="AP270" s="536"/>
      <c r="AQ270" s="537"/>
      <c r="AR270" s="538"/>
      <c r="AS270" s="305"/>
    </row>
    <row r="271" spans="1:45" ht="13.5" hidden="1" customHeight="1">
      <c r="A271" s="12"/>
      <c r="B271" s="358" t="s">
        <v>860</v>
      </c>
      <c r="C271" s="359">
        <v>13</v>
      </c>
      <c r="D271" s="359">
        <v>133</v>
      </c>
      <c r="E271" s="360" t="s">
        <v>949</v>
      </c>
      <c r="F271" s="524"/>
      <c r="G271" s="361" t="s">
        <v>43</v>
      </c>
      <c r="H271" s="362">
        <v>30818516</v>
      </c>
      <c r="I271" s="230">
        <v>45407</v>
      </c>
      <c r="J271" s="230">
        <v>19</v>
      </c>
      <c r="K271" s="363" t="s">
        <v>950</v>
      </c>
      <c r="L271" s="364" t="s">
        <v>951</v>
      </c>
      <c r="M271" s="365" t="s">
        <v>952</v>
      </c>
      <c r="N271" s="366" t="s">
        <v>953</v>
      </c>
      <c r="O271" s="367">
        <v>12731027</v>
      </c>
      <c r="P271" s="368">
        <v>4125970543</v>
      </c>
      <c r="Q271" s="369" t="s">
        <v>954</v>
      </c>
      <c r="R271" s="370" t="s">
        <v>947</v>
      </c>
      <c r="S271" s="370" t="s">
        <v>955</v>
      </c>
      <c r="T271" s="371"/>
      <c r="U271" s="372"/>
      <c r="V271" s="373"/>
      <c r="W271" s="374" t="s">
        <v>664</v>
      </c>
      <c r="X271" s="404">
        <v>45384</v>
      </c>
      <c r="Y271" s="372" t="s">
        <v>956</v>
      </c>
      <c r="Z271" s="381"/>
      <c r="AA271" s="359"/>
      <c r="AB271" s="230"/>
      <c r="AC271" s="381"/>
      <c r="AD271" s="526"/>
      <c r="AE271" s="527"/>
      <c r="AF271" s="528"/>
      <c r="AG271" s="402"/>
      <c r="AH271" s="403"/>
      <c r="AI271" s="401"/>
      <c r="AJ271" s="402"/>
      <c r="AK271" s="403"/>
      <c r="AL271" s="401"/>
      <c r="AM271" s="402"/>
      <c r="AN271" s="403"/>
      <c r="AO271" s="401"/>
      <c r="AP271" s="402"/>
      <c r="AQ271" s="403"/>
      <c r="AR271" s="401"/>
      <c r="AS271" s="202"/>
    </row>
    <row r="272" spans="1:45" ht="13.5" hidden="1" customHeight="1">
      <c r="A272" s="12"/>
      <c r="B272" s="358"/>
      <c r="C272" s="359"/>
      <c r="D272" s="359"/>
      <c r="E272" s="360"/>
      <c r="F272" s="524"/>
      <c r="G272" s="378"/>
      <c r="H272" s="230"/>
      <c r="I272" s="230"/>
      <c r="J272" s="230"/>
      <c r="K272" s="363"/>
      <c r="L272" s="364"/>
      <c r="M272" s="365"/>
      <c r="N272" s="366"/>
      <c r="O272" s="367"/>
      <c r="P272" s="368"/>
      <c r="Q272" s="382"/>
      <c r="R272" s="370"/>
      <c r="S272" s="370"/>
      <c r="T272" s="371"/>
      <c r="U272" s="372"/>
      <c r="V272" s="373"/>
      <c r="W272" s="383"/>
      <c r="X272" s="404"/>
      <c r="Y272" s="372"/>
      <c r="Z272" s="381"/>
      <c r="AA272" s="359"/>
      <c r="AB272" s="230"/>
      <c r="AC272" s="381"/>
      <c r="AD272" s="529"/>
      <c r="AE272" s="379"/>
      <c r="AF272" s="380"/>
      <c r="AG272" s="402"/>
      <c r="AH272" s="403"/>
      <c r="AI272" s="401"/>
      <c r="AJ272" s="402"/>
      <c r="AK272" s="403"/>
      <c r="AL272" s="401"/>
      <c r="AM272" s="402"/>
      <c r="AN272" s="403"/>
      <c r="AO272" s="401"/>
      <c r="AP272" s="402"/>
      <c r="AQ272" s="403"/>
      <c r="AR272" s="401"/>
      <c r="AS272" s="202"/>
    </row>
    <row r="273" spans="1:45" ht="13.5" hidden="1" customHeight="1">
      <c r="A273" s="12"/>
      <c r="B273" s="358" t="s">
        <v>860</v>
      </c>
      <c r="C273" s="359">
        <v>14</v>
      </c>
      <c r="D273" s="359">
        <v>134</v>
      </c>
      <c r="E273" s="360" t="s">
        <v>958</v>
      </c>
      <c r="F273" s="524"/>
      <c r="G273" s="361" t="s">
        <v>43</v>
      </c>
      <c r="H273" s="362"/>
      <c r="I273" s="230">
        <v>45575</v>
      </c>
      <c r="J273" s="230">
        <v>7</v>
      </c>
      <c r="K273" s="363" t="s">
        <v>959</v>
      </c>
      <c r="L273" s="364"/>
      <c r="M273" s="365" t="s">
        <v>960</v>
      </c>
      <c r="N273" s="366" t="s">
        <v>961</v>
      </c>
      <c r="O273" s="443">
        <v>16378715</v>
      </c>
      <c r="P273" s="368">
        <v>4246662661</v>
      </c>
      <c r="Q273" s="408"/>
      <c r="R273" s="370" t="s">
        <v>947</v>
      </c>
      <c r="S273" s="370" t="s">
        <v>955</v>
      </c>
      <c r="T273" s="371"/>
      <c r="U273" s="372"/>
      <c r="V273" s="373"/>
      <c r="W273" s="374"/>
      <c r="X273" s="404">
        <v>45416</v>
      </c>
      <c r="Y273" s="372"/>
      <c r="Z273" s="381"/>
      <c r="AA273" s="402"/>
      <c r="AB273" s="403"/>
      <c r="AC273" s="401"/>
      <c r="AD273" s="526"/>
      <c r="AE273" s="527"/>
      <c r="AF273" s="528"/>
      <c r="AG273" s="402"/>
      <c r="AH273" s="403"/>
      <c r="AI273" s="401"/>
      <c r="AJ273" s="402"/>
      <c r="AK273" s="403"/>
      <c r="AL273" s="401"/>
      <c r="AM273" s="402"/>
      <c r="AN273" s="403"/>
      <c r="AO273" s="401"/>
      <c r="AP273" s="402"/>
      <c r="AQ273" s="403"/>
      <c r="AR273" s="401"/>
      <c r="AS273" s="202"/>
    </row>
    <row r="274" spans="1:45" ht="13.5" hidden="1" customHeight="1">
      <c r="A274" s="12"/>
      <c r="B274" s="358"/>
      <c r="C274" s="359"/>
      <c r="D274" s="359"/>
      <c r="E274" s="360"/>
      <c r="F274" s="524"/>
      <c r="G274" s="378"/>
      <c r="H274" s="362"/>
      <c r="I274" s="230"/>
      <c r="J274" s="230"/>
      <c r="K274" s="363"/>
      <c r="L274" s="364"/>
      <c r="M274" s="365"/>
      <c r="N274" s="366"/>
      <c r="O274" s="368"/>
      <c r="P274" s="368"/>
      <c r="Q274" s="408"/>
      <c r="R274" s="370"/>
      <c r="S274" s="370"/>
      <c r="T274" s="371"/>
      <c r="U274" s="372"/>
      <c r="V274" s="373"/>
      <c r="W274" s="383"/>
      <c r="X274" s="404"/>
      <c r="Y274" s="372"/>
      <c r="Z274" s="381"/>
      <c r="AA274" s="402"/>
      <c r="AB274" s="403"/>
      <c r="AC274" s="401"/>
      <c r="AD274" s="529"/>
      <c r="AE274" s="379"/>
      <c r="AF274" s="380"/>
      <c r="AG274" s="402"/>
      <c r="AH274" s="403"/>
      <c r="AI274" s="401"/>
      <c r="AJ274" s="402"/>
      <c r="AK274" s="403"/>
      <c r="AL274" s="401"/>
      <c r="AM274" s="402"/>
      <c r="AN274" s="403"/>
      <c r="AO274" s="401"/>
      <c r="AP274" s="402"/>
      <c r="AQ274" s="403"/>
      <c r="AR274" s="401"/>
      <c r="AS274" s="202"/>
    </row>
    <row r="275" spans="1:45" ht="13.5" hidden="1" customHeight="1">
      <c r="A275" s="534"/>
      <c r="B275" s="358" t="s">
        <v>860</v>
      </c>
      <c r="C275" s="359">
        <v>15</v>
      </c>
      <c r="D275" s="359">
        <v>135</v>
      </c>
      <c r="E275" s="360" t="s">
        <v>963</v>
      </c>
      <c r="F275" s="361"/>
      <c r="G275" s="361" t="s">
        <v>43</v>
      </c>
      <c r="H275" s="362">
        <v>33288298</v>
      </c>
      <c r="I275" s="230">
        <v>40084</v>
      </c>
      <c r="J275" s="230">
        <v>14</v>
      </c>
      <c r="K275" s="363" t="s">
        <v>959</v>
      </c>
      <c r="L275" s="364" t="s">
        <v>964</v>
      </c>
      <c r="M275" s="365" t="s">
        <v>965</v>
      </c>
      <c r="N275" s="366" t="s">
        <v>961</v>
      </c>
      <c r="O275" s="443">
        <v>16378715</v>
      </c>
      <c r="P275" s="368">
        <v>4246662661</v>
      </c>
      <c r="Q275" s="576"/>
      <c r="R275" s="370" t="s">
        <v>947</v>
      </c>
      <c r="S275" s="420" t="s">
        <v>955</v>
      </c>
      <c r="T275" s="371"/>
      <c r="U275" s="372"/>
      <c r="V275" s="373"/>
      <c r="W275" s="374"/>
      <c r="X275" s="404">
        <v>45416</v>
      </c>
      <c r="Y275" s="372"/>
      <c r="Z275" s="381"/>
      <c r="AA275" s="359"/>
      <c r="AB275" s="230"/>
      <c r="AC275" s="381"/>
      <c r="AD275" s="359"/>
      <c r="AE275" s="230"/>
      <c r="AF275" s="381"/>
      <c r="AG275" s="241"/>
      <c r="AH275" s="411"/>
      <c r="AI275" s="577"/>
      <c r="AJ275" s="241"/>
      <c r="AK275" s="411"/>
      <c r="AL275" s="577"/>
      <c r="AM275" s="241"/>
      <c r="AN275" s="411"/>
      <c r="AO275" s="577"/>
      <c r="AP275" s="241"/>
      <c r="AQ275" s="411"/>
      <c r="AR275" s="577"/>
      <c r="AS275" s="305"/>
    </row>
    <row r="276" spans="1:45" ht="13.5" hidden="1" customHeight="1">
      <c r="A276" s="534"/>
      <c r="B276" s="358"/>
      <c r="C276" s="359"/>
      <c r="D276" s="359"/>
      <c r="E276" s="360"/>
      <c r="F276" s="378"/>
      <c r="G276" s="378"/>
      <c r="H276" s="230"/>
      <c r="I276" s="230"/>
      <c r="J276" s="230"/>
      <c r="K276" s="544"/>
      <c r="L276" s="364"/>
      <c r="M276" s="365"/>
      <c r="N276" s="366"/>
      <c r="O276" s="368"/>
      <c r="P276" s="368"/>
      <c r="Q276" s="391"/>
      <c r="R276" s="370"/>
      <c r="S276" s="433"/>
      <c r="T276" s="371"/>
      <c r="U276" s="372"/>
      <c r="V276" s="373"/>
      <c r="W276" s="383"/>
      <c r="X276" s="404"/>
      <c r="Y276" s="372"/>
      <c r="Z276" s="381"/>
      <c r="AA276" s="359"/>
      <c r="AB276" s="230"/>
      <c r="AC276" s="381"/>
      <c r="AD276" s="359"/>
      <c r="AE276" s="230"/>
      <c r="AF276" s="381"/>
      <c r="AG276" s="241"/>
      <c r="AH276" s="411"/>
      <c r="AI276" s="577"/>
      <c r="AJ276" s="241"/>
      <c r="AK276" s="411"/>
      <c r="AL276" s="577"/>
      <c r="AM276" s="241"/>
      <c r="AN276" s="411"/>
      <c r="AO276" s="577"/>
      <c r="AP276" s="241"/>
      <c r="AQ276" s="411"/>
      <c r="AR276" s="577"/>
      <c r="AS276" s="305"/>
    </row>
    <row r="277" spans="1:45" ht="13.5" hidden="1" customHeight="1">
      <c r="A277" s="12"/>
      <c r="B277" s="358" t="s">
        <v>860</v>
      </c>
      <c r="C277" s="359">
        <v>16</v>
      </c>
      <c r="D277" s="359">
        <v>136</v>
      </c>
      <c r="E277" s="360" t="s">
        <v>967</v>
      </c>
      <c r="F277" s="524"/>
      <c r="G277" s="361" t="s">
        <v>43</v>
      </c>
      <c r="H277" s="362">
        <v>34218191</v>
      </c>
      <c r="I277" s="230">
        <v>40973</v>
      </c>
      <c r="J277" s="230">
        <v>12</v>
      </c>
      <c r="K277" s="363"/>
      <c r="L277" s="364" t="s">
        <v>964</v>
      </c>
      <c r="M277" s="365" t="s">
        <v>965</v>
      </c>
      <c r="N277" s="366" t="s">
        <v>961</v>
      </c>
      <c r="O277" s="367">
        <v>16378715</v>
      </c>
      <c r="P277" s="368">
        <v>4246662661</v>
      </c>
      <c r="Q277" s="369" t="s">
        <v>959</v>
      </c>
      <c r="R277" s="370" t="s">
        <v>947</v>
      </c>
      <c r="S277" s="420" t="s">
        <v>955</v>
      </c>
      <c r="T277" s="371"/>
      <c r="U277" s="372"/>
      <c r="V277" s="373"/>
      <c r="W277" s="374"/>
      <c r="X277" s="404">
        <v>45416</v>
      </c>
      <c r="Y277" s="372"/>
      <c r="Z277" s="381"/>
      <c r="AA277" s="225"/>
      <c r="AB277" s="361"/>
      <c r="AC277" s="533"/>
      <c r="AD277" s="225"/>
      <c r="AE277" s="361"/>
      <c r="AF277" s="533"/>
      <c r="AG277" s="225"/>
      <c r="AH277" s="361"/>
      <c r="AI277" s="533"/>
      <c r="AJ277" s="225"/>
      <c r="AK277" s="361"/>
      <c r="AL277" s="533"/>
      <c r="AM277" s="225"/>
      <c r="AN277" s="361"/>
      <c r="AO277" s="533"/>
      <c r="AP277" s="225"/>
      <c r="AQ277" s="361"/>
      <c r="AR277" s="533"/>
      <c r="AS277" s="320"/>
    </row>
    <row r="278" spans="1:45" ht="13.5" hidden="1" customHeight="1">
      <c r="A278" s="12"/>
      <c r="B278" s="358"/>
      <c r="C278" s="359"/>
      <c r="D278" s="359"/>
      <c r="E278" s="360"/>
      <c r="F278" s="524"/>
      <c r="G278" s="378"/>
      <c r="H278" s="362"/>
      <c r="I278" s="230"/>
      <c r="J278" s="230"/>
      <c r="K278" s="363"/>
      <c r="L278" s="364"/>
      <c r="M278" s="365"/>
      <c r="N278" s="366"/>
      <c r="O278" s="367"/>
      <c r="P278" s="368"/>
      <c r="Q278" s="382"/>
      <c r="R278" s="370"/>
      <c r="S278" s="433"/>
      <c r="T278" s="371"/>
      <c r="U278" s="372"/>
      <c r="V278" s="373"/>
      <c r="W278" s="383"/>
      <c r="X278" s="404"/>
      <c r="Y278" s="372"/>
      <c r="Z278" s="381"/>
      <c r="AA278" s="241"/>
      <c r="AB278" s="411"/>
      <c r="AC278" s="577"/>
      <c r="AD278" s="241"/>
      <c r="AE278" s="411"/>
      <c r="AF278" s="577"/>
      <c r="AG278" s="241"/>
      <c r="AH278" s="411"/>
      <c r="AI278" s="577"/>
      <c r="AJ278" s="241"/>
      <c r="AK278" s="411"/>
      <c r="AL278" s="577"/>
      <c r="AM278" s="241"/>
      <c r="AN278" s="411"/>
      <c r="AO278" s="577"/>
      <c r="AP278" s="241"/>
      <c r="AQ278" s="411"/>
      <c r="AR278" s="577"/>
      <c r="AS278" s="202"/>
    </row>
    <row r="279" spans="1:45" ht="13.5" hidden="1" customHeight="1">
      <c r="A279" s="12"/>
      <c r="B279" s="358" t="s">
        <v>860</v>
      </c>
      <c r="C279" s="359">
        <v>17</v>
      </c>
      <c r="D279" s="359">
        <v>137</v>
      </c>
      <c r="E279" s="360" t="s">
        <v>969</v>
      </c>
      <c r="F279" s="524"/>
      <c r="G279" s="361" t="s">
        <v>43</v>
      </c>
      <c r="H279" s="362">
        <v>22350300</v>
      </c>
      <c r="I279" s="230">
        <v>34197</v>
      </c>
      <c r="J279" s="230">
        <v>30</v>
      </c>
      <c r="K279" s="363" t="s">
        <v>970</v>
      </c>
      <c r="L279" s="364" t="s">
        <v>971</v>
      </c>
      <c r="M279" s="365" t="s">
        <v>972</v>
      </c>
      <c r="N279" s="366"/>
      <c r="O279" s="367"/>
      <c r="P279" s="368"/>
      <c r="Q279" s="382"/>
      <c r="R279" s="370" t="s">
        <v>281</v>
      </c>
      <c r="S279" s="578" t="s">
        <v>973</v>
      </c>
      <c r="T279" s="371" t="s">
        <v>974</v>
      </c>
      <c r="U279" s="372" t="s">
        <v>706</v>
      </c>
      <c r="V279" s="373"/>
      <c r="W279" s="374" t="s">
        <v>975</v>
      </c>
      <c r="X279" s="404">
        <v>45420</v>
      </c>
      <c r="Y279" s="372"/>
      <c r="Z279" s="381"/>
      <c r="AA279" s="225"/>
      <c r="AB279" s="361"/>
      <c r="AC279" s="533"/>
      <c r="AD279" s="225"/>
      <c r="AE279" s="361"/>
      <c r="AF279" s="533"/>
      <c r="AG279" s="225"/>
      <c r="AH279" s="361"/>
      <c r="AI279" s="533"/>
      <c r="AJ279" s="225"/>
      <c r="AK279" s="361"/>
      <c r="AL279" s="533"/>
      <c r="AM279" s="225"/>
      <c r="AN279" s="361"/>
      <c r="AO279" s="533"/>
      <c r="AP279" s="225"/>
      <c r="AQ279" s="361"/>
      <c r="AR279" s="533"/>
      <c r="AS279" s="320"/>
    </row>
    <row r="280" spans="1:45" ht="13.5" hidden="1" customHeight="1">
      <c r="A280" s="12"/>
      <c r="B280" s="358"/>
      <c r="C280" s="359"/>
      <c r="D280" s="359"/>
      <c r="E280" s="360"/>
      <c r="F280" s="524"/>
      <c r="G280" s="378"/>
      <c r="H280" s="362"/>
      <c r="I280" s="230"/>
      <c r="J280" s="230"/>
      <c r="K280" s="363"/>
      <c r="L280" s="364"/>
      <c r="M280" s="365"/>
      <c r="N280" s="366"/>
      <c r="O280" s="367"/>
      <c r="P280" s="368"/>
      <c r="Q280" s="382"/>
      <c r="R280" s="370"/>
      <c r="S280" s="578"/>
      <c r="T280" s="371"/>
      <c r="U280" s="372"/>
      <c r="V280" s="373"/>
      <c r="W280" s="383"/>
      <c r="X280" s="404"/>
      <c r="Y280" s="372"/>
      <c r="Z280" s="381"/>
      <c r="AA280" s="241"/>
      <c r="AB280" s="411"/>
      <c r="AC280" s="577"/>
      <c r="AD280" s="241"/>
      <c r="AE280" s="411"/>
      <c r="AF280" s="577"/>
      <c r="AG280" s="241"/>
      <c r="AH280" s="411"/>
      <c r="AI280" s="577"/>
      <c r="AJ280" s="241"/>
      <c r="AK280" s="411"/>
      <c r="AL280" s="577"/>
      <c r="AM280" s="241"/>
      <c r="AN280" s="411"/>
      <c r="AO280" s="577"/>
      <c r="AP280" s="241"/>
      <c r="AQ280" s="411"/>
      <c r="AR280" s="577"/>
      <c r="AS280" s="202"/>
    </row>
    <row r="281" spans="1:45" ht="13.5" hidden="1" customHeight="1">
      <c r="A281" s="12"/>
      <c r="B281" s="358" t="s">
        <v>860</v>
      </c>
      <c r="C281" s="359">
        <v>18</v>
      </c>
      <c r="D281" s="359">
        <v>138</v>
      </c>
      <c r="E281" s="360" t="s">
        <v>977</v>
      </c>
      <c r="F281" s="524"/>
      <c r="G281" s="361" t="s">
        <v>43</v>
      </c>
      <c r="H281" s="362">
        <v>33303438</v>
      </c>
      <c r="I281" s="230">
        <v>40170</v>
      </c>
      <c r="J281" s="230">
        <v>14</v>
      </c>
      <c r="K281" s="363" t="s">
        <v>978</v>
      </c>
      <c r="L281" s="364" t="s">
        <v>979</v>
      </c>
      <c r="M281" s="365" t="s">
        <v>980</v>
      </c>
      <c r="N281" s="366" t="s">
        <v>981</v>
      </c>
      <c r="O281" s="367">
        <v>12879846</v>
      </c>
      <c r="P281" s="368">
        <v>4121145700</v>
      </c>
      <c r="Q281" s="369" t="s">
        <v>982</v>
      </c>
      <c r="R281" s="370" t="s">
        <v>983</v>
      </c>
      <c r="S281" s="370" t="s">
        <v>696</v>
      </c>
      <c r="T281" s="371" t="s">
        <v>984</v>
      </c>
      <c r="U281" s="372"/>
      <c r="V281" s="515"/>
      <c r="W281" s="374"/>
      <c r="X281" s="404">
        <v>45419</v>
      </c>
      <c r="Y281" s="372"/>
      <c r="Z281" s="381"/>
      <c r="AA281" s="225"/>
      <c r="AB281" s="361"/>
      <c r="AC281" s="533"/>
      <c r="AD281" s="225"/>
      <c r="AE281" s="361"/>
      <c r="AF281" s="533"/>
      <c r="AG281" s="225"/>
      <c r="AH281" s="361"/>
      <c r="AI281" s="533"/>
      <c r="AJ281" s="225"/>
      <c r="AK281" s="361"/>
      <c r="AL281" s="533"/>
      <c r="AM281" s="225"/>
      <c r="AN281" s="361"/>
      <c r="AO281" s="533"/>
      <c r="AP281" s="225"/>
      <c r="AQ281" s="361"/>
      <c r="AR281" s="533"/>
      <c r="AS281" s="320"/>
    </row>
    <row r="282" spans="1:45" ht="13.5" hidden="1" customHeight="1">
      <c r="A282" s="12"/>
      <c r="B282" s="358"/>
      <c r="C282" s="359"/>
      <c r="D282" s="359"/>
      <c r="E282" s="360"/>
      <c r="F282" s="524"/>
      <c r="G282" s="378"/>
      <c r="H282" s="362"/>
      <c r="I282" s="230"/>
      <c r="J282" s="230"/>
      <c r="K282" s="363"/>
      <c r="L282" s="364"/>
      <c r="M282" s="365"/>
      <c r="N282" s="366"/>
      <c r="O282" s="367"/>
      <c r="P282" s="368"/>
      <c r="Q282" s="382"/>
      <c r="R282" s="370"/>
      <c r="S282" s="370"/>
      <c r="T282" s="371"/>
      <c r="U282" s="372"/>
      <c r="V282" s="515"/>
      <c r="W282" s="383"/>
      <c r="X282" s="404"/>
      <c r="Y282" s="372"/>
      <c r="Z282" s="381"/>
      <c r="AA282" s="241"/>
      <c r="AB282" s="411"/>
      <c r="AC282" s="577"/>
      <c r="AD282" s="241"/>
      <c r="AE282" s="411"/>
      <c r="AF282" s="577"/>
      <c r="AG282" s="241"/>
      <c r="AH282" s="411"/>
      <c r="AI282" s="577"/>
      <c r="AJ282" s="241"/>
      <c r="AK282" s="411"/>
      <c r="AL282" s="577"/>
      <c r="AM282" s="241"/>
      <c r="AN282" s="411"/>
      <c r="AO282" s="577"/>
      <c r="AP282" s="241"/>
      <c r="AQ282" s="411"/>
      <c r="AR282" s="577"/>
      <c r="AS282" s="202"/>
    </row>
    <row r="283" spans="1:45" ht="13.5" hidden="1" customHeight="1">
      <c r="A283" s="12"/>
      <c r="B283" s="358" t="s">
        <v>860</v>
      </c>
      <c r="C283" s="359">
        <v>19</v>
      </c>
      <c r="D283" s="359">
        <v>139</v>
      </c>
      <c r="E283" s="360" t="s">
        <v>986</v>
      </c>
      <c r="F283" s="524"/>
      <c r="G283" s="361" t="s">
        <v>43</v>
      </c>
      <c r="H283" s="362"/>
      <c r="I283" s="230">
        <v>42219</v>
      </c>
      <c r="J283" s="230">
        <v>8</v>
      </c>
      <c r="K283" s="363" t="s">
        <v>987</v>
      </c>
      <c r="L283" s="364" t="s">
        <v>988</v>
      </c>
      <c r="M283" s="365" t="s">
        <v>989</v>
      </c>
      <c r="N283" s="409" t="s">
        <v>990</v>
      </c>
      <c r="O283" s="453" t="s">
        <v>991</v>
      </c>
      <c r="P283" s="454">
        <v>4242442234</v>
      </c>
      <c r="Q283" s="504" t="s">
        <v>992</v>
      </c>
      <c r="R283" s="420" t="s">
        <v>369</v>
      </c>
      <c r="S283" s="420" t="s">
        <v>939</v>
      </c>
      <c r="T283" s="579" t="s">
        <v>993</v>
      </c>
      <c r="U283" s="372"/>
      <c r="V283" s="373"/>
      <c r="W283" s="374"/>
      <c r="X283" s="404">
        <v>45422</v>
      </c>
      <c r="Y283" s="372"/>
      <c r="Z283" s="381"/>
      <c r="AA283" s="225"/>
      <c r="AB283" s="361"/>
      <c r="AC283" s="533"/>
      <c r="AD283" s="225"/>
      <c r="AE283" s="361"/>
      <c r="AF283" s="533"/>
      <c r="AG283" s="225"/>
      <c r="AH283" s="361"/>
      <c r="AI283" s="533"/>
      <c r="AJ283" s="225"/>
      <c r="AK283" s="361"/>
      <c r="AL283" s="533"/>
      <c r="AM283" s="225"/>
      <c r="AN283" s="361"/>
      <c r="AO283" s="533"/>
      <c r="AP283" s="225"/>
      <c r="AQ283" s="361"/>
      <c r="AR283" s="533"/>
      <c r="AS283" s="320"/>
    </row>
    <row r="284" spans="1:45" ht="13.5" hidden="1" customHeight="1">
      <c r="A284" s="12"/>
      <c r="B284" s="358"/>
      <c r="C284" s="359"/>
      <c r="D284" s="359"/>
      <c r="E284" s="360"/>
      <c r="F284" s="524"/>
      <c r="G284" s="378"/>
      <c r="H284" s="362"/>
      <c r="I284" s="230"/>
      <c r="J284" s="230"/>
      <c r="K284" s="363"/>
      <c r="L284" s="364"/>
      <c r="M284" s="365"/>
      <c r="N284" s="415"/>
      <c r="O284" s="580"/>
      <c r="P284" s="581"/>
      <c r="Q284" s="563"/>
      <c r="R284" s="582"/>
      <c r="S284" s="582"/>
      <c r="T284" s="583"/>
      <c r="U284" s="372"/>
      <c r="V284" s="373"/>
      <c r="W284" s="383"/>
      <c r="X284" s="404"/>
      <c r="Y284" s="372"/>
      <c r="Z284" s="381"/>
      <c r="AA284" s="241"/>
      <c r="AB284" s="411"/>
      <c r="AC284" s="577"/>
      <c r="AD284" s="241"/>
      <c r="AE284" s="411"/>
      <c r="AF284" s="577"/>
      <c r="AG284" s="241"/>
      <c r="AH284" s="411"/>
      <c r="AI284" s="577"/>
      <c r="AJ284" s="241"/>
      <c r="AK284" s="411"/>
      <c r="AL284" s="577"/>
      <c r="AM284" s="241"/>
      <c r="AN284" s="411"/>
      <c r="AO284" s="577"/>
      <c r="AP284" s="241"/>
      <c r="AQ284" s="411"/>
      <c r="AR284" s="577"/>
      <c r="AS284" s="202"/>
    </row>
    <row r="285" spans="1:45" ht="13.5" hidden="1" customHeight="1">
      <c r="A285" s="12"/>
      <c r="B285" s="358" t="s">
        <v>860</v>
      </c>
      <c r="C285" s="359">
        <v>20</v>
      </c>
      <c r="D285" s="359">
        <v>140</v>
      </c>
      <c r="E285" s="360" t="s">
        <v>995</v>
      </c>
      <c r="F285" s="524"/>
      <c r="G285" s="361" t="s">
        <v>43</v>
      </c>
      <c r="H285" s="362"/>
      <c r="I285" s="230">
        <v>41506</v>
      </c>
      <c r="J285" s="230">
        <v>10</v>
      </c>
      <c r="K285" s="363" t="s">
        <v>987</v>
      </c>
      <c r="L285" s="364" t="s">
        <v>996</v>
      </c>
      <c r="M285" s="365" t="s">
        <v>989</v>
      </c>
      <c r="N285" s="415"/>
      <c r="O285" s="580"/>
      <c r="P285" s="581"/>
      <c r="Q285" s="563"/>
      <c r="R285" s="582"/>
      <c r="S285" s="582"/>
      <c r="T285" s="583"/>
      <c r="U285" s="372"/>
      <c r="V285" s="373"/>
      <c r="W285" s="584"/>
      <c r="X285" s="404">
        <v>45422</v>
      </c>
      <c r="Y285" s="372"/>
      <c r="Z285" s="381"/>
      <c r="AA285" s="225"/>
      <c r="AB285" s="361"/>
      <c r="AC285" s="533"/>
      <c r="AD285" s="225"/>
      <c r="AE285" s="361"/>
      <c r="AF285" s="533"/>
      <c r="AG285" s="225"/>
      <c r="AH285" s="361"/>
      <c r="AI285" s="533"/>
      <c r="AJ285" s="225"/>
      <c r="AK285" s="361"/>
      <c r="AL285" s="533"/>
      <c r="AM285" s="225"/>
      <c r="AN285" s="361"/>
      <c r="AO285" s="533"/>
      <c r="AP285" s="225"/>
      <c r="AQ285" s="361"/>
      <c r="AR285" s="533"/>
      <c r="AS285" s="320"/>
    </row>
    <row r="286" spans="1:45" ht="13.5" hidden="1" customHeight="1">
      <c r="A286" s="12"/>
      <c r="B286" s="358"/>
      <c r="C286" s="359"/>
      <c r="D286" s="359"/>
      <c r="E286" s="360"/>
      <c r="F286" s="524"/>
      <c r="G286" s="378"/>
      <c r="H286" s="362"/>
      <c r="I286" s="230"/>
      <c r="J286" s="230"/>
      <c r="K286" s="363"/>
      <c r="L286" s="364"/>
      <c r="M286" s="365"/>
      <c r="N286" s="415"/>
      <c r="O286" s="580"/>
      <c r="P286" s="581"/>
      <c r="Q286" s="563"/>
      <c r="R286" s="433"/>
      <c r="S286" s="433"/>
      <c r="T286" s="583"/>
      <c r="U286" s="372"/>
      <c r="V286" s="373"/>
      <c r="W286" s="585"/>
      <c r="X286" s="404"/>
      <c r="Y286" s="372"/>
      <c r="Z286" s="381"/>
      <c r="AA286" s="241"/>
      <c r="AB286" s="411"/>
      <c r="AC286" s="577"/>
      <c r="AD286" s="241"/>
      <c r="AE286" s="411"/>
      <c r="AF286" s="577"/>
      <c r="AG286" s="241"/>
      <c r="AH286" s="411"/>
      <c r="AI286" s="577"/>
      <c r="AJ286" s="241"/>
      <c r="AK286" s="411"/>
      <c r="AL286" s="577"/>
      <c r="AM286" s="241"/>
      <c r="AN286" s="411"/>
      <c r="AO286" s="577"/>
      <c r="AP286" s="241"/>
      <c r="AQ286" s="411"/>
      <c r="AR286" s="577"/>
      <c r="AS286" s="202"/>
    </row>
    <row r="287" spans="1:45" ht="13.5" hidden="1" customHeight="1">
      <c r="A287" s="12"/>
      <c r="B287" s="358" t="s">
        <v>2567</v>
      </c>
      <c r="C287" s="359">
        <v>1</v>
      </c>
      <c r="D287" s="359">
        <v>141</v>
      </c>
      <c r="E287" s="360" t="s">
        <v>999</v>
      </c>
      <c r="F287" s="524"/>
      <c r="G287" s="361" t="s">
        <v>43</v>
      </c>
      <c r="H287" s="362"/>
      <c r="I287" s="230">
        <v>40205</v>
      </c>
      <c r="J287" s="230">
        <v>14</v>
      </c>
      <c r="K287" s="363" t="s">
        <v>987</v>
      </c>
      <c r="L287" s="364" t="s">
        <v>996</v>
      </c>
      <c r="M287" s="365" t="s">
        <v>989</v>
      </c>
      <c r="N287" s="415"/>
      <c r="O287" s="580"/>
      <c r="P287" s="581"/>
      <c r="Q287" s="563"/>
      <c r="R287" s="370" t="s">
        <v>947</v>
      </c>
      <c r="S287" s="578" t="s">
        <v>1000</v>
      </c>
      <c r="T287" s="583"/>
      <c r="U287" s="372"/>
      <c r="V287" s="373"/>
      <c r="W287" s="374"/>
      <c r="X287" s="404">
        <v>45422</v>
      </c>
      <c r="Y287" s="372"/>
      <c r="Z287" s="381"/>
      <c r="AA287" s="359"/>
      <c r="AB287" s="230"/>
      <c r="AC287" s="381"/>
      <c r="AD287" s="225"/>
      <c r="AE287" s="361"/>
      <c r="AF287" s="533"/>
      <c r="AG287" s="225"/>
      <c r="AH287" s="361"/>
      <c r="AI287" s="533"/>
      <c r="AJ287" s="225"/>
      <c r="AK287" s="361"/>
      <c r="AL287" s="533"/>
      <c r="AM287" s="225"/>
      <c r="AN287" s="361"/>
      <c r="AO287" s="533"/>
      <c r="AP287" s="225"/>
      <c r="AQ287" s="361"/>
      <c r="AR287" s="533"/>
      <c r="AS287" s="320"/>
    </row>
    <row r="288" spans="1:45" ht="13.5" hidden="1" customHeight="1">
      <c r="A288" s="12"/>
      <c r="B288" s="358"/>
      <c r="C288" s="359"/>
      <c r="D288" s="359"/>
      <c r="E288" s="360"/>
      <c r="F288" s="524"/>
      <c r="G288" s="378"/>
      <c r="H288" s="362"/>
      <c r="I288" s="230"/>
      <c r="J288" s="230"/>
      <c r="K288" s="363"/>
      <c r="L288" s="364"/>
      <c r="M288" s="365"/>
      <c r="N288" s="425"/>
      <c r="O288" s="440"/>
      <c r="P288" s="429"/>
      <c r="Q288" s="442"/>
      <c r="R288" s="370"/>
      <c r="S288" s="578"/>
      <c r="T288" s="586"/>
      <c r="U288" s="372"/>
      <c r="V288" s="373"/>
      <c r="W288" s="383"/>
      <c r="X288" s="404"/>
      <c r="Y288" s="372"/>
      <c r="Z288" s="381"/>
      <c r="AA288" s="359"/>
      <c r="AB288" s="230"/>
      <c r="AC288" s="381"/>
      <c r="AD288" s="241"/>
      <c r="AE288" s="411"/>
      <c r="AF288" s="577"/>
      <c r="AG288" s="241"/>
      <c r="AH288" s="411"/>
      <c r="AI288" s="577"/>
      <c r="AJ288" s="241"/>
      <c r="AK288" s="411"/>
      <c r="AL288" s="577"/>
      <c r="AM288" s="241"/>
      <c r="AN288" s="411"/>
      <c r="AO288" s="577"/>
      <c r="AP288" s="241"/>
      <c r="AQ288" s="411"/>
      <c r="AR288" s="577"/>
      <c r="AS288" s="202"/>
    </row>
    <row r="289" spans="1:45" ht="13.5" hidden="1" customHeight="1">
      <c r="A289" s="12"/>
      <c r="B289" s="358" t="s">
        <v>2567</v>
      </c>
      <c r="C289" s="359">
        <v>2</v>
      </c>
      <c r="D289" s="359">
        <v>142</v>
      </c>
      <c r="E289" s="360" t="s">
        <v>1002</v>
      </c>
      <c r="F289" s="524"/>
      <c r="G289" s="361" t="s">
        <v>43</v>
      </c>
      <c r="H289" s="362">
        <v>32674524</v>
      </c>
      <c r="I289" s="230">
        <v>45443</v>
      </c>
      <c r="J289" s="230">
        <v>15</v>
      </c>
      <c r="K289" s="363" t="s">
        <v>1003</v>
      </c>
      <c r="L289" s="364" t="s">
        <v>1004</v>
      </c>
      <c r="M289" s="365" t="s">
        <v>1005</v>
      </c>
      <c r="N289" s="366" t="s">
        <v>1006</v>
      </c>
      <c r="O289" s="367">
        <v>11044964</v>
      </c>
      <c r="P289" s="368">
        <v>4241279132</v>
      </c>
      <c r="Q289" s="369" t="s">
        <v>1007</v>
      </c>
      <c r="R289" s="370" t="s">
        <v>1008</v>
      </c>
      <c r="S289" s="578" t="s">
        <v>1009</v>
      </c>
      <c r="T289" s="588" t="s">
        <v>1010</v>
      </c>
      <c r="U289" s="372" t="s">
        <v>1010</v>
      </c>
      <c r="V289" s="373"/>
      <c r="W289" s="374"/>
      <c r="X289" s="404">
        <v>45425</v>
      </c>
      <c r="Y289" s="372"/>
      <c r="Z289" s="381"/>
      <c r="AA289" s="359"/>
      <c r="AB289" s="230"/>
      <c r="AC289" s="381"/>
      <c r="AD289" s="359"/>
      <c r="AE289" s="230"/>
      <c r="AF289" s="381"/>
      <c r="AG289" s="359"/>
      <c r="AH289" s="230"/>
      <c r="AI289" s="381"/>
      <c r="AJ289" s="359"/>
      <c r="AK289" s="230"/>
      <c r="AL289" s="381"/>
      <c r="AM289" s="359"/>
      <c r="AN289" s="230"/>
      <c r="AO289" s="381"/>
      <c r="AP289" s="359"/>
      <c r="AQ289" s="230"/>
      <c r="AR289" s="381"/>
      <c r="AS289" s="320"/>
    </row>
    <row r="290" spans="1:45" ht="13.5" hidden="1" customHeight="1">
      <c r="A290" s="12"/>
      <c r="B290" s="358"/>
      <c r="C290" s="359"/>
      <c r="D290" s="359"/>
      <c r="E290" s="360"/>
      <c r="F290" s="524"/>
      <c r="G290" s="378"/>
      <c r="H290" s="362"/>
      <c r="I290" s="230"/>
      <c r="J290" s="230"/>
      <c r="K290" s="363"/>
      <c r="L290" s="364"/>
      <c r="M290" s="365"/>
      <c r="N290" s="366"/>
      <c r="O290" s="367"/>
      <c r="P290" s="368"/>
      <c r="Q290" s="382"/>
      <c r="R290" s="370"/>
      <c r="S290" s="578"/>
      <c r="T290" s="588"/>
      <c r="U290" s="372"/>
      <c r="V290" s="373"/>
      <c r="W290" s="383"/>
      <c r="X290" s="404"/>
      <c r="Y290" s="372"/>
      <c r="Z290" s="381"/>
      <c r="AA290" s="359"/>
      <c r="AB290" s="230"/>
      <c r="AC290" s="381"/>
      <c r="AD290" s="359"/>
      <c r="AE290" s="230"/>
      <c r="AF290" s="381"/>
      <c r="AG290" s="359"/>
      <c r="AH290" s="230"/>
      <c r="AI290" s="381"/>
      <c r="AJ290" s="359"/>
      <c r="AK290" s="230"/>
      <c r="AL290" s="381"/>
      <c r="AM290" s="359"/>
      <c r="AN290" s="230"/>
      <c r="AO290" s="381"/>
      <c r="AP290" s="359"/>
      <c r="AQ290" s="230"/>
      <c r="AR290" s="381"/>
      <c r="AS290" s="202"/>
    </row>
    <row r="291" spans="1:45" ht="13.5" hidden="1" customHeight="1">
      <c r="A291" s="12"/>
      <c r="B291" s="358" t="s">
        <v>2567</v>
      </c>
      <c r="C291" s="359">
        <v>3</v>
      </c>
      <c r="D291" s="359">
        <v>143</v>
      </c>
      <c r="E291" s="360" t="s">
        <v>1012</v>
      </c>
      <c r="F291" s="524"/>
      <c r="G291" s="361" t="s">
        <v>43</v>
      </c>
      <c r="H291" s="362">
        <v>27988116</v>
      </c>
      <c r="I291" s="230">
        <v>45356</v>
      </c>
      <c r="J291" s="230">
        <v>23</v>
      </c>
      <c r="K291" s="363" t="s">
        <v>1013</v>
      </c>
      <c r="L291" s="364" t="s">
        <v>1014</v>
      </c>
      <c r="M291" s="365" t="s">
        <v>1015</v>
      </c>
      <c r="N291" s="366"/>
      <c r="O291" s="367"/>
      <c r="P291" s="368"/>
      <c r="Q291" s="369" t="s">
        <v>1016</v>
      </c>
      <c r="R291" s="370" t="s">
        <v>1017</v>
      </c>
      <c r="S291" s="370" t="s">
        <v>973</v>
      </c>
      <c r="T291" s="371"/>
      <c r="U291" s="372"/>
      <c r="V291" s="373"/>
      <c r="W291" s="374"/>
      <c r="X291" s="404">
        <v>45425</v>
      </c>
      <c r="Y291" s="372"/>
      <c r="Z291" s="381"/>
      <c r="AA291" s="225"/>
      <c r="AB291" s="361"/>
      <c r="AC291" s="533"/>
      <c r="AD291" s="359"/>
      <c r="AE291" s="230"/>
      <c r="AF291" s="381"/>
      <c r="AG291" s="359"/>
      <c r="AH291" s="230"/>
      <c r="AI291" s="381"/>
      <c r="AJ291" s="359"/>
      <c r="AK291" s="230"/>
      <c r="AL291" s="381"/>
      <c r="AM291" s="359"/>
      <c r="AN291" s="230"/>
      <c r="AO291" s="381"/>
      <c r="AP291" s="359"/>
      <c r="AQ291" s="230"/>
      <c r="AR291" s="381"/>
      <c r="AS291" s="320"/>
    </row>
    <row r="292" spans="1:45" ht="13.5" hidden="1" customHeight="1">
      <c r="A292" s="12"/>
      <c r="B292" s="358"/>
      <c r="C292" s="359"/>
      <c r="D292" s="359"/>
      <c r="E292" s="360"/>
      <c r="F292" s="524"/>
      <c r="G292" s="378"/>
      <c r="H292" s="362"/>
      <c r="I292" s="230"/>
      <c r="J292" s="230"/>
      <c r="K292" s="363"/>
      <c r="L292" s="364"/>
      <c r="M292" s="365"/>
      <c r="N292" s="366"/>
      <c r="O292" s="367"/>
      <c r="P292" s="368"/>
      <c r="Q292" s="382"/>
      <c r="R292" s="370"/>
      <c r="S292" s="370"/>
      <c r="T292" s="371"/>
      <c r="U292" s="372"/>
      <c r="V292" s="373"/>
      <c r="W292" s="383"/>
      <c r="X292" s="404"/>
      <c r="Y292" s="372"/>
      <c r="Z292" s="381"/>
      <c r="AA292" s="241"/>
      <c r="AB292" s="411"/>
      <c r="AC292" s="577"/>
      <c r="AD292" s="359"/>
      <c r="AE292" s="230"/>
      <c r="AF292" s="381"/>
      <c r="AG292" s="359"/>
      <c r="AH292" s="230"/>
      <c r="AI292" s="381"/>
      <c r="AJ292" s="359"/>
      <c r="AK292" s="230"/>
      <c r="AL292" s="381"/>
      <c r="AM292" s="359"/>
      <c r="AN292" s="230"/>
      <c r="AO292" s="381"/>
      <c r="AP292" s="359"/>
      <c r="AQ292" s="230"/>
      <c r="AR292" s="381"/>
      <c r="AS292" s="202"/>
    </row>
    <row r="293" spans="1:45" ht="13.5" hidden="1" customHeight="1">
      <c r="A293" s="12"/>
      <c r="B293" s="358" t="s">
        <v>2567</v>
      </c>
      <c r="C293" s="359">
        <v>4</v>
      </c>
      <c r="D293" s="359">
        <v>144</v>
      </c>
      <c r="E293" s="360" t="s">
        <v>1019</v>
      </c>
      <c r="F293" s="524"/>
      <c r="G293" s="361" t="s">
        <v>43</v>
      </c>
      <c r="H293" s="362">
        <v>34582733</v>
      </c>
      <c r="I293" s="230">
        <v>45425</v>
      </c>
      <c r="J293" s="230">
        <v>12</v>
      </c>
      <c r="K293" s="363" t="s">
        <v>1020</v>
      </c>
      <c r="L293" s="364" t="s">
        <v>1021</v>
      </c>
      <c r="M293" s="365" t="s">
        <v>1022</v>
      </c>
      <c r="N293" s="366" t="s">
        <v>1023</v>
      </c>
      <c r="O293" s="367">
        <v>17533013</v>
      </c>
      <c r="P293" s="368">
        <v>4122760994</v>
      </c>
      <c r="Q293" s="369" t="s">
        <v>1024</v>
      </c>
      <c r="R293" s="370" t="s">
        <v>778</v>
      </c>
      <c r="S293" s="370" t="s">
        <v>1025</v>
      </c>
      <c r="T293" s="371" t="s">
        <v>1026</v>
      </c>
      <c r="U293" s="372"/>
      <c r="V293" s="373"/>
      <c r="W293" s="374"/>
      <c r="X293" s="372">
        <v>45425</v>
      </c>
      <c r="Y293" s="320"/>
      <c r="Z293" s="381"/>
      <c r="AA293" s="225"/>
      <c r="AB293" s="361"/>
      <c r="AC293" s="533"/>
      <c r="AD293" s="359"/>
      <c r="AE293" s="230"/>
      <c r="AF293" s="381"/>
      <c r="AG293" s="359"/>
      <c r="AH293" s="230"/>
      <c r="AI293" s="381"/>
      <c r="AJ293" s="359"/>
      <c r="AK293" s="230"/>
      <c r="AL293" s="381"/>
      <c r="AM293" s="359"/>
      <c r="AN293" s="230"/>
      <c r="AO293" s="381"/>
      <c r="AP293" s="359"/>
      <c r="AQ293" s="230"/>
      <c r="AR293" s="381"/>
      <c r="AS293" s="320"/>
    </row>
    <row r="294" spans="1:45" ht="13.5" hidden="1" customHeight="1">
      <c r="A294" s="12"/>
      <c r="B294" s="358"/>
      <c r="C294" s="359"/>
      <c r="D294" s="359"/>
      <c r="E294" s="360"/>
      <c r="F294" s="524"/>
      <c r="G294" s="378"/>
      <c r="H294" s="230"/>
      <c r="I294" s="230"/>
      <c r="J294" s="230"/>
      <c r="K294" s="363"/>
      <c r="L294" s="364"/>
      <c r="M294" s="365"/>
      <c r="N294" s="366"/>
      <c r="O294" s="367"/>
      <c r="P294" s="368"/>
      <c r="Q294" s="382"/>
      <c r="R294" s="370"/>
      <c r="S294" s="370"/>
      <c r="T294" s="371"/>
      <c r="U294" s="372"/>
      <c r="V294" s="373"/>
      <c r="W294" s="383"/>
      <c r="X294" s="372"/>
      <c r="Y294" s="10"/>
      <c r="Z294" s="381"/>
      <c r="AA294" s="241"/>
      <c r="AB294" s="411"/>
      <c r="AC294" s="577"/>
      <c r="AD294" s="359"/>
      <c r="AE294" s="230"/>
      <c r="AF294" s="381"/>
      <c r="AG294" s="359"/>
      <c r="AH294" s="230"/>
      <c r="AI294" s="381"/>
      <c r="AJ294" s="359"/>
      <c r="AK294" s="230"/>
      <c r="AL294" s="381"/>
      <c r="AM294" s="359"/>
      <c r="AN294" s="230"/>
      <c r="AO294" s="381"/>
      <c r="AP294" s="359"/>
      <c r="AQ294" s="230"/>
      <c r="AR294" s="381"/>
      <c r="AS294" s="202"/>
    </row>
    <row r="295" spans="1:45" ht="13.5" hidden="1" customHeight="1">
      <c r="A295" s="12"/>
      <c r="B295" s="358" t="s">
        <v>2567</v>
      </c>
      <c r="C295" s="359">
        <v>5</v>
      </c>
      <c r="D295" s="359">
        <v>145</v>
      </c>
      <c r="E295" s="360" t="s">
        <v>1028</v>
      </c>
      <c r="F295" s="524"/>
      <c r="G295" s="361" t="s">
        <v>43</v>
      </c>
      <c r="H295" s="362">
        <v>31604500</v>
      </c>
      <c r="I295" s="230">
        <v>38943</v>
      </c>
      <c r="J295" s="230">
        <v>17</v>
      </c>
      <c r="K295" s="363" t="s">
        <v>1029</v>
      </c>
      <c r="L295" s="364" t="s">
        <v>1030</v>
      </c>
      <c r="M295" s="365" t="s">
        <v>1031</v>
      </c>
      <c r="N295" s="366" t="s">
        <v>1032</v>
      </c>
      <c r="O295" s="443">
        <v>16269840</v>
      </c>
      <c r="P295" s="368">
        <v>4127103087</v>
      </c>
      <c r="Q295" s="406" t="s">
        <v>1029</v>
      </c>
      <c r="R295" s="370" t="s">
        <v>778</v>
      </c>
      <c r="S295" s="370" t="s">
        <v>696</v>
      </c>
      <c r="T295" s="371" t="s">
        <v>1033</v>
      </c>
      <c r="U295" s="372"/>
      <c r="V295" s="373"/>
      <c r="W295" s="374"/>
      <c r="X295" s="359">
        <v>45223</v>
      </c>
      <c r="Y295" s="372"/>
      <c r="Z295" s="381"/>
      <c r="AA295" s="359"/>
      <c r="AB295" s="230"/>
      <c r="AC295" s="381"/>
      <c r="AD295" s="359"/>
      <c r="AE295" s="230"/>
      <c r="AF295" s="381"/>
      <c r="AG295" s="359"/>
      <c r="AH295" s="230"/>
      <c r="AI295" s="381"/>
      <c r="AJ295" s="359"/>
      <c r="AK295" s="230"/>
      <c r="AL295" s="381"/>
      <c r="AM295" s="359"/>
      <c r="AN295" s="230"/>
      <c r="AO295" s="381"/>
      <c r="AP295" s="359"/>
      <c r="AQ295" s="230"/>
      <c r="AR295" s="381"/>
      <c r="AS295" s="320"/>
    </row>
    <row r="296" spans="1:45" ht="13.5" hidden="1" customHeight="1">
      <c r="A296" s="12"/>
      <c r="B296" s="358"/>
      <c r="C296" s="359"/>
      <c r="D296" s="359"/>
      <c r="E296" s="360"/>
      <c r="F296" s="524"/>
      <c r="G296" s="378"/>
      <c r="H296" s="362"/>
      <c r="I296" s="230"/>
      <c r="J296" s="230"/>
      <c r="K296" s="363"/>
      <c r="L296" s="364"/>
      <c r="M296" s="365"/>
      <c r="N296" s="366"/>
      <c r="O296" s="368"/>
      <c r="P296" s="368"/>
      <c r="Q296" s="408"/>
      <c r="R296" s="370"/>
      <c r="S296" s="370"/>
      <c r="T296" s="371"/>
      <c r="U296" s="372"/>
      <c r="V296" s="373"/>
      <c r="W296" s="383"/>
      <c r="X296" s="359"/>
      <c r="Y296" s="372"/>
      <c r="Z296" s="381"/>
      <c r="AA296" s="359"/>
      <c r="AB296" s="230"/>
      <c r="AC296" s="381"/>
      <c r="AD296" s="359"/>
      <c r="AE296" s="230"/>
      <c r="AF296" s="381"/>
      <c r="AG296" s="359"/>
      <c r="AH296" s="230"/>
      <c r="AI296" s="381"/>
      <c r="AJ296" s="359"/>
      <c r="AK296" s="230"/>
      <c r="AL296" s="381"/>
      <c r="AM296" s="359"/>
      <c r="AN296" s="230"/>
      <c r="AO296" s="381"/>
      <c r="AP296" s="359"/>
      <c r="AQ296" s="230"/>
      <c r="AR296" s="381"/>
      <c r="AS296" s="202"/>
    </row>
    <row r="297" spans="1:45" ht="13.5" hidden="1" customHeight="1">
      <c r="A297" s="12"/>
      <c r="B297" s="358" t="s">
        <v>2567</v>
      </c>
      <c r="C297" s="359">
        <v>6</v>
      </c>
      <c r="D297" s="359">
        <v>146</v>
      </c>
      <c r="E297" s="360" t="s">
        <v>1035</v>
      </c>
      <c r="F297" s="524"/>
      <c r="G297" s="361" t="s">
        <v>43</v>
      </c>
      <c r="H297" s="230"/>
      <c r="I297" s="230">
        <v>42316</v>
      </c>
      <c r="J297" s="230">
        <v>8</v>
      </c>
      <c r="K297" s="363" t="s">
        <v>1036</v>
      </c>
      <c r="L297" s="364" t="s">
        <v>1037</v>
      </c>
      <c r="M297" s="365" t="s">
        <v>1038</v>
      </c>
      <c r="N297" s="366" t="s">
        <v>1039</v>
      </c>
      <c r="O297" s="367">
        <v>19763671</v>
      </c>
      <c r="P297" s="368">
        <v>4129962477</v>
      </c>
      <c r="Q297" s="369" t="s">
        <v>1040</v>
      </c>
      <c r="R297" s="370" t="s">
        <v>579</v>
      </c>
      <c r="S297" s="370" t="s">
        <v>933</v>
      </c>
      <c r="T297" s="371" t="s">
        <v>1041</v>
      </c>
      <c r="U297" s="372"/>
      <c r="V297" s="373"/>
      <c r="W297" s="374"/>
      <c r="X297" s="404">
        <v>45428</v>
      </c>
      <c r="Y297" s="372"/>
      <c r="Z297" s="381"/>
      <c r="AA297" s="225"/>
      <c r="AB297" s="361"/>
      <c r="AC297" s="533"/>
      <c r="AD297" s="359"/>
      <c r="AE297" s="230"/>
      <c r="AF297" s="381"/>
      <c r="AG297" s="359"/>
      <c r="AH297" s="230"/>
      <c r="AI297" s="381"/>
      <c r="AJ297" s="359"/>
      <c r="AK297" s="230"/>
      <c r="AL297" s="381"/>
      <c r="AM297" s="359"/>
      <c r="AN297" s="230"/>
      <c r="AO297" s="381"/>
      <c r="AP297" s="359"/>
      <c r="AQ297" s="230"/>
      <c r="AR297" s="381"/>
      <c r="AS297" s="320"/>
    </row>
    <row r="298" spans="1:45" ht="13.5" hidden="1" customHeight="1">
      <c r="A298" s="12"/>
      <c r="B298" s="358"/>
      <c r="C298" s="359"/>
      <c r="D298" s="359"/>
      <c r="E298" s="360"/>
      <c r="F298" s="524"/>
      <c r="G298" s="378"/>
      <c r="H298" s="230"/>
      <c r="I298" s="230"/>
      <c r="J298" s="230"/>
      <c r="K298" s="363"/>
      <c r="L298" s="364"/>
      <c r="M298" s="365"/>
      <c r="N298" s="366"/>
      <c r="O298" s="367"/>
      <c r="P298" s="368"/>
      <c r="Q298" s="382"/>
      <c r="R298" s="370"/>
      <c r="S298" s="370"/>
      <c r="T298" s="371"/>
      <c r="U298" s="372"/>
      <c r="V298" s="373"/>
      <c r="W298" s="383"/>
      <c r="X298" s="404"/>
      <c r="Y298" s="372"/>
      <c r="Z298" s="381"/>
      <c r="AA298" s="241"/>
      <c r="AB298" s="411"/>
      <c r="AC298" s="577"/>
      <c r="AD298" s="359"/>
      <c r="AE298" s="230"/>
      <c r="AF298" s="381"/>
      <c r="AG298" s="359"/>
      <c r="AH298" s="230"/>
      <c r="AI298" s="381"/>
      <c r="AJ298" s="359"/>
      <c r="AK298" s="230"/>
      <c r="AL298" s="381"/>
      <c r="AM298" s="359"/>
      <c r="AN298" s="230"/>
      <c r="AO298" s="381"/>
      <c r="AP298" s="359"/>
      <c r="AQ298" s="230"/>
      <c r="AR298" s="381"/>
      <c r="AS298" s="202"/>
    </row>
    <row r="299" spans="1:45" ht="13.5" hidden="1" customHeight="1">
      <c r="A299" s="12"/>
      <c r="B299" s="358" t="s">
        <v>2567</v>
      </c>
      <c r="C299" s="359">
        <v>7</v>
      </c>
      <c r="D299" s="359">
        <v>147</v>
      </c>
      <c r="E299" s="360" t="s">
        <v>1043</v>
      </c>
      <c r="F299" s="524"/>
      <c r="G299" s="361" t="s">
        <v>43</v>
      </c>
      <c r="H299" s="362">
        <v>33884275</v>
      </c>
      <c r="I299" s="230">
        <v>40828</v>
      </c>
      <c r="J299" s="230">
        <v>12</v>
      </c>
      <c r="K299" s="363" t="s">
        <v>1044</v>
      </c>
      <c r="L299" s="364"/>
      <c r="M299" s="405" t="s">
        <v>1045</v>
      </c>
      <c r="N299" s="366" t="s">
        <v>1046</v>
      </c>
      <c r="O299" s="367">
        <v>14756232</v>
      </c>
      <c r="P299" s="368">
        <v>4142446182</v>
      </c>
      <c r="Q299" s="363" t="s">
        <v>1044</v>
      </c>
      <c r="R299" s="370" t="s">
        <v>947</v>
      </c>
      <c r="S299" s="370" t="s">
        <v>933</v>
      </c>
      <c r="T299" s="371" t="s">
        <v>1047</v>
      </c>
      <c r="U299" s="372"/>
      <c r="V299" s="373"/>
      <c r="W299" s="374"/>
      <c r="X299" s="404">
        <v>45408</v>
      </c>
      <c r="Y299" s="384"/>
      <c r="Z299" s="513"/>
      <c r="AA299" s="225"/>
      <c r="AB299" s="361"/>
      <c r="AC299" s="533"/>
      <c r="AD299" s="359"/>
      <c r="AE299" s="230"/>
      <c r="AF299" s="381"/>
      <c r="AG299" s="359"/>
      <c r="AH299" s="230"/>
      <c r="AI299" s="381"/>
      <c r="AJ299" s="359"/>
      <c r="AK299" s="230"/>
      <c r="AL299" s="381"/>
      <c r="AM299" s="359"/>
      <c r="AN299" s="230"/>
      <c r="AO299" s="381"/>
      <c r="AP299" s="359"/>
      <c r="AQ299" s="230"/>
      <c r="AR299" s="381"/>
      <c r="AS299" s="320"/>
    </row>
    <row r="300" spans="1:45" ht="13.5" hidden="1" customHeight="1">
      <c r="A300" s="12"/>
      <c r="B300" s="358"/>
      <c r="C300" s="359"/>
      <c r="D300" s="359"/>
      <c r="E300" s="360"/>
      <c r="F300" s="524"/>
      <c r="G300" s="378"/>
      <c r="H300" s="362"/>
      <c r="I300" s="230"/>
      <c r="J300" s="230"/>
      <c r="K300" s="363"/>
      <c r="L300" s="364"/>
      <c r="M300" s="405"/>
      <c r="N300" s="366"/>
      <c r="O300" s="367"/>
      <c r="P300" s="368"/>
      <c r="Q300" s="363"/>
      <c r="R300" s="370"/>
      <c r="S300" s="370"/>
      <c r="T300" s="371"/>
      <c r="U300" s="372"/>
      <c r="V300" s="373"/>
      <c r="W300" s="383"/>
      <c r="X300" s="404"/>
      <c r="Y300" s="384"/>
      <c r="Z300" s="513"/>
      <c r="AA300" s="241"/>
      <c r="AB300" s="411"/>
      <c r="AC300" s="577"/>
      <c r="AD300" s="359"/>
      <c r="AE300" s="230"/>
      <c r="AF300" s="381"/>
      <c r="AG300" s="359"/>
      <c r="AH300" s="230"/>
      <c r="AI300" s="381"/>
      <c r="AJ300" s="359"/>
      <c r="AK300" s="230"/>
      <c r="AL300" s="381"/>
      <c r="AM300" s="359"/>
      <c r="AN300" s="230"/>
      <c r="AO300" s="381"/>
      <c r="AP300" s="359"/>
      <c r="AQ300" s="230"/>
      <c r="AR300" s="381"/>
      <c r="AS300" s="202"/>
    </row>
    <row r="301" spans="1:45" ht="13.5" hidden="1" customHeight="1">
      <c r="A301" s="12"/>
      <c r="B301" s="358" t="s">
        <v>2567</v>
      </c>
      <c r="C301" s="359">
        <v>8</v>
      </c>
      <c r="D301" s="359">
        <v>148</v>
      </c>
      <c r="E301" s="360" t="s">
        <v>1049</v>
      </c>
      <c r="F301" s="524"/>
      <c r="G301" s="361" t="s">
        <v>43</v>
      </c>
      <c r="H301" s="362">
        <v>33884276</v>
      </c>
      <c r="I301" s="230">
        <v>40828</v>
      </c>
      <c r="J301" s="230">
        <v>12</v>
      </c>
      <c r="K301" s="363" t="s">
        <v>1044</v>
      </c>
      <c r="L301" s="364" t="s">
        <v>1050</v>
      </c>
      <c r="M301" s="405" t="s">
        <v>1045</v>
      </c>
      <c r="N301" s="366" t="s">
        <v>1046</v>
      </c>
      <c r="O301" s="367">
        <v>14756232</v>
      </c>
      <c r="P301" s="368">
        <v>4142446182</v>
      </c>
      <c r="Q301" s="363" t="s">
        <v>1044</v>
      </c>
      <c r="R301" s="370" t="s">
        <v>947</v>
      </c>
      <c r="S301" s="370" t="s">
        <v>933</v>
      </c>
      <c r="T301" s="371" t="s">
        <v>1047</v>
      </c>
      <c r="U301" s="372"/>
      <c r="V301" s="373"/>
      <c r="W301" s="374"/>
      <c r="X301" s="404">
        <v>45408</v>
      </c>
      <c r="Y301" s="372"/>
      <c r="Z301" s="381"/>
      <c r="AA301" s="359"/>
      <c r="AB301" s="230"/>
      <c r="AC301" s="381"/>
      <c r="AD301" s="359"/>
      <c r="AE301" s="230"/>
      <c r="AF301" s="381"/>
      <c r="AG301" s="225"/>
      <c r="AH301" s="361"/>
      <c r="AI301" s="533"/>
      <c r="AJ301" s="225"/>
      <c r="AK301" s="361"/>
      <c r="AL301" s="533"/>
      <c r="AM301" s="225"/>
      <c r="AN301" s="361"/>
      <c r="AO301" s="533"/>
      <c r="AP301" s="225"/>
      <c r="AQ301" s="361"/>
      <c r="AR301" s="533"/>
      <c r="AS301" s="320"/>
    </row>
    <row r="302" spans="1:45" ht="13.5" hidden="1" customHeight="1">
      <c r="A302" s="12"/>
      <c r="B302" s="358"/>
      <c r="C302" s="359"/>
      <c r="D302" s="359"/>
      <c r="E302" s="360"/>
      <c r="F302" s="524"/>
      <c r="G302" s="378"/>
      <c r="H302" s="362"/>
      <c r="I302" s="230"/>
      <c r="J302" s="230"/>
      <c r="K302" s="368"/>
      <c r="L302" s="364"/>
      <c r="M302" s="405"/>
      <c r="N302" s="366"/>
      <c r="O302" s="367"/>
      <c r="P302" s="368"/>
      <c r="Q302" s="363"/>
      <c r="R302" s="370"/>
      <c r="S302" s="370"/>
      <c r="T302" s="371"/>
      <c r="U302" s="372"/>
      <c r="V302" s="373"/>
      <c r="W302" s="383"/>
      <c r="X302" s="404"/>
      <c r="Y302" s="372"/>
      <c r="Z302" s="381"/>
      <c r="AA302" s="359"/>
      <c r="AB302" s="230"/>
      <c r="AC302" s="381"/>
      <c r="AD302" s="359"/>
      <c r="AE302" s="230"/>
      <c r="AF302" s="381"/>
      <c r="AG302" s="241"/>
      <c r="AH302" s="411"/>
      <c r="AI302" s="577"/>
      <c r="AJ302" s="241"/>
      <c r="AK302" s="411"/>
      <c r="AL302" s="577"/>
      <c r="AM302" s="241"/>
      <c r="AN302" s="411"/>
      <c r="AO302" s="577"/>
      <c r="AP302" s="241"/>
      <c r="AQ302" s="411"/>
      <c r="AR302" s="577"/>
      <c r="AS302" s="202"/>
    </row>
    <row r="303" spans="1:45" ht="13.5" hidden="1" customHeight="1">
      <c r="A303" s="12"/>
      <c r="B303" s="358" t="s">
        <v>2567</v>
      </c>
      <c r="C303" s="359">
        <v>9</v>
      </c>
      <c r="D303" s="359">
        <v>149</v>
      </c>
      <c r="E303" s="360" t="s">
        <v>1052</v>
      </c>
      <c r="F303" s="524"/>
      <c r="G303" s="361" t="s">
        <v>43</v>
      </c>
      <c r="H303" s="362">
        <v>34428782</v>
      </c>
      <c r="I303" s="230">
        <v>41536</v>
      </c>
      <c r="J303" s="230">
        <v>10</v>
      </c>
      <c r="K303" s="363" t="s">
        <v>1053</v>
      </c>
      <c r="L303" s="364" t="s">
        <v>1054</v>
      </c>
      <c r="M303" s="365" t="s">
        <v>1055</v>
      </c>
      <c r="N303" s="366" t="s">
        <v>1056</v>
      </c>
      <c r="O303" s="367">
        <v>18782201</v>
      </c>
      <c r="P303" s="368">
        <v>4125399838</v>
      </c>
      <c r="Q303" s="369" t="s">
        <v>1053</v>
      </c>
      <c r="R303" s="370" t="s">
        <v>579</v>
      </c>
      <c r="S303" s="590" t="s">
        <v>1057</v>
      </c>
      <c r="T303" s="371"/>
      <c r="U303" s="372"/>
      <c r="V303" s="373"/>
      <c r="W303" s="374"/>
      <c r="X303" s="404">
        <v>45408</v>
      </c>
      <c r="Y303" s="372"/>
      <c r="Z303" s="381"/>
      <c r="AA303" s="225"/>
      <c r="AB303" s="361"/>
      <c r="AC303" s="533"/>
      <c r="AD303" s="225"/>
      <c r="AE303" s="361"/>
      <c r="AF303" s="533"/>
      <c r="AG303" s="225"/>
      <c r="AH303" s="361"/>
      <c r="AI303" s="533"/>
      <c r="AJ303" s="225"/>
      <c r="AK303" s="361"/>
      <c r="AL303" s="533"/>
      <c r="AM303" s="225"/>
      <c r="AN303" s="361"/>
      <c r="AO303" s="533"/>
      <c r="AP303" s="225"/>
      <c r="AQ303" s="361"/>
      <c r="AR303" s="533"/>
      <c r="AS303" s="320"/>
    </row>
    <row r="304" spans="1:45" ht="14.25" hidden="1" customHeight="1">
      <c r="A304" s="12"/>
      <c r="B304" s="358"/>
      <c r="C304" s="359"/>
      <c r="D304" s="359"/>
      <c r="E304" s="360"/>
      <c r="F304" s="524"/>
      <c r="G304" s="378"/>
      <c r="H304" s="230"/>
      <c r="I304" s="230"/>
      <c r="J304" s="230"/>
      <c r="K304" s="368"/>
      <c r="L304" s="364"/>
      <c r="M304" s="365"/>
      <c r="N304" s="366"/>
      <c r="O304" s="367"/>
      <c r="P304" s="368"/>
      <c r="Q304" s="382"/>
      <c r="R304" s="370"/>
      <c r="S304" s="590"/>
      <c r="T304" s="371"/>
      <c r="U304" s="372"/>
      <c r="V304" s="373"/>
      <c r="W304" s="383"/>
      <c r="X304" s="404"/>
      <c r="Y304" s="372"/>
      <c r="Z304" s="381"/>
      <c r="AA304" s="325"/>
      <c r="AB304" s="378"/>
      <c r="AC304" s="377"/>
      <c r="AD304" s="241"/>
      <c r="AE304" s="411"/>
      <c r="AF304" s="577"/>
      <c r="AG304" s="241"/>
      <c r="AH304" s="411"/>
      <c r="AI304" s="577"/>
      <c r="AJ304" s="241"/>
      <c r="AK304" s="411"/>
      <c r="AL304" s="577"/>
      <c r="AM304" s="241"/>
      <c r="AN304" s="411"/>
      <c r="AO304" s="577"/>
      <c r="AP304" s="241"/>
      <c r="AQ304" s="411"/>
      <c r="AR304" s="577"/>
      <c r="AS304" s="202"/>
    </row>
    <row r="305" spans="1:45" ht="13.5" hidden="1" customHeight="1">
      <c r="A305" s="12"/>
      <c r="B305" s="358" t="s">
        <v>2567</v>
      </c>
      <c r="C305" s="359">
        <v>10</v>
      </c>
      <c r="D305" s="359">
        <v>150</v>
      </c>
      <c r="E305" s="360" t="s">
        <v>1059</v>
      </c>
      <c r="F305" s="524"/>
      <c r="G305" s="361" t="s">
        <v>43</v>
      </c>
      <c r="H305" s="362">
        <v>31975111</v>
      </c>
      <c r="I305" s="230">
        <v>45416</v>
      </c>
      <c r="J305" s="230">
        <v>18</v>
      </c>
      <c r="K305" s="363"/>
      <c r="L305" s="364" t="s">
        <v>1060</v>
      </c>
      <c r="M305" s="365" t="s">
        <v>1061</v>
      </c>
      <c r="N305" s="366" t="s">
        <v>1062</v>
      </c>
      <c r="O305" s="367">
        <v>4577489</v>
      </c>
      <c r="P305" s="368">
        <v>4125844956</v>
      </c>
      <c r="Q305" s="369"/>
      <c r="R305" s="370" t="s">
        <v>1063</v>
      </c>
      <c r="S305" s="370" t="s">
        <v>1064</v>
      </c>
      <c r="T305" s="371" t="s">
        <v>1065</v>
      </c>
      <c r="U305" s="372"/>
      <c r="V305" s="373"/>
      <c r="W305" s="374"/>
      <c r="X305" s="404">
        <v>45416</v>
      </c>
      <c r="Y305" s="372"/>
      <c r="Z305" s="381"/>
      <c r="AA305" s="225"/>
      <c r="AB305" s="361"/>
      <c r="AC305" s="533"/>
      <c r="AD305" s="225"/>
      <c r="AE305" s="361"/>
      <c r="AF305" s="533"/>
      <c r="AG305" s="225"/>
      <c r="AH305" s="361"/>
      <c r="AI305" s="533"/>
      <c r="AJ305" s="225"/>
      <c r="AK305" s="361"/>
      <c r="AL305" s="533"/>
      <c r="AM305" s="225"/>
      <c r="AN305" s="361"/>
      <c r="AO305" s="533"/>
      <c r="AP305" s="225"/>
      <c r="AQ305" s="361"/>
      <c r="AR305" s="533"/>
      <c r="AS305" s="320"/>
    </row>
    <row r="306" spans="1:45" ht="13.5" hidden="1" customHeight="1">
      <c r="A306" s="12"/>
      <c r="B306" s="358"/>
      <c r="C306" s="359"/>
      <c r="D306" s="359"/>
      <c r="E306" s="360"/>
      <c r="F306" s="524"/>
      <c r="G306" s="378"/>
      <c r="H306" s="362"/>
      <c r="I306" s="230"/>
      <c r="J306" s="230"/>
      <c r="K306" s="363"/>
      <c r="L306" s="364"/>
      <c r="M306" s="365"/>
      <c r="N306" s="366"/>
      <c r="O306" s="367"/>
      <c r="P306" s="368"/>
      <c r="Q306" s="369"/>
      <c r="R306" s="370"/>
      <c r="S306" s="370"/>
      <c r="T306" s="371"/>
      <c r="U306" s="372"/>
      <c r="V306" s="373"/>
      <c r="W306" s="383"/>
      <c r="X306" s="404"/>
      <c r="Y306" s="372"/>
      <c r="Z306" s="381"/>
      <c r="AA306" s="325"/>
      <c r="AB306" s="378"/>
      <c r="AC306" s="377"/>
      <c r="AD306" s="241"/>
      <c r="AE306" s="411"/>
      <c r="AF306" s="577"/>
      <c r="AG306" s="241"/>
      <c r="AH306" s="411"/>
      <c r="AI306" s="577"/>
      <c r="AJ306" s="241"/>
      <c r="AK306" s="411"/>
      <c r="AL306" s="577"/>
      <c r="AM306" s="241"/>
      <c r="AN306" s="411"/>
      <c r="AO306" s="577"/>
      <c r="AP306" s="241"/>
      <c r="AQ306" s="411"/>
      <c r="AR306" s="577"/>
      <c r="AS306" s="202"/>
    </row>
    <row r="307" spans="1:45" ht="13.5" hidden="1" customHeight="1">
      <c r="A307" s="539"/>
      <c r="B307" s="358" t="s">
        <v>2567</v>
      </c>
      <c r="C307" s="359">
        <v>11</v>
      </c>
      <c r="D307" s="359">
        <v>151</v>
      </c>
      <c r="E307" s="360" t="s">
        <v>1067</v>
      </c>
      <c r="F307" s="524"/>
      <c r="G307" s="361" t="s">
        <v>43</v>
      </c>
      <c r="H307" s="367">
        <v>32478951</v>
      </c>
      <c r="I307" s="230">
        <v>45439</v>
      </c>
      <c r="J307" s="368">
        <v>16</v>
      </c>
      <c r="K307" s="363" t="s">
        <v>1068</v>
      </c>
      <c r="L307" s="364" t="s">
        <v>1069</v>
      </c>
      <c r="M307" s="365" t="s">
        <v>1070</v>
      </c>
      <c r="N307" s="409" t="s">
        <v>1070</v>
      </c>
      <c r="O307" s="591">
        <v>18712446</v>
      </c>
      <c r="P307" s="454">
        <v>4242516590</v>
      </c>
      <c r="Q307" s="504" t="s">
        <v>1071</v>
      </c>
      <c r="R307" s="370" t="s">
        <v>1063</v>
      </c>
      <c r="S307" s="590" t="s">
        <v>939</v>
      </c>
      <c r="T307" s="371" t="s">
        <v>1065</v>
      </c>
      <c r="U307" s="372"/>
      <c r="V307" s="373"/>
      <c r="W307" s="374"/>
      <c r="X307" s="359">
        <v>45439</v>
      </c>
      <c r="Y307" s="372"/>
      <c r="Z307" s="381"/>
      <c r="AA307" s="225"/>
      <c r="AB307" s="361"/>
      <c r="AC307" s="533"/>
      <c r="AD307" s="225"/>
      <c r="AE307" s="361"/>
      <c r="AF307" s="533"/>
      <c r="AG307" s="225"/>
      <c r="AH307" s="361"/>
      <c r="AI307" s="533"/>
      <c r="AJ307" s="225"/>
      <c r="AK307" s="361"/>
      <c r="AL307" s="533"/>
      <c r="AM307" s="225"/>
      <c r="AN307" s="361"/>
      <c r="AO307" s="533"/>
      <c r="AP307" s="225"/>
      <c r="AQ307" s="361"/>
      <c r="AR307" s="533"/>
      <c r="AS307" s="593"/>
    </row>
    <row r="308" spans="1:45" ht="13.5" hidden="1" customHeight="1">
      <c r="A308" s="539"/>
      <c r="B308" s="358"/>
      <c r="C308" s="359"/>
      <c r="D308" s="359"/>
      <c r="E308" s="360"/>
      <c r="F308" s="524"/>
      <c r="G308" s="378"/>
      <c r="H308" s="367"/>
      <c r="I308" s="230"/>
      <c r="J308" s="368"/>
      <c r="K308" s="368"/>
      <c r="L308" s="364"/>
      <c r="M308" s="365"/>
      <c r="N308" s="425"/>
      <c r="O308" s="429"/>
      <c r="P308" s="429"/>
      <c r="Q308" s="430"/>
      <c r="R308" s="370"/>
      <c r="S308" s="590"/>
      <c r="T308" s="371"/>
      <c r="U308" s="372"/>
      <c r="V308" s="373"/>
      <c r="W308" s="398"/>
      <c r="X308" s="359"/>
      <c r="Y308" s="372"/>
      <c r="Z308" s="381"/>
      <c r="AA308" s="241"/>
      <c r="AB308" s="411"/>
      <c r="AC308" s="577"/>
      <c r="AD308" s="241"/>
      <c r="AE308" s="411"/>
      <c r="AF308" s="577"/>
      <c r="AG308" s="241"/>
      <c r="AH308" s="411"/>
      <c r="AI308" s="577"/>
      <c r="AJ308" s="241"/>
      <c r="AK308" s="411"/>
      <c r="AL308" s="577"/>
      <c r="AM308" s="241"/>
      <c r="AN308" s="411"/>
      <c r="AO308" s="577"/>
      <c r="AP308" s="241"/>
      <c r="AQ308" s="411"/>
      <c r="AR308" s="577"/>
      <c r="AS308" s="309"/>
    </row>
    <row r="309" spans="1:45" ht="13.5" hidden="1" customHeight="1">
      <c r="A309" s="12"/>
      <c r="B309" s="358" t="s">
        <v>2567</v>
      </c>
      <c r="C309" s="359">
        <v>12</v>
      </c>
      <c r="D309" s="359">
        <v>152</v>
      </c>
      <c r="E309" s="360" t="s">
        <v>1073</v>
      </c>
      <c r="F309" s="524"/>
      <c r="G309" s="361" t="s">
        <v>43</v>
      </c>
      <c r="H309" s="362">
        <v>32479068</v>
      </c>
      <c r="I309" s="230">
        <v>45416</v>
      </c>
      <c r="J309" s="230">
        <v>15</v>
      </c>
      <c r="K309" s="363"/>
      <c r="L309" s="364" t="s">
        <v>1074</v>
      </c>
      <c r="M309" s="452" t="s">
        <v>1075</v>
      </c>
      <c r="N309" s="409" t="s">
        <v>1076</v>
      </c>
      <c r="O309" s="453">
        <v>13726161</v>
      </c>
      <c r="P309" s="361">
        <v>4129608920</v>
      </c>
      <c r="Q309" s="504" t="s">
        <v>1077</v>
      </c>
      <c r="R309" s="420"/>
      <c r="S309" s="420"/>
      <c r="T309" s="421" t="s">
        <v>1065</v>
      </c>
      <c r="U309" s="372"/>
      <c r="V309" s="373"/>
      <c r="W309" s="374"/>
      <c r="X309" s="359">
        <v>45416</v>
      </c>
      <c r="Y309" s="372"/>
      <c r="Z309" s="381"/>
      <c r="AA309" s="225"/>
      <c r="AB309" s="361"/>
      <c r="AC309" s="533"/>
      <c r="AD309" s="225"/>
      <c r="AE309" s="361"/>
      <c r="AF309" s="533"/>
      <c r="AG309" s="225"/>
      <c r="AH309" s="361"/>
      <c r="AI309" s="533"/>
      <c r="AJ309" s="225"/>
      <c r="AK309" s="361"/>
      <c r="AL309" s="533"/>
      <c r="AM309" s="225"/>
      <c r="AN309" s="361"/>
      <c r="AO309" s="533"/>
      <c r="AP309" s="225"/>
      <c r="AQ309" s="361"/>
      <c r="AR309" s="533"/>
      <c r="AS309" s="320"/>
    </row>
    <row r="310" spans="1:45" ht="13.5" hidden="1" customHeight="1">
      <c r="A310" s="12"/>
      <c r="B310" s="358"/>
      <c r="C310" s="359"/>
      <c r="D310" s="359"/>
      <c r="E310" s="360"/>
      <c r="F310" s="524"/>
      <c r="G310" s="378"/>
      <c r="H310" s="362"/>
      <c r="I310" s="230"/>
      <c r="J310" s="230"/>
      <c r="K310" s="363"/>
      <c r="L310" s="364"/>
      <c r="M310" s="439"/>
      <c r="N310" s="425"/>
      <c r="O310" s="440"/>
      <c r="P310" s="378"/>
      <c r="Q310" s="442"/>
      <c r="R310" s="433"/>
      <c r="S310" s="433"/>
      <c r="T310" s="434"/>
      <c r="U310" s="372"/>
      <c r="V310" s="373"/>
      <c r="W310" s="398"/>
      <c r="X310" s="359"/>
      <c r="Y310" s="372"/>
      <c r="Z310" s="381"/>
      <c r="AA310" s="325"/>
      <c r="AB310" s="378"/>
      <c r="AC310" s="377"/>
      <c r="AD310" s="241"/>
      <c r="AE310" s="411"/>
      <c r="AF310" s="577"/>
      <c r="AG310" s="241"/>
      <c r="AH310" s="411"/>
      <c r="AI310" s="577"/>
      <c r="AJ310" s="241"/>
      <c r="AK310" s="411"/>
      <c r="AL310" s="577"/>
      <c r="AM310" s="241"/>
      <c r="AN310" s="411"/>
      <c r="AO310" s="577"/>
      <c r="AP310" s="241"/>
      <c r="AQ310" s="411"/>
      <c r="AR310" s="577"/>
      <c r="AS310" s="202"/>
    </row>
    <row r="311" spans="1:45" ht="13.5" hidden="1" customHeight="1">
      <c r="A311" s="12"/>
      <c r="B311" s="358" t="s">
        <v>2567</v>
      </c>
      <c r="C311" s="359">
        <v>13</v>
      </c>
      <c r="D311" s="359">
        <v>153</v>
      </c>
      <c r="E311" s="360" t="s">
        <v>1079</v>
      </c>
      <c r="F311" s="524"/>
      <c r="G311" s="361" t="s">
        <v>43</v>
      </c>
      <c r="H311" s="362">
        <v>33327919</v>
      </c>
      <c r="I311" s="230">
        <v>45416</v>
      </c>
      <c r="J311" s="230">
        <v>16</v>
      </c>
      <c r="K311" s="363" t="s">
        <v>1080</v>
      </c>
      <c r="L311" s="364" t="s">
        <v>1081</v>
      </c>
      <c r="M311" s="452" t="s">
        <v>1082</v>
      </c>
      <c r="N311" s="409" t="s">
        <v>1083</v>
      </c>
      <c r="O311" s="453">
        <v>14130636</v>
      </c>
      <c r="P311" s="454">
        <v>4126044539</v>
      </c>
      <c r="Q311" s="504" t="s">
        <v>1084</v>
      </c>
      <c r="R311" s="420" t="s">
        <v>657</v>
      </c>
      <c r="S311" s="420" t="s">
        <v>1057</v>
      </c>
      <c r="T311" s="421" t="s">
        <v>1065</v>
      </c>
      <c r="U311" s="372"/>
      <c r="V311" s="373"/>
      <c r="W311" s="374"/>
      <c r="X311" s="359">
        <v>45416</v>
      </c>
      <c r="Y311" s="372"/>
      <c r="Z311" s="381"/>
      <c r="AA311" s="225"/>
      <c r="AB311" s="361"/>
      <c r="AC311" s="533"/>
      <c r="AD311" s="225"/>
      <c r="AE311" s="361"/>
      <c r="AF311" s="533"/>
      <c r="AG311" s="225"/>
      <c r="AH311" s="361"/>
      <c r="AI311" s="533"/>
      <c r="AJ311" s="225"/>
      <c r="AK311" s="361"/>
      <c r="AL311" s="533"/>
      <c r="AM311" s="225"/>
      <c r="AN311" s="361"/>
      <c r="AO311" s="533"/>
      <c r="AP311" s="225"/>
      <c r="AQ311" s="361"/>
      <c r="AR311" s="533"/>
      <c r="AS311" s="320"/>
    </row>
    <row r="312" spans="1:45" ht="13.5" hidden="1" customHeight="1">
      <c r="A312" s="12"/>
      <c r="B312" s="358"/>
      <c r="C312" s="359"/>
      <c r="D312" s="359"/>
      <c r="E312" s="360"/>
      <c r="F312" s="524"/>
      <c r="G312" s="378"/>
      <c r="H312" s="362"/>
      <c r="I312" s="230"/>
      <c r="J312" s="230"/>
      <c r="K312" s="363"/>
      <c r="L312" s="364"/>
      <c r="M312" s="439"/>
      <c r="N312" s="425"/>
      <c r="O312" s="440"/>
      <c r="P312" s="429"/>
      <c r="Q312" s="442"/>
      <c r="R312" s="433"/>
      <c r="S312" s="433"/>
      <c r="T312" s="434"/>
      <c r="U312" s="372"/>
      <c r="V312" s="373"/>
      <c r="W312" s="398"/>
      <c r="X312" s="359"/>
      <c r="Y312" s="372"/>
      <c r="Z312" s="381"/>
      <c r="AA312" s="325"/>
      <c r="AB312" s="378"/>
      <c r="AC312" s="377"/>
      <c r="AD312" s="241"/>
      <c r="AE312" s="411"/>
      <c r="AF312" s="577"/>
      <c r="AG312" s="241"/>
      <c r="AH312" s="411"/>
      <c r="AI312" s="577"/>
      <c r="AJ312" s="241"/>
      <c r="AK312" s="411"/>
      <c r="AL312" s="577"/>
      <c r="AM312" s="241"/>
      <c r="AN312" s="411"/>
      <c r="AO312" s="577"/>
      <c r="AP312" s="241"/>
      <c r="AQ312" s="411"/>
      <c r="AR312" s="577"/>
      <c r="AS312" s="202"/>
    </row>
    <row r="313" spans="1:45" ht="21.75" customHeight="1">
      <c r="A313" s="12"/>
      <c r="B313" s="358" t="s">
        <v>2567</v>
      </c>
      <c r="C313" s="359">
        <v>14</v>
      </c>
      <c r="D313" s="359">
        <v>27</v>
      </c>
      <c r="E313" s="360" t="s">
        <v>1086</v>
      </c>
      <c r="F313" s="524"/>
      <c r="G313" s="361" t="s">
        <v>278</v>
      </c>
      <c r="H313" s="362">
        <v>31374988</v>
      </c>
      <c r="I313" s="230"/>
      <c r="J313" s="230">
        <v>17</v>
      </c>
      <c r="K313" s="363" t="s">
        <v>1087</v>
      </c>
      <c r="L313" s="364" t="s">
        <v>1088</v>
      </c>
      <c r="M313" s="365" t="s">
        <v>1089</v>
      </c>
      <c r="N313" s="366" t="s">
        <v>1090</v>
      </c>
      <c r="O313" s="367">
        <v>13564678</v>
      </c>
      <c r="P313" s="368">
        <v>4142889514</v>
      </c>
      <c r="Q313" s="369" t="s">
        <v>1091</v>
      </c>
      <c r="R313" s="370" t="s">
        <v>1092</v>
      </c>
      <c r="S313" s="370" t="s">
        <v>1093</v>
      </c>
      <c r="T313" s="371"/>
      <c r="U313" s="372"/>
      <c r="V313" s="373"/>
      <c r="W313" s="374"/>
      <c r="X313" s="404"/>
      <c r="Y313" s="372"/>
      <c r="Z313" s="381"/>
      <c r="AA313" s="359"/>
      <c r="AB313" s="230"/>
      <c r="AC313" s="381"/>
      <c r="AD313" s="359"/>
      <c r="AE313" s="230"/>
      <c r="AF313" s="381"/>
      <c r="AG313" s="359"/>
      <c r="AH313" s="230"/>
      <c r="AI313" s="381"/>
      <c r="AJ313" s="359"/>
      <c r="AK313" s="230"/>
      <c r="AL313" s="381"/>
      <c r="AM313" s="359"/>
      <c r="AN313" s="230"/>
      <c r="AO313" s="381"/>
      <c r="AP313" s="359"/>
      <c r="AQ313" s="230"/>
      <c r="AR313" s="381"/>
      <c r="AS313" s="320"/>
    </row>
    <row r="314" spans="1:45" ht="13.5" hidden="1" customHeight="1">
      <c r="A314" s="12"/>
      <c r="B314" s="358"/>
      <c r="C314" s="359"/>
      <c r="D314" s="359"/>
      <c r="E314" s="360"/>
      <c r="F314" s="524"/>
      <c r="G314" s="378"/>
      <c r="H314" s="362"/>
      <c r="I314" s="230"/>
      <c r="J314" s="230"/>
      <c r="K314" s="363"/>
      <c r="L314" s="364"/>
      <c r="M314" s="365"/>
      <c r="N314" s="366"/>
      <c r="O314" s="367"/>
      <c r="P314" s="368"/>
      <c r="Q314" s="369"/>
      <c r="R314" s="370"/>
      <c r="S314" s="370"/>
      <c r="T314" s="371"/>
      <c r="U314" s="372"/>
      <c r="V314" s="373"/>
      <c r="W314" s="398"/>
      <c r="X314" s="404"/>
      <c r="Y314" s="372"/>
      <c r="Z314" s="381"/>
      <c r="AA314" s="359"/>
      <c r="AB314" s="230"/>
      <c r="AC314" s="381"/>
      <c r="AD314" s="359"/>
      <c r="AE314" s="230"/>
      <c r="AF314" s="381"/>
      <c r="AG314" s="359"/>
      <c r="AH314" s="230"/>
      <c r="AI314" s="381"/>
      <c r="AJ314" s="359"/>
      <c r="AK314" s="230"/>
      <c r="AL314" s="381"/>
      <c r="AM314" s="359"/>
      <c r="AN314" s="230"/>
      <c r="AO314" s="381"/>
      <c r="AP314" s="359"/>
      <c r="AQ314" s="230"/>
      <c r="AR314" s="381"/>
      <c r="AS314" s="202"/>
    </row>
    <row r="315" spans="1:45" ht="13.5" hidden="1" customHeight="1">
      <c r="A315" s="12"/>
      <c r="B315" s="358" t="s">
        <v>2567</v>
      </c>
      <c r="C315" s="359">
        <v>15</v>
      </c>
      <c r="D315" s="359">
        <v>155</v>
      </c>
      <c r="E315" s="360" t="s">
        <v>919</v>
      </c>
      <c r="F315" s="524"/>
      <c r="G315" s="361" t="s">
        <v>43</v>
      </c>
      <c r="H315" s="362">
        <v>16370194</v>
      </c>
      <c r="I315" s="230">
        <v>45404</v>
      </c>
      <c r="J315" s="230"/>
      <c r="K315" s="363" t="s">
        <v>916</v>
      </c>
      <c r="L315" s="364" t="s">
        <v>1095</v>
      </c>
      <c r="M315" s="365" t="s">
        <v>1096</v>
      </c>
      <c r="N315" s="366"/>
      <c r="O315" s="367"/>
      <c r="P315" s="368"/>
      <c r="Q315" s="369"/>
      <c r="R315" s="370" t="s">
        <v>1097</v>
      </c>
      <c r="S315" s="370" t="s">
        <v>939</v>
      </c>
      <c r="T315" s="371"/>
      <c r="U315" s="372"/>
      <c r="V315" s="373"/>
      <c r="W315" s="374"/>
      <c r="X315" s="404">
        <v>45404</v>
      </c>
      <c r="Y315" s="372"/>
      <c r="Z315" s="381"/>
      <c r="AA315" s="225"/>
      <c r="AB315" s="361"/>
      <c r="AC315" s="533"/>
      <c r="AD315" s="225"/>
      <c r="AE315" s="361"/>
      <c r="AF315" s="533"/>
      <c r="AG315" s="225"/>
      <c r="AH315" s="361"/>
      <c r="AI315" s="533"/>
      <c r="AJ315" s="225"/>
      <c r="AK315" s="361"/>
      <c r="AL315" s="533"/>
      <c r="AM315" s="225"/>
      <c r="AN315" s="361"/>
      <c r="AO315" s="533"/>
      <c r="AP315" s="225"/>
      <c r="AQ315" s="361"/>
      <c r="AR315" s="533"/>
      <c r="AS315" s="320"/>
    </row>
    <row r="316" spans="1:45" ht="13.5" hidden="1" customHeight="1">
      <c r="A316" s="12"/>
      <c r="B316" s="358"/>
      <c r="C316" s="359"/>
      <c r="D316" s="359"/>
      <c r="E316" s="360"/>
      <c r="F316" s="524"/>
      <c r="G316" s="378"/>
      <c r="H316" s="362"/>
      <c r="I316" s="230"/>
      <c r="J316" s="230"/>
      <c r="K316" s="363"/>
      <c r="L316" s="364"/>
      <c r="M316" s="365"/>
      <c r="N316" s="366"/>
      <c r="O316" s="367"/>
      <c r="P316" s="368"/>
      <c r="Q316" s="369"/>
      <c r="R316" s="370"/>
      <c r="S316" s="370"/>
      <c r="T316" s="371"/>
      <c r="U316" s="372"/>
      <c r="V316" s="373"/>
      <c r="W316" s="398"/>
      <c r="X316" s="404"/>
      <c r="Y316" s="372"/>
      <c r="Z316" s="381"/>
      <c r="AA316" s="325"/>
      <c r="AB316" s="378"/>
      <c r="AC316" s="377"/>
      <c r="AD316" s="241"/>
      <c r="AE316" s="411"/>
      <c r="AF316" s="577"/>
      <c r="AG316" s="241"/>
      <c r="AH316" s="411"/>
      <c r="AI316" s="577"/>
      <c r="AJ316" s="241"/>
      <c r="AK316" s="411"/>
      <c r="AL316" s="577"/>
      <c r="AM316" s="241"/>
      <c r="AN316" s="411"/>
      <c r="AO316" s="577"/>
      <c r="AP316" s="241"/>
      <c r="AQ316" s="411"/>
      <c r="AR316" s="577"/>
      <c r="AS316" s="202"/>
    </row>
    <row r="317" spans="1:45" ht="13.5" hidden="1" customHeight="1">
      <c r="A317" s="12"/>
      <c r="B317" s="358" t="s">
        <v>2567</v>
      </c>
      <c r="C317" s="359">
        <v>16</v>
      </c>
      <c r="D317" s="359">
        <v>156</v>
      </c>
      <c r="E317" s="360" t="s">
        <v>1099</v>
      </c>
      <c r="F317" s="524"/>
      <c r="G317" s="361" t="s">
        <v>43</v>
      </c>
      <c r="H317" s="362">
        <v>32503208</v>
      </c>
      <c r="I317" s="230">
        <v>45433</v>
      </c>
      <c r="J317" s="230">
        <v>16</v>
      </c>
      <c r="K317" s="363" t="s">
        <v>1100</v>
      </c>
      <c r="L317" s="364" t="s">
        <v>1101</v>
      </c>
      <c r="M317" s="365" t="s">
        <v>1102</v>
      </c>
      <c r="N317" s="366" t="s">
        <v>1103</v>
      </c>
      <c r="O317" s="367">
        <v>13641818</v>
      </c>
      <c r="P317" s="368">
        <v>4242719691</v>
      </c>
      <c r="Q317" s="594" t="s">
        <v>1100</v>
      </c>
      <c r="R317" s="370" t="s">
        <v>1063</v>
      </c>
      <c r="S317" s="370" t="s">
        <v>939</v>
      </c>
      <c r="T317" s="371"/>
      <c r="U317" s="372"/>
      <c r="V317" s="373"/>
      <c r="W317" s="374"/>
      <c r="X317" s="404">
        <v>45433</v>
      </c>
      <c r="Y317" s="372"/>
      <c r="Z317" s="381"/>
      <c r="AA317" s="225"/>
      <c r="AB317" s="361"/>
      <c r="AC317" s="533"/>
      <c r="AD317" s="225"/>
      <c r="AE317" s="361"/>
      <c r="AF317" s="533"/>
      <c r="AG317" s="225"/>
      <c r="AH317" s="361"/>
      <c r="AI317" s="533"/>
      <c r="AJ317" s="225"/>
      <c r="AK317" s="361"/>
      <c r="AL317" s="533"/>
      <c r="AM317" s="225"/>
      <c r="AN317" s="361"/>
      <c r="AO317" s="533"/>
      <c r="AP317" s="225"/>
      <c r="AQ317" s="361"/>
      <c r="AR317" s="533"/>
      <c r="AS317" s="320"/>
    </row>
    <row r="318" spans="1:45" ht="13.5" hidden="1" customHeight="1">
      <c r="A318" s="12"/>
      <c r="B318" s="358"/>
      <c r="C318" s="359"/>
      <c r="D318" s="359"/>
      <c r="E318" s="360"/>
      <c r="F318" s="524"/>
      <c r="G318" s="378"/>
      <c r="H318" s="362"/>
      <c r="I318" s="230"/>
      <c r="J318" s="230"/>
      <c r="K318" s="363"/>
      <c r="L318" s="364"/>
      <c r="M318" s="365"/>
      <c r="N318" s="366"/>
      <c r="O318" s="367"/>
      <c r="P318" s="368"/>
      <c r="Q318" s="358"/>
      <c r="R318" s="370"/>
      <c r="S318" s="370"/>
      <c r="T318" s="371"/>
      <c r="U318" s="372"/>
      <c r="V318" s="373"/>
      <c r="W318" s="398"/>
      <c r="X318" s="404"/>
      <c r="Y318" s="372"/>
      <c r="Z318" s="381"/>
      <c r="AA318" s="241"/>
      <c r="AB318" s="411"/>
      <c r="AC318" s="577"/>
      <c r="AD318" s="241"/>
      <c r="AE318" s="411"/>
      <c r="AF318" s="577"/>
      <c r="AG318" s="241"/>
      <c r="AH318" s="411"/>
      <c r="AI318" s="577"/>
      <c r="AJ318" s="241"/>
      <c r="AK318" s="411"/>
      <c r="AL318" s="577"/>
      <c r="AM318" s="241"/>
      <c r="AN318" s="411"/>
      <c r="AO318" s="577"/>
      <c r="AP318" s="241"/>
      <c r="AQ318" s="411"/>
      <c r="AR318" s="577"/>
      <c r="AS318" s="202"/>
    </row>
    <row r="319" spans="1:45" ht="13.5" hidden="1" customHeight="1">
      <c r="A319" s="12"/>
      <c r="B319" s="358" t="s">
        <v>2567</v>
      </c>
      <c r="C319" s="359">
        <v>17</v>
      </c>
      <c r="D319" s="359">
        <v>157</v>
      </c>
      <c r="E319" s="360" t="s">
        <v>1105</v>
      </c>
      <c r="F319" s="524"/>
      <c r="G319" s="390" t="s">
        <v>43</v>
      </c>
      <c r="H319" s="362"/>
      <c r="I319" s="230">
        <v>39484</v>
      </c>
      <c r="J319" s="230">
        <v>16</v>
      </c>
      <c r="K319" s="454"/>
      <c r="L319" s="364" t="s">
        <v>1106</v>
      </c>
      <c r="M319" s="365" t="s">
        <v>1107</v>
      </c>
      <c r="N319" s="366" t="s">
        <v>1108</v>
      </c>
      <c r="O319" s="367">
        <v>10280139</v>
      </c>
      <c r="P319" s="368">
        <v>414027185</v>
      </c>
      <c r="Q319" s="363" t="s">
        <v>1109</v>
      </c>
      <c r="R319" s="370" t="s">
        <v>657</v>
      </c>
      <c r="S319" s="370" t="s">
        <v>1110</v>
      </c>
      <c r="T319" s="371"/>
      <c r="U319" s="372"/>
      <c r="V319" s="373"/>
      <c r="W319" s="374"/>
      <c r="X319" s="404">
        <v>45433</v>
      </c>
      <c r="Y319" s="372"/>
      <c r="Z319" s="381"/>
      <c r="AA319" s="225"/>
      <c r="AB319" s="361"/>
      <c r="AC319" s="533"/>
      <c r="AD319" s="225"/>
      <c r="AE319" s="361"/>
      <c r="AF319" s="533"/>
      <c r="AG319" s="225"/>
      <c r="AH319" s="361"/>
      <c r="AI319" s="533"/>
      <c r="AJ319" s="225"/>
      <c r="AK319" s="361"/>
      <c r="AL319" s="533"/>
      <c r="AM319" s="225"/>
      <c r="AN319" s="361"/>
      <c r="AO319" s="533"/>
      <c r="AP319" s="225"/>
      <c r="AQ319" s="361"/>
      <c r="AR319" s="533"/>
      <c r="AS319" s="320"/>
    </row>
    <row r="320" spans="1:45" ht="13.5" hidden="1" customHeight="1">
      <c r="A320" s="12"/>
      <c r="B320" s="358"/>
      <c r="C320" s="359"/>
      <c r="D320" s="359"/>
      <c r="E320" s="360"/>
      <c r="F320" s="524"/>
      <c r="G320" s="396"/>
      <c r="H320" s="362"/>
      <c r="I320" s="230"/>
      <c r="J320" s="230"/>
      <c r="K320" s="429"/>
      <c r="L320" s="364"/>
      <c r="M320" s="365"/>
      <c r="N320" s="409"/>
      <c r="O320" s="453"/>
      <c r="P320" s="454"/>
      <c r="Q320" s="363"/>
      <c r="R320" s="370"/>
      <c r="S320" s="370"/>
      <c r="T320" s="371"/>
      <c r="U320" s="372"/>
      <c r="V320" s="373"/>
      <c r="W320" s="398"/>
      <c r="X320" s="404"/>
      <c r="Y320" s="372"/>
      <c r="Z320" s="381"/>
      <c r="AA320" s="241"/>
      <c r="AB320" s="411"/>
      <c r="AC320" s="577"/>
      <c r="AD320" s="241"/>
      <c r="AE320" s="411"/>
      <c r="AF320" s="577"/>
      <c r="AG320" s="241"/>
      <c r="AH320" s="411"/>
      <c r="AI320" s="577"/>
      <c r="AJ320" s="241"/>
      <c r="AK320" s="411"/>
      <c r="AL320" s="577"/>
      <c r="AM320" s="241"/>
      <c r="AN320" s="411"/>
      <c r="AO320" s="577"/>
      <c r="AP320" s="241"/>
      <c r="AQ320" s="411"/>
      <c r="AR320" s="577"/>
      <c r="AS320" s="202"/>
    </row>
    <row r="321" spans="1:45" ht="13.5" hidden="1" customHeight="1">
      <c r="A321" s="12"/>
      <c r="B321" s="358" t="s">
        <v>2567</v>
      </c>
      <c r="C321" s="359">
        <v>18</v>
      </c>
      <c r="D321" s="359">
        <v>158</v>
      </c>
      <c r="E321" s="360" t="s">
        <v>1112</v>
      </c>
      <c r="F321" s="524"/>
      <c r="G321" s="361" t="s">
        <v>43</v>
      </c>
      <c r="H321" s="362">
        <v>33329736</v>
      </c>
      <c r="I321" s="230">
        <v>45435</v>
      </c>
      <c r="J321" s="230">
        <v>13</v>
      </c>
      <c r="K321" s="363" t="s">
        <v>1113</v>
      </c>
      <c r="L321" s="364" t="s">
        <v>1114</v>
      </c>
      <c r="M321" s="519" t="s">
        <v>1115</v>
      </c>
      <c r="N321" s="243" t="s">
        <v>1116</v>
      </c>
      <c r="O321" s="253">
        <v>33329736</v>
      </c>
      <c r="P321" s="247">
        <v>4143664381</v>
      </c>
      <c r="Q321" s="596"/>
      <c r="R321" s="370" t="s">
        <v>1117</v>
      </c>
      <c r="S321" s="370" t="s">
        <v>1118</v>
      </c>
      <c r="T321" s="371" t="s">
        <v>1119</v>
      </c>
      <c r="U321" s="372"/>
      <c r="V321" s="373"/>
      <c r="W321" s="374"/>
      <c r="X321" s="404">
        <v>45435</v>
      </c>
      <c r="Y321" s="372"/>
      <c r="Z321" s="381"/>
      <c r="AA321" s="359"/>
      <c r="AB321" s="230"/>
      <c r="AC321" s="381"/>
      <c r="AD321" s="359"/>
      <c r="AE321" s="230"/>
      <c r="AF321" s="381"/>
      <c r="AG321" s="225"/>
      <c r="AH321" s="361"/>
      <c r="AI321" s="533"/>
      <c r="AJ321" s="225"/>
      <c r="AK321" s="361"/>
      <c r="AL321" s="533"/>
      <c r="AM321" s="225"/>
      <c r="AN321" s="361"/>
      <c r="AO321" s="533"/>
      <c r="AP321" s="225"/>
      <c r="AQ321" s="361"/>
      <c r="AR321" s="533"/>
      <c r="AS321" s="320"/>
    </row>
    <row r="322" spans="1:45" ht="13.5" hidden="1" customHeight="1">
      <c r="A322" s="12"/>
      <c r="B322" s="358"/>
      <c r="C322" s="359"/>
      <c r="D322" s="359"/>
      <c r="E322" s="360"/>
      <c r="F322" s="524"/>
      <c r="G322" s="378"/>
      <c r="H322" s="362"/>
      <c r="I322" s="230"/>
      <c r="J322" s="230"/>
      <c r="K322" s="363"/>
      <c r="L322" s="364"/>
      <c r="M322" s="519"/>
      <c r="N322" s="243"/>
      <c r="O322" s="242"/>
      <c r="P322" s="247"/>
      <c r="Q322" s="596"/>
      <c r="R322" s="370"/>
      <c r="S322" s="370"/>
      <c r="T322" s="371"/>
      <c r="U322" s="372"/>
      <c r="V322" s="373"/>
      <c r="W322" s="398"/>
      <c r="X322" s="404"/>
      <c r="Y322" s="372"/>
      <c r="Z322" s="381"/>
      <c r="AA322" s="359"/>
      <c r="AB322" s="230"/>
      <c r="AC322" s="381"/>
      <c r="AD322" s="359"/>
      <c r="AE322" s="230"/>
      <c r="AF322" s="381"/>
      <c r="AG322" s="241"/>
      <c r="AH322" s="411"/>
      <c r="AI322" s="577"/>
      <c r="AJ322" s="241"/>
      <c r="AK322" s="411"/>
      <c r="AL322" s="577"/>
      <c r="AM322" s="241"/>
      <c r="AN322" s="411"/>
      <c r="AO322" s="577"/>
      <c r="AP322" s="241"/>
      <c r="AQ322" s="411"/>
      <c r="AR322" s="577"/>
      <c r="AS322" s="202"/>
    </row>
    <row r="323" spans="1:45" ht="13.5" hidden="1" customHeight="1">
      <c r="A323" s="12"/>
      <c r="B323" s="358" t="s">
        <v>2567</v>
      </c>
      <c r="C323" s="359">
        <v>19</v>
      </c>
      <c r="D323" s="359">
        <v>159</v>
      </c>
      <c r="E323" s="360" t="s">
        <v>1121</v>
      </c>
      <c r="F323" s="524"/>
      <c r="G323" s="361" t="s">
        <v>43</v>
      </c>
      <c r="H323" s="362">
        <v>32283430</v>
      </c>
      <c r="I323" s="230">
        <v>23</v>
      </c>
      <c r="J323" s="230">
        <v>16</v>
      </c>
      <c r="K323" s="363" t="s">
        <v>1122</v>
      </c>
      <c r="L323" s="364" t="s">
        <v>1123</v>
      </c>
      <c r="M323" s="365" t="s">
        <v>1124</v>
      </c>
      <c r="N323" s="425" t="s">
        <v>1125</v>
      </c>
      <c r="O323" s="440">
        <v>18023176</v>
      </c>
      <c r="P323" s="429">
        <v>4129930403</v>
      </c>
      <c r="Q323" s="369" t="s">
        <v>1126</v>
      </c>
      <c r="R323" s="370" t="s">
        <v>657</v>
      </c>
      <c r="S323" s="370" t="s">
        <v>1057</v>
      </c>
      <c r="T323" s="371" t="s">
        <v>1119</v>
      </c>
      <c r="U323" s="372"/>
      <c r="V323" s="373"/>
      <c r="W323" s="374"/>
      <c r="X323" s="404"/>
      <c r="Y323" s="372"/>
      <c r="Z323" s="381"/>
      <c r="AA323" s="225"/>
      <c r="AB323" s="361"/>
      <c r="AC323" s="533"/>
      <c r="AD323" s="225"/>
      <c r="AE323" s="361"/>
      <c r="AF323" s="533"/>
      <c r="AG323" s="225"/>
      <c r="AH323" s="361"/>
      <c r="AI323" s="533"/>
      <c r="AJ323" s="225"/>
      <c r="AK323" s="361"/>
      <c r="AL323" s="533"/>
      <c r="AM323" s="225"/>
      <c r="AN323" s="361"/>
      <c r="AO323" s="533"/>
      <c r="AP323" s="225"/>
      <c r="AQ323" s="361"/>
      <c r="AR323" s="533"/>
      <c r="AS323" s="320"/>
    </row>
    <row r="324" spans="1:45" ht="13.5" hidden="1" customHeight="1">
      <c r="A324" s="12"/>
      <c r="B324" s="358"/>
      <c r="C324" s="359"/>
      <c r="D324" s="359"/>
      <c r="E324" s="360"/>
      <c r="F324" s="524"/>
      <c r="G324" s="378"/>
      <c r="H324" s="362"/>
      <c r="I324" s="230"/>
      <c r="J324" s="230"/>
      <c r="K324" s="363"/>
      <c r="L324" s="364"/>
      <c r="M324" s="365"/>
      <c r="N324" s="366"/>
      <c r="O324" s="367"/>
      <c r="P324" s="368"/>
      <c r="Q324" s="369"/>
      <c r="R324" s="370"/>
      <c r="S324" s="370"/>
      <c r="T324" s="371"/>
      <c r="U324" s="372"/>
      <c r="V324" s="373"/>
      <c r="W324" s="398"/>
      <c r="X324" s="404"/>
      <c r="Y324" s="372"/>
      <c r="Z324" s="381"/>
      <c r="AA324" s="241"/>
      <c r="AB324" s="411"/>
      <c r="AC324" s="577"/>
      <c r="AD324" s="241"/>
      <c r="AE324" s="411"/>
      <c r="AF324" s="577"/>
      <c r="AG324" s="241"/>
      <c r="AH324" s="411"/>
      <c r="AI324" s="577"/>
      <c r="AJ324" s="241"/>
      <c r="AK324" s="411"/>
      <c r="AL324" s="577"/>
      <c r="AM324" s="241"/>
      <c r="AN324" s="411"/>
      <c r="AO324" s="577"/>
      <c r="AP324" s="241"/>
      <c r="AQ324" s="411"/>
      <c r="AR324" s="577"/>
      <c r="AS324" s="202"/>
    </row>
    <row r="325" spans="1:45" ht="13.5" hidden="1" customHeight="1">
      <c r="A325" s="12"/>
      <c r="B325" s="358" t="s">
        <v>2567</v>
      </c>
      <c r="C325" s="359">
        <v>20</v>
      </c>
      <c r="D325" s="359">
        <v>160</v>
      </c>
      <c r="E325" s="360" t="s">
        <v>1128</v>
      </c>
      <c r="F325" s="524"/>
      <c r="G325" s="361" t="s">
        <v>43</v>
      </c>
      <c r="H325" s="362">
        <v>34321235</v>
      </c>
      <c r="I325" s="230">
        <v>45416</v>
      </c>
      <c r="J325" s="230">
        <v>16</v>
      </c>
      <c r="K325" s="597" t="s">
        <v>1129</v>
      </c>
      <c r="L325" s="364" t="s">
        <v>1130</v>
      </c>
      <c r="M325" s="365" t="s">
        <v>1131</v>
      </c>
      <c r="N325" s="366" t="s">
        <v>1132</v>
      </c>
      <c r="O325" s="367"/>
      <c r="P325" s="368">
        <v>4128283027</v>
      </c>
      <c r="Q325" s="369" t="s">
        <v>1133</v>
      </c>
      <c r="R325" s="370" t="s">
        <v>657</v>
      </c>
      <c r="S325" s="370" t="s">
        <v>1057</v>
      </c>
      <c r="T325" s="371" t="s">
        <v>1134</v>
      </c>
      <c r="U325" s="372"/>
      <c r="V325" s="373"/>
      <c r="W325" s="374"/>
      <c r="X325" s="404">
        <v>45416</v>
      </c>
      <c r="Y325" s="372"/>
      <c r="Z325" s="381"/>
      <c r="AA325" s="225"/>
      <c r="AB325" s="361"/>
      <c r="AC325" s="533"/>
      <c r="AD325" s="225"/>
      <c r="AE325" s="361"/>
      <c r="AF325" s="533"/>
      <c r="AG325" s="225"/>
      <c r="AH325" s="361"/>
      <c r="AI325" s="533"/>
      <c r="AJ325" s="225"/>
      <c r="AK325" s="361"/>
      <c r="AL325" s="533"/>
      <c r="AM325" s="225"/>
      <c r="AN325" s="361"/>
      <c r="AO325" s="533"/>
      <c r="AP325" s="225"/>
      <c r="AQ325" s="361"/>
      <c r="AR325" s="533"/>
      <c r="AS325" s="320"/>
    </row>
    <row r="326" spans="1:45" ht="13.5" hidden="1" customHeight="1">
      <c r="A326" s="12"/>
      <c r="B326" s="358"/>
      <c r="C326" s="359"/>
      <c r="D326" s="359"/>
      <c r="E326" s="360"/>
      <c r="F326" s="524"/>
      <c r="G326" s="378"/>
      <c r="H326" s="362"/>
      <c r="I326" s="230"/>
      <c r="J326" s="230"/>
      <c r="K326" s="429"/>
      <c r="L326" s="364"/>
      <c r="M326" s="365"/>
      <c r="N326" s="366"/>
      <c r="O326" s="367"/>
      <c r="P326" s="368"/>
      <c r="Q326" s="369"/>
      <c r="R326" s="370"/>
      <c r="S326" s="370"/>
      <c r="T326" s="371"/>
      <c r="U326" s="372"/>
      <c r="V326" s="373"/>
      <c r="W326" s="398"/>
      <c r="X326" s="404"/>
      <c r="Y326" s="372"/>
      <c r="Z326" s="381"/>
      <c r="AA326" s="241"/>
      <c r="AB326" s="411"/>
      <c r="AC326" s="577"/>
      <c r="AD326" s="241"/>
      <c r="AE326" s="411"/>
      <c r="AF326" s="577"/>
      <c r="AG326" s="241"/>
      <c r="AH326" s="411"/>
      <c r="AI326" s="577"/>
      <c r="AJ326" s="241"/>
      <c r="AK326" s="411"/>
      <c r="AL326" s="577"/>
      <c r="AM326" s="241"/>
      <c r="AN326" s="411"/>
      <c r="AO326" s="577"/>
      <c r="AP326" s="241"/>
      <c r="AQ326" s="411"/>
      <c r="AR326" s="577"/>
      <c r="AS326" s="202"/>
    </row>
    <row r="327" spans="1:45" ht="11.25" hidden="1" customHeight="1">
      <c r="A327" s="12"/>
      <c r="B327" s="358" t="s">
        <v>2568</v>
      </c>
      <c r="C327" s="359">
        <v>1</v>
      </c>
      <c r="D327" s="359">
        <v>161</v>
      </c>
      <c r="E327" s="360" t="s">
        <v>1137</v>
      </c>
      <c r="F327" s="524"/>
      <c r="G327" s="361" t="s">
        <v>43</v>
      </c>
      <c r="H327" s="362">
        <v>32723474</v>
      </c>
      <c r="I327" s="230">
        <v>45435</v>
      </c>
      <c r="J327" s="230">
        <v>16</v>
      </c>
      <c r="K327" s="363" t="s">
        <v>1138</v>
      </c>
      <c r="L327" s="364" t="s">
        <v>1139</v>
      </c>
      <c r="M327" s="365" t="s">
        <v>1140</v>
      </c>
      <c r="N327" s="366" t="s">
        <v>1141</v>
      </c>
      <c r="O327" s="367">
        <v>11035568</v>
      </c>
      <c r="P327" s="368">
        <v>4141298113</v>
      </c>
      <c r="Q327" s="369" t="s">
        <v>1142</v>
      </c>
      <c r="R327" s="370" t="s">
        <v>1063</v>
      </c>
      <c r="S327" s="370" t="s">
        <v>1143</v>
      </c>
      <c r="T327" s="371" t="s">
        <v>1134</v>
      </c>
      <c r="U327" s="372"/>
      <c r="V327" s="373"/>
      <c r="W327" s="374"/>
      <c r="X327" s="404">
        <v>45435</v>
      </c>
      <c r="Y327" s="372"/>
      <c r="Z327" s="381"/>
      <c r="AA327" s="359"/>
      <c r="AB327" s="230"/>
      <c r="AC327" s="381"/>
      <c r="AD327" s="359"/>
      <c r="AE327" s="230"/>
      <c r="AF327" s="381"/>
      <c r="AG327" s="359"/>
      <c r="AH327" s="230"/>
      <c r="AI327" s="381"/>
      <c r="AJ327" s="359"/>
      <c r="AK327" s="230"/>
      <c r="AL327" s="381"/>
      <c r="AM327" s="359"/>
      <c r="AN327" s="230"/>
      <c r="AO327" s="381"/>
      <c r="AP327" s="359"/>
      <c r="AQ327" s="230"/>
      <c r="AR327" s="381"/>
      <c r="AS327" s="320"/>
    </row>
    <row r="328" spans="1:45" ht="15.75" hidden="1" customHeight="1">
      <c r="A328" s="12"/>
      <c r="B328" s="358"/>
      <c r="C328" s="359"/>
      <c r="D328" s="359"/>
      <c r="E328" s="360"/>
      <c r="F328" s="524"/>
      <c r="G328" s="378"/>
      <c r="H328" s="362"/>
      <c r="I328" s="230"/>
      <c r="J328" s="230"/>
      <c r="K328" s="363"/>
      <c r="L328" s="364"/>
      <c r="M328" s="365"/>
      <c r="N328" s="366"/>
      <c r="O328" s="367"/>
      <c r="P328" s="368"/>
      <c r="Q328" s="369"/>
      <c r="R328" s="370"/>
      <c r="S328" s="370"/>
      <c r="T328" s="371"/>
      <c r="U328" s="372"/>
      <c r="V328" s="373"/>
      <c r="W328" s="398"/>
      <c r="X328" s="404"/>
      <c r="Y328" s="372"/>
      <c r="Z328" s="381"/>
      <c r="AA328" s="359"/>
      <c r="AB328" s="230"/>
      <c r="AC328" s="381"/>
      <c r="AD328" s="359"/>
      <c r="AE328" s="230"/>
      <c r="AF328" s="381"/>
      <c r="AG328" s="359"/>
      <c r="AH328" s="230"/>
      <c r="AI328" s="381"/>
      <c r="AJ328" s="359"/>
      <c r="AK328" s="230"/>
      <c r="AL328" s="381"/>
      <c r="AM328" s="359"/>
      <c r="AN328" s="230"/>
      <c r="AO328" s="381"/>
      <c r="AP328" s="359"/>
      <c r="AQ328" s="230"/>
      <c r="AR328" s="381"/>
      <c r="AS328" s="202"/>
    </row>
    <row r="329" spans="1:45" ht="21.75" customHeight="1">
      <c r="A329" s="12"/>
      <c r="B329" s="358" t="s">
        <v>2568</v>
      </c>
      <c r="C329" s="359">
        <v>2</v>
      </c>
      <c r="D329" s="359">
        <v>28</v>
      </c>
      <c r="E329" s="360" t="s">
        <v>1145</v>
      </c>
      <c r="F329" s="524"/>
      <c r="G329" s="361" t="s">
        <v>278</v>
      </c>
      <c r="H329" s="362">
        <v>32301530</v>
      </c>
      <c r="I329" s="230">
        <v>45423</v>
      </c>
      <c r="J329" s="230">
        <v>16</v>
      </c>
      <c r="K329" s="363"/>
      <c r="L329" s="364" t="s">
        <v>1146</v>
      </c>
      <c r="M329" s="365" t="s">
        <v>1147</v>
      </c>
      <c r="N329" s="366" t="s">
        <v>1148</v>
      </c>
      <c r="O329" s="367">
        <v>13231434</v>
      </c>
      <c r="P329" s="368">
        <v>4142730693</v>
      </c>
      <c r="Q329" s="369" t="s">
        <v>1149</v>
      </c>
      <c r="R329" s="370" t="s">
        <v>1150</v>
      </c>
      <c r="S329" s="370"/>
      <c r="T329" s="371" t="s">
        <v>1134</v>
      </c>
      <c r="U329" s="372"/>
      <c r="V329" s="373"/>
      <c r="W329" s="374"/>
      <c r="X329" s="404">
        <v>45423</v>
      </c>
      <c r="Y329" s="372"/>
      <c r="Z329" s="381"/>
      <c r="AA329" s="359"/>
      <c r="AB329" s="230"/>
      <c r="AC329" s="381"/>
      <c r="AD329" s="225"/>
      <c r="AE329" s="361"/>
      <c r="AF329" s="533"/>
      <c r="AG329" s="225"/>
      <c r="AH329" s="361"/>
      <c r="AI329" s="533"/>
      <c r="AJ329" s="225"/>
      <c r="AK329" s="361"/>
      <c r="AL329" s="533"/>
      <c r="AM329" s="225"/>
      <c r="AN329" s="361"/>
      <c r="AO329" s="533"/>
      <c r="AP329" s="225"/>
      <c r="AQ329" s="361"/>
      <c r="AR329" s="533"/>
      <c r="AS329" s="320"/>
    </row>
    <row r="330" spans="1:45" ht="13.5" hidden="1" customHeight="1">
      <c r="A330" s="12"/>
      <c r="B330" s="358"/>
      <c r="C330" s="359"/>
      <c r="D330" s="359"/>
      <c r="E330" s="360"/>
      <c r="F330" s="524"/>
      <c r="G330" s="378"/>
      <c r="H330" s="362"/>
      <c r="I330" s="230"/>
      <c r="J330" s="230"/>
      <c r="K330" s="363"/>
      <c r="L330" s="364"/>
      <c r="M330" s="365"/>
      <c r="N330" s="366"/>
      <c r="O330" s="367"/>
      <c r="P330" s="368"/>
      <c r="Q330" s="369"/>
      <c r="R330" s="370"/>
      <c r="S330" s="370"/>
      <c r="T330" s="371"/>
      <c r="U330" s="372"/>
      <c r="V330" s="373"/>
      <c r="W330" s="398"/>
      <c r="X330" s="404"/>
      <c r="Y330" s="372"/>
      <c r="Z330" s="381"/>
      <c r="AA330" s="359"/>
      <c r="AB330" s="230"/>
      <c r="AC330" s="381"/>
      <c r="AD330" s="241"/>
      <c r="AE330" s="411"/>
      <c r="AF330" s="577"/>
      <c r="AG330" s="241"/>
      <c r="AH330" s="411"/>
      <c r="AI330" s="577"/>
      <c r="AJ330" s="241"/>
      <c r="AK330" s="411"/>
      <c r="AL330" s="577"/>
      <c r="AM330" s="241"/>
      <c r="AN330" s="411"/>
      <c r="AO330" s="577"/>
      <c r="AP330" s="241"/>
      <c r="AQ330" s="411"/>
      <c r="AR330" s="577"/>
      <c r="AS330" s="202"/>
    </row>
    <row r="331" spans="1:45" ht="13.5" hidden="1" customHeight="1">
      <c r="A331" s="12"/>
      <c r="B331" s="358" t="s">
        <v>2568</v>
      </c>
      <c r="C331" s="359">
        <v>3</v>
      </c>
      <c r="D331" s="359">
        <v>163</v>
      </c>
      <c r="E331" s="360" t="s">
        <v>1152</v>
      </c>
      <c r="F331" s="524"/>
      <c r="G331" s="361" t="s">
        <v>43</v>
      </c>
      <c r="H331" s="362">
        <v>32267110</v>
      </c>
      <c r="I331" s="230">
        <v>45423</v>
      </c>
      <c r="J331" s="230">
        <v>16</v>
      </c>
      <c r="K331" s="363" t="s">
        <v>1153</v>
      </c>
      <c r="L331" s="364" t="s">
        <v>1154</v>
      </c>
      <c r="M331" s="365" t="s">
        <v>1155</v>
      </c>
      <c r="N331" s="366" t="s">
        <v>1156</v>
      </c>
      <c r="O331" s="367">
        <v>16591955</v>
      </c>
      <c r="P331" s="368">
        <v>4142004302</v>
      </c>
      <c r="Q331" s="369" t="s">
        <v>1153</v>
      </c>
      <c r="R331" s="370" t="s">
        <v>1157</v>
      </c>
      <c r="S331" s="370"/>
      <c r="T331" s="371"/>
      <c r="U331" s="372"/>
      <c r="V331" s="373"/>
      <c r="W331" s="374"/>
      <c r="X331" s="404">
        <v>45423</v>
      </c>
      <c r="Y331" s="372"/>
      <c r="Z331" s="381"/>
      <c r="AA331" s="359"/>
      <c r="AB331" s="230"/>
      <c r="AC331" s="381"/>
      <c r="AD331" s="225"/>
      <c r="AE331" s="361"/>
      <c r="AF331" s="533"/>
      <c r="AG331" s="225"/>
      <c r="AH331" s="361"/>
      <c r="AI331" s="533"/>
      <c r="AJ331" s="225"/>
      <c r="AK331" s="361"/>
      <c r="AL331" s="533"/>
      <c r="AM331" s="225"/>
      <c r="AN331" s="361"/>
      <c r="AO331" s="533"/>
      <c r="AP331" s="225"/>
      <c r="AQ331" s="361"/>
      <c r="AR331" s="533"/>
      <c r="AS331" s="320"/>
    </row>
    <row r="332" spans="1:45" ht="13.5" hidden="1" customHeight="1">
      <c r="A332" s="12"/>
      <c r="B332" s="358"/>
      <c r="C332" s="359"/>
      <c r="D332" s="359"/>
      <c r="E332" s="360"/>
      <c r="F332" s="524"/>
      <c r="G332" s="378"/>
      <c r="H332" s="362"/>
      <c r="I332" s="230"/>
      <c r="J332" s="230"/>
      <c r="K332" s="363"/>
      <c r="L332" s="364"/>
      <c r="M332" s="365"/>
      <c r="N332" s="366"/>
      <c r="O332" s="367"/>
      <c r="P332" s="368"/>
      <c r="Q332" s="369"/>
      <c r="R332" s="370"/>
      <c r="S332" s="370"/>
      <c r="T332" s="371"/>
      <c r="U332" s="372"/>
      <c r="V332" s="373"/>
      <c r="W332" s="398"/>
      <c r="X332" s="404"/>
      <c r="Y332" s="372"/>
      <c r="Z332" s="381"/>
      <c r="AA332" s="359"/>
      <c r="AB332" s="230"/>
      <c r="AC332" s="381"/>
      <c r="AD332" s="241"/>
      <c r="AE332" s="411"/>
      <c r="AF332" s="577"/>
      <c r="AG332" s="241"/>
      <c r="AH332" s="411"/>
      <c r="AI332" s="577"/>
      <c r="AJ332" s="241"/>
      <c r="AK332" s="411"/>
      <c r="AL332" s="577"/>
      <c r="AM332" s="241"/>
      <c r="AN332" s="411"/>
      <c r="AO332" s="577"/>
      <c r="AP332" s="241"/>
      <c r="AQ332" s="411"/>
      <c r="AR332" s="577"/>
      <c r="AS332" s="202"/>
    </row>
    <row r="333" spans="1:45" ht="13.5" hidden="1" customHeight="1">
      <c r="A333" s="12"/>
      <c r="B333" s="358" t="s">
        <v>2568</v>
      </c>
      <c r="C333" s="359">
        <v>4</v>
      </c>
      <c r="D333" s="359">
        <v>164</v>
      </c>
      <c r="E333" s="360" t="s">
        <v>1159</v>
      </c>
      <c r="F333" s="524"/>
      <c r="G333" s="361" t="s">
        <v>43</v>
      </c>
      <c r="H333" s="362">
        <v>32922986</v>
      </c>
      <c r="I333" s="230">
        <v>45411</v>
      </c>
      <c r="J333" s="230">
        <v>16</v>
      </c>
      <c r="K333" s="363" t="s">
        <v>1160</v>
      </c>
      <c r="L333" s="364" t="s">
        <v>1161</v>
      </c>
      <c r="M333" s="365" t="s">
        <v>1162</v>
      </c>
      <c r="N333" s="598" t="s">
        <v>1163</v>
      </c>
      <c r="O333" s="367">
        <v>13861439</v>
      </c>
      <c r="P333" s="368">
        <v>4123706087</v>
      </c>
      <c r="Q333" s="369" t="s">
        <v>1164</v>
      </c>
      <c r="R333" s="370" t="s">
        <v>1063</v>
      </c>
      <c r="S333" s="370" t="s">
        <v>1143</v>
      </c>
      <c r="T333" s="371" t="s">
        <v>1134</v>
      </c>
      <c r="U333" s="372"/>
      <c r="V333" s="373"/>
      <c r="W333" s="374"/>
      <c r="X333" s="404">
        <v>45423</v>
      </c>
      <c r="Y333" s="372"/>
      <c r="Z333" s="381"/>
      <c r="AA333" s="359"/>
      <c r="AB333" s="230"/>
      <c r="AC333" s="381"/>
      <c r="AD333" s="225"/>
      <c r="AE333" s="361"/>
      <c r="AF333" s="533"/>
      <c r="AG333" s="225"/>
      <c r="AH333" s="361"/>
      <c r="AI333" s="533"/>
      <c r="AJ333" s="225"/>
      <c r="AK333" s="361"/>
      <c r="AL333" s="533"/>
      <c r="AM333" s="225"/>
      <c r="AN333" s="361"/>
      <c r="AO333" s="533"/>
      <c r="AP333" s="225"/>
      <c r="AQ333" s="361"/>
      <c r="AR333" s="533"/>
      <c r="AS333" s="320"/>
    </row>
    <row r="334" spans="1:45" ht="13.5" hidden="1" customHeight="1">
      <c r="A334" s="12"/>
      <c r="B334" s="358"/>
      <c r="C334" s="359"/>
      <c r="D334" s="359"/>
      <c r="E334" s="360"/>
      <c r="F334" s="524"/>
      <c r="G334" s="378"/>
      <c r="H334" s="362"/>
      <c r="I334" s="230"/>
      <c r="J334" s="230"/>
      <c r="K334" s="363"/>
      <c r="L334" s="364"/>
      <c r="M334" s="452"/>
      <c r="N334" s="409"/>
      <c r="O334" s="453"/>
      <c r="P334" s="454"/>
      <c r="Q334" s="504"/>
      <c r="R334" s="420"/>
      <c r="S334" s="420"/>
      <c r="T334" s="421"/>
      <c r="U334" s="372"/>
      <c r="V334" s="373"/>
      <c r="W334" s="398"/>
      <c r="X334" s="404"/>
      <c r="Y334" s="372"/>
      <c r="Z334" s="381"/>
      <c r="AA334" s="359"/>
      <c r="AB334" s="230"/>
      <c r="AC334" s="381"/>
      <c r="AD334" s="241"/>
      <c r="AE334" s="411"/>
      <c r="AF334" s="577"/>
      <c r="AG334" s="241"/>
      <c r="AH334" s="411"/>
      <c r="AI334" s="577"/>
      <c r="AJ334" s="241"/>
      <c r="AK334" s="411"/>
      <c r="AL334" s="577"/>
      <c r="AM334" s="241"/>
      <c r="AN334" s="411"/>
      <c r="AO334" s="577"/>
      <c r="AP334" s="241"/>
      <c r="AQ334" s="411"/>
      <c r="AR334" s="577"/>
      <c r="AS334" s="202"/>
    </row>
    <row r="335" spans="1:45" ht="13.5" hidden="1" customHeight="1">
      <c r="A335" s="12"/>
      <c r="B335" s="358" t="s">
        <v>2568</v>
      </c>
      <c r="C335" s="359">
        <v>5</v>
      </c>
      <c r="D335" s="359">
        <v>165</v>
      </c>
      <c r="E335" s="360" t="s">
        <v>1166</v>
      </c>
      <c r="F335" s="524"/>
      <c r="G335" s="361" t="s">
        <v>43</v>
      </c>
      <c r="H335" s="362"/>
      <c r="I335" s="230">
        <v>45402</v>
      </c>
      <c r="J335" s="230">
        <v>13</v>
      </c>
      <c r="K335" s="363" t="s">
        <v>1167</v>
      </c>
      <c r="L335" s="502" t="s">
        <v>1168</v>
      </c>
      <c r="M335" s="245" t="s">
        <v>1169</v>
      </c>
      <c r="N335" s="243" t="s">
        <v>1170</v>
      </c>
      <c r="O335" s="246">
        <v>15315972</v>
      </c>
      <c r="P335" s="247">
        <v>4242070544</v>
      </c>
      <c r="Q335" s="254" t="s">
        <v>1171</v>
      </c>
      <c r="R335" s="248" t="s">
        <v>1063</v>
      </c>
      <c r="S335" s="248" t="s">
        <v>1172</v>
      </c>
      <c r="T335" s="248"/>
      <c r="U335" s="599"/>
      <c r="V335" s="456"/>
      <c r="W335" s="374"/>
      <c r="X335" s="404">
        <v>45394</v>
      </c>
      <c r="Y335" s="372"/>
      <c r="Z335" s="381"/>
      <c r="AA335" s="359"/>
      <c r="AB335" s="230"/>
      <c r="AC335" s="381"/>
      <c r="AD335" s="225"/>
      <c r="AE335" s="361"/>
      <c r="AF335" s="533"/>
      <c r="AG335" s="225"/>
      <c r="AH335" s="361"/>
      <c r="AI335" s="533"/>
      <c r="AJ335" s="225"/>
      <c r="AK335" s="361"/>
      <c r="AL335" s="533"/>
      <c r="AM335" s="225"/>
      <c r="AN335" s="361"/>
      <c r="AO335" s="533"/>
      <c r="AP335" s="225"/>
      <c r="AQ335" s="361"/>
      <c r="AR335" s="533"/>
      <c r="AS335" s="320"/>
    </row>
    <row r="336" spans="1:45" ht="13.5" hidden="1" customHeight="1">
      <c r="A336" s="12"/>
      <c r="B336" s="358"/>
      <c r="C336" s="359"/>
      <c r="D336" s="359"/>
      <c r="E336" s="360"/>
      <c r="F336" s="524"/>
      <c r="G336" s="378"/>
      <c r="H336" s="362"/>
      <c r="I336" s="230"/>
      <c r="J336" s="230"/>
      <c r="K336" s="363"/>
      <c r="L336" s="502"/>
      <c r="M336" s="245"/>
      <c r="N336" s="243"/>
      <c r="O336" s="246"/>
      <c r="P336" s="247"/>
      <c r="Q336" s="254"/>
      <c r="R336" s="248"/>
      <c r="S336" s="248"/>
      <c r="T336" s="248"/>
      <c r="U336" s="600"/>
      <c r="V336" s="601"/>
      <c r="W336" s="398"/>
      <c r="X336" s="404"/>
      <c r="Y336" s="372"/>
      <c r="Z336" s="381"/>
      <c r="AA336" s="359"/>
      <c r="AB336" s="230"/>
      <c r="AC336" s="381"/>
      <c r="AD336" s="241"/>
      <c r="AE336" s="411"/>
      <c r="AF336" s="577"/>
      <c r="AG336" s="241"/>
      <c r="AH336" s="411"/>
      <c r="AI336" s="577"/>
      <c r="AJ336" s="241"/>
      <c r="AK336" s="411"/>
      <c r="AL336" s="577"/>
      <c r="AM336" s="241"/>
      <c r="AN336" s="411"/>
      <c r="AO336" s="577"/>
      <c r="AP336" s="241"/>
      <c r="AQ336" s="411"/>
      <c r="AR336" s="577"/>
      <c r="AS336" s="202"/>
    </row>
    <row r="337" spans="1:45" ht="13.5" hidden="1" customHeight="1">
      <c r="A337" s="12"/>
      <c r="B337" s="358" t="s">
        <v>2568</v>
      </c>
      <c r="C337" s="359">
        <v>6</v>
      </c>
      <c r="D337" s="359">
        <v>166</v>
      </c>
      <c r="E337" s="360" t="s">
        <v>1174</v>
      </c>
      <c r="F337" s="524"/>
      <c r="G337" s="361" t="s">
        <v>1175</v>
      </c>
      <c r="H337" s="362"/>
      <c r="I337" s="230">
        <v>45485</v>
      </c>
      <c r="J337" s="230">
        <v>25</v>
      </c>
      <c r="K337" s="363" t="s">
        <v>1176</v>
      </c>
      <c r="L337" s="502"/>
      <c r="M337" s="245" t="s">
        <v>1177</v>
      </c>
      <c r="N337" s="243"/>
      <c r="O337" s="246"/>
      <c r="P337" s="247"/>
      <c r="Q337" s="254"/>
      <c r="R337" s="248" t="s">
        <v>1178</v>
      </c>
      <c r="S337" s="248" t="s">
        <v>1178</v>
      </c>
      <c r="T337" s="248"/>
      <c r="U337" s="600"/>
      <c r="V337" s="601"/>
      <c r="W337" s="374"/>
      <c r="X337" s="404">
        <v>45393</v>
      </c>
      <c r="Y337" s="372"/>
      <c r="Z337" s="381"/>
      <c r="AA337" s="359"/>
      <c r="AB337" s="230"/>
      <c r="AC337" s="381"/>
      <c r="AD337" s="225"/>
      <c r="AE337" s="361"/>
      <c r="AF337" s="533"/>
      <c r="AG337" s="225"/>
      <c r="AH337" s="361"/>
      <c r="AI337" s="533"/>
      <c r="AJ337" s="225"/>
      <c r="AK337" s="361"/>
      <c r="AL337" s="533"/>
      <c r="AM337" s="225"/>
      <c r="AN337" s="361"/>
      <c r="AO337" s="533"/>
      <c r="AP337" s="225"/>
      <c r="AQ337" s="361"/>
      <c r="AR337" s="533"/>
      <c r="AS337" s="320"/>
    </row>
    <row r="338" spans="1:45" ht="13.5" hidden="1" customHeight="1">
      <c r="A338" s="12"/>
      <c r="B338" s="358"/>
      <c r="C338" s="359"/>
      <c r="D338" s="359"/>
      <c r="E338" s="360"/>
      <c r="F338" s="524"/>
      <c r="G338" s="378"/>
      <c r="H338" s="362"/>
      <c r="I338" s="230"/>
      <c r="J338" s="230"/>
      <c r="K338" s="363"/>
      <c r="L338" s="502"/>
      <c r="M338" s="245"/>
      <c r="N338" s="243"/>
      <c r="O338" s="246"/>
      <c r="P338" s="247"/>
      <c r="Q338" s="254"/>
      <c r="R338" s="248"/>
      <c r="S338" s="248"/>
      <c r="T338" s="248"/>
      <c r="U338" s="602"/>
      <c r="V338" s="603"/>
      <c r="W338" s="398"/>
      <c r="X338" s="404"/>
      <c r="Y338" s="372"/>
      <c r="Z338" s="381"/>
      <c r="AA338" s="359"/>
      <c r="AB338" s="230"/>
      <c r="AC338" s="381"/>
      <c r="AD338" s="241"/>
      <c r="AE338" s="411"/>
      <c r="AF338" s="577"/>
      <c r="AG338" s="241"/>
      <c r="AH338" s="411"/>
      <c r="AI338" s="577"/>
      <c r="AJ338" s="241"/>
      <c r="AK338" s="411"/>
      <c r="AL338" s="577"/>
      <c r="AM338" s="241"/>
      <c r="AN338" s="411"/>
      <c r="AO338" s="577"/>
      <c r="AP338" s="241"/>
      <c r="AQ338" s="411"/>
      <c r="AR338" s="577"/>
      <c r="AS338" s="202"/>
    </row>
    <row r="339" spans="1:45" ht="13.5" hidden="1" customHeight="1">
      <c r="A339" s="12"/>
      <c r="B339" s="358" t="s">
        <v>2568</v>
      </c>
      <c r="C339" s="359">
        <v>7</v>
      </c>
      <c r="D339" s="359">
        <v>167</v>
      </c>
      <c r="E339" s="360" t="s">
        <v>1180</v>
      </c>
      <c r="F339" s="524"/>
      <c r="G339" s="361" t="s">
        <v>1175</v>
      </c>
      <c r="H339" s="362"/>
      <c r="I339" s="230">
        <v>45423</v>
      </c>
      <c r="J339" s="230">
        <v>28</v>
      </c>
      <c r="K339" s="363" t="s">
        <v>1181</v>
      </c>
      <c r="L339" s="364" t="s">
        <v>1182</v>
      </c>
      <c r="M339" s="439" t="s">
        <v>1183</v>
      </c>
      <c r="N339" s="425"/>
      <c r="O339" s="440"/>
      <c r="P339" s="429"/>
      <c r="Q339" s="442"/>
      <c r="R339" s="248" t="s">
        <v>1178</v>
      </c>
      <c r="S339" s="433" t="s">
        <v>1178</v>
      </c>
      <c r="T339" s="434"/>
      <c r="U339" s="372"/>
      <c r="V339" s="373"/>
      <c r="W339" s="374"/>
      <c r="X339" s="404">
        <v>45423</v>
      </c>
      <c r="Y339" s="372"/>
      <c r="Z339" s="381"/>
      <c r="AA339" s="359"/>
      <c r="AB339" s="230"/>
      <c r="AC339" s="381"/>
      <c r="AD339" s="359"/>
      <c r="AE339" s="230"/>
      <c r="AF339" s="381"/>
      <c r="AG339" s="225"/>
      <c r="AH339" s="361"/>
      <c r="AI339" s="533"/>
      <c r="AJ339" s="225"/>
      <c r="AK339" s="361"/>
      <c r="AL339" s="533"/>
      <c r="AM339" s="225"/>
      <c r="AN339" s="361"/>
      <c r="AO339" s="533"/>
      <c r="AP339" s="225"/>
      <c r="AQ339" s="361"/>
      <c r="AR339" s="533"/>
      <c r="AS339" s="320"/>
    </row>
    <row r="340" spans="1:45" ht="14.25" hidden="1" customHeight="1">
      <c r="A340" s="12"/>
      <c r="B340" s="358"/>
      <c r="C340" s="359"/>
      <c r="D340" s="359"/>
      <c r="E340" s="360"/>
      <c r="F340" s="524"/>
      <c r="G340" s="378"/>
      <c r="H340" s="362"/>
      <c r="I340" s="230"/>
      <c r="J340" s="230"/>
      <c r="K340" s="363"/>
      <c r="L340" s="364"/>
      <c r="M340" s="365"/>
      <c r="N340" s="366"/>
      <c r="O340" s="367"/>
      <c r="P340" s="368"/>
      <c r="Q340" s="369"/>
      <c r="R340" s="248"/>
      <c r="S340" s="370"/>
      <c r="T340" s="371"/>
      <c r="U340" s="372"/>
      <c r="V340" s="373"/>
      <c r="W340" s="398"/>
      <c r="X340" s="404"/>
      <c r="Y340" s="372"/>
      <c r="Z340" s="381"/>
      <c r="AA340" s="359"/>
      <c r="AB340" s="230"/>
      <c r="AC340" s="381"/>
      <c r="AD340" s="359"/>
      <c r="AE340" s="230"/>
      <c r="AF340" s="381"/>
      <c r="AG340" s="241"/>
      <c r="AH340" s="411"/>
      <c r="AI340" s="577"/>
      <c r="AJ340" s="241"/>
      <c r="AK340" s="411"/>
      <c r="AL340" s="577"/>
      <c r="AM340" s="241"/>
      <c r="AN340" s="411"/>
      <c r="AO340" s="577"/>
      <c r="AP340" s="241"/>
      <c r="AQ340" s="411"/>
      <c r="AR340" s="577"/>
      <c r="AS340" s="202"/>
    </row>
    <row r="341" spans="1:45" ht="13.5" hidden="1" customHeight="1">
      <c r="A341" s="12"/>
      <c r="B341" s="358" t="s">
        <v>2568</v>
      </c>
      <c r="C341" s="359">
        <v>8</v>
      </c>
      <c r="D341" s="359">
        <v>168</v>
      </c>
      <c r="E341" s="360" t="s">
        <v>1185</v>
      </c>
      <c r="F341" s="524"/>
      <c r="G341" s="361" t="s">
        <v>43</v>
      </c>
      <c r="H341" s="362">
        <v>33781226</v>
      </c>
      <c r="I341" s="230">
        <v>45423</v>
      </c>
      <c r="J341" s="230">
        <v>15</v>
      </c>
      <c r="K341" s="363" t="s">
        <v>1186</v>
      </c>
      <c r="L341" s="364" t="s">
        <v>1187</v>
      </c>
      <c r="M341" s="365" t="s">
        <v>1188</v>
      </c>
      <c r="N341" s="366" t="s">
        <v>1189</v>
      </c>
      <c r="O341" s="367">
        <v>19763404</v>
      </c>
      <c r="P341" s="368"/>
      <c r="Q341" s="369" t="s">
        <v>1191</v>
      </c>
      <c r="R341" s="370" t="s">
        <v>281</v>
      </c>
      <c r="S341" s="370" t="s">
        <v>1192</v>
      </c>
      <c r="T341" s="371" t="s">
        <v>1134</v>
      </c>
      <c r="U341" s="372"/>
      <c r="V341" s="373"/>
      <c r="W341" s="374"/>
      <c r="X341" s="404">
        <v>45423</v>
      </c>
      <c r="Y341" s="372"/>
      <c r="Z341" s="381"/>
      <c r="AA341" s="225"/>
      <c r="AB341" s="361"/>
      <c r="AC341" s="533"/>
      <c r="AD341" s="225"/>
      <c r="AE341" s="361"/>
      <c r="AF341" s="533"/>
      <c r="AG341" s="225"/>
      <c r="AH341" s="361"/>
      <c r="AI341" s="533"/>
      <c r="AJ341" s="225"/>
      <c r="AK341" s="361"/>
      <c r="AL341" s="533"/>
      <c r="AM341" s="225"/>
      <c r="AN341" s="361"/>
      <c r="AO341" s="533"/>
      <c r="AP341" s="225"/>
      <c r="AQ341" s="361"/>
      <c r="AR341" s="533"/>
      <c r="AS341" s="320"/>
    </row>
    <row r="342" spans="1:45" ht="13.5" hidden="1" customHeight="1">
      <c r="A342" s="12"/>
      <c r="B342" s="358"/>
      <c r="C342" s="359"/>
      <c r="D342" s="359"/>
      <c r="E342" s="360"/>
      <c r="F342" s="524"/>
      <c r="G342" s="378"/>
      <c r="H342" s="362"/>
      <c r="I342" s="230"/>
      <c r="J342" s="230"/>
      <c r="K342" s="363"/>
      <c r="L342" s="364"/>
      <c r="M342" s="365"/>
      <c r="N342" s="366"/>
      <c r="O342" s="367"/>
      <c r="P342" s="368"/>
      <c r="Q342" s="369"/>
      <c r="R342" s="370"/>
      <c r="S342" s="370"/>
      <c r="T342" s="371"/>
      <c r="U342" s="372"/>
      <c r="V342" s="373"/>
      <c r="W342" s="398"/>
      <c r="X342" s="404"/>
      <c r="Y342" s="372"/>
      <c r="Z342" s="381"/>
      <c r="AA342" s="241"/>
      <c r="AB342" s="411"/>
      <c r="AC342" s="577"/>
      <c r="AD342" s="241"/>
      <c r="AE342" s="411"/>
      <c r="AF342" s="577"/>
      <c r="AG342" s="241"/>
      <c r="AH342" s="411"/>
      <c r="AI342" s="577"/>
      <c r="AJ342" s="241"/>
      <c r="AK342" s="411"/>
      <c r="AL342" s="577"/>
      <c r="AM342" s="241"/>
      <c r="AN342" s="411"/>
      <c r="AO342" s="577"/>
      <c r="AP342" s="241"/>
      <c r="AQ342" s="411"/>
      <c r="AR342" s="577"/>
      <c r="AS342" s="202"/>
    </row>
    <row r="343" spans="1:45" ht="13.5" hidden="1" customHeight="1">
      <c r="A343" s="12"/>
      <c r="B343" s="358" t="s">
        <v>2568</v>
      </c>
      <c r="C343" s="359">
        <v>9</v>
      </c>
      <c r="D343" s="359">
        <v>169</v>
      </c>
      <c r="E343" s="360"/>
      <c r="F343" s="524"/>
      <c r="G343" s="361"/>
      <c r="H343" s="362"/>
      <c r="I343" s="230"/>
      <c r="J343" s="230"/>
      <c r="K343" s="363"/>
      <c r="L343" s="364"/>
      <c r="M343" s="365"/>
      <c r="N343" s="366"/>
      <c r="O343" s="367"/>
      <c r="P343" s="368"/>
      <c r="Q343" s="369"/>
      <c r="R343" s="370"/>
      <c r="S343" s="370"/>
      <c r="T343" s="371"/>
      <c r="U343" s="372"/>
      <c r="V343" s="373"/>
      <c r="W343" s="374"/>
      <c r="X343" s="404"/>
      <c r="Y343" s="372"/>
      <c r="Z343" s="381"/>
      <c r="AA343" s="225"/>
      <c r="AB343" s="361"/>
      <c r="AC343" s="533"/>
      <c r="AD343" s="225"/>
      <c r="AE343" s="361"/>
      <c r="AF343" s="533"/>
      <c r="AG343" s="225"/>
      <c r="AH343" s="361"/>
      <c r="AI343" s="533"/>
      <c r="AJ343" s="225"/>
      <c r="AK343" s="361"/>
      <c r="AL343" s="533"/>
      <c r="AM343" s="225"/>
      <c r="AN343" s="361"/>
      <c r="AO343" s="533"/>
      <c r="AP343" s="225"/>
      <c r="AQ343" s="361"/>
      <c r="AR343" s="533"/>
      <c r="AS343" s="320"/>
    </row>
    <row r="344" spans="1:45" ht="13.5" hidden="1" customHeight="1">
      <c r="A344" s="12"/>
      <c r="B344" s="358"/>
      <c r="C344" s="359"/>
      <c r="D344" s="359"/>
      <c r="E344" s="360"/>
      <c r="F344" s="524"/>
      <c r="G344" s="378"/>
      <c r="H344" s="362"/>
      <c r="I344" s="230"/>
      <c r="J344" s="230"/>
      <c r="K344" s="363"/>
      <c r="L344" s="364"/>
      <c r="M344" s="365"/>
      <c r="N344" s="366"/>
      <c r="O344" s="367"/>
      <c r="P344" s="368"/>
      <c r="Q344" s="369"/>
      <c r="R344" s="370"/>
      <c r="S344" s="370"/>
      <c r="T344" s="371"/>
      <c r="U344" s="372"/>
      <c r="V344" s="373"/>
      <c r="W344" s="398"/>
      <c r="X344" s="404"/>
      <c r="Y344" s="372"/>
      <c r="Z344" s="381"/>
      <c r="AA344" s="241"/>
      <c r="AB344" s="411"/>
      <c r="AC344" s="577"/>
      <c r="AD344" s="241"/>
      <c r="AE344" s="411"/>
      <c r="AF344" s="577"/>
      <c r="AG344" s="241"/>
      <c r="AH344" s="411"/>
      <c r="AI344" s="577"/>
      <c r="AJ344" s="241"/>
      <c r="AK344" s="411"/>
      <c r="AL344" s="577"/>
      <c r="AM344" s="241"/>
      <c r="AN344" s="411"/>
      <c r="AO344" s="577"/>
      <c r="AP344" s="241"/>
      <c r="AQ344" s="411"/>
      <c r="AR344" s="577"/>
      <c r="AS344" s="202"/>
    </row>
    <row r="345" spans="1:45" ht="13.5" hidden="1" customHeight="1">
      <c r="A345" s="12"/>
      <c r="B345" s="358" t="s">
        <v>2568</v>
      </c>
      <c r="C345" s="359">
        <v>10</v>
      </c>
      <c r="D345" s="359">
        <v>170</v>
      </c>
      <c r="E345" s="360"/>
      <c r="F345" s="524"/>
      <c r="G345" s="361"/>
      <c r="H345" s="362"/>
      <c r="I345" s="230"/>
      <c r="J345" s="230"/>
      <c r="K345" s="363"/>
      <c r="L345" s="364"/>
      <c r="M345" s="365"/>
      <c r="N345" s="366"/>
      <c r="O345" s="367"/>
      <c r="P345" s="368"/>
      <c r="Q345" s="369"/>
      <c r="R345" s="370"/>
      <c r="S345" s="370"/>
      <c r="T345" s="421"/>
      <c r="U345" s="387"/>
      <c r="V345" s="456"/>
      <c r="W345" s="374"/>
      <c r="X345" s="404"/>
      <c r="Y345" s="372"/>
      <c r="Z345" s="381"/>
      <c r="AA345" s="225"/>
      <c r="AB345" s="361"/>
      <c r="AC345" s="533"/>
      <c r="AD345" s="225"/>
      <c r="AE345" s="361"/>
      <c r="AF345" s="533"/>
      <c r="AG345" s="225"/>
      <c r="AH345" s="361"/>
      <c r="AI345" s="533"/>
      <c r="AJ345" s="225"/>
      <c r="AK345" s="361"/>
      <c r="AL345" s="533"/>
      <c r="AM345" s="225"/>
      <c r="AN345" s="361"/>
      <c r="AO345" s="533"/>
      <c r="AP345" s="225"/>
      <c r="AQ345" s="361"/>
      <c r="AR345" s="533"/>
      <c r="AS345" s="320"/>
    </row>
    <row r="346" spans="1:45" ht="13.5" hidden="1" customHeight="1">
      <c r="A346" s="12"/>
      <c r="B346" s="358"/>
      <c r="C346" s="359"/>
      <c r="D346" s="359"/>
      <c r="E346" s="360"/>
      <c r="F346" s="524"/>
      <c r="G346" s="378"/>
      <c r="H346" s="362"/>
      <c r="I346" s="230"/>
      <c r="J346" s="230"/>
      <c r="K346" s="363"/>
      <c r="L346" s="364"/>
      <c r="M346" s="365"/>
      <c r="N346" s="366"/>
      <c r="O346" s="367"/>
      <c r="P346" s="368"/>
      <c r="Q346" s="369"/>
      <c r="R346" s="370"/>
      <c r="S346" s="370"/>
      <c r="T346" s="434"/>
      <c r="U346" s="376"/>
      <c r="V346" s="603"/>
      <c r="W346" s="398"/>
      <c r="X346" s="404"/>
      <c r="Y346" s="372"/>
      <c r="Z346" s="381"/>
      <c r="AA346" s="241"/>
      <c r="AB346" s="411"/>
      <c r="AC346" s="577"/>
      <c r="AD346" s="241"/>
      <c r="AE346" s="411"/>
      <c r="AF346" s="577"/>
      <c r="AG346" s="241"/>
      <c r="AH346" s="411"/>
      <c r="AI346" s="577"/>
      <c r="AJ346" s="241"/>
      <c r="AK346" s="411"/>
      <c r="AL346" s="577"/>
      <c r="AM346" s="241"/>
      <c r="AN346" s="411"/>
      <c r="AO346" s="577"/>
      <c r="AP346" s="241"/>
      <c r="AQ346" s="411"/>
      <c r="AR346" s="577"/>
      <c r="AS346" s="202"/>
    </row>
    <row r="347" spans="1:45" ht="13.5" hidden="1" customHeight="1">
      <c r="A347" s="12"/>
      <c r="B347" s="358" t="s">
        <v>2568</v>
      </c>
      <c r="C347" s="359">
        <v>11</v>
      </c>
      <c r="D347" s="359">
        <v>171</v>
      </c>
      <c r="E347" s="360"/>
      <c r="F347" s="524"/>
      <c r="G347" s="361"/>
      <c r="H347" s="362"/>
      <c r="I347" s="230"/>
      <c r="J347" s="230"/>
      <c r="K347" s="363"/>
      <c r="L347" s="364"/>
      <c r="M347" s="365"/>
      <c r="N347" s="366"/>
      <c r="O347" s="367"/>
      <c r="P347" s="368"/>
      <c r="Q347" s="369"/>
      <c r="R347" s="370"/>
      <c r="S347" s="370"/>
      <c r="T347" s="421"/>
      <c r="U347" s="387"/>
      <c r="V347" s="456"/>
      <c r="W347" s="374"/>
      <c r="X347" s="404"/>
      <c r="Y347" s="372"/>
      <c r="Z347" s="381"/>
      <c r="AA347" s="225"/>
      <c r="AB347" s="361"/>
      <c r="AC347" s="533"/>
      <c r="AD347" s="225"/>
      <c r="AE347" s="361"/>
      <c r="AF347" s="533"/>
      <c r="AG347" s="225"/>
      <c r="AH347" s="361"/>
      <c r="AI347" s="533"/>
      <c r="AJ347" s="225"/>
      <c r="AK347" s="361"/>
      <c r="AL347" s="533"/>
      <c r="AM347" s="225"/>
      <c r="AN347" s="361"/>
      <c r="AO347" s="533"/>
      <c r="AP347" s="225"/>
      <c r="AQ347" s="361"/>
      <c r="AR347" s="533"/>
      <c r="AS347" s="320"/>
    </row>
    <row r="348" spans="1:45" ht="13.5" hidden="1" customHeight="1">
      <c r="A348" s="12"/>
      <c r="B348" s="358"/>
      <c r="C348" s="359"/>
      <c r="D348" s="359"/>
      <c r="E348" s="360"/>
      <c r="F348" s="524"/>
      <c r="G348" s="378"/>
      <c r="H348" s="362"/>
      <c r="I348" s="230"/>
      <c r="J348" s="230"/>
      <c r="K348" s="363"/>
      <c r="L348" s="364"/>
      <c r="M348" s="365"/>
      <c r="N348" s="366"/>
      <c r="O348" s="367"/>
      <c r="P348" s="368"/>
      <c r="Q348" s="369"/>
      <c r="R348" s="370"/>
      <c r="S348" s="370"/>
      <c r="T348" s="434"/>
      <c r="U348" s="376"/>
      <c r="V348" s="603"/>
      <c r="W348" s="398"/>
      <c r="X348" s="404"/>
      <c r="Y348" s="372"/>
      <c r="Z348" s="381"/>
      <c r="AA348" s="241"/>
      <c r="AB348" s="411"/>
      <c r="AC348" s="577"/>
      <c r="AD348" s="241"/>
      <c r="AE348" s="411"/>
      <c r="AF348" s="577"/>
      <c r="AG348" s="241"/>
      <c r="AH348" s="411"/>
      <c r="AI348" s="577"/>
      <c r="AJ348" s="241"/>
      <c r="AK348" s="411"/>
      <c r="AL348" s="577"/>
      <c r="AM348" s="241"/>
      <c r="AN348" s="411"/>
      <c r="AO348" s="577"/>
      <c r="AP348" s="241"/>
      <c r="AQ348" s="411"/>
      <c r="AR348" s="577"/>
      <c r="AS348" s="202"/>
    </row>
    <row r="349" spans="1:45" ht="13.5" hidden="1" customHeight="1">
      <c r="A349" s="12"/>
      <c r="B349" s="358" t="s">
        <v>2568</v>
      </c>
      <c r="C349" s="359">
        <v>12</v>
      </c>
      <c r="D349" s="359">
        <v>172</v>
      </c>
      <c r="E349" s="360"/>
      <c r="F349" s="524"/>
      <c r="G349" s="361"/>
      <c r="H349" s="362"/>
      <c r="I349" s="230"/>
      <c r="J349" s="230"/>
      <c r="K349" s="363"/>
      <c r="L349" s="364"/>
      <c r="M349" s="365"/>
      <c r="N349" s="366"/>
      <c r="O349" s="367"/>
      <c r="P349" s="368"/>
      <c r="Q349" s="369"/>
      <c r="R349" s="370"/>
      <c r="S349" s="370"/>
      <c r="T349" s="371"/>
      <c r="U349" s="372"/>
      <c r="V349" s="373"/>
      <c r="W349" s="374"/>
      <c r="X349" s="404"/>
      <c r="Y349" s="372"/>
      <c r="Z349" s="381"/>
      <c r="AA349" s="225"/>
      <c r="AB349" s="361"/>
      <c r="AC349" s="533"/>
      <c r="AD349" s="225"/>
      <c r="AE349" s="361"/>
      <c r="AF349" s="533"/>
      <c r="AG349" s="225"/>
      <c r="AH349" s="361"/>
      <c r="AI349" s="533"/>
      <c r="AJ349" s="225"/>
      <c r="AK349" s="361"/>
      <c r="AL349" s="533"/>
      <c r="AM349" s="225"/>
      <c r="AN349" s="361"/>
      <c r="AO349" s="533"/>
      <c r="AP349" s="225"/>
      <c r="AQ349" s="361"/>
      <c r="AR349" s="533"/>
      <c r="AS349" s="320"/>
    </row>
    <row r="350" spans="1:45" ht="13.5" hidden="1" customHeight="1">
      <c r="A350" s="12"/>
      <c r="B350" s="358"/>
      <c r="C350" s="359"/>
      <c r="D350" s="359"/>
      <c r="E350" s="360"/>
      <c r="F350" s="524"/>
      <c r="G350" s="378"/>
      <c r="H350" s="362"/>
      <c r="I350" s="230"/>
      <c r="J350" s="230"/>
      <c r="K350" s="363"/>
      <c r="L350" s="364"/>
      <c r="M350" s="365"/>
      <c r="N350" s="366"/>
      <c r="O350" s="367"/>
      <c r="P350" s="368"/>
      <c r="Q350" s="369"/>
      <c r="R350" s="370"/>
      <c r="S350" s="370"/>
      <c r="T350" s="371"/>
      <c r="U350" s="372"/>
      <c r="V350" s="373"/>
      <c r="W350" s="398"/>
      <c r="X350" s="404"/>
      <c r="Y350" s="372"/>
      <c r="Z350" s="381"/>
      <c r="AA350" s="241"/>
      <c r="AB350" s="411"/>
      <c r="AC350" s="577"/>
      <c r="AD350" s="241"/>
      <c r="AE350" s="411"/>
      <c r="AF350" s="577"/>
      <c r="AG350" s="241"/>
      <c r="AH350" s="411"/>
      <c r="AI350" s="577"/>
      <c r="AJ350" s="241"/>
      <c r="AK350" s="411"/>
      <c r="AL350" s="577"/>
      <c r="AM350" s="241"/>
      <c r="AN350" s="411"/>
      <c r="AO350" s="577"/>
      <c r="AP350" s="241"/>
      <c r="AQ350" s="411"/>
      <c r="AR350" s="577"/>
      <c r="AS350" s="202"/>
    </row>
    <row r="351" spans="1:45" ht="13.5" hidden="1" customHeight="1">
      <c r="A351" s="12"/>
      <c r="B351" s="358" t="s">
        <v>2568</v>
      </c>
      <c r="C351" s="359">
        <v>13</v>
      </c>
      <c r="D351" s="359">
        <v>173</v>
      </c>
      <c r="E351" s="360"/>
      <c r="F351" s="524"/>
      <c r="G351" s="361"/>
      <c r="H351" s="362"/>
      <c r="I351" s="230"/>
      <c r="J351" s="230"/>
      <c r="K351" s="363"/>
      <c r="L351" s="364"/>
      <c r="M351" s="365"/>
      <c r="N351" s="366"/>
      <c r="O351" s="367"/>
      <c r="P351" s="368"/>
      <c r="Q351" s="369"/>
      <c r="R351" s="370"/>
      <c r="S351" s="370"/>
      <c r="T351" s="371"/>
      <c r="U351" s="372"/>
      <c r="V351" s="373"/>
      <c r="W351" s="374"/>
      <c r="X351" s="404"/>
      <c r="Y351" s="372"/>
      <c r="Z351" s="381"/>
      <c r="AA351" s="225"/>
      <c r="AB351" s="361"/>
      <c r="AC351" s="533"/>
      <c r="AD351" s="225"/>
      <c r="AE351" s="361"/>
      <c r="AF351" s="533"/>
      <c r="AG351" s="225"/>
      <c r="AH351" s="361"/>
      <c r="AI351" s="533"/>
      <c r="AJ351" s="225"/>
      <c r="AK351" s="361"/>
      <c r="AL351" s="533"/>
      <c r="AM351" s="225"/>
      <c r="AN351" s="361"/>
      <c r="AO351" s="533"/>
      <c r="AP351" s="225"/>
      <c r="AQ351" s="361"/>
      <c r="AR351" s="533"/>
      <c r="AS351" s="320"/>
    </row>
    <row r="352" spans="1:45" ht="13.5" hidden="1" customHeight="1">
      <c r="A352" s="12"/>
      <c r="B352" s="358"/>
      <c r="C352" s="359"/>
      <c r="D352" s="359"/>
      <c r="E352" s="360"/>
      <c r="F352" s="524"/>
      <c r="G352" s="378"/>
      <c r="H352" s="362"/>
      <c r="I352" s="230"/>
      <c r="J352" s="230"/>
      <c r="K352" s="363"/>
      <c r="L352" s="364"/>
      <c r="M352" s="365"/>
      <c r="N352" s="366"/>
      <c r="O352" s="367"/>
      <c r="P352" s="368"/>
      <c r="Q352" s="369"/>
      <c r="R352" s="370"/>
      <c r="S352" s="370"/>
      <c r="T352" s="371"/>
      <c r="U352" s="372"/>
      <c r="V352" s="373"/>
      <c r="W352" s="398"/>
      <c r="X352" s="404"/>
      <c r="Y352" s="372"/>
      <c r="Z352" s="381"/>
      <c r="AA352" s="241"/>
      <c r="AB352" s="411"/>
      <c r="AC352" s="577"/>
      <c r="AD352" s="241"/>
      <c r="AE352" s="411"/>
      <c r="AF352" s="577"/>
      <c r="AG352" s="241"/>
      <c r="AH352" s="411"/>
      <c r="AI352" s="577"/>
      <c r="AJ352" s="241"/>
      <c r="AK352" s="411"/>
      <c r="AL352" s="577"/>
      <c r="AM352" s="241"/>
      <c r="AN352" s="411"/>
      <c r="AO352" s="577"/>
      <c r="AP352" s="241"/>
      <c r="AQ352" s="411"/>
      <c r="AR352" s="577"/>
      <c r="AS352" s="202"/>
    </row>
    <row r="353" spans="1:45" ht="13.5" hidden="1" customHeight="1">
      <c r="A353" s="12"/>
      <c r="B353" s="358" t="s">
        <v>2568</v>
      </c>
      <c r="C353" s="359">
        <v>14</v>
      </c>
      <c r="D353" s="359">
        <v>174</v>
      </c>
      <c r="E353" s="360"/>
      <c r="F353" s="524"/>
      <c r="G353" s="361"/>
      <c r="H353" s="362"/>
      <c r="I353" s="230"/>
      <c r="J353" s="230"/>
      <c r="K353" s="363"/>
      <c r="L353" s="364"/>
      <c r="M353" s="365"/>
      <c r="N353" s="366"/>
      <c r="O353" s="367"/>
      <c r="P353" s="368"/>
      <c r="Q353" s="369"/>
      <c r="R353" s="370"/>
      <c r="S353" s="370"/>
      <c r="T353" s="371"/>
      <c r="U353" s="372"/>
      <c r="V353" s="373"/>
      <c r="W353" s="374"/>
      <c r="X353" s="404"/>
      <c r="Y353" s="372"/>
      <c r="Z353" s="381"/>
      <c r="AA353" s="225"/>
      <c r="AB353" s="361"/>
      <c r="AC353" s="533"/>
      <c r="AD353" s="225"/>
      <c r="AE353" s="361"/>
      <c r="AF353" s="533"/>
      <c r="AG353" s="225"/>
      <c r="AH353" s="361"/>
      <c r="AI353" s="533"/>
      <c r="AJ353" s="225"/>
      <c r="AK353" s="361"/>
      <c r="AL353" s="533"/>
      <c r="AM353" s="225"/>
      <c r="AN353" s="361"/>
      <c r="AO353" s="533"/>
      <c r="AP353" s="225"/>
      <c r="AQ353" s="361"/>
      <c r="AR353" s="533"/>
      <c r="AS353" s="320"/>
    </row>
    <row r="354" spans="1:45" ht="13.5" hidden="1" customHeight="1">
      <c r="A354" s="12"/>
      <c r="B354" s="358"/>
      <c r="C354" s="359"/>
      <c r="D354" s="359"/>
      <c r="E354" s="360"/>
      <c r="F354" s="524"/>
      <c r="G354" s="378"/>
      <c r="H354" s="362"/>
      <c r="I354" s="230"/>
      <c r="J354" s="230"/>
      <c r="K354" s="363"/>
      <c r="L354" s="364"/>
      <c r="M354" s="365"/>
      <c r="N354" s="366"/>
      <c r="O354" s="367"/>
      <c r="P354" s="368"/>
      <c r="Q354" s="369"/>
      <c r="R354" s="370"/>
      <c r="S354" s="370"/>
      <c r="T354" s="371"/>
      <c r="U354" s="372"/>
      <c r="V354" s="373"/>
      <c r="W354" s="398"/>
      <c r="X354" s="404"/>
      <c r="Y354" s="372"/>
      <c r="Z354" s="381"/>
      <c r="AA354" s="241"/>
      <c r="AB354" s="411"/>
      <c r="AC354" s="577"/>
      <c r="AD354" s="241"/>
      <c r="AE354" s="411"/>
      <c r="AF354" s="577"/>
      <c r="AG354" s="241"/>
      <c r="AH354" s="411"/>
      <c r="AI354" s="577"/>
      <c r="AJ354" s="241"/>
      <c r="AK354" s="411"/>
      <c r="AL354" s="577"/>
      <c r="AM354" s="241"/>
      <c r="AN354" s="411"/>
      <c r="AO354" s="577"/>
      <c r="AP354" s="241"/>
      <c r="AQ354" s="411"/>
      <c r="AR354" s="577"/>
      <c r="AS354" s="202"/>
    </row>
    <row r="355" spans="1:45" ht="13.5" hidden="1" customHeight="1">
      <c r="A355" s="12"/>
      <c r="B355" s="358" t="s">
        <v>2568</v>
      </c>
      <c r="C355" s="359">
        <v>15</v>
      </c>
      <c r="D355" s="359">
        <v>175</v>
      </c>
      <c r="E355" s="360"/>
      <c r="F355" s="524"/>
      <c r="G355" s="524"/>
      <c r="H355" s="362"/>
      <c r="I355" s="230"/>
      <c r="J355" s="230"/>
      <c r="K355" s="363"/>
      <c r="L355" s="364"/>
      <c r="M355" s="365"/>
      <c r="N355" s="366"/>
      <c r="O355" s="367"/>
      <c r="P355" s="368"/>
      <c r="Q355" s="369"/>
      <c r="R355" s="370"/>
      <c r="S355" s="370"/>
      <c r="T355" s="371"/>
      <c r="U355" s="372"/>
      <c r="V355" s="373"/>
      <c r="W355" s="374"/>
      <c r="X355" s="404"/>
      <c r="Y355" s="372"/>
      <c r="Z355" s="381"/>
      <c r="AA355" s="225"/>
      <c r="AB355" s="361"/>
      <c r="AC355" s="533"/>
      <c r="AD355" s="225"/>
      <c r="AE355" s="361"/>
      <c r="AF355" s="533"/>
      <c r="AG355" s="225"/>
      <c r="AH355" s="361"/>
      <c r="AI355" s="533"/>
      <c r="AJ355" s="225"/>
      <c r="AK355" s="361"/>
      <c r="AL355" s="533"/>
      <c r="AM355" s="225"/>
      <c r="AN355" s="361"/>
      <c r="AO355" s="533"/>
      <c r="AP355" s="225"/>
      <c r="AQ355" s="361"/>
      <c r="AR355" s="533"/>
      <c r="AS355" s="320"/>
    </row>
    <row r="356" spans="1:45" ht="13.5" hidden="1" customHeight="1">
      <c r="A356" s="12"/>
      <c r="B356" s="358"/>
      <c r="C356" s="359"/>
      <c r="D356" s="359"/>
      <c r="E356" s="360"/>
      <c r="F356" s="524"/>
      <c r="G356" s="524"/>
      <c r="H356" s="362"/>
      <c r="I356" s="230"/>
      <c r="J356" s="230"/>
      <c r="K356" s="363"/>
      <c r="L356" s="364"/>
      <c r="M356" s="365"/>
      <c r="N356" s="366"/>
      <c r="O356" s="367"/>
      <c r="P356" s="368"/>
      <c r="Q356" s="369"/>
      <c r="R356" s="370"/>
      <c r="S356" s="370"/>
      <c r="T356" s="371"/>
      <c r="U356" s="372"/>
      <c r="V356" s="373"/>
      <c r="W356" s="398"/>
      <c r="X356" s="404"/>
      <c r="Y356" s="372"/>
      <c r="Z356" s="381"/>
      <c r="AA356" s="241"/>
      <c r="AB356" s="411"/>
      <c r="AC356" s="577"/>
      <c r="AD356" s="241"/>
      <c r="AE356" s="411"/>
      <c r="AF356" s="577"/>
      <c r="AG356" s="241"/>
      <c r="AH356" s="411"/>
      <c r="AI356" s="577"/>
      <c r="AJ356" s="241"/>
      <c r="AK356" s="411"/>
      <c r="AL356" s="577"/>
      <c r="AM356" s="241"/>
      <c r="AN356" s="411"/>
      <c r="AO356" s="577"/>
      <c r="AP356" s="241"/>
      <c r="AQ356" s="411"/>
      <c r="AR356" s="577"/>
      <c r="AS356" s="202"/>
    </row>
    <row r="357" spans="1:45" ht="13.5" hidden="1" customHeight="1">
      <c r="A357" s="12"/>
      <c r="B357" s="358" t="s">
        <v>2568</v>
      </c>
      <c r="C357" s="359">
        <v>16</v>
      </c>
      <c r="D357" s="359">
        <v>176</v>
      </c>
      <c r="E357" s="360"/>
      <c r="F357" s="524"/>
      <c r="G357" s="524"/>
      <c r="H357" s="362"/>
      <c r="I357" s="230"/>
      <c r="J357" s="230"/>
      <c r="K357" s="363"/>
      <c r="L357" s="364"/>
      <c r="M357" s="452"/>
      <c r="N357" s="409"/>
      <c r="O357" s="453"/>
      <c r="P357" s="454"/>
      <c r="Q357" s="504"/>
      <c r="R357" s="370"/>
      <c r="S357" s="370"/>
      <c r="T357" s="371"/>
      <c r="U357" s="372"/>
      <c r="V357" s="373"/>
      <c r="W357" s="374"/>
      <c r="X357" s="404"/>
      <c r="Y357" s="372"/>
      <c r="Z357" s="381"/>
      <c r="AA357" s="359"/>
      <c r="AB357" s="230"/>
      <c r="AC357" s="381"/>
      <c r="AD357" s="225"/>
      <c r="AE357" s="361"/>
      <c r="AF357" s="533"/>
      <c r="AG357" s="225"/>
      <c r="AH357" s="361"/>
      <c r="AI357" s="533"/>
      <c r="AJ357" s="225"/>
      <c r="AK357" s="361"/>
      <c r="AL357" s="533"/>
      <c r="AM357" s="225"/>
      <c r="AN357" s="361"/>
      <c r="AO357" s="533"/>
      <c r="AP357" s="225"/>
      <c r="AQ357" s="361"/>
      <c r="AR357" s="533"/>
      <c r="AS357" s="320"/>
    </row>
    <row r="358" spans="1:45" ht="13.5" hidden="1" customHeight="1">
      <c r="A358" s="12"/>
      <c r="B358" s="358"/>
      <c r="C358" s="359"/>
      <c r="D358" s="359"/>
      <c r="E358" s="360"/>
      <c r="F358" s="524"/>
      <c r="G358" s="524"/>
      <c r="H358" s="362"/>
      <c r="I358" s="230"/>
      <c r="J358" s="230"/>
      <c r="K358" s="363"/>
      <c r="L358" s="364"/>
      <c r="M358" s="604"/>
      <c r="N358" s="415"/>
      <c r="O358" s="580"/>
      <c r="P358" s="581"/>
      <c r="Q358" s="563"/>
      <c r="R358" s="370"/>
      <c r="S358" s="370"/>
      <c r="T358" s="371"/>
      <c r="U358" s="372"/>
      <c r="V358" s="373"/>
      <c r="W358" s="398"/>
      <c r="X358" s="404"/>
      <c r="Y358" s="372"/>
      <c r="Z358" s="381"/>
      <c r="AA358" s="359"/>
      <c r="AB358" s="230"/>
      <c r="AC358" s="381"/>
      <c r="AD358" s="241"/>
      <c r="AE358" s="411"/>
      <c r="AF358" s="577"/>
      <c r="AG358" s="241"/>
      <c r="AH358" s="411"/>
      <c r="AI358" s="577"/>
      <c r="AJ358" s="241"/>
      <c r="AK358" s="411"/>
      <c r="AL358" s="577"/>
      <c r="AM358" s="241"/>
      <c r="AN358" s="411"/>
      <c r="AO358" s="577"/>
      <c r="AP358" s="241"/>
      <c r="AQ358" s="411"/>
      <c r="AR358" s="577"/>
      <c r="AS358" s="202"/>
    </row>
    <row r="359" spans="1:45" ht="13.5" hidden="1" customHeight="1">
      <c r="A359" s="12"/>
      <c r="B359" s="358" t="s">
        <v>2568</v>
      </c>
      <c r="C359" s="359">
        <v>17</v>
      </c>
      <c r="D359" s="359">
        <v>177</v>
      </c>
      <c r="E359" s="360"/>
      <c r="F359" s="524"/>
      <c r="G359" s="524"/>
      <c r="H359" s="362"/>
      <c r="I359" s="230"/>
      <c r="J359" s="230"/>
      <c r="K359" s="363"/>
      <c r="L359" s="364"/>
      <c r="M359" s="604"/>
      <c r="N359" s="415"/>
      <c r="O359" s="580"/>
      <c r="P359" s="581"/>
      <c r="Q359" s="563"/>
      <c r="R359" s="370"/>
      <c r="S359" s="370"/>
      <c r="T359" s="371"/>
      <c r="U359" s="372"/>
      <c r="V359" s="373"/>
      <c r="W359" s="374"/>
      <c r="X359" s="404"/>
      <c r="Y359" s="372"/>
      <c r="Z359" s="381"/>
      <c r="AA359" s="359"/>
      <c r="AB359" s="230"/>
      <c r="AC359" s="381"/>
      <c r="AD359" s="225"/>
      <c r="AE359" s="361"/>
      <c r="AF359" s="533"/>
      <c r="AG359" s="225"/>
      <c r="AH359" s="361"/>
      <c r="AI359" s="533"/>
      <c r="AJ359" s="225"/>
      <c r="AK359" s="361"/>
      <c r="AL359" s="533"/>
      <c r="AM359" s="225"/>
      <c r="AN359" s="361"/>
      <c r="AO359" s="533"/>
      <c r="AP359" s="225"/>
      <c r="AQ359" s="361"/>
      <c r="AR359" s="533"/>
      <c r="AS359" s="320"/>
    </row>
    <row r="360" spans="1:45" ht="13.5" hidden="1" customHeight="1">
      <c r="A360" s="12"/>
      <c r="B360" s="358"/>
      <c r="C360" s="359"/>
      <c r="D360" s="359"/>
      <c r="E360" s="360"/>
      <c r="F360" s="524"/>
      <c r="G360" s="524"/>
      <c r="H360" s="362"/>
      <c r="I360" s="230"/>
      <c r="J360" s="230"/>
      <c r="K360" s="363"/>
      <c r="L360" s="364"/>
      <c r="M360" s="439"/>
      <c r="N360" s="425"/>
      <c r="O360" s="440"/>
      <c r="P360" s="429"/>
      <c r="Q360" s="442"/>
      <c r="R360" s="370"/>
      <c r="S360" s="370"/>
      <c r="T360" s="371"/>
      <c r="U360" s="372"/>
      <c r="V360" s="373"/>
      <c r="W360" s="398"/>
      <c r="X360" s="404"/>
      <c r="Y360" s="372"/>
      <c r="Z360" s="381"/>
      <c r="AA360" s="359"/>
      <c r="AB360" s="230"/>
      <c r="AC360" s="381"/>
      <c r="AD360" s="241"/>
      <c r="AE360" s="411"/>
      <c r="AF360" s="577"/>
      <c r="AG360" s="241"/>
      <c r="AH360" s="411"/>
      <c r="AI360" s="577"/>
      <c r="AJ360" s="241"/>
      <c r="AK360" s="411"/>
      <c r="AL360" s="577"/>
      <c r="AM360" s="241"/>
      <c r="AN360" s="411"/>
      <c r="AO360" s="577"/>
      <c r="AP360" s="241"/>
      <c r="AQ360" s="411"/>
      <c r="AR360" s="577"/>
      <c r="AS360" s="202"/>
    </row>
    <row r="361" spans="1:45" ht="13.5" hidden="1" customHeight="1">
      <c r="A361" s="12"/>
      <c r="B361" s="358" t="s">
        <v>2568</v>
      </c>
      <c r="C361" s="359">
        <v>18</v>
      </c>
      <c r="D361" s="359">
        <v>178</v>
      </c>
      <c r="E361" s="360"/>
      <c r="F361" s="524"/>
      <c r="G361" s="524"/>
      <c r="H361" s="362"/>
      <c r="I361" s="230"/>
      <c r="J361" s="230"/>
      <c r="K361" s="363"/>
      <c r="L361" s="364"/>
      <c r="M361" s="365"/>
      <c r="N361" s="366"/>
      <c r="O361" s="367"/>
      <c r="P361" s="368"/>
      <c r="Q361" s="369"/>
      <c r="R361" s="370"/>
      <c r="S361" s="370"/>
      <c r="T361" s="371"/>
      <c r="U361" s="372"/>
      <c r="V361" s="373"/>
      <c r="W361" s="374"/>
      <c r="X361" s="404"/>
      <c r="Y361" s="372"/>
      <c r="Z361" s="381"/>
      <c r="AA361" s="359"/>
      <c r="AB361" s="230"/>
      <c r="AC361" s="381"/>
      <c r="AD361" s="225"/>
      <c r="AE361" s="361"/>
      <c r="AF361" s="533"/>
      <c r="AG361" s="225"/>
      <c r="AH361" s="361"/>
      <c r="AI361" s="533"/>
      <c r="AJ361" s="225"/>
      <c r="AK361" s="361"/>
      <c r="AL361" s="533"/>
      <c r="AM361" s="225"/>
      <c r="AN361" s="361"/>
      <c r="AO361" s="533"/>
      <c r="AP361" s="225"/>
      <c r="AQ361" s="361"/>
      <c r="AR361" s="533"/>
      <c r="AS361" s="320"/>
    </row>
    <row r="362" spans="1:45" ht="13.5" hidden="1" customHeight="1">
      <c r="A362" s="12"/>
      <c r="B362" s="358"/>
      <c r="C362" s="359"/>
      <c r="D362" s="359"/>
      <c r="E362" s="360"/>
      <c r="F362" s="524"/>
      <c r="G362" s="524"/>
      <c r="H362" s="362"/>
      <c r="I362" s="230"/>
      <c r="J362" s="230"/>
      <c r="K362" s="363"/>
      <c r="L362" s="364"/>
      <c r="M362" s="365"/>
      <c r="N362" s="366"/>
      <c r="O362" s="367"/>
      <c r="P362" s="368"/>
      <c r="Q362" s="369"/>
      <c r="R362" s="370"/>
      <c r="S362" s="370"/>
      <c r="T362" s="371"/>
      <c r="U362" s="372"/>
      <c r="V362" s="373"/>
      <c r="W362" s="398"/>
      <c r="X362" s="404"/>
      <c r="Y362" s="372"/>
      <c r="Z362" s="381"/>
      <c r="AA362" s="359"/>
      <c r="AB362" s="230"/>
      <c r="AC362" s="381"/>
      <c r="AD362" s="241"/>
      <c r="AE362" s="411"/>
      <c r="AF362" s="577"/>
      <c r="AG362" s="241"/>
      <c r="AH362" s="411"/>
      <c r="AI362" s="577"/>
      <c r="AJ362" s="241"/>
      <c r="AK362" s="411"/>
      <c r="AL362" s="577"/>
      <c r="AM362" s="241"/>
      <c r="AN362" s="411"/>
      <c r="AO362" s="577"/>
      <c r="AP362" s="241"/>
      <c r="AQ362" s="411"/>
      <c r="AR362" s="577"/>
      <c r="AS362" s="202"/>
    </row>
    <row r="363" spans="1:45" ht="13.5" hidden="1" customHeight="1">
      <c r="A363" s="12"/>
      <c r="B363" s="358" t="s">
        <v>2568</v>
      </c>
      <c r="C363" s="359">
        <v>19</v>
      </c>
      <c r="D363" s="359">
        <v>179</v>
      </c>
      <c r="E363" s="360"/>
      <c r="F363" s="524"/>
      <c r="G363" s="524"/>
      <c r="H363" s="362"/>
      <c r="I363" s="230"/>
      <c r="J363" s="230"/>
      <c r="K363" s="363"/>
      <c r="L363" s="364"/>
      <c r="M363" s="365"/>
      <c r="N363" s="366"/>
      <c r="O363" s="367"/>
      <c r="P363" s="368"/>
      <c r="Q363" s="369"/>
      <c r="R363" s="370"/>
      <c r="S363" s="370"/>
      <c r="T363" s="371"/>
      <c r="U363" s="372"/>
      <c r="V363" s="373"/>
      <c r="W363" s="374"/>
      <c r="X363" s="404"/>
      <c r="Y363" s="372"/>
      <c r="Z363" s="381"/>
      <c r="AA363" s="359"/>
      <c r="AB363" s="230"/>
      <c r="AC363" s="381"/>
      <c r="AD363" s="359"/>
      <c r="AE363" s="230"/>
      <c r="AF363" s="381"/>
      <c r="AG363" s="225"/>
      <c r="AH363" s="361"/>
      <c r="AI363" s="533"/>
      <c r="AJ363" s="225"/>
      <c r="AK363" s="361"/>
      <c r="AL363" s="533"/>
      <c r="AM363" s="225"/>
      <c r="AN363" s="361"/>
      <c r="AO363" s="533"/>
      <c r="AP363" s="225"/>
      <c r="AQ363" s="361"/>
      <c r="AR363" s="533"/>
      <c r="AS363" s="320"/>
    </row>
    <row r="364" spans="1:45" ht="13.5" hidden="1" customHeight="1">
      <c r="A364" s="12"/>
      <c r="B364" s="358"/>
      <c r="C364" s="359"/>
      <c r="D364" s="359"/>
      <c r="E364" s="360"/>
      <c r="F364" s="524"/>
      <c r="G364" s="524"/>
      <c r="H364" s="362"/>
      <c r="I364" s="230"/>
      <c r="J364" s="230"/>
      <c r="K364" s="363"/>
      <c r="L364" s="364"/>
      <c r="M364" s="365"/>
      <c r="N364" s="366"/>
      <c r="O364" s="367"/>
      <c r="P364" s="368"/>
      <c r="Q364" s="369"/>
      <c r="R364" s="370"/>
      <c r="S364" s="370"/>
      <c r="T364" s="371"/>
      <c r="U364" s="372"/>
      <c r="V364" s="373"/>
      <c r="W364" s="398"/>
      <c r="X364" s="404"/>
      <c r="Y364" s="372"/>
      <c r="Z364" s="381"/>
      <c r="AA364" s="359"/>
      <c r="AB364" s="230"/>
      <c r="AC364" s="381"/>
      <c r="AD364" s="359"/>
      <c r="AE364" s="230"/>
      <c r="AF364" s="381"/>
      <c r="AG364" s="241"/>
      <c r="AH364" s="411"/>
      <c r="AI364" s="577"/>
      <c r="AJ364" s="241"/>
      <c r="AK364" s="411"/>
      <c r="AL364" s="577"/>
      <c r="AM364" s="241"/>
      <c r="AN364" s="411"/>
      <c r="AO364" s="577"/>
      <c r="AP364" s="241"/>
      <c r="AQ364" s="411"/>
      <c r="AR364" s="577"/>
      <c r="AS364" s="202"/>
    </row>
    <row r="365" spans="1:45" ht="13.5" hidden="1" customHeight="1">
      <c r="A365" s="12"/>
      <c r="B365" s="358" t="s">
        <v>2568</v>
      </c>
      <c r="C365" s="359">
        <v>20</v>
      </c>
      <c r="D365" s="359">
        <v>180</v>
      </c>
      <c r="E365" s="360"/>
      <c r="F365" s="524"/>
      <c r="G365" s="524"/>
      <c r="H365" s="362"/>
      <c r="I365" s="230"/>
      <c r="J365" s="230"/>
      <c r="K365" s="363"/>
      <c r="L365" s="364"/>
      <c r="M365" s="365"/>
      <c r="N365" s="366"/>
      <c r="O365" s="367"/>
      <c r="P365" s="368"/>
      <c r="Q365" s="369"/>
      <c r="R365" s="370"/>
      <c r="S365" s="370"/>
      <c r="T365" s="371"/>
      <c r="U365" s="372"/>
      <c r="V365" s="373"/>
      <c r="W365" s="374"/>
      <c r="X365" s="404"/>
      <c r="Y365" s="372"/>
      <c r="Z365" s="381"/>
      <c r="AA365" s="359"/>
      <c r="AB365" s="230"/>
      <c r="AC365" s="381"/>
      <c r="AD365" s="225"/>
      <c r="AE365" s="361"/>
      <c r="AF365" s="533"/>
      <c r="AG365" s="225"/>
      <c r="AH365" s="361"/>
      <c r="AI365" s="533"/>
      <c r="AJ365" s="225"/>
      <c r="AK365" s="361"/>
      <c r="AL365" s="533"/>
      <c r="AM365" s="225"/>
      <c r="AN365" s="361"/>
      <c r="AO365" s="533"/>
      <c r="AP365" s="225"/>
      <c r="AQ365" s="361"/>
      <c r="AR365" s="533"/>
      <c r="AS365" s="320"/>
    </row>
    <row r="366" spans="1:45" ht="13.5" hidden="1" customHeight="1">
      <c r="A366" s="12"/>
      <c r="B366" s="358"/>
      <c r="C366" s="359"/>
      <c r="D366" s="359"/>
      <c r="E366" s="360"/>
      <c r="F366" s="524"/>
      <c r="G366" s="524"/>
      <c r="H366" s="362"/>
      <c r="I366" s="230"/>
      <c r="J366" s="230"/>
      <c r="K366" s="363"/>
      <c r="L366" s="364"/>
      <c r="M366" s="365"/>
      <c r="N366" s="366"/>
      <c r="O366" s="367"/>
      <c r="P366" s="368"/>
      <c r="Q366" s="369"/>
      <c r="R366" s="370"/>
      <c r="S366" s="370"/>
      <c r="T366" s="371"/>
      <c r="U366" s="372"/>
      <c r="V366" s="373"/>
      <c r="W366" s="398"/>
      <c r="X366" s="404"/>
      <c r="Y366" s="372"/>
      <c r="Z366" s="381"/>
      <c r="AA366" s="359"/>
      <c r="AB366" s="230"/>
      <c r="AC366" s="381"/>
      <c r="AD366" s="241"/>
      <c r="AE366" s="411"/>
      <c r="AF366" s="577"/>
      <c r="AG366" s="241"/>
      <c r="AH366" s="411"/>
      <c r="AI366" s="577"/>
      <c r="AJ366" s="241"/>
      <c r="AK366" s="411"/>
      <c r="AL366" s="577"/>
      <c r="AM366" s="241"/>
      <c r="AN366" s="411"/>
      <c r="AO366" s="577"/>
      <c r="AP366" s="241"/>
      <c r="AQ366" s="411"/>
      <c r="AR366" s="577"/>
      <c r="AS366" s="202"/>
    </row>
    <row r="367" spans="1:45" ht="13.5" hidden="1" customHeight="1">
      <c r="A367" s="12"/>
      <c r="B367" s="358" t="s">
        <v>2568</v>
      </c>
      <c r="C367" s="359">
        <v>21</v>
      </c>
      <c r="D367" s="359">
        <v>181</v>
      </c>
      <c r="E367" s="360"/>
      <c r="F367" s="524"/>
      <c r="G367" s="524"/>
      <c r="H367" s="362"/>
      <c r="I367" s="230"/>
      <c r="J367" s="230"/>
      <c r="K367" s="363"/>
      <c r="L367" s="364"/>
      <c r="M367" s="365"/>
      <c r="N367" s="366"/>
      <c r="O367" s="367"/>
      <c r="P367" s="368"/>
      <c r="Q367" s="369"/>
      <c r="R367" s="370"/>
      <c r="S367" s="370"/>
      <c r="T367" s="371"/>
      <c r="U367" s="372"/>
      <c r="V367" s="373"/>
      <c r="W367" s="374"/>
      <c r="X367" s="404"/>
      <c r="Y367" s="372"/>
      <c r="Z367" s="381"/>
      <c r="AA367" s="225"/>
      <c r="AB367" s="361"/>
      <c r="AC367" s="533"/>
      <c r="AD367" s="225"/>
      <c r="AE367" s="361"/>
      <c r="AF367" s="533"/>
      <c r="AG367" s="225"/>
      <c r="AH367" s="361"/>
      <c r="AI367" s="533"/>
      <c r="AJ367" s="225"/>
      <c r="AK367" s="361"/>
      <c r="AL367" s="533"/>
      <c r="AM367" s="225"/>
      <c r="AN367" s="361"/>
      <c r="AO367" s="533"/>
      <c r="AP367" s="225"/>
      <c r="AQ367" s="361"/>
      <c r="AR367" s="533"/>
      <c r="AS367" s="320"/>
    </row>
    <row r="368" spans="1:45" ht="13.5" hidden="1" customHeight="1">
      <c r="A368" s="12"/>
      <c r="B368" s="358"/>
      <c r="C368" s="359"/>
      <c r="D368" s="359"/>
      <c r="E368" s="360"/>
      <c r="F368" s="524"/>
      <c r="G368" s="524"/>
      <c r="H368" s="362"/>
      <c r="I368" s="230"/>
      <c r="J368" s="230"/>
      <c r="K368" s="363"/>
      <c r="L368" s="364"/>
      <c r="M368" s="365"/>
      <c r="N368" s="366"/>
      <c r="O368" s="367"/>
      <c r="P368" s="368"/>
      <c r="Q368" s="369"/>
      <c r="R368" s="370"/>
      <c r="S368" s="370"/>
      <c r="T368" s="371"/>
      <c r="U368" s="372"/>
      <c r="V368" s="373"/>
      <c r="W368" s="398"/>
      <c r="X368" s="404"/>
      <c r="Y368" s="372"/>
      <c r="Z368" s="381"/>
      <c r="AA368" s="241"/>
      <c r="AB368" s="411"/>
      <c r="AC368" s="577"/>
      <c r="AD368" s="241"/>
      <c r="AE368" s="411"/>
      <c r="AF368" s="577"/>
      <c r="AG368" s="241"/>
      <c r="AH368" s="411"/>
      <c r="AI368" s="577"/>
      <c r="AJ368" s="241"/>
      <c r="AK368" s="411"/>
      <c r="AL368" s="577"/>
      <c r="AM368" s="241"/>
      <c r="AN368" s="411"/>
      <c r="AO368" s="577"/>
      <c r="AP368" s="241"/>
      <c r="AQ368" s="411"/>
      <c r="AR368" s="577"/>
      <c r="AS368" s="202"/>
    </row>
    <row r="369" spans="1:45" ht="13.5" hidden="1" customHeight="1">
      <c r="A369" s="12"/>
      <c r="B369" s="358" t="s">
        <v>1266</v>
      </c>
      <c r="C369" s="359">
        <v>1</v>
      </c>
      <c r="D369" s="359">
        <v>182</v>
      </c>
      <c r="E369" s="360"/>
      <c r="F369" s="524"/>
      <c r="G369" s="524"/>
      <c r="H369" s="362"/>
      <c r="I369" s="230"/>
      <c r="J369" s="230"/>
      <c r="K369" s="363"/>
      <c r="L369" s="364"/>
      <c r="M369" s="365"/>
      <c r="N369" s="366"/>
      <c r="O369" s="367"/>
      <c r="P369" s="368"/>
      <c r="Q369" s="369"/>
      <c r="R369" s="370"/>
      <c r="S369" s="370"/>
      <c r="T369" s="371"/>
      <c r="U369" s="372"/>
      <c r="V369" s="373"/>
      <c r="W369" s="374"/>
      <c r="X369" s="404"/>
      <c r="Y369" s="372"/>
      <c r="Z369" s="381"/>
      <c r="AA369" s="225"/>
      <c r="AB369" s="361"/>
      <c r="AC369" s="533"/>
      <c r="AD369" s="225"/>
      <c r="AE369" s="361"/>
      <c r="AF369" s="533"/>
      <c r="AG369" s="225"/>
      <c r="AH369" s="361"/>
      <c r="AI369" s="533"/>
      <c r="AJ369" s="225"/>
      <c r="AK369" s="361"/>
      <c r="AL369" s="533"/>
      <c r="AM369" s="225"/>
      <c r="AN369" s="361"/>
      <c r="AO369" s="533"/>
      <c r="AP369" s="225"/>
      <c r="AQ369" s="361"/>
      <c r="AR369" s="533"/>
      <c r="AS369" s="320"/>
    </row>
    <row r="370" spans="1:45" ht="13.5" hidden="1" customHeight="1">
      <c r="A370" s="12"/>
      <c r="B370" s="358"/>
      <c r="C370" s="359"/>
      <c r="D370" s="359"/>
      <c r="E370" s="360"/>
      <c r="F370" s="524"/>
      <c r="G370" s="524"/>
      <c r="H370" s="362"/>
      <c r="I370" s="230"/>
      <c r="J370" s="230"/>
      <c r="K370" s="363"/>
      <c r="L370" s="364"/>
      <c r="M370" s="365"/>
      <c r="N370" s="366"/>
      <c r="O370" s="367"/>
      <c r="P370" s="368"/>
      <c r="Q370" s="369"/>
      <c r="R370" s="370"/>
      <c r="S370" s="370"/>
      <c r="T370" s="371"/>
      <c r="U370" s="372"/>
      <c r="V370" s="373"/>
      <c r="W370" s="398"/>
      <c r="X370" s="404"/>
      <c r="Y370" s="372"/>
      <c r="Z370" s="381"/>
      <c r="AA370" s="241"/>
      <c r="AB370" s="411"/>
      <c r="AC370" s="577"/>
      <c r="AD370" s="241"/>
      <c r="AE370" s="411"/>
      <c r="AF370" s="577"/>
      <c r="AG370" s="241"/>
      <c r="AH370" s="411"/>
      <c r="AI370" s="577"/>
      <c r="AJ370" s="241"/>
      <c r="AK370" s="411"/>
      <c r="AL370" s="577"/>
      <c r="AM370" s="241"/>
      <c r="AN370" s="411"/>
      <c r="AO370" s="577"/>
      <c r="AP370" s="241"/>
      <c r="AQ370" s="411"/>
      <c r="AR370" s="577"/>
      <c r="AS370" s="202"/>
    </row>
    <row r="371" spans="1:45" ht="13.5" hidden="1" customHeight="1">
      <c r="A371" s="12"/>
      <c r="B371" s="358" t="s">
        <v>1266</v>
      </c>
      <c r="C371" s="359">
        <v>2</v>
      </c>
      <c r="D371" s="359">
        <v>183</v>
      </c>
      <c r="E371" s="360"/>
      <c r="F371" s="524"/>
      <c r="G371" s="524"/>
      <c r="H371" s="362"/>
      <c r="I371" s="230"/>
      <c r="J371" s="230"/>
      <c r="K371" s="363"/>
      <c r="L371" s="364"/>
      <c r="M371" s="365"/>
      <c r="N371" s="366"/>
      <c r="O371" s="367"/>
      <c r="P371" s="368"/>
      <c r="Q371" s="369"/>
      <c r="R371" s="370"/>
      <c r="S371" s="370"/>
      <c r="T371" s="371"/>
      <c r="U371" s="372"/>
      <c r="V371" s="373"/>
      <c r="W371" s="374"/>
      <c r="X371" s="404"/>
      <c r="Y371" s="372"/>
      <c r="Z371" s="381"/>
      <c r="AA371" s="359"/>
      <c r="AB371" s="230"/>
      <c r="AC371" s="381"/>
      <c r="AD371" s="359"/>
      <c r="AE371" s="230"/>
      <c r="AF371" s="381"/>
      <c r="AG371" s="359"/>
      <c r="AH371" s="230"/>
      <c r="AI371" s="381"/>
      <c r="AJ371" s="359"/>
      <c r="AK371" s="230"/>
      <c r="AL371" s="381"/>
      <c r="AM371" s="359"/>
      <c r="AN371" s="230"/>
      <c r="AO371" s="381"/>
      <c r="AP371" s="359"/>
      <c r="AQ371" s="230"/>
      <c r="AR371" s="381"/>
      <c r="AS371" s="320"/>
    </row>
    <row r="372" spans="1:45" ht="13.5" hidden="1" customHeight="1">
      <c r="A372" s="12"/>
      <c r="B372" s="358"/>
      <c r="C372" s="359"/>
      <c r="D372" s="359"/>
      <c r="E372" s="360"/>
      <c r="F372" s="524"/>
      <c r="G372" s="524"/>
      <c r="H372" s="362"/>
      <c r="I372" s="230"/>
      <c r="J372" s="230"/>
      <c r="K372" s="363"/>
      <c r="L372" s="364"/>
      <c r="M372" s="365"/>
      <c r="N372" s="366"/>
      <c r="O372" s="367"/>
      <c r="P372" s="368"/>
      <c r="Q372" s="369"/>
      <c r="R372" s="370"/>
      <c r="S372" s="370"/>
      <c r="T372" s="371"/>
      <c r="U372" s="372"/>
      <c r="V372" s="373"/>
      <c r="W372" s="398"/>
      <c r="X372" s="404"/>
      <c r="Y372" s="372"/>
      <c r="Z372" s="381"/>
      <c r="AA372" s="359"/>
      <c r="AB372" s="230"/>
      <c r="AC372" s="381"/>
      <c r="AD372" s="359"/>
      <c r="AE372" s="230"/>
      <c r="AF372" s="381"/>
      <c r="AG372" s="359"/>
      <c r="AH372" s="230"/>
      <c r="AI372" s="381"/>
      <c r="AJ372" s="359"/>
      <c r="AK372" s="230"/>
      <c r="AL372" s="381"/>
      <c r="AM372" s="359"/>
      <c r="AN372" s="230"/>
      <c r="AO372" s="381"/>
      <c r="AP372" s="359"/>
      <c r="AQ372" s="230"/>
      <c r="AR372" s="381"/>
      <c r="AS372" s="202"/>
    </row>
    <row r="373" spans="1:45" ht="13.5" hidden="1" customHeight="1">
      <c r="A373" s="12"/>
      <c r="B373" s="358" t="s">
        <v>1266</v>
      </c>
      <c r="C373" s="359">
        <v>3</v>
      </c>
      <c r="D373" s="359">
        <v>184</v>
      </c>
      <c r="E373" s="360"/>
      <c r="F373" s="524"/>
      <c r="G373" s="524"/>
      <c r="H373" s="362"/>
      <c r="I373" s="230"/>
      <c r="J373" s="230"/>
      <c r="K373" s="363"/>
      <c r="L373" s="364"/>
      <c r="M373" s="452"/>
      <c r="N373" s="366"/>
      <c r="O373" s="367"/>
      <c r="P373" s="368"/>
      <c r="Q373" s="369"/>
      <c r="R373" s="370"/>
      <c r="S373" s="370"/>
      <c r="T373" s="371"/>
      <c r="U373" s="372"/>
      <c r="V373" s="373"/>
      <c r="W373" s="374"/>
      <c r="X373" s="404"/>
      <c r="Y373" s="372"/>
      <c r="Z373" s="381"/>
      <c r="AA373" s="359"/>
      <c r="AB373" s="230"/>
      <c r="AC373" s="381"/>
      <c r="AD373" s="225"/>
      <c r="AE373" s="361"/>
      <c r="AF373" s="533"/>
      <c r="AG373" s="225"/>
      <c r="AH373" s="361"/>
      <c r="AI373" s="533"/>
      <c r="AJ373" s="225"/>
      <c r="AK373" s="361"/>
      <c r="AL373" s="533"/>
      <c r="AM373" s="225"/>
      <c r="AN373" s="361"/>
      <c r="AO373" s="533"/>
      <c r="AP373" s="225"/>
      <c r="AQ373" s="361"/>
      <c r="AR373" s="533"/>
      <c r="AS373" s="320"/>
    </row>
    <row r="374" spans="1:45" ht="13.5" hidden="1" customHeight="1">
      <c r="A374" s="12"/>
      <c r="B374" s="358"/>
      <c r="C374" s="359"/>
      <c r="D374" s="359"/>
      <c r="E374" s="360"/>
      <c r="F374" s="524"/>
      <c r="G374" s="524"/>
      <c r="H374" s="362"/>
      <c r="I374" s="230"/>
      <c r="J374" s="230"/>
      <c r="K374" s="363"/>
      <c r="L374" s="364"/>
      <c r="M374" s="604"/>
      <c r="N374" s="366"/>
      <c r="O374" s="367"/>
      <c r="P374" s="368"/>
      <c r="Q374" s="369"/>
      <c r="R374" s="370"/>
      <c r="S374" s="370"/>
      <c r="T374" s="371"/>
      <c r="U374" s="372"/>
      <c r="V374" s="373"/>
      <c r="W374" s="398"/>
      <c r="X374" s="404"/>
      <c r="Y374" s="372"/>
      <c r="Z374" s="381"/>
      <c r="AA374" s="359"/>
      <c r="AB374" s="230"/>
      <c r="AC374" s="381"/>
      <c r="AD374" s="241"/>
      <c r="AE374" s="411"/>
      <c r="AF374" s="577"/>
      <c r="AG374" s="241"/>
      <c r="AH374" s="411"/>
      <c r="AI374" s="577"/>
      <c r="AJ374" s="241"/>
      <c r="AK374" s="411"/>
      <c r="AL374" s="577"/>
      <c r="AM374" s="241"/>
      <c r="AN374" s="411"/>
      <c r="AO374" s="577"/>
      <c r="AP374" s="241"/>
      <c r="AQ374" s="411"/>
      <c r="AR374" s="577"/>
      <c r="AS374" s="202"/>
    </row>
    <row r="375" spans="1:45" ht="13.5" hidden="1" customHeight="1">
      <c r="A375" s="12"/>
      <c r="B375" s="358" t="s">
        <v>1266</v>
      </c>
      <c r="C375" s="359">
        <v>4</v>
      </c>
      <c r="D375" s="359">
        <v>185</v>
      </c>
      <c r="E375" s="360"/>
      <c r="F375" s="524"/>
      <c r="G375" s="524"/>
      <c r="H375" s="362"/>
      <c r="I375" s="230"/>
      <c r="J375" s="230"/>
      <c r="K375" s="363"/>
      <c r="L375" s="364"/>
      <c r="M375" s="604"/>
      <c r="N375" s="366"/>
      <c r="O375" s="367"/>
      <c r="P375" s="368"/>
      <c r="Q375" s="369"/>
      <c r="R375" s="370"/>
      <c r="S375" s="370"/>
      <c r="T375" s="371"/>
      <c r="U375" s="372"/>
      <c r="V375" s="373"/>
      <c r="W375" s="374"/>
      <c r="X375" s="404"/>
      <c r="Y375" s="372"/>
      <c r="Z375" s="381"/>
      <c r="AA375" s="359"/>
      <c r="AB375" s="230"/>
      <c r="AC375" s="381"/>
      <c r="AD375" s="225"/>
      <c r="AE375" s="361"/>
      <c r="AF375" s="533"/>
      <c r="AG375" s="225"/>
      <c r="AH375" s="361"/>
      <c r="AI375" s="533"/>
      <c r="AJ375" s="225"/>
      <c r="AK375" s="361"/>
      <c r="AL375" s="533"/>
      <c r="AM375" s="225"/>
      <c r="AN375" s="361"/>
      <c r="AO375" s="533"/>
      <c r="AP375" s="225"/>
      <c r="AQ375" s="361"/>
      <c r="AR375" s="533"/>
      <c r="AS375" s="320"/>
    </row>
    <row r="376" spans="1:45" ht="13.5" hidden="1" customHeight="1">
      <c r="A376" s="12"/>
      <c r="B376" s="358"/>
      <c r="C376" s="359"/>
      <c r="D376" s="359"/>
      <c r="E376" s="360"/>
      <c r="F376" s="524"/>
      <c r="G376" s="524"/>
      <c r="H376" s="362"/>
      <c r="I376" s="230"/>
      <c r="J376" s="230"/>
      <c r="K376" s="363"/>
      <c r="L376" s="364"/>
      <c r="M376" s="439"/>
      <c r="N376" s="366"/>
      <c r="O376" s="367"/>
      <c r="P376" s="368"/>
      <c r="Q376" s="369"/>
      <c r="R376" s="370"/>
      <c r="S376" s="370"/>
      <c r="T376" s="371"/>
      <c r="U376" s="372"/>
      <c r="V376" s="373"/>
      <c r="W376" s="398"/>
      <c r="X376" s="404"/>
      <c r="Y376" s="372"/>
      <c r="Z376" s="381"/>
      <c r="AA376" s="359"/>
      <c r="AB376" s="230"/>
      <c r="AC376" s="381"/>
      <c r="AD376" s="241"/>
      <c r="AE376" s="411"/>
      <c r="AF376" s="577"/>
      <c r="AG376" s="241"/>
      <c r="AH376" s="411"/>
      <c r="AI376" s="577"/>
      <c r="AJ376" s="241"/>
      <c r="AK376" s="411"/>
      <c r="AL376" s="577"/>
      <c r="AM376" s="241"/>
      <c r="AN376" s="411"/>
      <c r="AO376" s="577"/>
      <c r="AP376" s="241"/>
      <c r="AQ376" s="411"/>
      <c r="AR376" s="577"/>
      <c r="AS376" s="202"/>
    </row>
    <row r="377" spans="1:45" ht="13.5" hidden="1" customHeight="1">
      <c r="A377" s="12"/>
      <c r="B377" s="358" t="s">
        <v>1266</v>
      </c>
      <c r="C377" s="359">
        <v>5</v>
      </c>
      <c r="D377" s="359">
        <v>186</v>
      </c>
      <c r="E377" s="360"/>
      <c r="F377" s="524"/>
      <c r="G377" s="524"/>
      <c r="H377" s="362"/>
      <c r="I377" s="230"/>
      <c r="J377" s="230"/>
      <c r="K377" s="363"/>
      <c r="L377" s="364"/>
      <c r="M377" s="365"/>
      <c r="N377" s="366"/>
      <c r="O377" s="367"/>
      <c r="P377" s="368"/>
      <c r="Q377" s="369"/>
      <c r="R377" s="370"/>
      <c r="S377" s="370"/>
      <c r="T377" s="371"/>
      <c r="U377" s="372"/>
      <c r="V377" s="373"/>
      <c r="W377" s="374"/>
      <c r="X377" s="404"/>
      <c r="Y377" s="372"/>
      <c r="Z377" s="381"/>
      <c r="AA377" s="225"/>
      <c r="AB377" s="361"/>
      <c r="AC377" s="533"/>
      <c r="AD377" s="225"/>
      <c r="AE377" s="361"/>
      <c r="AF377" s="533"/>
      <c r="AG377" s="225"/>
      <c r="AH377" s="361"/>
      <c r="AI377" s="533"/>
      <c r="AJ377" s="225"/>
      <c r="AK377" s="361"/>
      <c r="AL377" s="533"/>
      <c r="AM377" s="225"/>
      <c r="AN377" s="361"/>
      <c r="AO377" s="533"/>
      <c r="AP377" s="225"/>
      <c r="AQ377" s="361"/>
      <c r="AR377" s="533"/>
      <c r="AS377" s="320"/>
    </row>
    <row r="378" spans="1:45" ht="13.5" hidden="1" customHeight="1">
      <c r="A378" s="12"/>
      <c r="B378" s="358"/>
      <c r="C378" s="359"/>
      <c r="D378" s="359"/>
      <c r="E378" s="360"/>
      <c r="F378" s="524"/>
      <c r="G378" s="524"/>
      <c r="H378" s="362"/>
      <c r="I378" s="230"/>
      <c r="J378" s="230"/>
      <c r="K378" s="363"/>
      <c r="L378" s="364"/>
      <c r="M378" s="365"/>
      <c r="N378" s="366"/>
      <c r="O378" s="367"/>
      <c r="P378" s="368"/>
      <c r="Q378" s="369"/>
      <c r="R378" s="370"/>
      <c r="S378" s="370"/>
      <c r="T378" s="371"/>
      <c r="U378" s="372"/>
      <c r="V378" s="373"/>
      <c r="W378" s="398"/>
      <c r="X378" s="404"/>
      <c r="Y378" s="372"/>
      <c r="Z378" s="381"/>
      <c r="AA378" s="241"/>
      <c r="AB378" s="411"/>
      <c r="AC378" s="577"/>
      <c r="AD378" s="241"/>
      <c r="AE378" s="411"/>
      <c r="AF378" s="577"/>
      <c r="AG378" s="241"/>
      <c r="AH378" s="411"/>
      <c r="AI378" s="577"/>
      <c r="AJ378" s="241"/>
      <c r="AK378" s="411"/>
      <c r="AL378" s="577"/>
      <c r="AM378" s="241"/>
      <c r="AN378" s="411"/>
      <c r="AO378" s="577"/>
      <c r="AP378" s="241"/>
      <c r="AQ378" s="411"/>
      <c r="AR378" s="577"/>
      <c r="AS378" s="202"/>
    </row>
    <row r="379" spans="1:45" ht="13.5" hidden="1" customHeight="1">
      <c r="A379" s="12"/>
      <c r="B379" s="358" t="s">
        <v>1266</v>
      </c>
      <c r="C379" s="359">
        <v>6</v>
      </c>
      <c r="D379" s="359">
        <v>187</v>
      </c>
      <c r="E379" s="360"/>
      <c r="F379" s="524"/>
      <c r="G379" s="524"/>
      <c r="H379" s="362"/>
      <c r="I379" s="230"/>
      <c r="J379" s="230"/>
      <c r="K379" s="363"/>
      <c r="L379" s="364"/>
      <c r="M379" s="365"/>
      <c r="N379" s="366"/>
      <c r="O379" s="367"/>
      <c r="P379" s="368"/>
      <c r="Q379" s="369"/>
      <c r="R379" s="370"/>
      <c r="S379" s="370"/>
      <c r="T379" s="371"/>
      <c r="U379" s="372"/>
      <c r="V379" s="373"/>
      <c r="W379" s="374"/>
      <c r="X379" s="404"/>
      <c r="Y379" s="372"/>
      <c r="Z379" s="381"/>
      <c r="AA379" s="225"/>
      <c r="AB379" s="361"/>
      <c r="AC379" s="533"/>
      <c r="AD379" s="225"/>
      <c r="AE379" s="361"/>
      <c r="AF379" s="533"/>
      <c r="AG379" s="225"/>
      <c r="AH379" s="361"/>
      <c r="AI379" s="533"/>
      <c r="AJ379" s="225"/>
      <c r="AK379" s="361"/>
      <c r="AL379" s="533"/>
      <c r="AM379" s="225"/>
      <c r="AN379" s="361"/>
      <c r="AO379" s="533"/>
      <c r="AP379" s="225"/>
      <c r="AQ379" s="361"/>
      <c r="AR379" s="533"/>
      <c r="AS379" s="320"/>
    </row>
    <row r="380" spans="1:45" ht="13.5" hidden="1" customHeight="1">
      <c r="A380" s="12"/>
      <c r="B380" s="358"/>
      <c r="C380" s="359"/>
      <c r="D380" s="359"/>
      <c r="E380" s="360"/>
      <c r="F380" s="524"/>
      <c r="G380" s="524"/>
      <c r="H380" s="362"/>
      <c r="I380" s="230"/>
      <c r="J380" s="230"/>
      <c r="K380" s="363"/>
      <c r="L380" s="364"/>
      <c r="M380" s="365"/>
      <c r="N380" s="366"/>
      <c r="O380" s="367"/>
      <c r="P380" s="368"/>
      <c r="Q380" s="369"/>
      <c r="R380" s="370"/>
      <c r="S380" s="370"/>
      <c r="T380" s="371"/>
      <c r="U380" s="372"/>
      <c r="V380" s="373"/>
      <c r="W380" s="398"/>
      <c r="X380" s="404"/>
      <c r="Y380" s="372"/>
      <c r="Z380" s="381"/>
      <c r="AA380" s="241"/>
      <c r="AB380" s="411"/>
      <c r="AC380" s="577"/>
      <c r="AD380" s="241"/>
      <c r="AE380" s="411"/>
      <c r="AF380" s="577"/>
      <c r="AG380" s="241"/>
      <c r="AH380" s="411"/>
      <c r="AI380" s="577"/>
      <c r="AJ380" s="241"/>
      <c r="AK380" s="411"/>
      <c r="AL380" s="577"/>
      <c r="AM380" s="241"/>
      <c r="AN380" s="411"/>
      <c r="AO380" s="577"/>
      <c r="AP380" s="241"/>
      <c r="AQ380" s="411"/>
      <c r="AR380" s="577"/>
      <c r="AS380" s="202"/>
    </row>
    <row r="381" spans="1:45" ht="13.5" hidden="1" customHeight="1">
      <c r="A381" s="12"/>
      <c r="B381" s="358" t="s">
        <v>1266</v>
      </c>
      <c r="C381" s="359">
        <v>7</v>
      </c>
      <c r="D381" s="359">
        <v>188</v>
      </c>
      <c r="E381" s="360"/>
      <c r="F381" s="524"/>
      <c r="G381" s="524"/>
      <c r="H381" s="362"/>
      <c r="I381" s="230"/>
      <c r="J381" s="230"/>
      <c r="K381" s="363"/>
      <c r="L381" s="364"/>
      <c r="M381" s="365"/>
      <c r="N381" s="366"/>
      <c r="O381" s="367"/>
      <c r="P381" s="368"/>
      <c r="Q381" s="369"/>
      <c r="R381" s="370"/>
      <c r="S381" s="370"/>
      <c r="T381" s="371"/>
      <c r="U381" s="372"/>
      <c r="V381" s="373"/>
      <c r="W381" s="374"/>
      <c r="X381" s="404"/>
      <c r="Y381" s="372"/>
      <c r="Z381" s="381"/>
      <c r="AA381" s="225"/>
      <c r="AB381" s="361"/>
      <c r="AC381" s="533"/>
      <c r="AD381" s="225"/>
      <c r="AE381" s="361"/>
      <c r="AF381" s="533"/>
      <c r="AG381" s="225"/>
      <c r="AH381" s="361"/>
      <c r="AI381" s="533"/>
      <c r="AJ381" s="225"/>
      <c r="AK381" s="361"/>
      <c r="AL381" s="533"/>
      <c r="AM381" s="225"/>
      <c r="AN381" s="361"/>
      <c r="AO381" s="533"/>
      <c r="AP381" s="225"/>
      <c r="AQ381" s="361"/>
      <c r="AR381" s="533"/>
      <c r="AS381" s="320"/>
    </row>
    <row r="382" spans="1:45" ht="13.5" hidden="1" customHeight="1">
      <c r="A382" s="12"/>
      <c r="B382" s="358"/>
      <c r="C382" s="359"/>
      <c r="D382" s="359"/>
      <c r="E382" s="360"/>
      <c r="F382" s="524"/>
      <c r="G382" s="524"/>
      <c r="H382" s="362"/>
      <c r="I382" s="230"/>
      <c r="J382" s="230"/>
      <c r="K382" s="363"/>
      <c r="L382" s="364"/>
      <c r="M382" s="365"/>
      <c r="N382" s="366"/>
      <c r="O382" s="367"/>
      <c r="P382" s="368"/>
      <c r="Q382" s="369"/>
      <c r="R382" s="370"/>
      <c r="S382" s="370"/>
      <c r="T382" s="371"/>
      <c r="U382" s="372"/>
      <c r="V382" s="373"/>
      <c r="W382" s="398"/>
      <c r="X382" s="404"/>
      <c r="Y382" s="372"/>
      <c r="Z382" s="381"/>
      <c r="AA382" s="325"/>
      <c r="AB382" s="378"/>
      <c r="AC382" s="377"/>
      <c r="AD382" s="241"/>
      <c r="AE382" s="411"/>
      <c r="AF382" s="577"/>
      <c r="AG382" s="241"/>
      <c r="AH382" s="411"/>
      <c r="AI382" s="577"/>
      <c r="AJ382" s="241"/>
      <c r="AK382" s="411"/>
      <c r="AL382" s="577"/>
      <c r="AM382" s="241"/>
      <c r="AN382" s="411"/>
      <c r="AO382" s="577"/>
      <c r="AP382" s="241"/>
      <c r="AQ382" s="411"/>
      <c r="AR382" s="577"/>
      <c r="AS382" s="202"/>
    </row>
    <row r="383" spans="1:45" ht="13.5" hidden="1" customHeight="1">
      <c r="A383" s="12"/>
      <c r="B383" s="358" t="s">
        <v>1266</v>
      </c>
      <c r="C383" s="359">
        <v>8</v>
      </c>
      <c r="D383" s="359">
        <v>189</v>
      </c>
      <c r="E383" s="360"/>
      <c r="F383" s="524"/>
      <c r="G383" s="524"/>
      <c r="H383" s="362"/>
      <c r="I383" s="230"/>
      <c r="J383" s="230"/>
      <c r="K383" s="363"/>
      <c r="L383" s="364"/>
      <c r="M383" s="365"/>
      <c r="N383" s="366"/>
      <c r="O383" s="367"/>
      <c r="P383" s="368"/>
      <c r="Q383" s="369"/>
      <c r="R383" s="370"/>
      <c r="S383" s="370"/>
      <c r="T383" s="371"/>
      <c r="U383" s="372"/>
      <c r="V383" s="373"/>
      <c r="W383" s="374"/>
      <c r="X383" s="404"/>
      <c r="Y383" s="372"/>
      <c r="Z383" s="381"/>
      <c r="AA383" s="359"/>
      <c r="AB383" s="230"/>
      <c r="AC383" s="381"/>
      <c r="AD383" s="225"/>
      <c r="AE383" s="361"/>
      <c r="AF383" s="533"/>
      <c r="AG383" s="225"/>
      <c r="AH383" s="361"/>
      <c r="AI383" s="533"/>
      <c r="AJ383" s="225"/>
      <c r="AK383" s="361"/>
      <c r="AL383" s="533"/>
      <c r="AM383" s="225"/>
      <c r="AN383" s="361"/>
      <c r="AO383" s="533"/>
      <c r="AP383" s="225"/>
      <c r="AQ383" s="361"/>
      <c r="AR383" s="533"/>
      <c r="AS383" s="320"/>
    </row>
    <row r="384" spans="1:45" ht="13.5" hidden="1" customHeight="1">
      <c r="A384" s="12"/>
      <c r="B384" s="358"/>
      <c r="C384" s="359"/>
      <c r="D384" s="359"/>
      <c r="E384" s="360"/>
      <c r="F384" s="524"/>
      <c r="G384" s="524"/>
      <c r="H384" s="362"/>
      <c r="I384" s="230"/>
      <c r="J384" s="230"/>
      <c r="K384" s="363"/>
      <c r="L384" s="364"/>
      <c r="M384" s="365"/>
      <c r="N384" s="366"/>
      <c r="O384" s="367"/>
      <c r="P384" s="368"/>
      <c r="Q384" s="369"/>
      <c r="R384" s="370"/>
      <c r="S384" s="370"/>
      <c r="T384" s="371"/>
      <c r="U384" s="372"/>
      <c r="V384" s="373"/>
      <c r="W384" s="398"/>
      <c r="X384" s="404"/>
      <c r="Y384" s="372"/>
      <c r="Z384" s="381"/>
      <c r="AA384" s="359"/>
      <c r="AB384" s="230"/>
      <c r="AC384" s="381"/>
      <c r="AD384" s="241"/>
      <c r="AE384" s="411"/>
      <c r="AF384" s="577"/>
      <c r="AG384" s="241"/>
      <c r="AH384" s="411"/>
      <c r="AI384" s="577"/>
      <c r="AJ384" s="241"/>
      <c r="AK384" s="411"/>
      <c r="AL384" s="577"/>
      <c r="AM384" s="241"/>
      <c r="AN384" s="411"/>
      <c r="AO384" s="577"/>
      <c r="AP384" s="241"/>
      <c r="AQ384" s="411"/>
      <c r="AR384" s="577"/>
      <c r="AS384" s="202"/>
    </row>
    <row r="385" spans="1:45" ht="13.5" hidden="1" customHeight="1">
      <c r="A385" s="12"/>
      <c r="B385" s="358" t="s">
        <v>1266</v>
      </c>
      <c r="C385" s="359">
        <v>9</v>
      </c>
      <c r="D385" s="359">
        <v>190</v>
      </c>
      <c r="E385" s="360"/>
      <c r="F385" s="524"/>
      <c r="G385" s="524"/>
      <c r="H385" s="362"/>
      <c r="I385" s="230"/>
      <c r="J385" s="230"/>
      <c r="K385" s="363"/>
      <c r="L385" s="364"/>
      <c r="M385" s="365"/>
      <c r="N385" s="366"/>
      <c r="O385" s="367"/>
      <c r="P385" s="368"/>
      <c r="Q385" s="369"/>
      <c r="R385" s="370"/>
      <c r="S385" s="370"/>
      <c r="T385" s="371"/>
      <c r="U385" s="372"/>
      <c r="V385" s="373"/>
      <c r="W385" s="374"/>
      <c r="X385" s="404"/>
      <c r="Y385" s="372"/>
      <c r="Z385" s="381"/>
      <c r="AA385" s="359"/>
      <c r="AB385" s="230"/>
      <c r="AC385" s="381"/>
      <c r="AD385" s="225"/>
      <c r="AE385" s="361"/>
      <c r="AF385" s="533"/>
      <c r="AG385" s="225"/>
      <c r="AH385" s="361"/>
      <c r="AI385" s="533"/>
      <c r="AJ385" s="225"/>
      <c r="AK385" s="361"/>
      <c r="AL385" s="533"/>
      <c r="AM385" s="225"/>
      <c r="AN385" s="361"/>
      <c r="AO385" s="533"/>
      <c r="AP385" s="225"/>
      <c r="AQ385" s="361"/>
      <c r="AR385" s="533"/>
      <c r="AS385" s="320"/>
    </row>
    <row r="386" spans="1:45" ht="13.5" hidden="1" customHeight="1">
      <c r="A386" s="12"/>
      <c r="B386" s="358"/>
      <c r="C386" s="359"/>
      <c r="D386" s="359"/>
      <c r="E386" s="360"/>
      <c r="F386" s="524"/>
      <c r="G386" s="524"/>
      <c r="H386" s="362"/>
      <c r="I386" s="230"/>
      <c r="J386" s="230"/>
      <c r="K386" s="363"/>
      <c r="L386" s="364"/>
      <c r="M386" s="365"/>
      <c r="N386" s="366"/>
      <c r="O386" s="367"/>
      <c r="P386" s="368"/>
      <c r="Q386" s="369"/>
      <c r="R386" s="370"/>
      <c r="S386" s="370"/>
      <c r="T386" s="371"/>
      <c r="U386" s="372"/>
      <c r="V386" s="373"/>
      <c r="W386" s="398"/>
      <c r="X386" s="404"/>
      <c r="Y386" s="372"/>
      <c r="Z386" s="381"/>
      <c r="AA386" s="359"/>
      <c r="AB386" s="230"/>
      <c r="AC386" s="381"/>
      <c r="AD386" s="241"/>
      <c r="AE386" s="411"/>
      <c r="AF386" s="577"/>
      <c r="AG386" s="241"/>
      <c r="AH386" s="411"/>
      <c r="AI386" s="577"/>
      <c r="AJ386" s="241"/>
      <c r="AK386" s="411"/>
      <c r="AL386" s="577"/>
      <c r="AM386" s="241"/>
      <c r="AN386" s="411"/>
      <c r="AO386" s="577"/>
      <c r="AP386" s="241"/>
      <c r="AQ386" s="411"/>
      <c r="AR386" s="577"/>
      <c r="AS386" s="202"/>
    </row>
    <row r="387" spans="1:45" ht="13.5" hidden="1" customHeight="1">
      <c r="A387" s="12"/>
      <c r="B387" s="358" t="s">
        <v>1266</v>
      </c>
      <c r="C387" s="359">
        <v>10</v>
      </c>
      <c r="D387" s="359">
        <v>191</v>
      </c>
      <c r="E387" s="360"/>
      <c r="F387" s="524"/>
      <c r="G387" s="524"/>
      <c r="H387" s="362"/>
      <c r="I387" s="230"/>
      <c r="J387" s="230"/>
      <c r="K387" s="363"/>
      <c r="L387" s="364"/>
      <c r="M387" s="365"/>
      <c r="N387" s="366"/>
      <c r="O387" s="367"/>
      <c r="P387" s="368"/>
      <c r="Q387" s="369"/>
      <c r="R387" s="370"/>
      <c r="S387" s="370"/>
      <c r="T387" s="371"/>
      <c r="U387" s="372"/>
      <c r="V387" s="373"/>
      <c r="W387" s="374"/>
      <c r="X387" s="404"/>
      <c r="Y387" s="372"/>
      <c r="Z387" s="381"/>
      <c r="AA387" s="225"/>
      <c r="AB387" s="361"/>
      <c r="AC387" s="533"/>
      <c r="AD387" s="225"/>
      <c r="AE387" s="361"/>
      <c r="AF387" s="533"/>
      <c r="AG387" s="225"/>
      <c r="AH387" s="361"/>
      <c r="AI387" s="533"/>
      <c r="AJ387" s="225"/>
      <c r="AK387" s="361"/>
      <c r="AL387" s="533"/>
      <c r="AM387" s="225"/>
      <c r="AN387" s="361"/>
      <c r="AO387" s="533"/>
      <c r="AP387" s="225"/>
      <c r="AQ387" s="361"/>
      <c r="AR387" s="533"/>
      <c r="AS387" s="320"/>
    </row>
    <row r="388" spans="1:45" ht="13.5" hidden="1" customHeight="1">
      <c r="A388" s="12"/>
      <c r="B388" s="358"/>
      <c r="C388" s="359"/>
      <c r="D388" s="359"/>
      <c r="E388" s="360"/>
      <c r="F388" s="524"/>
      <c r="G388" s="524"/>
      <c r="H388" s="362"/>
      <c r="I388" s="230"/>
      <c r="J388" s="230"/>
      <c r="K388" s="363"/>
      <c r="L388" s="364"/>
      <c r="M388" s="365"/>
      <c r="N388" s="366"/>
      <c r="O388" s="367"/>
      <c r="P388" s="368"/>
      <c r="Q388" s="369"/>
      <c r="R388" s="370"/>
      <c r="S388" s="370"/>
      <c r="T388" s="371"/>
      <c r="U388" s="372"/>
      <c r="V388" s="373"/>
      <c r="W388" s="398"/>
      <c r="X388" s="404"/>
      <c r="Y388" s="372"/>
      <c r="Z388" s="381"/>
      <c r="AA388" s="241"/>
      <c r="AB388" s="411"/>
      <c r="AC388" s="577"/>
      <c r="AD388" s="241"/>
      <c r="AE388" s="411"/>
      <c r="AF388" s="577"/>
      <c r="AG388" s="241"/>
      <c r="AH388" s="411"/>
      <c r="AI388" s="577"/>
      <c r="AJ388" s="241"/>
      <c r="AK388" s="411"/>
      <c r="AL388" s="577"/>
      <c r="AM388" s="241"/>
      <c r="AN388" s="411"/>
      <c r="AO388" s="577"/>
      <c r="AP388" s="241"/>
      <c r="AQ388" s="411"/>
      <c r="AR388" s="577"/>
      <c r="AS388" s="202"/>
    </row>
    <row r="389" spans="1:45" ht="13.5" hidden="1" customHeight="1">
      <c r="A389" s="12"/>
      <c r="B389" s="358" t="s">
        <v>1266</v>
      </c>
      <c r="C389" s="359">
        <v>11</v>
      </c>
      <c r="D389" s="359">
        <v>192</v>
      </c>
      <c r="E389" s="360"/>
      <c r="F389" s="524"/>
      <c r="G389" s="524"/>
      <c r="H389" s="362"/>
      <c r="I389" s="230"/>
      <c r="J389" s="230"/>
      <c r="K389" s="363"/>
      <c r="L389" s="364"/>
      <c r="M389" s="365"/>
      <c r="N389" s="366"/>
      <c r="O389" s="367"/>
      <c r="P389" s="368"/>
      <c r="Q389" s="369"/>
      <c r="R389" s="370"/>
      <c r="S389" s="370"/>
      <c r="T389" s="371"/>
      <c r="U389" s="372"/>
      <c r="V389" s="373"/>
      <c r="W389" s="374"/>
      <c r="X389" s="404"/>
      <c r="Y389" s="372"/>
      <c r="Z389" s="381"/>
      <c r="AA389" s="225"/>
      <c r="AB389" s="361"/>
      <c r="AC389" s="533"/>
      <c r="AD389" s="225"/>
      <c r="AE389" s="361"/>
      <c r="AF389" s="533"/>
      <c r="AG389" s="225"/>
      <c r="AH389" s="361"/>
      <c r="AI389" s="533"/>
      <c r="AJ389" s="225"/>
      <c r="AK389" s="361"/>
      <c r="AL389" s="533"/>
      <c r="AM389" s="225"/>
      <c r="AN389" s="361"/>
      <c r="AO389" s="533"/>
      <c r="AP389" s="225"/>
      <c r="AQ389" s="361"/>
      <c r="AR389" s="533"/>
      <c r="AS389" s="320"/>
    </row>
    <row r="390" spans="1:45" ht="13.5" hidden="1" customHeight="1">
      <c r="A390" s="12"/>
      <c r="B390" s="358"/>
      <c r="C390" s="359"/>
      <c r="D390" s="359"/>
      <c r="E390" s="360"/>
      <c r="F390" s="524"/>
      <c r="G390" s="524"/>
      <c r="H390" s="362"/>
      <c r="I390" s="230"/>
      <c r="J390" s="230"/>
      <c r="K390" s="363"/>
      <c r="L390" s="364"/>
      <c r="M390" s="365"/>
      <c r="N390" s="366"/>
      <c r="O390" s="367"/>
      <c r="P390" s="368"/>
      <c r="Q390" s="369"/>
      <c r="R390" s="370"/>
      <c r="S390" s="370"/>
      <c r="T390" s="371"/>
      <c r="U390" s="372"/>
      <c r="V390" s="373"/>
      <c r="W390" s="398"/>
      <c r="X390" s="404"/>
      <c r="Y390" s="372"/>
      <c r="Z390" s="381"/>
      <c r="AA390" s="241"/>
      <c r="AB390" s="411"/>
      <c r="AC390" s="577"/>
      <c r="AD390" s="241"/>
      <c r="AE390" s="411"/>
      <c r="AF390" s="577"/>
      <c r="AG390" s="241"/>
      <c r="AH390" s="411"/>
      <c r="AI390" s="577"/>
      <c r="AJ390" s="241"/>
      <c r="AK390" s="411"/>
      <c r="AL390" s="577"/>
      <c r="AM390" s="241"/>
      <c r="AN390" s="411"/>
      <c r="AO390" s="577"/>
      <c r="AP390" s="241"/>
      <c r="AQ390" s="411"/>
      <c r="AR390" s="577"/>
      <c r="AS390" s="202"/>
    </row>
    <row r="391" spans="1:45" ht="13.5" hidden="1" customHeight="1">
      <c r="A391" s="12"/>
      <c r="B391" s="358" t="s">
        <v>1266</v>
      </c>
      <c r="C391" s="359">
        <v>12</v>
      </c>
      <c r="D391" s="359">
        <v>193</v>
      </c>
      <c r="E391" s="360"/>
      <c r="F391" s="524"/>
      <c r="G391" s="524"/>
      <c r="H391" s="230"/>
      <c r="I391" s="230"/>
      <c r="J391" s="230"/>
      <c r="K391" s="368"/>
      <c r="L391" s="364"/>
      <c r="M391" s="365"/>
      <c r="N391" s="366"/>
      <c r="O391" s="367"/>
      <c r="P391" s="368"/>
      <c r="Q391" s="369"/>
      <c r="R391" s="605"/>
      <c r="S391" s="590"/>
      <c r="T391" s="371"/>
      <c r="U391" s="372"/>
      <c r="V391" s="515"/>
      <c r="W391" s="374"/>
      <c r="X391" s="404"/>
      <c r="Y391" s="384"/>
      <c r="Z391" s="513"/>
      <c r="AA391" s="225"/>
      <c r="AB391" s="361"/>
      <c r="AC391" s="533"/>
      <c r="AD391" s="225"/>
      <c r="AE391" s="361"/>
      <c r="AF391" s="533"/>
      <c r="AG391" s="225"/>
      <c r="AH391" s="361"/>
      <c r="AI391" s="533"/>
      <c r="AJ391" s="225"/>
      <c r="AK391" s="361"/>
      <c r="AL391" s="533"/>
      <c r="AM391" s="225"/>
      <c r="AN391" s="361"/>
      <c r="AO391" s="533"/>
      <c r="AP391" s="225"/>
      <c r="AQ391" s="361"/>
      <c r="AR391" s="533"/>
      <c r="AS391" s="320"/>
    </row>
    <row r="392" spans="1:45" ht="13.5" hidden="1" customHeight="1">
      <c r="A392" s="12"/>
      <c r="B392" s="358"/>
      <c r="C392" s="359"/>
      <c r="D392" s="359"/>
      <c r="E392" s="360"/>
      <c r="F392" s="524"/>
      <c r="G392" s="524"/>
      <c r="H392" s="230"/>
      <c r="I392" s="230"/>
      <c r="J392" s="230"/>
      <c r="K392" s="368"/>
      <c r="L392" s="364"/>
      <c r="M392" s="365"/>
      <c r="N392" s="366"/>
      <c r="O392" s="367"/>
      <c r="P392" s="368"/>
      <c r="Q392" s="369"/>
      <c r="R392" s="605"/>
      <c r="S392" s="590"/>
      <c r="T392" s="371"/>
      <c r="U392" s="372"/>
      <c r="V392" s="515"/>
      <c r="W392" s="398"/>
      <c r="X392" s="404"/>
      <c r="Y392" s="384"/>
      <c r="Z392" s="513"/>
      <c r="AA392" s="241"/>
      <c r="AB392" s="411"/>
      <c r="AC392" s="577"/>
      <c r="AD392" s="241"/>
      <c r="AE392" s="411"/>
      <c r="AF392" s="577"/>
      <c r="AG392" s="241"/>
      <c r="AH392" s="411"/>
      <c r="AI392" s="577"/>
      <c r="AJ392" s="241"/>
      <c r="AK392" s="411"/>
      <c r="AL392" s="577"/>
      <c r="AM392" s="241"/>
      <c r="AN392" s="411"/>
      <c r="AO392" s="577"/>
      <c r="AP392" s="241"/>
      <c r="AQ392" s="411"/>
      <c r="AR392" s="577"/>
      <c r="AS392" s="202"/>
    </row>
    <row r="393" spans="1:45" ht="13.5" hidden="1" customHeight="1">
      <c r="A393" s="12"/>
      <c r="B393" s="358" t="s">
        <v>1266</v>
      </c>
      <c r="C393" s="359">
        <v>13</v>
      </c>
      <c r="D393" s="359">
        <v>194</v>
      </c>
      <c r="E393" s="360"/>
      <c r="F393" s="524"/>
      <c r="G393" s="524"/>
      <c r="H393" s="230"/>
      <c r="I393" s="230"/>
      <c r="J393" s="230"/>
      <c r="K393" s="368"/>
      <c r="L393" s="364"/>
      <c r="M393" s="365"/>
      <c r="N393" s="366"/>
      <c r="O393" s="367"/>
      <c r="P393" s="368"/>
      <c r="Q393" s="369"/>
      <c r="R393" s="605"/>
      <c r="S393" s="590"/>
      <c r="T393" s="371"/>
      <c r="U393" s="372"/>
      <c r="V393" s="515"/>
      <c r="W393" s="374"/>
      <c r="X393" s="404"/>
      <c r="Y393" s="384"/>
      <c r="Z393" s="513"/>
      <c r="AA393" s="225"/>
      <c r="AB393" s="361"/>
      <c r="AC393" s="533"/>
      <c r="AD393" s="225"/>
      <c r="AE393" s="361"/>
      <c r="AF393" s="533"/>
      <c r="AG393" s="225"/>
      <c r="AH393" s="361"/>
      <c r="AI393" s="533"/>
      <c r="AJ393" s="225"/>
      <c r="AK393" s="361"/>
      <c r="AL393" s="533"/>
      <c r="AM393" s="225"/>
      <c r="AN393" s="361"/>
      <c r="AO393" s="533"/>
      <c r="AP393" s="225"/>
      <c r="AQ393" s="361"/>
      <c r="AR393" s="533"/>
      <c r="AS393" s="320"/>
    </row>
    <row r="394" spans="1:45" ht="13.5" hidden="1" customHeight="1">
      <c r="A394" s="12"/>
      <c r="B394" s="358"/>
      <c r="C394" s="359"/>
      <c r="D394" s="359"/>
      <c r="E394" s="360"/>
      <c r="F394" s="524"/>
      <c r="G394" s="524"/>
      <c r="H394" s="230"/>
      <c r="I394" s="230"/>
      <c r="J394" s="230"/>
      <c r="K394" s="368"/>
      <c r="L394" s="364"/>
      <c r="M394" s="365"/>
      <c r="N394" s="366"/>
      <c r="O394" s="367"/>
      <c r="P394" s="368"/>
      <c r="Q394" s="369"/>
      <c r="R394" s="605"/>
      <c r="S394" s="590"/>
      <c r="T394" s="371"/>
      <c r="U394" s="372"/>
      <c r="V394" s="515"/>
      <c r="W394" s="398"/>
      <c r="X394" s="404"/>
      <c r="Y394" s="384"/>
      <c r="Z394" s="513"/>
      <c r="AA394" s="241"/>
      <c r="AB394" s="411"/>
      <c r="AC394" s="577"/>
      <c r="AD394" s="241"/>
      <c r="AE394" s="411"/>
      <c r="AF394" s="577"/>
      <c r="AG394" s="241"/>
      <c r="AH394" s="411"/>
      <c r="AI394" s="577"/>
      <c r="AJ394" s="241"/>
      <c r="AK394" s="411"/>
      <c r="AL394" s="577"/>
      <c r="AM394" s="241"/>
      <c r="AN394" s="411"/>
      <c r="AO394" s="577"/>
      <c r="AP394" s="241"/>
      <c r="AQ394" s="411"/>
      <c r="AR394" s="577"/>
      <c r="AS394" s="202"/>
    </row>
    <row r="395" spans="1:45" ht="13.5" hidden="1" customHeight="1">
      <c r="A395" s="12"/>
      <c r="B395" s="358" t="s">
        <v>1266</v>
      </c>
      <c r="C395" s="359">
        <v>14</v>
      </c>
      <c r="D395" s="359">
        <v>195</v>
      </c>
      <c r="E395" s="360"/>
      <c r="F395" s="524"/>
      <c r="G395" s="524"/>
      <c r="H395" s="362"/>
      <c r="I395" s="230"/>
      <c r="J395" s="230"/>
      <c r="K395" s="363"/>
      <c r="L395" s="364"/>
      <c r="M395" s="365"/>
      <c r="N395" s="366"/>
      <c r="O395" s="367"/>
      <c r="P395" s="368"/>
      <c r="Q395" s="369"/>
      <c r="R395" s="370"/>
      <c r="S395" s="370"/>
      <c r="T395" s="371"/>
      <c r="U395" s="372"/>
      <c r="V395" s="373"/>
      <c r="W395" s="374"/>
      <c r="X395" s="404"/>
      <c r="Y395" s="372"/>
      <c r="Z395" s="381"/>
      <c r="AA395" s="225"/>
      <c r="AB395" s="361"/>
      <c r="AC395" s="533"/>
      <c r="AD395" s="225"/>
      <c r="AE395" s="361"/>
      <c r="AF395" s="533"/>
      <c r="AG395" s="225"/>
      <c r="AH395" s="361"/>
      <c r="AI395" s="533"/>
      <c r="AJ395" s="225"/>
      <c r="AK395" s="361"/>
      <c r="AL395" s="533"/>
      <c r="AM395" s="225"/>
      <c r="AN395" s="361"/>
      <c r="AO395" s="533"/>
      <c r="AP395" s="225"/>
      <c r="AQ395" s="361"/>
      <c r="AR395" s="533"/>
      <c r="AS395" s="320"/>
    </row>
    <row r="396" spans="1:45" ht="13.5" hidden="1" customHeight="1">
      <c r="A396" s="12"/>
      <c r="B396" s="358"/>
      <c r="C396" s="359"/>
      <c r="D396" s="359"/>
      <c r="E396" s="360"/>
      <c r="F396" s="524"/>
      <c r="G396" s="524"/>
      <c r="H396" s="362"/>
      <c r="I396" s="230"/>
      <c r="J396" s="230"/>
      <c r="K396" s="363"/>
      <c r="L396" s="364"/>
      <c r="M396" s="365"/>
      <c r="N396" s="366"/>
      <c r="O396" s="367"/>
      <c r="P396" s="368"/>
      <c r="Q396" s="369"/>
      <c r="R396" s="370"/>
      <c r="S396" s="370"/>
      <c r="T396" s="371"/>
      <c r="U396" s="372"/>
      <c r="V396" s="373"/>
      <c r="W396" s="398"/>
      <c r="X396" s="404"/>
      <c r="Y396" s="372"/>
      <c r="Z396" s="381"/>
      <c r="AA396" s="241"/>
      <c r="AB396" s="411"/>
      <c r="AC396" s="577"/>
      <c r="AD396" s="241"/>
      <c r="AE396" s="411"/>
      <c r="AF396" s="577"/>
      <c r="AG396" s="241"/>
      <c r="AH396" s="411"/>
      <c r="AI396" s="577"/>
      <c r="AJ396" s="241"/>
      <c r="AK396" s="411"/>
      <c r="AL396" s="577"/>
      <c r="AM396" s="241"/>
      <c r="AN396" s="411"/>
      <c r="AO396" s="577"/>
      <c r="AP396" s="241"/>
      <c r="AQ396" s="411"/>
      <c r="AR396" s="577"/>
      <c r="AS396" s="202"/>
    </row>
    <row r="397" spans="1:45" ht="13.5" hidden="1" customHeight="1">
      <c r="A397" s="12"/>
      <c r="B397" s="358" t="s">
        <v>1266</v>
      </c>
      <c r="C397" s="359">
        <v>15</v>
      </c>
      <c r="D397" s="359">
        <v>196</v>
      </c>
      <c r="E397" s="360"/>
      <c r="F397" s="524"/>
      <c r="G397" s="524"/>
      <c r="H397" s="362"/>
      <c r="I397" s="230"/>
      <c r="J397" s="230"/>
      <c r="K397" s="363"/>
      <c r="L397" s="364"/>
      <c r="M397" s="452"/>
      <c r="N397" s="409"/>
      <c r="O397" s="453"/>
      <c r="P397" s="454"/>
      <c r="Q397" s="504"/>
      <c r="R397" s="420"/>
      <c r="S397" s="370"/>
      <c r="T397" s="421"/>
      <c r="U397" s="387"/>
      <c r="V397" s="456"/>
      <c r="W397" s="374"/>
      <c r="X397" s="404"/>
      <c r="Y397" s="372"/>
      <c r="Z397" s="381"/>
      <c r="AA397" s="359"/>
      <c r="AB397" s="230"/>
      <c r="AC397" s="381"/>
      <c r="AD397" s="225"/>
      <c r="AE397" s="361"/>
      <c r="AF397" s="533"/>
      <c r="AG397" s="225"/>
      <c r="AH397" s="361"/>
      <c r="AI397" s="533"/>
      <c r="AJ397" s="225"/>
      <c r="AK397" s="361"/>
      <c r="AL397" s="533"/>
      <c r="AM397" s="225"/>
      <c r="AN397" s="361"/>
      <c r="AO397" s="533"/>
      <c r="AP397" s="225"/>
      <c r="AQ397" s="361"/>
      <c r="AR397" s="533"/>
      <c r="AS397" s="320"/>
    </row>
    <row r="398" spans="1:45" ht="13.5" hidden="1" customHeight="1">
      <c r="A398" s="12"/>
      <c r="B398" s="358"/>
      <c r="C398" s="359"/>
      <c r="D398" s="359"/>
      <c r="E398" s="360"/>
      <c r="F398" s="524"/>
      <c r="G398" s="524"/>
      <c r="H398" s="362"/>
      <c r="I398" s="230"/>
      <c r="J398" s="230"/>
      <c r="K398" s="363"/>
      <c r="L398" s="364"/>
      <c r="M398" s="604"/>
      <c r="N398" s="415"/>
      <c r="O398" s="580"/>
      <c r="P398" s="581"/>
      <c r="Q398" s="563"/>
      <c r="R398" s="582"/>
      <c r="S398" s="370"/>
      <c r="T398" s="606"/>
      <c r="U398" s="607"/>
      <c r="V398" s="601"/>
      <c r="W398" s="398"/>
      <c r="X398" s="404"/>
      <c r="Y398" s="372"/>
      <c r="Z398" s="381"/>
      <c r="AA398" s="359"/>
      <c r="AB398" s="230"/>
      <c r="AC398" s="381"/>
      <c r="AD398" s="241"/>
      <c r="AE398" s="411"/>
      <c r="AF398" s="577"/>
      <c r="AG398" s="241"/>
      <c r="AH398" s="411"/>
      <c r="AI398" s="577"/>
      <c r="AJ398" s="241"/>
      <c r="AK398" s="411"/>
      <c r="AL398" s="577"/>
      <c r="AM398" s="241"/>
      <c r="AN398" s="411"/>
      <c r="AO398" s="577"/>
      <c r="AP398" s="241"/>
      <c r="AQ398" s="411"/>
      <c r="AR398" s="577"/>
      <c r="AS398" s="202"/>
    </row>
    <row r="399" spans="1:45" ht="13.5" hidden="1" customHeight="1">
      <c r="A399" s="12"/>
      <c r="B399" s="358" t="s">
        <v>1266</v>
      </c>
      <c r="C399" s="359">
        <v>16</v>
      </c>
      <c r="D399" s="359">
        <v>197</v>
      </c>
      <c r="E399" s="360"/>
      <c r="F399" s="524"/>
      <c r="G399" s="524"/>
      <c r="H399" s="362"/>
      <c r="I399" s="230"/>
      <c r="J399" s="230"/>
      <c r="K399" s="363"/>
      <c r="L399" s="364"/>
      <c r="M399" s="604"/>
      <c r="N399" s="415"/>
      <c r="O399" s="580"/>
      <c r="P399" s="581"/>
      <c r="Q399" s="563"/>
      <c r="R399" s="582"/>
      <c r="S399" s="370"/>
      <c r="T399" s="606"/>
      <c r="U399" s="607"/>
      <c r="V399" s="601"/>
      <c r="W399" s="374"/>
      <c r="X399" s="404"/>
      <c r="Y399" s="372"/>
      <c r="Z399" s="381"/>
      <c r="AA399" s="359"/>
      <c r="AB399" s="230"/>
      <c r="AC399" s="381"/>
      <c r="AD399" s="225"/>
      <c r="AE399" s="361"/>
      <c r="AF399" s="533"/>
      <c r="AG399" s="225"/>
      <c r="AH399" s="361"/>
      <c r="AI399" s="533"/>
      <c r="AJ399" s="225"/>
      <c r="AK399" s="361"/>
      <c r="AL399" s="533"/>
      <c r="AM399" s="225"/>
      <c r="AN399" s="361"/>
      <c r="AO399" s="533"/>
      <c r="AP399" s="225"/>
      <c r="AQ399" s="361"/>
      <c r="AR399" s="533"/>
      <c r="AS399" s="320"/>
    </row>
    <row r="400" spans="1:45" ht="13.5" hidden="1" customHeight="1">
      <c r="A400" s="12"/>
      <c r="B400" s="358"/>
      <c r="C400" s="359"/>
      <c r="D400" s="359"/>
      <c r="E400" s="447"/>
      <c r="F400" s="546"/>
      <c r="G400" s="546"/>
      <c r="H400" s="562"/>
      <c r="I400" s="361"/>
      <c r="J400" s="361"/>
      <c r="K400" s="597"/>
      <c r="L400" s="451"/>
      <c r="M400" s="604"/>
      <c r="N400" s="415"/>
      <c r="O400" s="580"/>
      <c r="P400" s="581"/>
      <c r="Q400" s="563"/>
      <c r="R400" s="433"/>
      <c r="S400" s="370"/>
      <c r="T400" s="606"/>
      <c r="U400" s="607"/>
      <c r="V400" s="601"/>
      <c r="W400" s="398"/>
      <c r="X400" s="404"/>
      <c r="Y400" s="372"/>
      <c r="Z400" s="381"/>
      <c r="AA400" s="359"/>
      <c r="AB400" s="230"/>
      <c r="AC400" s="381"/>
      <c r="AD400" s="241"/>
      <c r="AE400" s="411"/>
      <c r="AF400" s="577"/>
      <c r="AG400" s="241"/>
      <c r="AH400" s="411"/>
      <c r="AI400" s="577"/>
      <c r="AJ400" s="241"/>
      <c r="AK400" s="411"/>
      <c r="AL400" s="577"/>
      <c r="AM400" s="241"/>
      <c r="AN400" s="411"/>
      <c r="AO400" s="577"/>
      <c r="AP400" s="241"/>
      <c r="AQ400" s="411"/>
      <c r="AR400" s="577"/>
      <c r="AS400" s="202"/>
    </row>
    <row r="401" spans="1:45" ht="13.5" hidden="1" customHeight="1">
      <c r="A401" s="12"/>
      <c r="B401" s="358" t="s">
        <v>1266</v>
      </c>
      <c r="C401" s="359">
        <v>17</v>
      </c>
      <c r="D401" s="359">
        <v>198</v>
      </c>
      <c r="E401" s="360"/>
      <c r="F401" s="524"/>
      <c r="G401" s="524"/>
      <c r="H401" s="362"/>
      <c r="I401" s="230"/>
      <c r="J401" s="230"/>
      <c r="K401" s="363"/>
      <c r="L401" s="364"/>
      <c r="M401" s="604"/>
      <c r="N401" s="415"/>
      <c r="O401" s="580"/>
      <c r="P401" s="581"/>
      <c r="Q401" s="563"/>
      <c r="R401" s="370"/>
      <c r="S401" s="370"/>
      <c r="T401" s="606"/>
      <c r="U401" s="607"/>
      <c r="V401" s="601"/>
      <c r="W401" s="374"/>
      <c r="X401" s="404"/>
      <c r="Y401" s="372"/>
      <c r="Z401" s="381"/>
      <c r="AA401" s="359"/>
      <c r="AB401" s="230"/>
      <c r="AC401" s="381"/>
      <c r="AD401" s="225"/>
      <c r="AE401" s="361"/>
      <c r="AF401" s="533"/>
      <c r="AG401" s="225"/>
      <c r="AH401" s="361"/>
      <c r="AI401" s="533"/>
      <c r="AJ401" s="225"/>
      <c r="AK401" s="361"/>
      <c r="AL401" s="533"/>
      <c r="AM401" s="225"/>
      <c r="AN401" s="361"/>
      <c r="AO401" s="533"/>
      <c r="AP401" s="225"/>
      <c r="AQ401" s="361"/>
      <c r="AR401" s="533"/>
      <c r="AS401" s="320"/>
    </row>
    <row r="402" spans="1:45" ht="13.5" hidden="1" customHeight="1">
      <c r="A402" s="12"/>
      <c r="B402" s="358"/>
      <c r="C402" s="359"/>
      <c r="D402" s="359"/>
      <c r="E402" s="360"/>
      <c r="F402" s="524"/>
      <c r="G402" s="524"/>
      <c r="H402" s="362"/>
      <c r="I402" s="230"/>
      <c r="J402" s="230"/>
      <c r="K402" s="363"/>
      <c r="L402" s="364"/>
      <c r="M402" s="439"/>
      <c r="N402" s="425"/>
      <c r="O402" s="440"/>
      <c r="P402" s="429"/>
      <c r="Q402" s="442"/>
      <c r="R402" s="370"/>
      <c r="S402" s="370"/>
      <c r="T402" s="434"/>
      <c r="U402" s="376"/>
      <c r="V402" s="603"/>
      <c r="W402" s="398"/>
      <c r="X402" s="404"/>
      <c r="Y402" s="372"/>
      <c r="Z402" s="381"/>
      <c r="AA402" s="359"/>
      <c r="AB402" s="230"/>
      <c r="AC402" s="381"/>
      <c r="AD402" s="241"/>
      <c r="AE402" s="411"/>
      <c r="AF402" s="577"/>
      <c r="AG402" s="241"/>
      <c r="AH402" s="411"/>
      <c r="AI402" s="577"/>
      <c r="AJ402" s="241"/>
      <c r="AK402" s="411"/>
      <c r="AL402" s="577"/>
      <c r="AM402" s="241"/>
      <c r="AN402" s="411"/>
      <c r="AO402" s="577"/>
      <c r="AP402" s="241"/>
      <c r="AQ402" s="411"/>
      <c r="AR402" s="577"/>
      <c r="AS402" s="202"/>
    </row>
    <row r="403" spans="1:45" ht="13.5" hidden="1" customHeight="1">
      <c r="A403" s="12"/>
      <c r="B403" s="358" t="s">
        <v>1266</v>
      </c>
      <c r="C403" s="359">
        <v>18</v>
      </c>
      <c r="D403" s="359">
        <v>199</v>
      </c>
      <c r="E403" s="360"/>
      <c r="F403" s="524"/>
      <c r="G403" s="524"/>
      <c r="H403" s="362"/>
      <c r="I403" s="230"/>
      <c r="J403" s="230"/>
      <c r="K403" s="363"/>
      <c r="L403" s="364"/>
      <c r="M403" s="365"/>
      <c r="N403" s="366"/>
      <c r="O403" s="367"/>
      <c r="P403" s="368"/>
      <c r="Q403" s="369"/>
      <c r="R403" s="370"/>
      <c r="S403" s="370"/>
      <c r="T403" s="371"/>
      <c r="U403" s="372"/>
      <c r="V403" s="373"/>
      <c r="W403" s="374"/>
      <c r="X403" s="404"/>
      <c r="Y403" s="372"/>
      <c r="Z403" s="381"/>
      <c r="AA403" s="225"/>
      <c r="AB403" s="361"/>
      <c r="AC403" s="533"/>
      <c r="AD403" s="225"/>
      <c r="AE403" s="361"/>
      <c r="AF403" s="533"/>
      <c r="AG403" s="225"/>
      <c r="AH403" s="361"/>
      <c r="AI403" s="533"/>
      <c r="AJ403" s="225"/>
      <c r="AK403" s="361"/>
      <c r="AL403" s="533"/>
      <c r="AM403" s="225"/>
      <c r="AN403" s="361"/>
      <c r="AO403" s="533"/>
      <c r="AP403" s="225"/>
      <c r="AQ403" s="361"/>
      <c r="AR403" s="533"/>
      <c r="AS403" s="320"/>
    </row>
    <row r="404" spans="1:45" ht="13.5" hidden="1" customHeight="1">
      <c r="A404" s="12"/>
      <c r="B404" s="358"/>
      <c r="C404" s="359"/>
      <c r="D404" s="359"/>
      <c r="E404" s="360"/>
      <c r="F404" s="524"/>
      <c r="G404" s="524"/>
      <c r="H404" s="362"/>
      <c r="I404" s="230"/>
      <c r="J404" s="230"/>
      <c r="K404" s="363"/>
      <c r="L404" s="364"/>
      <c r="M404" s="365"/>
      <c r="N404" s="366"/>
      <c r="O404" s="367"/>
      <c r="P404" s="368"/>
      <c r="Q404" s="369"/>
      <c r="R404" s="370"/>
      <c r="S404" s="370"/>
      <c r="T404" s="371"/>
      <c r="U404" s="372"/>
      <c r="V404" s="373"/>
      <c r="W404" s="398"/>
      <c r="X404" s="404"/>
      <c r="Y404" s="372"/>
      <c r="Z404" s="381"/>
      <c r="AA404" s="241"/>
      <c r="AB404" s="411"/>
      <c r="AC404" s="577"/>
      <c r="AD404" s="241"/>
      <c r="AE404" s="411"/>
      <c r="AF404" s="577"/>
      <c r="AG404" s="241"/>
      <c r="AH404" s="411"/>
      <c r="AI404" s="577"/>
      <c r="AJ404" s="241"/>
      <c r="AK404" s="411"/>
      <c r="AL404" s="577"/>
      <c r="AM404" s="241"/>
      <c r="AN404" s="411"/>
      <c r="AO404" s="577"/>
      <c r="AP404" s="241"/>
      <c r="AQ404" s="411"/>
      <c r="AR404" s="577"/>
      <c r="AS404" s="202"/>
    </row>
    <row r="405" spans="1:45" ht="13.5" hidden="1" customHeight="1">
      <c r="A405" s="12"/>
      <c r="B405" s="358" t="s">
        <v>1266</v>
      </c>
      <c r="C405" s="359">
        <v>19</v>
      </c>
      <c r="D405" s="359">
        <v>200</v>
      </c>
      <c r="E405" s="360"/>
      <c r="F405" s="524"/>
      <c r="G405" s="524"/>
      <c r="H405" s="362"/>
      <c r="I405" s="230"/>
      <c r="J405" s="230"/>
      <c r="K405" s="363"/>
      <c r="L405" s="364"/>
      <c r="M405" s="365"/>
      <c r="N405" s="366"/>
      <c r="O405" s="367"/>
      <c r="P405" s="368"/>
      <c r="Q405" s="369"/>
      <c r="R405" s="370"/>
      <c r="S405" s="370"/>
      <c r="T405" s="371"/>
      <c r="U405" s="372"/>
      <c r="V405" s="373"/>
      <c r="W405" s="374"/>
      <c r="X405" s="404"/>
      <c r="Y405" s="372"/>
      <c r="Z405" s="381"/>
      <c r="AA405" s="225"/>
      <c r="AB405" s="361"/>
      <c r="AC405" s="533"/>
      <c r="AD405" s="225"/>
      <c r="AE405" s="361"/>
      <c r="AF405" s="533"/>
      <c r="AG405" s="225"/>
      <c r="AH405" s="361"/>
      <c r="AI405" s="533"/>
      <c r="AJ405" s="225"/>
      <c r="AK405" s="361"/>
      <c r="AL405" s="533"/>
      <c r="AM405" s="225"/>
      <c r="AN405" s="361"/>
      <c r="AO405" s="533"/>
      <c r="AP405" s="225"/>
      <c r="AQ405" s="361"/>
      <c r="AR405" s="533"/>
      <c r="AS405" s="320"/>
    </row>
    <row r="406" spans="1:45" ht="13.5" hidden="1" customHeight="1">
      <c r="A406" s="12"/>
      <c r="B406" s="358"/>
      <c r="C406" s="359"/>
      <c r="D406" s="359"/>
      <c r="E406" s="360"/>
      <c r="F406" s="524"/>
      <c r="G406" s="524"/>
      <c r="H406" s="362"/>
      <c r="I406" s="230"/>
      <c r="J406" s="230"/>
      <c r="K406" s="363"/>
      <c r="L406" s="364"/>
      <c r="M406" s="365"/>
      <c r="N406" s="366"/>
      <c r="O406" s="367"/>
      <c r="P406" s="368"/>
      <c r="Q406" s="369"/>
      <c r="R406" s="370"/>
      <c r="S406" s="370"/>
      <c r="T406" s="371"/>
      <c r="U406" s="372"/>
      <c r="V406" s="373"/>
      <c r="W406" s="398"/>
      <c r="X406" s="404"/>
      <c r="Y406" s="372"/>
      <c r="Z406" s="381"/>
      <c r="AA406" s="241"/>
      <c r="AB406" s="411"/>
      <c r="AC406" s="577"/>
      <c r="AD406" s="241"/>
      <c r="AE406" s="411"/>
      <c r="AF406" s="577"/>
      <c r="AG406" s="241"/>
      <c r="AH406" s="411"/>
      <c r="AI406" s="577"/>
      <c r="AJ406" s="241"/>
      <c r="AK406" s="411"/>
      <c r="AL406" s="577"/>
      <c r="AM406" s="241"/>
      <c r="AN406" s="411"/>
      <c r="AO406" s="577"/>
      <c r="AP406" s="241"/>
      <c r="AQ406" s="411"/>
      <c r="AR406" s="577"/>
      <c r="AS406" s="202"/>
    </row>
    <row r="407" spans="1:45" ht="13.5" hidden="1" customHeight="1">
      <c r="A407" s="12"/>
      <c r="B407" s="358" t="s">
        <v>1266</v>
      </c>
      <c r="C407" s="359">
        <v>20</v>
      </c>
      <c r="D407" s="359">
        <v>200</v>
      </c>
      <c r="E407" s="360"/>
      <c r="F407" s="524"/>
      <c r="G407" s="524"/>
      <c r="H407" s="362"/>
      <c r="I407" s="230"/>
      <c r="J407" s="230"/>
      <c r="K407" s="363"/>
      <c r="L407" s="364"/>
      <c r="M407" s="365"/>
      <c r="N407" s="366"/>
      <c r="O407" s="367"/>
      <c r="P407" s="368"/>
      <c r="Q407" s="369"/>
      <c r="R407" s="370"/>
      <c r="S407" s="370"/>
      <c r="T407" s="371"/>
      <c r="U407" s="372"/>
      <c r="V407" s="373"/>
      <c r="W407" s="374"/>
      <c r="X407" s="404"/>
      <c r="Y407" s="372"/>
      <c r="Z407" s="381"/>
      <c r="AA407" s="225"/>
      <c r="AB407" s="361"/>
      <c r="AC407" s="533"/>
      <c r="AD407" s="225"/>
      <c r="AE407" s="361"/>
      <c r="AF407" s="533"/>
      <c r="AG407" s="225"/>
      <c r="AH407" s="361"/>
      <c r="AI407" s="533"/>
      <c r="AJ407" s="225"/>
      <c r="AK407" s="361"/>
      <c r="AL407" s="533"/>
      <c r="AM407" s="225"/>
      <c r="AN407" s="361"/>
      <c r="AO407" s="533"/>
      <c r="AP407" s="225"/>
      <c r="AQ407" s="361"/>
      <c r="AR407" s="533"/>
      <c r="AS407" s="320"/>
    </row>
    <row r="408" spans="1:45" ht="13.5" hidden="1" customHeight="1">
      <c r="A408" s="12"/>
      <c r="B408" s="358"/>
      <c r="C408" s="359"/>
      <c r="D408" s="359"/>
      <c r="E408" s="360"/>
      <c r="F408" s="524"/>
      <c r="G408" s="524"/>
      <c r="H408" s="362"/>
      <c r="I408" s="230"/>
      <c r="J408" s="230"/>
      <c r="K408" s="363"/>
      <c r="L408" s="364"/>
      <c r="M408" s="365"/>
      <c r="N408" s="366"/>
      <c r="O408" s="367"/>
      <c r="P408" s="368"/>
      <c r="Q408" s="369"/>
      <c r="R408" s="370"/>
      <c r="S408" s="370"/>
      <c r="T408" s="371"/>
      <c r="U408" s="372"/>
      <c r="V408" s="373"/>
      <c r="W408" s="398"/>
      <c r="X408" s="404"/>
      <c r="Y408" s="372"/>
      <c r="Z408" s="381"/>
      <c r="AA408" s="241"/>
      <c r="AB408" s="411"/>
      <c r="AC408" s="577"/>
      <c r="AD408" s="241"/>
      <c r="AE408" s="411"/>
      <c r="AF408" s="577"/>
      <c r="AG408" s="241"/>
      <c r="AH408" s="411"/>
      <c r="AI408" s="577"/>
      <c r="AJ408" s="241"/>
      <c r="AK408" s="411"/>
      <c r="AL408" s="577"/>
      <c r="AM408" s="241"/>
      <c r="AN408" s="411"/>
      <c r="AO408" s="577"/>
      <c r="AP408" s="241"/>
      <c r="AQ408" s="411"/>
      <c r="AR408" s="577"/>
      <c r="AS408" s="202"/>
    </row>
    <row r="409" spans="1:45" ht="13.5" hidden="1" customHeight="1">
      <c r="A409" s="12"/>
      <c r="B409" s="358" t="s">
        <v>2570</v>
      </c>
      <c r="C409" s="359">
        <v>1</v>
      </c>
      <c r="D409" s="359">
        <v>29</v>
      </c>
      <c r="E409" s="360"/>
      <c r="F409" s="524"/>
      <c r="G409" s="361"/>
      <c r="H409" s="362"/>
      <c r="I409" s="230"/>
      <c r="J409" s="230"/>
      <c r="K409" s="363"/>
      <c r="L409" s="364"/>
      <c r="M409" s="365"/>
      <c r="N409" s="366"/>
      <c r="O409" s="367"/>
      <c r="P409" s="368"/>
      <c r="Q409" s="369"/>
      <c r="R409" s="370"/>
      <c r="S409" s="370"/>
      <c r="T409" s="371"/>
      <c r="U409" s="372"/>
      <c r="V409" s="373"/>
      <c r="W409" s="374"/>
      <c r="X409" s="404"/>
      <c r="Y409" s="372"/>
      <c r="Z409" s="381"/>
      <c r="AA409" s="359"/>
      <c r="AB409" s="230"/>
      <c r="AC409" s="381"/>
      <c r="AD409" s="225"/>
      <c r="AE409" s="361"/>
      <c r="AF409" s="533"/>
      <c r="AG409" s="225"/>
      <c r="AH409" s="361"/>
      <c r="AI409" s="533"/>
      <c r="AJ409" s="225"/>
      <c r="AK409" s="361"/>
      <c r="AL409" s="533"/>
      <c r="AM409" s="225"/>
      <c r="AN409" s="361"/>
      <c r="AO409" s="533"/>
      <c r="AP409" s="225"/>
      <c r="AQ409" s="361"/>
      <c r="AR409" s="533"/>
      <c r="AS409" s="320"/>
    </row>
    <row r="410" spans="1:45" ht="13.5" hidden="1" customHeight="1">
      <c r="A410" s="12"/>
      <c r="B410" s="358"/>
      <c r="C410" s="359"/>
      <c r="D410" s="359"/>
      <c r="E410" s="360"/>
      <c r="F410" s="524"/>
      <c r="G410" s="378"/>
      <c r="H410" s="362"/>
      <c r="I410" s="230"/>
      <c r="J410" s="230"/>
      <c r="K410" s="363"/>
      <c r="L410" s="364"/>
      <c r="M410" s="365"/>
      <c r="N410" s="366"/>
      <c r="O410" s="367"/>
      <c r="P410" s="368"/>
      <c r="Q410" s="369"/>
      <c r="R410" s="370"/>
      <c r="S410" s="370"/>
      <c r="T410" s="371"/>
      <c r="U410" s="372"/>
      <c r="V410" s="373"/>
      <c r="W410" s="398"/>
      <c r="X410" s="404"/>
      <c r="Y410" s="372"/>
      <c r="Z410" s="381"/>
      <c r="AA410" s="359"/>
      <c r="AB410" s="230"/>
      <c r="AC410" s="381"/>
      <c r="AD410" s="241"/>
      <c r="AE410" s="411"/>
      <c r="AF410" s="577"/>
      <c r="AG410" s="241"/>
      <c r="AH410" s="411"/>
      <c r="AI410" s="577"/>
      <c r="AJ410" s="241"/>
      <c r="AK410" s="411"/>
      <c r="AL410" s="577"/>
      <c r="AM410" s="241"/>
      <c r="AN410" s="411"/>
      <c r="AO410" s="577"/>
      <c r="AP410" s="241"/>
      <c r="AQ410" s="411"/>
      <c r="AR410" s="577"/>
      <c r="AS410" s="202"/>
    </row>
    <row r="411" spans="1:45" ht="13.5" hidden="1" customHeight="1">
      <c r="A411" s="12"/>
      <c r="B411" s="358" t="s">
        <v>2570</v>
      </c>
      <c r="C411" s="359">
        <v>2</v>
      </c>
      <c r="D411" s="359">
        <v>30</v>
      </c>
      <c r="E411" s="360"/>
      <c r="F411" s="524"/>
      <c r="G411" s="361"/>
      <c r="H411" s="362"/>
      <c r="I411" s="230"/>
      <c r="J411" s="230"/>
      <c r="K411" s="363"/>
      <c r="L411" s="364"/>
      <c r="M411" s="365"/>
      <c r="N411" s="366"/>
      <c r="O411" s="367"/>
      <c r="P411" s="368"/>
      <c r="Q411" s="369"/>
      <c r="R411" s="370"/>
      <c r="S411" s="370"/>
      <c r="T411" s="371"/>
      <c r="U411" s="372"/>
      <c r="V411" s="373"/>
      <c r="W411" s="374"/>
      <c r="X411" s="404"/>
      <c r="Y411" s="372"/>
      <c r="Z411" s="381"/>
      <c r="AA411" s="359"/>
      <c r="AB411" s="230"/>
      <c r="AC411" s="381"/>
      <c r="AD411" s="225"/>
      <c r="AE411" s="361"/>
      <c r="AF411" s="533"/>
      <c r="AG411" s="225"/>
      <c r="AH411" s="361"/>
      <c r="AI411" s="533"/>
      <c r="AJ411" s="225"/>
      <c r="AK411" s="361"/>
      <c r="AL411" s="533"/>
      <c r="AM411" s="225"/>
      <c r="AN411" s="361"/>
      <c r="AO411" s="533"/>
      <c r="AP411" s="225"/>
      <c r="AQ411" s="361"/>
      <c r="AR411" s="533"/>
      <c r="AS411" s="320"/>
    </row>
    <row r="412" spans="1:45" ht="13.5" hidden="1" customHeight="1">
      <c r="A412" s="12"/>
      <c r="B412" s="358"/>
      <c r="C412" s="359"/>
      <c r="D412" s="359"/>
      <c r="E412" s="360"/>
      <c r="F412" s="524"/>
      <c r="G412" s="378"/>
      <c r="H412" s="362"/>
      <c r="I412" s="230"/>
      <c r="J412" s="230"/>
      <c r="K412" s="363"/>
      <c r="L412" s="364"/>
      <c r="M412" s="365"/>
      <c r="N412" s="366"/>
      <c r="O412" s="367"/>
      <c r="P412" s="368"/>
      <c r="Q412" s="369"/>
      <c r="R412" s="370"/>
      <c r="S412" s="370"/>
      <c r="T412" s="371"/>
      <c r="U412" s="372"/>
      <c r="V412" s="373"/>
      <c r="W412" s="398"/>
      <c r="X412" s="404"/>
      <c r="Y412" s="372"/>
      <c r="Z412" s="381"/>
      <c r="AA412" s="359"/>
      <c r="AB412" s="230"/>
      <c r="AC412" s="381"/>
      <c r="AD412" s="241"/>
      <c r="AE412" s="411"/>
      <c r="AF412" s="577"/>
      <c r="AG412" s="241"/>
      <c r="AH412" s="411"/>
      <c r="AI412" s="577"/>
      <c r="AJ412" s="241"/>
      <c r="AK412" s="411"/>
      <c r="AL412" s="577"/>
      <c r="AM412" s="241"/>
      <c r="AN412" s="411"/>
      <c r="AO412" s="577"/>
      <c r="AP412" s="241"/>
      <c r="AQ412" s="411"/>
      <c r="AR412" s="577"/>
      <c r="AS412" s="202"/>
    </row>
    <row r="413" spans="1:45" ht="13.5" hidden="1" customHeight="1">
      <c r="A413" s="12"/>
      <c r="B413" s="358" t="s">
        <v>2570</v>
      </c>
      <c r="C413" s="359">
        <v>3</v>
      </c>
      <c r="D413" s="359">
        <v>31</v>
      </c>
      <c r="E413" s="360"/>
      <c r="F413" s="524"/>
      <c r="G413" s="361"/>
      <c r="H413" s="362"/>
      <c r="I413" s="230"/>
      <c r="J413" s="230"/>
      <c r="K413" s="363"/>
      <c r="L413" s="364"/>
      <c r="M413" s="365"/>
      <c r="N413" s="366"/>
      <c r="O413" s="367"/>
      <c r="P413" s="368"/>
      <c r="Q413" s="369"/>
      <c r="R413" s="370"/>
      <c r="S413" s="370"/>
      <c r="T413" s="371"/>
      <c r="U413" s="372"/>
      <c r="V413" s="373"/>
      <c r="W413" s="374"/>
      <c r="X413" s="404"/>
      <c r="Y413" s="372"/>
      <c r="Z413" s="381"/>
      <c r="AA413" s="359"/>
      <c r="AB413" s="230"/>
      <c r="AC413" s="381"/>
      <c r="AD413" s="225"/>
      <c r="AE413" s="361"/>
      <c r="AF413" s="533"/>
      <c r="AG413" s="225"/>
      <c r="AH413" s="361"/>
      <c r="AI413" s="533"/>
      <c r="AJ413" s="225"/>
      <c r="AK413" s="361"/>
      <c r="AL413" s="533"/>
      <c r="AM413" s="225"/>
      <c r="AN413" s="361"/>
      <c r="AO413" s="533"/>
      <c r="AP413" s="225"/>
      <c r="AQ413" s="361"/>
      <c r="AR413" s="533"/>
      <c r="AS413" s="320"/>
    </row>
    <row r="414" spans="1:45" ht="13.5" hidden="1" customHeight="1">
      <c r="A414" s="12"/>
      <c r="B414" s="358"/>
      <c r="C414" s="359"/>
      <c r="D414" s="359"/>
      <c r="E414" s="360"/>
      <c r="F414" s="524"/>
      <c r="G414" s="378"/>
      <c r="H414" s="362"/>
      <c r="I414" s="230"/>
      <c r="J414" s="230"/>
      <c r="K414" s="363"/>
      <c r="L414" s="364"/>
      <c r="M414" s="365"/>
      <c r="N414" s="366"/>
      <c r="O414" s="367"/>
      <c r="P414" s="368"/>
      <c r="Q414" s="369"/>
      <c r="R414" s="370"/>
      <c r="S414" s="370"/>
      <c r="T414" s="371"/>
      <c r="U414" s="372"/>
      <c r="V414" s="373"/>
      <c r="W414" s="398"/>
      <c r="X414" s="404"/>
      <c r="Y414" s="372"/>
      <c r="Z414" s="381"/>
      <c r="AA414" s="359"/>
      <c r="AB414" s="230"/>
      <c r="AC414" s="381"/>
      <c r="AD414" s="241"/>
      <c r="AE414" s="411"/>
      <c r="AF414" s="577"/>
      <c r="AG414" s="241"/>
      <c r="AH414" s="411"/>
      <c r="AI414" s="577"/>
      <c r="AJ414" s="241"/>
      <c r="AK414" s="411"/>
      <c r="AL414" s="577"/>
      <c r="AM414" s="241"/>
      <c r="AN414" s="411"/>
      <c r="AO414" s="577"/>
      <c r="AP414" s="241"/>
      <c r="AQ414" s="411"/>
      <c r="AR414" s="577"/>
      <c r="AS414" s="202"/>
    </row>
    <row r="415" spans="1:45" ht="13.5" hidden="1" customHeight="1">
      <c r="A415" s="12"/>
      <c r="B415" s="358" t="s">
        <v>2570</v>
      </c>
      <c r="C415" s="359">
        <v>4</v>
      </c>
      <c r="D415" s="359">
        <v>32</v>
      </c>
      <c r="E415" s="360"/>
      <c r="F415" s="524"/>
      <c r="G415" s="361"/>
      <c r="H415" s="362"/>
      <c r="I415" s="230"/>
      <c r="J415" s="230"/>
      <c r="K415" s="363"/>
      <c r="L415" s="364"/>
      <c r="M415" s="365"/>
      <c r="N415" s="366"/>
      <c r="O415" s="367"/>
      <c r="P415" s="368"/>
      <c r="Q415" s="369"/>
      <c r="R415" s="370"/>
      <c r="S415" s="370"/>
      <c r="T415" s="371"/>
      <c r="U415" s="372"/>
      <c r="V415" s="373"/>
      <c r="W415" s="374"/>
      <c r="X415" s="404"/>
      <c r="Y415" s="372"/>
      <c r="Z415" s="381"/>
      <c r="AA415" s="359"/>
      <c r="AB415" s="230"/>
      <c r="AC415" s="381"/>
      <c r="AD415" s="225"/>
      <c r="AE415" s="361"/>
      <c r="AF415" s="533"/>
      <c r="AG415" s="225"/>
      <c r="AH415" s="361"/>
      <c r="AI415" s="533"/>
      <c r="AJ415" s="225"/>
      <c r="AK415" s="361"/>
      <c r="AL415" s="533"/>
      <c r="AM415" s="225"/>
      <c r="AN415" s="361"/>
      <c r="AO415" s="533"/>
      <c r="AP415" s="225"/>
      <c r="AQ415" s="361"/>
      <c r="AR415" s="533"/>
      <c r="AS415" s="320"/>
    </row>
    <row r="416" spans="1:45" ht="13.5" hidden="1" customHeight="1">
      <c r="A416" s="12"/>
      <c r="B416" s="358"/>
      <c r="C416" s="359"/>
      <c r="D416" s="359"/>
      <c r="E416" s="360"/>
      <c r="F416" s="524"/>
      <c r="G416" s="378"/>
      <c r="H416" s="362"/>
      <c r="I416" s="230"/>
      <c r="J416" s="230"/>
      <c r="K416" s="363"/>
      <c r="L416" s="364"/>
      <c r="M416" s="365"/>
      <c r="N416" s="366"/>
      <c r="O416" s="367"/>
      <c r="P416" s="368"/>
      <c r="Q416" s="369"/>
      <c r="R416" s="370"/>
      <c r="S416" s="370"/>
      <c r="T416" s="371"/>
      <c r="U416" s="372"/>
      <c r="V416" s="373"/>
      <c r="W416" s="398"/>
      <c r="X416" s="404"/>
      <c r="Y416" s="372"/>
      <c r="Z416" s="381"/>
      <c r="AA416" s="359"/>
      <c r="AB416" s="230"/>
      <c r="AC416" s="381"/>
      <c r="AD416" s="241"/>
      <c r="AE416" s="411"/>
      <c r="AF416" s="577"/>
      <c r="AG416" s="241"/>
      <c r="AH416" s="411"/>
      <c r="AI416" s="577"/>
      <c r="AJ416" s="241"/>
      <c r="AK416" s="411"/>
      <c r="AL416" s="577"/>
      <c r="AM416" s="241"/>
      <c r="AN416" s="411"/>
      <c r="AO416" s="577"/>
      <c r="AP416" s="241"/>
      <c r="AQ416" s="411"/>
      <c r="AR416" s="577"/>
      <c r="AS416" s="202"/>
    </row>
    <row r="417" spans="1:45" ht="13.5" hidden="1" customHeight="1">
      <c r="A417" s="12"/>
      <c r="B417" s="358" t="s">
        <v>2570</v>
      </c>
      <c r="C417" s="359">
        <v>5</v>
      </c>
      <c r="D417" s="359">
        <v>33</v>
      </c>
      <c r="E417" s="360"/>
      <c r="F417" s="524"/>
      <c r="G417" s="361"/>
      <c r="H417" s="362"/>
      <c r="I417" s="230"/>
      <c r="J417" s="230"/>
      <c r="K417" s="363"/>
      <c r="L417" s="364"/>
      <c r="M417" s="365"/>
      <c r="N417" s="366"/>
      <c r="O417" s="367"/>
      <c r="P417" s="368"/>
      <c r="Q417" s="369"/>
      <c r="R417" s="370"/>
      <c r="S417" s="370"/>
      <c r="T417" s="371"/>
      <c r="U417" s="372"/>
      <c r="V417" s="373"/>
      <c r="W417" s="374"/>
      <c r="X417" s="404"/>
      <c r="Y417" s="372"/>
      <c r="Z417" s="381"/>
      <c r="AA417" s="359"/>
      <c r="AB417" s="230"/>
      <c r="AC417" s="381"/>
      <c r="AD417" s="225"/>
      <c r="AE417" s="361"/>
      <c r="AF417" s="533"/>
      <c r="AG417" s="225"/>
      <c r="AH417" s="361"/>
      <c r="AI417" s="533"/>
      <c r="AJ417" s="225"/>
      <c r="AK417" s="361"/>
      <c r="AL417" s="533"/>
      <c r="AM417" s="225"/>
      <c r="AN417" s="361"/>
      <c r="AO417" s="533"/>
      <c r="AP417" s="225"/>
      <c r="AQ417" s="361"/>
      <c r="AR417" s="533"/>
      <c r="AS417" s="320"/>
    </row>
    <row r="418" spans="1:45" ht="13.5" hidden="1" customHeight="1">
      <c r="A418" s="12"/>
      <c r="B418" s="358"/>
      <c r="C418" s="359"/>
      <c r="D418" s="359"/>
      <c r="E418" s="360"/>
      <c r="F418" s="524"/>
      <c r="G418" s="378"/>
      <c r="H418" s="362"/>
      <c r="I418" s="230"/>
      <c r="J418" s="230"/>
      <c r="K418" s="363"/>
      <c r="L418" s="364"/>
      <c r="M418" s="365"/>
      <c r="N418" s="366"/>
      <c r="O418" s="367"/>
      <c r="P418" s="368"/>
      <c r="Q418" s="369"/>
      <c r="R418" s="370"/>
      <c r="S418" s="370"/>
      <c r="T418" s="371"/>
      <c r="U418" s="372"/>
      <c r="V418" s="373"/>
      <c r="W418" s="398"/>
      <c r="X418" s="404"/>
      <c r="Y418" s="372"/>
      <c r="Z418" s="381"/>
      <c r="AA418" s="359"/>
      <c r="AB418" s="230"/>
      <c r="AC418" s="381"/>
      <c r="AD418" s="241"/>
      <c r="AE418" s="411"/>
      <c r="AF418" s="577"/>
      <c r="AG418" s="241"/>
      <c r="AH418" s="411"/>
      <c r="AI418" s="577"/>
      <c r="AJ418" s="241"/>
      <c r="AK418" s="411"/>
      <c r="AL418" s="577"/>
      <c r="AM418" s="241"/>
      <c r="AN418" s="411"/>
      <c r="AO418" s="577"/>
      <c r="AP418" s="241"/>
      <c r="AQ418" s="411"/>
      <c r="AR418" s="577"/>
      <c r="AS418" s="202"/>
    </row>
    <row r="419" spans="1:45" ht="13.5" hidden="1" customHeight="1">
      <c r="A419" s="12"/>
      <c r="B419" s="358" t="s">
        <v>2570</v>
      </c>
      <c r="C419" s="359">
        <v>6</v>
      </c>
      <c r="D419" s="359">
        <v>34</v>
      </c>
      <c r="E419" s="360"/>
      <c r="F419" s="524"/>
      <c r="G419" s="361"/>
      <c r="H419" s="362"/>
      <c r="I419" s="230"/>
      <c r="J419" s="230"/>
      <c r="K419" s="363"/>
      <c r="L419" s="364"/>
      <c r="M419" s="365"/>
      <c r="N419" s="366"/>
      <c r="O419" s="367"/>
      <c r="P419" s="368"/>
      <c r="Q419" s="369"/>
      <c r="R419" s="370"/>
      <c r="S419" s="370"/>
      <c r="T419" s="371"/>
      <c r="U419" s="372"/>
      <c r="V419" s="373"/>
      <c r="W419" s="374"/>
      <c r="X419" s="404"/>
      <c r="Y419" s="372"/>
      <c r="Z419" s="381"/>
      <c r="AA419" s="359"/>
      <c r="AB419" s="230"/>
      <c r="AC419" s="381"/>
      <c r="AD419" s="225"/>
      <c r="AE419" s="361"/>
      <c r="AF419" s="533"/>
      <c r="AG419" s="225"/>
      <c r="AH419" s="361"/>
      <c r="AI419" s="533"/>
      <c r="AJ419" s="225"/>
      <c r="AK419" s="361"/>
      <c r="AL419" s="533"/>
      <c r="AM419" s="225"/>
      <c r="AN419" s="361"/>
      <c r="AO419" s="533"/>
      <c r="AP419" s="225"/>
      <c r="AQ419" s="361"/>
      <c r="AR419" s="533"/>
      <c r="AS419" s="320"/>
    </row>
    <row r="420" spans="1:45" ht="13.5" hidden="1" customHeight="1">
      <c r="A420" s="12"/>
      <c r="B420" s="358"/>
      <c r="C420" s="359"/>
      <c r="D420" s="359"/>
      <c r="E420" s="360"/>
      <c r="F420" s="524"/>
      <c r="G420" s="378"/>
      <c r="H420" s="362"/>
      <c r="I420" s="230"/>
      <c r="J420" s="230"/>
      <c r="K420" s="363"/>
      <c r="L420" s="364"/>
      <c r="M420" s="365"/>
      <c r="N420" s="366"/>
      <c r="O420" s="367"/>
      <c r="P420" s="368"/>
      <c r="Q420" s="369"/>
      <c r="R420" s="370"/>
      <c r="S420" s="370"/>
      <c r="T420" s="371"/>
      <c r="U420" s="372"/>
      <c r="V420" s="373"/>
      <c r="W420" s="398"/>
      <c r="X420" s="404"/>
      <c r="Y420" s="372"/>
      <c r="Z420" s="381"/>
      <c r="AA420" s="359"/>
      <c r="AB420" s="230"/>
      <c r="AC420" s="381"/>
      <c r="AD420" s="241"/>
      <c r="AE420" s="411"/>
      <c r="AF420" s="577"/>
      <c r="AG420" s="241"/>
      <c r="AH420" s="411"/>
      <c r="AI420" s="577"/>
      <c r="AJ420" s="241"/>
      <c r="AK420" s="411"/>
      <c r="AL420" s="577"/>
      <c r="AM420" s="241"/>
      <c r="AN420" s="411"/>
      <c r="AO420" s="577"/>
      <c r="AP420" s="241"/>
      <c r="AQ420" s="411"/>
      <c r="AR420" s="577"/>
      <c r="AS420" s="202"/>
    </row>
    <row r="421" spans="1:45" ht="13.5" hidden="1" customHeight="1">
      <c r="A421" s="12"/>
      <c r="B421" s="358" t="s">
        <v>2570</v>
      </c>
      <c r="C421" s="359">
        <v>7</v>
      </c>
      <c r="D421" s="359">
        <v>35</v>
      </c>
      <c r="E421" s="360"/>
      <c r="F421" s="524"/>
      <c r="G421" s="361"/>
      <c r="H421" s="362"/>
      <c r="I421" s="230"/>
      <c r="J421" s="230"/>
      <c r="K421" s="363"/>
      <c r="L421" s="364"/>
      <c r="M421" s="365"/>
      <c r="N421" s="366"/>
      <c r="O421" s="367"/>
      <c r="P421" s="368"/>
      <c r="Q421" s="369"/>
      <c r="R421" s="370"/>
      <c r="S421" s="370"/>
      <c r="T421" s="371"/>
      <c r="U421" s="372"/>
      <c r="V421" s="373"/>
      <c r="W421" s="374"/>
      <c r="X421" s="404"/>
      <c r="Y421" s="372"/>
      <c r="Z421" s="381"/>
      <c r="AA421" s="359"/>
      <c r="AB421" s="230"/>
      <c r="AC421" s="381"/>
      <c r="AD421" s="225"/>
      <c r="AE421" s="361"/>
      <c r="AF421" s="533"/>
      <c r="AG421" s="225"/>
      <c r="AH421" s="361"/>
      <c r="AI421" s="533"/>
      <c r="AJ421" s="225"/>
      <c r="AK421" s="361"/>
      <c r="AL421" s="533"/>
      <c r="AM421" s="225"/>
      <c r="AN421" s="361"/>
      <c r="AO421" s="533"/>
      <c r="AP421" s="225"/>
      <c r="AQ421" s="361"/>
      <c r="AR421" s="533"/>
      <c r="AS421" s="320"/>
    </row>
    <row r="422" spans="1:45" ht="13.5" hidden="1" customHeight="1">
      <c r="A422" s="12"/>
      <c r="B422" s="358"/>
      <c r="C422" s="359"/>
      <c r="D422" s="359"/>
      <c r="E422" s="360"/>
      <c r="F422" s="524"/>
      <c r="G422" s="378"/>
      <c r="H422" s="362"/>
      <c r="I422" s="230"/>
      <c r="J422" s="230"/>
      <c r="K422" s="363"/>
      <c r="L422" s="451"/>
      <c r="M422" s="365"/>
      <c r="N422" s="366"/>
      <c r="O422" s="367"/>
      <c r="P422" s="368"/>
      <c r="Q422" s="369"/>
      <c r="R422" s="370"/>
      <c r="S422" s="370"/>
      <c r="T422" s="371"/>
      <c r="U422" s="372"/>
      <c r="V422" s="373"/>
      <c r="W422" s="398"/>
      <c r="X422" s="404"/>
      <c r="Y422" s="372"/>
      <c r="Z422" s="381"/>
      <c r="AA422" s="359"/>
      <c r="AB422" s="230"/>
      <c r="AC422" s="381"/>
      <c r="AD422" s="241"/>
      <c r="AE422" s="411"/>
      <c r="AF422" s="577"/>
      <c r="AG422" s="241"/>
      <c r="AH422" s="411"/>
      <c r="AI422" s="577"/>
      <c r="AJ422" s="241"/>
      <c r="AK422" s="411"/>
      <c r="AL422" s="577"/>
      <c r="AM422" s="241"/>
      <c r="AN422" s="411"/>
      <c r="AO422" s="577"/>
      <c r="AP422" s="241"/>
      <c r="AQ422" s="411"/>
      <c r="AR422" s="577"/>
      <c r="AS422" s="202"/>
    </row>
    <row r="423" spans="1:45" ht="13.5" hidden="1" customHeight="1">
      <c r="A423" s="12"/>
      <c r="B423" s="358" t="s">
        <v>2570</v>
      </c>
      <c r="C423" s="359">
        <v>8</v>
      </c>
      <c r="D423" s="359">
        <v>36</v>
      </c>
      <c r="E423" s="360"/>
      <c r="F423" s="524"/>
      <c r="G423" s="361"/>
      <c r="H423" s="362"/>
      <c r="I423" s="230"/>
      <c r="J423" s="230"/>
      <c r="K423" s="499"/>
      <c r="L423" s="244"/>
      <c r="M423" s="670"/>
      <c r="N423" s="409"/>
      <c r="O423" s="453"/>
      <c r="P423" s="454"/>
      <c r="Q423" s="504"/>
      <c r="R423" s="420"/>
      <c r="S423" s="420"/>
      <c r="T423" s="421"/>
      <c r="U423" s="387"/>
      <c r="V423" s="373"/>
      <c r="W423" s="374"/>
      <c r="X423" s="404"/>
      <c r="Y423" s="372"/>
      <c r="Z423" s="381"/>
      <c r="AA423" s="359"/>
      <c r="AB423" s="230"/>
      <c r="AC423" s="381"/>
      <c r="AD423" s="225"/>
      <c r="AE423" s="361"/>
      <c r="AF423" s="533"/>
      <c r="AG423" s="225"/>
      <c r="AH423" s="361"/>
      <c r="AI423" s="533"/>
      <c r="AJ423" s="225"/>
      <c r="AK423" s="361"/>
      <c r="AL423" s="533"/>
      <c r="AM423" s="225"/>
      <c r="AN423" s="361"/>
      <c r="AO423" s="533"/>
      <c r="AP423" s="225"/>
      <c r="AQ423" s="361"/>
      <c r="AR423" s="533"/>
      <c r="AS423" s="320"/>
    </row>
    <row r="424" spans="1:45" ht="13.5" hidden="1" customHeight="1">
      <c r="A424" s="12"/>
      <c r="B424" s="358"/>
      <c r="C424" s="359"/>
      <c r="D424" s="359"/>
      <c r="E424" s="360"/>
      <c r="F424" s="524"/>
      <c r="G424" s="378"/>
      <c r="H424" s="362"/>
      <c r="I424" s="230"/>
      <c r="J424" s="230"/>
      <c r="K424" s="499"/>
      <c r="L424" s="244"/>
      <c r="M424" s="670"/>
      <c r="N424" s="415"/>
      <c r="O424" s="580"/>
      <c r="P424" s="581"/>
      <c r="Q424" s="563"/>
      <c r="R424" s="582"/>
      <c r="S424" s="582"/>
      <c r="T424" s="606"/>
      <c r="U424" s="607"/>
      <c r="V424" s="373"/>
      <c r="W424" s="398"/>
      <c r="X424" s="404"/>
      <c r="Y424" s="372"/>
      <c r="Z424" s="381"/>
      <c r="AA424" s="359"/>
      <c r="AB424" s="230"/>
      <c r="AC424" s="381"/>
      <c r="AD424" s="241"/>
      <c r="AE424" s="411"/>
      <c r="AF424" s="577"/>
      <c r="AG424" s="241"/>
      <c r="AH424" s="411"/>
      <c r="AI424" s="577"/>
      <c r="AJ424" s="241"/>
      <c r="AK424" s="411"/>
      <c r="AL424" s="577"/>
      <c r="AM424" s="241"/>
      <c r="AN424" s="411"/>
      <c r="AO424" s="577"/>
      <c r="AP424" s="241"/>
      <c r="AQ424" s="411"/>
      <c r="AR424" s="577"/>
      <c r="AS424" s="202"/>
    </row>
    <row r="425" spans="1:45" ht="13.5" hidden="1" customHeight="1">
      <c r="A425" s="12"/>
      <c r="B425" s="358" t="s">
        <v>2570</v>
      </c>
      <c r="C425" s="359">
        <v>9</v>
      </c>
      <c r="D425" s="359">
        <v>37</v>
      </c>
      <c r="E425" s="360"/>
      <c r="F425" s="524"/>
      <c r="G425" s="361"/>
      <c r="H425" s="362"/>
      <c r="I425" s="230"/>
      <c r="J425" s="230"/>
      <c r="K425" s="499"/>
      <c r="L425" s="244"/>
      <c r="M425" s="670"/>
      <c r="N425" s="415"/>
      <c r="O425" s="580"/>
      <c r="P425" s="581"/>
      <c r="Q425" s="563"/>
      <c r="R425" s="582"/>
      <c r="S425" s="582"/>
      <c r="T425" s="606"/>
      <c r="U425" s="607"/>
      <c r="V425" s="373"/>
      <c r="W425" s="374"/>
      <c r="X425" s="404"/>
      <c r="Y425" s="372"/>
      <c r="Z425" s="381"/>
      <c r="AA425" s="359"/>
      <c r="AB425" s="230"/>
      <c r="AC425" s="381"/>
      <c r="AD425" s="225"/>
      <c r="AE425" s="361"/>
      <c r="AF425" s="533"/>
      <c r="AG425" s="225"/>
      <c r="AH425" s="361"/>
      <c r="AI425" s="533"/>
      <c r="AJ425" s="225"/>
      <c r="AK425" s="361"/>
      <c r="AL425" s="533"/>
      <c r="AM425" s="225"/>
      <c r="AN425" s="361"/>
      <c r="AO425" s="533"/>
      <c r="AP425" s="225"/>
      <c r="AQ425" s="361"/>
      <c r="AR425" s="533"/>
      <c r="AS425" s="320"/>
    </row>
    <row r="426" spans="1:45" ht="13.5" hidden="1" customHeight="1">
      <c r="A426" s="12"/>
      <c r="B426" s="358"/>
      <c r="C426" s="359"/>
      <c r="D426" s="359"/>
      <c r="E426" s="360"/>
      <c r="F426" s="524"/>
      <c r="G426" s="378"/>
      <c r="H426" s="362"/>
      <c r="I426" s="230"/>
      <c r="J426" s="230"/>
      <c r="K426" s="499"/>
      <c r="L426" s="244"/>
      <c r="M426" s="670"/>
      <c r="N426" s="415"/>
      <c r="O426" s="580"/>
      <c r="P426" s="581"/>
      <c r="Q426" s="563"/>
      <c r="R426" s="582"/>
      <c r="S426" s="582"/>
      <c r="T426" s="606"/>
      <c r="U426" s="607"/>
      <c r="V426" s="373"/>
      <c r="W426" s="398"/>
      <c r="X426" s="404"/>
      <c r="Y426" s="372"/>
      <c r="Z426" s="381"/>
      <c r="AA426" s="359"/>
      <c r="AB426" s="230"/>
      <c r="AC426" s="381"/>
      <c r="AD426" s="241"/>
      <c r="AE426" s="411"/>
      <c r="AF426" s="577"/>
      <c r="AG426" s="241"/>
      <c r="AH426" s="411"/>
      <c r="AI426" s="577"/>
      <c r="AJ426" s="241"/>
      <c r="AK426" s="411"/>
      <c r="AL426" s="577"/>
      <c r="AM426" s="241"/>
      <c r="AN426" s="411"/>
      <c r="AO426" s="577"/>
      <c r="AP426" s="241"/>
      <c r="AQ426" s="411"/>
      <c r="AR426" s="577"/>
      <c r="AS426" s="202"/>
    </row>
    <row r="427" spans="1:45" ht="13.5" hidden="1" customHeight="1">
      <c r="A427" s="12"/>
      <c r="B427" s="358" t="s">
        <v>2570</v>
      </c>
      <c r="C427" s="359">
        <v>10</v>
      </c>
      <c r="D427" s="359">
        <v>38</v>
      </c>
      <c r="E427" s="360"/>
      <c r="F427" s="524"/>
      <c r="G427" s="361"/>
      <c r="H427" s="362"/>
      <c r="I427" s="230"/>
      <c r="J427" s="230"/>
      <c r="K427" s="499"/>
      <c r="L427" s="244"/>
      <c r="M427" s="670"/>
      <c r="N427" s="415"/>
      <c r="O427" s="580"/>
      <c r="P427" s="581"/>
      <c r="Q427" s="563"/>
      <c r="R427" s="582"/>
      <c r="S427" s="582"/>
      <c r="T427" s="606"/>
      <c r="U427" s="607"/>
      <c r="V427" s="373"/>
      <c r="W427" s="374"/>
      <c r="X427" s="404"/>
      <c r="Y427" s="372"/>
      <c r="Z427" s="381"/>
      <c r="AA427" s="359"/>
      <c r="AB427" s="230"/>
      <c r="AC427" s="381"/>
      <c r="AD427" s="225"/>
      <c r="AE427" s="361"/>
      <c r="AF427" s="533"/>
      <c r="AG427" s="225"/>
      <c r="AH427" s="361"/>
      <c r="AI427" s="533"/>
      <c r="AJ427" s="225"/>
      <c r="AK427" s="361"/>
      <c r="AL427" s="533"/>
      <c r="AM427" s="225"/>
      <c r="AN427" s="361"/>
      <c r="AO427" s="533"/>
      <c r="AP427" s="225"/>
      <c r="AQ427" s="361"/>
      <c r="AR427" s="533"/>
      <c r="AS427" s="320"/>
    </row>
    <row r="428" spans="1:45" ht="13.5" hidden="1" customHeight="1">
      <c r="A428" s="12"/>
      <c r="B428" s="358"/>
      <c r="C428" s="359"/>
      <c r="D428" s="359"/>
      <c r="E428" s="360"/>
      <c r="F428" s="524"/>
      <c r="G428" s="378"/>
      <c r="H428" s="362"/>
      <c r="I428" s="230"/>
      <c r="J428" s="230"/>
      <c r="K428" s="499"/>
      <c r="L428" s="244"/>
      <c r="M428" s="670"/>
      <c r="N428" s="425"/>
      <c r="O428" s="440"/>
      <c r="P428" s="429"/>
      <c r="Q428" s="442"/>
      <c r="R428" s="433"/>
      <c r="S428" s="433"/>
      <c r="T428" s="434"/>
      <c r="U428" s="376"/>
      <c r="V428" s="373"/>
      <c r="W428" s="398"/>
      <c r="X428" s="404"/>
      <c r="Y428" s="372"/>
      <c r="Z428" s="381"/>
      <c r="AA428" s="359"/>
      <c r="AB428" s="230"/>
      <c r="AC428" s="381"/>
      <c r="AD428" s="241"/>
      <c r="AE428" s="411"/>
      <c r="AF428" s="577"/>
      <c r="AG428" s="241"/>
      <c r="AH428" s="411"/>
      <c r="AI428" s="577"/>
      <c r="AJ428" s="241"/>
      <c r="AK428" s="411"/>
      <c r="AL428" s="577"/>
      <c r="AM428" s="241"/>
      <c r="AN428" s="411"/>
      <c r="AO428" s="577"/>
      <c r="AP428" s="241"/>
      <c r="AQ428" s="411"/>
      <c r="AR428" s="577"/>
      <c r="AS428" s="202"/>
    </row>
    <row r="429" spans="1:45" ht="13.5" hidden="1" customHeight="1">
      <c r="A429" s="12"/>
      <c r="B429" s="358" t="s">
        <v>2570</v>
      </c>
      <c r="C429" s="359">
        <v>11</v>
      </c>
      <c r="D429" s="359">
        <v>39</v>
      </c>
      <c r="E429" s="360"/>
      <c r="F429" s="524"/>
      <c r="G429" s="361"/>
      <c r="H429" s="362"/>
      <c r="I429" s="230"/>
      <c r="J429" s="230"/>
      <c r="K429" s="363"/>
      <c r="L429" s="427"/>
      <c r="M429" s="365"/>
      <c r="N429" s="366"/>
      <c r="O429" s="367"/>
      <c r="P429" s="368"/>
      <c r="Q429" s="369"/>
      <c r="R429" s="370"/>
      <c r="S429" s="370"/>
      <c r="T429" s="371"/>
      <c r="U429" s="372"/>
      <c r="V429" s="373"/>
      <c r="W429" s="374"/>
      <c r="X429" s="404"/>
      <c r="Y429" s="372"/>
      <c r="Z429" s="381"/>
      <c r="AA429" s="359"/>
      <c r="AB429" s="230"/>
      <c r="AC429" s="381"/>
      <c r="AD429" s="225"/>
      <c r="AE429" s="361"/>
      <c r="AF429" s="533"/>
      <c r="AG429" s="225"/>
      <c r="AH429" s="361"/>
      <c r="AI429" s="533"/>
      <c r="AJ429" s="225"/>
      <c r="AK429" s="361"/>
      <c r="AL429" s="533"/>
      <c r="AM429" s="225"/>
      <c r="AN429" s="361"/>
      <c r="AO429" s="533"/>
      <c r="AP429" s="225"/>
      <c r="AQ429" s="361"/>
      <c r="AR429" s="533"/>
      <c r="AS429" s="320"/>
    </row>
    <row r="430" spans="1:45" ht="13.5" hidden="1" customHeight="1">
      <c r="A430" s="12"/>
      <c r="B430" s="358"/>
      <c r="C430" s="359"/>
      <c r="D430" s="359"/>
      <c r="E430" s="360"/>
      <c r="F430" s="524"/>
      <c r="G430" s="378"/>
      <c r="H430" s="362"/>
      <c r="I430" s="230"/>
      <c r="J430" s="230"/>
      <c r="K430" s="363"/>
      <c r="L430" s="364"/>
      <c r="M430" s="365"/>
      <c r="N430" s="366"/>
      <c r="O430" s="367"/>
      <c r="P430" s="368"/>
      <c r="Q430" s="369"/>
      <c r="R430" s="370"/>
      <c r="S430" s="370"/>
      <c r="T430" s="371"/>
      <c r="U430" s="372"/>
      <c r="V430" s="373"/>
      <c r="W430" s="398"/>
      <c r="X430" s="404"/>
      <c r="Y430" s="372"/>
      <c r="Z430" s="381"/>
      <c r="AA430" s="359"/>
      <c r="AB430" s="230"/>
      <c r="AC430" s="381"/>
      <c r="AD430" s="241"/>
      <c r="AE430" s="411"/>
      <c r="AF430" s="577"/>
      <c r="AG430" s="241"/>
      <c r="AH430" s="411"/>
      <c r="AI430" s="577"/>
      <c r="AJ430" s="241"/>
      <c r="AK430" s="411"/>
      <c r="AL430" s="577"/>
      <c r="AM430" s="241"/>
      <c r="AN430" s="411"/>
      <c r="AO430" s="577"/>
      <c r="AP430" s="241"/>
      <c r="AQ430" s="411"/>
      <c r="AR430" s="577"/>
      <c r="AS430" s="202"/>
    </row>
    <row r="431" spans="1:45" ht="13.5" hidden="1" customHeight="1">
      <c r="A431" s="12"/>
      <c r="B431" s="358" t="s">
        <v>2570</v>
      </c>
      <c r="C431" s="359">
        <v>12</v>
      </c>
      <c r="D431" s="359">
        <v>40</v>
      </c>
      <c r="E431" s="360"/>
      <c r="F431" s="524"/>
      <c r="G431" s="361"/>
      <c r="H431" s="362"/>
      <c r="I431" s="230"/>
      <c r="J431" s="230"/>
      <c r="K431" s="363"/>
      <c r="L431" s="364"/>
      <c r="M431" s="365"/>
      <c r="N431" s="366"/>
      <c r="O431" s="367"/>
      <c r="P431" s="368"/>
      <c r="Q431" s="369"/>
      <c r="R431" s="370"/>
      <c r="S431" s="370"/>
      <c r="T431" s="371"/>
      <c r="U431" s="372"/>
      <c r="V431" s="373"/>
      <c r="W431" s="374"/>
      <c r="X431" s="404"/>
      <c r="Y431" s="372"/>
      <c r="Z431" s="381"/>
      <c r="AA431" s="359"/>
      <c r="AB431" s="230"/>
      <c r="AC431" s="381"/>
      <c r="AD431" s="225"/>
      <c r="AE431" s="361"/>
      <c r="AF431" s="533"/>
      <c r="AG431" s="225"/>
      <c r="AH431" s="361"/>
      <c r="AI431" s="533"/>
      <c r="AJ431" s="225"/>
      <c r="AK431" s="361"/>
      <c r="AL431" s="533"/>
      <c r="AM431" s="225"/>
      <c r="AN431" s="361"/>
      <c r="AO431" s="533"/>
      <c r="AP431" s="225"/>
      <c r="AQ431" s="361"/>
      <c r="AR431" s="533"/>
      <c r="AS431" s="320"/>
    </row>
    <row r="432" spans="1:45" ht="13.5" hidden="1" customHeight="1">
      <c r="A432" s="12"/>
      <c r="B432" s="358"/>
      <c r="C432" s="359"/>
      <c r="D432" s="359"/>
      <c r="E432" s="360"/>
      <c r="F432" s="524"/>
      <c r="G432" s="378"/>
      <c r="H432" s="362"/>
      <c r="I432" s="230"/>
      <c r="J432" s="230"/>
      <c r="K432" s="363"/>
      <c r="L432" s="364"/>
      <c r="M432" s="365"/>
      <c r="N432" s="366"/>
      <c r="O432" s="367"/>
      <c r="P432" s="368"/>
      <c r="Q432" s="369"/>
      <c r="R432" s="370"/>
      <c r="S432" s="370"/>
      <c r="T432" s="371"/>
      <c r="U432" s="372"/>
      <c r="V432" s="373"/>
      <c r="W432" s="398"/>
      <c r="X432" s="404"/>
      <c r="Y432" s="372"/>
      <c r="Z432" s="381"/>
      <c r="AA432" s="359"/>
      <c r="AB432" s="230"/>
      <c r="AC432" s="381"/>
      <c r="AD432" s="241"/>
      <c r="AE432" s="411"/>
      <c r="AF432" s="577"/>
      <c r="AG432" s="241"/>
      <c r="AH432" s="411"/>
      <c r="AI432" s="577"/>
      <c r="AJ432" s="241"/>
      <c r="AK432" s="411"/>
      <c r="AL432" s="577"/>
      <c r="AM432" s="241"/>
      <c r="AN432" s="411"/>
      <c r="AO432" s="577"/>
      <c r="AP432" s="241"/>
      <c r="AQ432" s="411"/>
      <c r="AR432" s="577"/>
      <c r="AS432" s="202"/>
    </row>
    <row r="433" spans="1:45" ht="13.5" hidden="1" customHeight="1">
      <c r="A433" s="12"/>
      <c r="B433" s="358" t="s">
        <v>2570</v>
      </c>
      <c r="C433" s="359">
        <v>13</v>
      </c>
      <c r="D433" s="359">
        <v>41</v>
      </c>
      <c r="E433" s="360"/>
      <c r="F433" s="524"/>
      <c r="G433" s="361"/>
      <c r="H433" s="362"/>
      <c r="I433" s="230"/>
      <c r="J433" s="230"/>
      <c r="K433" s="363"/>
      <c r="L433" s="364"/>
      <c r="M433" s="365"/>
      <c r="N433" s="366"/>
      <c r="O433" s="367"/>
      <c r="P433" s="368"/>
      <c r="Q433" s="369"/>
      <c r="R433" s="370"/>
      <c r="S433" s="370"/>
      <c r="T433" s="371"/>
      <c r="U433" s="372"/>
      <c r="V433" s="373"/>
      <c r="W433" s="374"/>
      <c r="X433" s="404"/>
      <c r="Y433" s="372"/>
      <c r="Z433" s="381"/>
      <c r="AA433" s="359"/>
      <c r="AB433" s="230"/>
      <c r="AC433" s="381"/>
      <c r="AD433" s="225"/>
      <c r="AE433" s="361"/>
      <c r="AF433" s="533"/>
      <c r="AG433" s="225"/>
      <c r="AH433" s="361"/>
      <c r="AI433" s="533"/>
      <c r="AJ433" s="225"/>
      <c r="AK433" s="361"/>
      <c r="AL433" s="533"/>
      <c r="AM433" s="225"/>
      <c r="AN433" s="361"/>
      <c r="AO433" s="533"/>
      <c r="AP433" s="225"/>
      <c r="AQ433" s="361"/>
      <c r="AR433" s="533"/>
      <c r="AS433" s="320"/>
    </row>
    <row r="434" spans="1:45" ht="13.5" hidden="1" customHeight="1">
      <c r="A434" s="12"/>
      <c r="B434" s="358"/>
      <c r="C434" s="359"/>
      <c r="D434" s="359"/>
      <c r="E434" s="360"/>
      <c r="F434" s="524"/>
      <c r="G434" s="378"/>
      <c r="H434" s="362"/>
      <c r="I434" s="230"/>
      <c r="J434" s="230"/>
      <c r="K434" s="363"/>
      <c r="L434" s="364"/>
      <c r="M434" s="365"/>
      <c r="N434" s="366"/>
      <c r="O434" s="367"/>
      <c r="P434" s="368"/>
      <c r="Q434" s="369"/>
      <c r="R434" s="370"/>
      <c r="S434" s="370"/>
      <c r="T434" s="371"/>
      <c r="U434" s="372"/>
      <c r="V434" s="373"/>
      <c r="W434" s="398"/>
      <c r="X434" s="404"/>
      <c r="Y434" s="372"/>
      <c r="Z434" s="381"/>
      <c r="AA434" s="359"/>
      <c r="AB434" s="230"/>
      <c r="AC434" s="381"/>
      <c r="AD434" s="241"/>
      <c r="AE434" s="411"/>
      <c r="AF434" s="577"/>
      <c r="AG434" s="241"/>
      <c r="AH434" s="411"/>
      <c r="AI434" s="577"/>
      <c r="AJ434" s="241"/>
      <c r="AK434" s="411"/>
      <c r="AL434" s="577"/>
      <c r="AM434" s="241"/>
      <c r="AN434" s="411"/>
      <c r="AO434" s="577"/>
      <c r="AP434" s="241"/>
      <c r="AQ434" s="411"/>
      <c r="AR434" s="577"/>
      <c r="AS434" s="202"/>
    </row>
    <row r="435" spans="1:45" ht="13.5" hidden="1" customHeight="1">
      <c r="A435" s="12"/>
      <c r="B435" s="358" t="s">
        <v>2570</v>
      </c>
      <c r="C435" s="359">
        <v>14</v>
      </c>
      <c r="D435" s="359">
        <v>42</v>
      </c>
      <c r="E435" s="360"/>
      <c r="F435" s="524"/>
      <c r="G435" s="361"/>
      <c r="H435" s="362"/>
      <c r="I435" s="230"/>
      <c r="J435" s="230"/>
      <c r="K435" s="363"/>
      <c r="L435" s="364"/>
      <c r="M435" s="365"/>
      <c r="N435" s="366"/>
      <c r="O435" s="367"/>
      <c r="P435" s="368"/>
      <c r="Q435" s="369"/>
      <c r="R435" s="370"/>
      <c r="S435" s="370"/>
      <c r="T435" s="371"/>
      <c r="U435" s="372"/>
      <c r="V435" s="373"/>
      <c r="W435" s="374"/>
      <c r="X435" s="404"/>
      <c r="Y435" s="372"/>
      <c r="Z435" s="381"/>
      <c r="AA435" s="359"/>
      <c r="AB435" s="230"/>
      <c r="AC435" s="381"/>
      <c r="AD435" s="225"/>
      <c r="AE435" s="361"/>
      <c r="AF435" s="533"/>
      <c r="AG435" s="225"/>
      <c r="AH435" s="361"/>
      <c r="AI435" s="533"/>
      <c r="AJ435" s="225"/>
      <c r="AK435" s="361"/>
      <c r="AL435" s="533"/>
      <c r="AM435" s="225"/>
      <c r="AN435" s="361"/>
      <c r="AO435" s="533"/>
      <c r="AP435" s="225"/>
      <c r="AQ435" s="361"/>
      <c r="AR435" s="533"/>
      <c r="AS435" s="320"/>
    </row>
    <row r="436" spans="1:45" ht="13.5" hidden="1" customHeight="1">
      <c r="A436" s="12"/>
      <c r="B436" s="358"/>
      <c r="C436" s="359"/>
      <c r="D436" s="359"/>
      <c r="E436" s="360"/>
      <c r="F436" s="524"/>
      <c r="G436" s="378"/>
      <c r="H436" s="362"/>
      <c r="I436" s="230"/>
      <c r="J436" s="230"/>
      <c r="K436" s="363"/>
      <c r="L436" s="364"/>
      <c r="M436" s="365"/>
      <c r="N436" s="366"/>
      <c r="O436" s="367"/>
      <c r="P436" s="368"/>
      <c r="Q436" s="369"/>
      <c r="R436" s="370"/>
      <c r="S436" s="370"/>
      <c r="T436" s="371"/>
      <c r="U436" s="372"/>
      <c r="V436" s="373"/>
      <c r="W436" s="398"/>
      <c r="X436" s="404"/>
      <c r="Y436" s="372"/>
      <c r="Z436" s="381"/>
      <c r="AA436" s="359"/>
      <c r="AB436" s="230"/>
      <c r="AC436" s="381"/>
      <c r="AD436" s="241"/>
      <c r="AE436" s="411"/>
      <c r="AF436" s="577"/>
      <c r="AG436" s="241"/>
      <c r="AH436" s="411"/>
      <c r="AI436" s="577"/>
      <c r="AJ436" s="241"/>
      <c r="AK436" s="411"/>
      <c r="AL436" s="577"/>
      <c r="AM436" s="241"/>
      <c r="AN436" s="411"/>
      <c r="AO436" s="577"/>
      <c r="AP436" s="241"/>
      <c r="AQ436" s="411"/>
      <c r="AR436" s="577"/>
      <c r="AS436" s="202"/>
    </row>
    <row r="437" spans="1:45" ht="13.5" hidden="1" customHeight="1">
      <c r="A437" s="12"/>
      <c r="B437" s="358" t="s">
        <v>2570</v>
      </c>
      <c r="C437" s="359">
        <v>15</v>
      </c>
      <c r="D437" s="359">
        <v>43</v>
      </c>
      <c r="E437" s="360"/>
      <c r="F437" s="524"/>
      <c r="G437" s="361"/>
      <c r="H437" s="362"/>
      <c r="I437" s="230"/>
      <c r="J437" s="230"/>
      <c r="K437" s="363"/>
      <c r="L437" s="364"/>
      <c r="M437" s="365"/>
      <c r="N437" s="366"/>
      <c r="O437" s="367"/>
      <c r="P437" s="368"/>
      <c r="Q437" s="369"/>
      <c r="R437" s="370"/>
      <c r="S437" s="370"/>
      <c r="T437" s="371"/>
      <c r="U437" s="372"/>
      <c r="V437" s="373"/>
      <c r="W437" s="374"/>
      <c r="X437" s="404"/>
      <c r="Y437" s="372"/>
      <c r="Z437" s="381"/>
      <c r="AA437" s="359"/>
      <c r="AB437" s="230"/>
      <c r="AC437" s="381"/>
      <c r="AD437" s="225"/>
      <c r="AE437" s="361"/>
      <c r="AF437" s="533"/>
      <c r="AG437" s="225"/>
      <c r="AH437" s="361"/>
      <c r="AI437" s="533"/>
      <c r="AJ437" s="225"/>
      <c r="AK437" s="361"/>
      <c r="AL437" s="533"/>
      <c r="AM437" s="225"/>
      <c r="AN437" s="361"/>
      <c r="AO437" s="533"/>
      <c r="AP437" s="225"/>
      <c r="AQ437" s="361"/>
      <c r="AR437" s="533"/>
      <c r="AS437" s="320"/>
    </row>
    <row r="438" spans="1:45" ht="13.5" hidden="1" customHeight="1">
      <c r="A438" s="12"/>
      <c r="B438" s="358"/>
      <c r="C438" s="359"/>
      <c r="D438" s="359"/>
      <c r="E438" s="447"/>
      <c r="F438" s="546"/>
      <c r="G438" s="411"/>
      <c r="H438" s="562"/>
      <c r="I438" s="361"/>
      <c r="J438" s="361"/>
      <c r="K438" s="363"/>
      <c r="L438" s="364"/>
      <c r="M438" s="365"/>
      <c r="N438" s="366"/>
      <c r="O438" s="367"/>
      <c r="P438" s="368"/>
      <c r="Q438" s="369"/>
      <c r="R438" s="370"/>
      <c r="S438" s="370"/>
      <c r="T438" s="371"/>
      <c r="U438" s="372"/>
      <c r="V438" s="373"/>
      <c r="W438" s="398"/>
      <c r="X438" s="404"/>
      <c r="Y438" s="372"/>
      <c r="Z438" s="381"/>
      <c r="AA438" s="359"/>
      <c r="AB438" s="230"/>
      <c r="AC438" s="381"/>
      <c r="AD438" s="241"/>
      <c r="AE438" s="411"/>
      <c r="AF438" s="577"/>
      <c r="AG438" s="241"/>
      <c r="AH438" s="411"/>
      <c r="AI438" s="577"/>
      <c r="AJ438" s="241"/>
      <c r="AK438" s="411"/>
      <c r="AL438" s="577"/>
      <c r="AM438" s="241"/>
      <c r="AN438" s="411"/>
      <c r="AO438" s="577"/>
      <c r="AP438" s="241"/>
      <c r="AQ438" s="411"/>
      <c r="AR438" s="577"/>
      <c r="AS438" s="202"/>
    </row>
    <row r="439" spans="1:45" ht="13.5" hidden="1" customHeight="1">
      <c r="A439" s="12"/>
      <c r="B439" s="358" t="s">
        <v>2570</v>
      </c>
      <c r="C439" s="359">
        <v>16</v>
      </c>
      <c r="D439" s="671">
        <v>44</v>
      </c>
      <c r="E439" s="243"/>
      <c r="F439" s="264"/>
      <c r="G439" s="264"/>
      <c r="H439" s="253"/>
      <c r="I439" s="242"/>
      <c r="J439" s="242"/>
      <c r="K439" s="446"/>
      <c r="L439" s="364"/>
      <c r="M439" s="365"/>
      <c r="N439" s="366"/>
      <c r="O439" s="367"/>
      <c r="P439" s="368"/>
      <c r="Q439" s="369"/>
      <c r="R439" s="370"/>
      <c r="S439" s="370"/>
      <c r="T439" s="371"/>
      <c r="U439" s="372"/>
      <c r="V439" s="373"/>
      <c r="W439" s="374"/>
      <c r="X439" s="404"/>
      <c r="Y439" s="372"/>
      <c r="Z439" s="381"/>
      <c r="AA439" s="359"/>
      <c r="AB439" s="230"/>
      <c r="AC439" s="381"/>
      <c r="AD439" s="225"/>
      <c r="AE439" s="361"/>
      <c r="AF439" s="533"/>
      <c r="AG439" s="225"/>
      <c r="AH439" s="361"/>
      <c r="AI439" s="533"/>
      <c r="AJ439" s="225"/>
      <c r="AK439" s="361"/>
      <c r="AL439" s="533"/>
      <c r="AM439" s="225"/>
      <c r="AN439" s="361"/>
      <c r="AO439" s="533"/>
      <c r="AP439" s="225"/>
      <c r="AQ439" s="361"/>
      <c r="AR439" s="533"/>
      <c r="AS439" s="320"/>
    </row>
    <row r="440" spans="1:45" ht="13.5" hidden="1" customHeight="1">
      <c r="A440" s="12"/>
      <c r="B440" s="358"/>
      <c r="C440" s="359"/>
      <c r="D440" s="671"/>
      <c r="E440" s="243"/>
      <c r="F440" s="521"/>
      <c r="G440" s="521"/>
      <c r="H440" s="242"/>
      <c r="I440" s="242"/>
      <c r="J440" s="242"/>
      <c r="K440" s="446"/>
      <c r="L440" s="364"/>
      <c r="M440" s="365"/>
      <c r="N440" s="366"/>
      <c r="O440" s="367"/>
      <c r="P440" s="368"/>
      <c r="Q440" s="369"/>
      <c r="R440" s="370"/>
      <c r="S440" s="370"/>
      <c r="T440" s="371"/>
      <c r="U440" s="372"/>
      <c r="V440" s="373"/>
      <c r="W440" s="398"/>
      <c r="X440" s="404"/>
      <c r="Y440" s="372"/>
      <c r="Z440" s="381"/>
      <c r="AA440" s="359"/>
      <c r="AB440" s="230"/>
      <c r="AC440" s="381"/>
      <c r="AD440" s="241"/>
      <c r="AE440" s="411"/>
      <c r="AF440" s="577"/>
      <c r="AG440" s="241"/>
      <c r="AH440" s="411"/>
      <c r="AI440" s="577"/>
      <c r="AJ440" s="241"/>
      <c r="AK440" s="411"/>
      <c r="AL440" s="577"/>
      <c r="AM440" s="241"/>
      <c r="AN440" s="411"/>
      <c r="AO440" s="577"/>
      <c r="AP440" s="241"/>
      <c r="AQ440" s="411"/>
      <c r="AR440" s="577"/>
      <c r="AS440" s="202"/>
    </row>
    <row r="441" spans="1:45" ht="13.5" hidden="1" customHeight="1">
      <c r="A441" s="12"/>
      <c r="B441" s="358" t="s">
        <v>2570</v>
      </c>
      <c r="C441" s="359">
        <v>17</v>
      </c>
      <c r="D441" s="359">
        <v>45</v>
      </c>
      <c r="E441" s="437"/>
      <c r="F441" s="551"/>
      <c r="G441" s="264"/>
      <c r="H441" s="426"/>
      <c r="I441" s="378"/>
      <c r="J441" s="378"/>
      <c r="K441" s="363"/>
      <c r="L441" s="364"/>
      <c r="M441" s="365"/>
      <c r="N441" s="366"/>
      <c r="O441" s="367"/>
      <c r="P441" s="368"/>
      <c r="Q441" s="369"/>
      <c r="R441" s="370"/>
      <c r="S441" s="370"/>
      <c r="T441" s="371"/>
      <c r="U441" s="372"/>
      <c r="V441" s="373"/>
      <c r="W441" s="374"/>
      <c r="X441" s="404"/>
      <c r="Y441" s="372"/>
      <c r="Z441" s="381"/>
      <c r="AA441" s="359"/>
      <c r="AB441" s="230"/>
      <c r="AC441" s="381"/>
      <c r="AD441" s="225"/>
      <c r="AE441" s="361"/>
      <c r="AF441" s="533"/>
      <c r="AG441" s="225"/>
      <c r="AH441" s="361"/>
      <c r="AI441" s="533"/>
      <c r="AJ441" s="225"/>
      <c r="AK441" s="361"/>
      <c r="AL441" s="533"/>
      <c r="AM441" s="225"/>
      <c r="AN441" s="361"/>
      <c r="AO441" s="533"/>
      <c r="AP441" s="225"/>
      <c r="AQ441" s="361"/>
      <c r="AR441" s="533"/>
      <c r="AS441" s="320"/>
    </row>
    <row r="442" spans="1:45" ht="13.5" hidden="1" customHeight="1">
      <c r="A442" s="12"/>
      <c r="B442" s="358"/>
      <c r="C442" s="359"/>
      <c r="D442" s="359"/>
      <c r="E442" s="360"/>
      <c r="F442" s="524"/>
      <c r="G442" s="378"/>
      <c r="H442" s="362"/>
      <c r="I442" s="230"/>
      <c r="J442" s="230"/>
      <c r="K442" s="363"/>
      <c r="L442" s="364"/>
      <c r="M442" s="365"/>
      <c r="N442" s="366"/>
      <c r="O442" s="367"/>
      <c r="P442" s="368"/>
      <c r="Q442" s="369"/>
      <c r="R442" s="370"/>
      <c r="S442" s="370"/>
      <c r="T442" s="371"/>
      <c r="U442" s="372"/>
      <c r="V442" s="373"/>
      <c r="W442" s="398"/>
      <c r="X442" s="404"/>
      <c r="Y442" s="372"/>
      <c r="Z442" s="381"/>
      <c r="AA442" s="359"/>
      <c r="AB442" s="230"/>
      <c r="AC442" s="381"/>
      <c r="AD442" s="241"/>
      <c r="AE442" s="411"/>
      <c r="AF442" s="577"/>
      <c r="AG442" s="241"/>
      <c r="AH442" s="411"/>
      <c r="AI442" s="577"/>
      <c r="AJ442" s="241"/>
      <c r="AK442" s="411"/>
      <c r="AL442" s="577"/>
      <c r="AM442" s="241"/>
      <c r="AN442" s="411"/>
      <c r="AO442" s="577"/>
      <c r="AP442" s="241"/>
      <c r="AQ442" s="411"/>
      <c r="AR442" s="577"/>
      <c r="AS442" s="202"/>
    </row>
    <row r="443" spans="1:45" ht="13.5" hidden="1" customHeight="1">
      <c r="A443" s="12"/>
      <c r="B443" s="358" t="s">
        <v>2570</v>
      </c>
      <c r="C443" s="359">
        <v>18</v>
      </c>
      <c r="D443" s="359">
        <v>46</v>
      </c>
      <c r="E443" s="360"/>
      <c r="F443" s="524"/>
      <c r="G443" s="524"/>
      <c r="H443" s="362"/>
      <c r="I443" s="230"/>
      <c r="J443" s="230"/>
      <c r="K443" s="363"/>
      <c r="L443" s="364"/>
      <c r="M443" s="365"/>
      <c r="N443" s="366"/>
      <c r="O443" s="367"/>
      <c r="P443" s="368"/>
      <c r="Q443" s="369"/>
      <c r="R443" s="370"/>
      <c r="S443" s="370"/>
      <c r="T443" s="371"/>
      <c r="U443" s="372"/>
      <c r="V443" s="373"/>
      <c r="W443" s="374"/>
      <c r="X443" s="404"/>
      <c r="Y443" s="372"/>
      <c r="Z443" s="381"/>
      <c r="AA443" s="359"/>
      <c r="AB443" s="230"/>
      <c r="AC443" s="381"/>
      <c r="AD443" s="225"/>
      <c r="AE443" s="361"/>
      <c r="AF443" s="533"/>
      <c r="AG443" s="225"/>
      <c r="AH443" s="361"/>
      <c r="AI443" s="533"/>
      <c r="AJ443" s="225"/>
      <c r="AK443" s="361"/>
      <c r="AL443" s="533"/>
      <c r="AM443" s="225"/>
      <c r="AN443" s="361"/>
      <c r="AO443" s="533"/>
      <c r="AP443" s="225"/>
      <c r="AQ443" s="361"/>
      <c r="AR443" s="533"/>
      <c r="AS443" s="320"/>
    </row>
    <row r="444" spans="1:45" ht="13.5" hidden="1" customHeight="1">
      <c r="A444" s="12"/>
      <c r="B444" s="358"/>
      <c r="C444" s="359"/>
      <c r="D444" s="359"/>
      <c r="E444" s="360"/>
      <c r="F444" s="524"/>
      <c r="G444" s="524"/>
      <c r="H444" s="362"/>
      <c r="I444" s="230"/>
      <c r="J444" s="230"/>
      <c r="K444" s="363"/>
      <c r="L444" s="364"/>
      <c r="M444" s="365"/>
      <c r="N444" s="366"/>
      <c r="O444" s="367"/>
      <c r="P444" s="368"/>
      <c r="Q444" s="369"/>
      <c r="R444" s="370"/>
      <c r="S444" s="370"/>
      <c r="T444" s="371"/>
      <c r="U444" s="372"/>
      <c r="V444" s="373"/>
      <c r="W444" s="398"/>
      <c r="X444" s="404"/>
      <c r="Y444" s="372"/>
      <c r="Z444" s="381"/>
      <c r="AA444" s="359"/>
      <c r="AB444" s="230"/>
      <c r="AC444" s="381"/>
      <c r="AD444" s="241"/>
      <c r="AE444" s="411"/>
      <c r="AF444" s="577"/>
      <c r="AG444" s="241"/>
      <c r="AH444" s="411"/>
      <c r="AI444" s="577"/>
      <c r="AJ444" s="241"/>
      <c r="AK444" s="411"/>
      <c r="AL444" s="577"/>
      <c r="AM444" s="241"/>
      <c r="AN444" s="411"/>
      <c r="AO444" s="577"/>
      <c r="AP444" s="241"/>
      <c r="AQ444" s="411"/>
      <c r="AR444" s="577"/>
      <c r="AS444" s="202"/>
    </row>
    <row r="445" spans="1:45" ht="13.5" hidden="1" customHeight="1">
      <c r="A445" s="12"/>
      <c r="B445" s="358" t="s">
        <v>2570</v>
      </c>
      <c r="C445" s="359">
        <v>19</v>
      </c>
      <c r="D445" s="359">
        <v>47</v>
      </c>
      <c r="E445" s="360"/>
      <c r="F445" s="524"/>
      <c r="G445" s="524"/>
      <c r="H445" s="362"/>
      <c r="I445" s="230"/>
      <c r="J445" s="230"/>
      <c r="K445" s="363"/>
      <c r="L445" s="364"/>
      <c r="M445" s="365"/>
      <c r="N445" s="366"/>
      <c r="O445" s="367"/>
      <c r="P445" s="368"/>
      <c r="Q445" s="369"/>
      <c r="R445" s="370"/>
      <c r="S445" s="370"/>
      <c r="T445" s="371"/>
      <c r="U445" s="372"/>
      <c r="V445" s="373"/>
      <c r="W445" s="374"/>
      <c r="X445" s="404"/>
      <c r="Y445" s="372"/>
      <c r="Z445" s="381"/>
      <c r="AA445" s="359"/>
      <c r="AB445" s="230"/>
      <c r="AC445" s="381"/>
      <c r="AD445" s="225"/>
      <c r="AE445" s="361"/>
      <c r="AF445" s="533"/>
      <c r="AG445" s="225"/>
      <c r="AH445" s="361"/>
      <c r="AI445" s="533"/>
      <c r="AJ445" s="225"/>
      <c r="AK445" s="361"/>
      <c r="AL445" s="533"/>
      <c r="AM445" s="225"/>
      <c r="AN445" s="361"/>
      <c r="AO445" s="533"/>
      <c r="AP445" s="225"/>
      <c r="AQ445" s="361"/>
      <c r="AR445" s="533"/>
      <c r="AS445" s="320"/>
    </row>
    <row r="446" spans="1:45" ht="13.5" hidden="1" customHeight="1">
      <c r="A446" s="12"/>
      <c r="B446" s="358"/>
      <c r="C446" s="359"/>
      <c r="D446" s="359"/>
      <c r="E446" s="360"/>
      <c r="F446" s="524"/>
      <c r="G446" s="524"/>
      <c r="H446" s="362"/>
      <c r="I446" s="230"/>
      <c r="J446" s="230"/>
      <c r="K446" s="363"/>
      <c r="L446" s="364"/>
      <c r="M446" s="365"/>
      <c r="N446" s="366"/>
      <c r="O446" s="367"/>
      <c r="P446" s="368"/>
      <c r="Q446" s="369"/>
      <c r="R446" s="370"/>
      <c r="S446" s="370"/>
      <c r="T446" s="371"/>
      <c r="U446" s="372"/>
      <c r="V446" s="373"/>
      <c r="W446" s="398"/>
      <c r="X446" s="404"/>
      <c r="Y446" s="372"/>
      <c r="Z446" s="381"/>
      <c r="AA446" s="359"/>
      <c r="AB446" s="230"/>
      <c r="AC446" s="381"/>
      <c r="AD446" s="241"/>
      <c r="AE446" s="411"/>
      <c r="AF446" s="577"/>
      <c r="AG446" s="241"/>
      <c r="AH446" s="411"/>
      <c r="AI446" s="577"/>
      <c r="AJ446" s="241"/>
      <c r="AK446" s="411"/>
      <c r="AL446" s="577"/>
      <c r="AM446" s="241"/>
      <c r="AN446" s="411"/>
      <c r="AO446" s="577"/>
      <c r="AP446" s="241"/>
      <c r="AQ446" s="411"/>
      <c r="AR446" s="577"/>
      <c r="AS446" s="202"/>
    </row>
    <row r="447" spans="1:45" ht="13.5" hidden="1" customHeight="1">
      <c r="A447" s="12"/>
      <c r="B447" s="358" t="s">
        <v>2570</v>
      </c>
      <c r="C447" s="359">
        <v>20</v>
      </c>
      <c r="D447" s="359">
        <v>48</v>
      </c>
      <c r="E447" s="360"/>
      <c r="F447" s="524"/>
      <c r="G447" s="524"/>
      <c r="H447" s="362"/>
      <c r="I447" s="230"/>
      <c r="J447" s="230"/>
      <c r="K447" s="363"/>
      <c r="L447" s="364"/>
      <c r="M447" s="365"/>
      <c r="N447" s="366"/>
      <c r="O447" s="367"/>
      <c r="P447" s="368"/>
      <c r="Q447" s="369"/>
      <c r="R447" s="370"/>
      <c r="S447" s="370"/>
      <c r="T447" s="371"/>
      <c r="U447" s="372"/>
      <c r="V447" s="373"/>
      <c r="W447" s="374"/>
      <c r="X447" s="404"/>
      <c r="Y447" s="372"/>
      <c r="Z447" s="381"/>
      <c r="AA447" s="359"/>
      <c r="AB447" s="230"/>
      <c r="AC447" s="381"/>
      <c r="AD447" s="225"/>
      <c r="AE447" s="361"/>
      <c r="AF447" s="533"/>
      <c r="AG447" s="225"/>
      <c r="AH447" s="361"/>
      <c r="AI447" s="533"/>
      <c r="AJ447" s="225"/>
      <c r="AK447" s="361"/>
      <c r="AL447" s="533"/>
      <c r="AM447" s="225"/>
      <c r="AN447" s="361"/>
      <c r="AO447" s="533"/>
      <c r="AP447" s="225"/>
      <c r="AQ447" s="361"/>
      <c r="AR447" s="533"/>
      <c r="AS447" s="320"/>
    </row>
    <row r="448" spans="1:45" ht="13.5" hidden="1" customHeight="1">
      <c r="A448" s="12"/>
      <c r="B448" s="358"/>
      <c r="C448" s="359"/>
      <c r="D448" s="359"/>
      <c r="E448" s="360"/>
      <c r="F448" s="524"/>
      <c r="G448" s="524"/>
      <c r="H448" s="362"/>
      <c r="I448" s="230"/>
      <c r="J448" s="230"/>
      <c r="K448" s="363"/>
      <c r="L448" s="364"/>
      <c r="M448" s="365"/>
      <c r="N448" s="366"/>
      <c r="O448" s="367"/>
      <c r="P448" s="368"/>
      <c r="Q448" s="369"/>
      <c r="R448" s="370"/>
      <c r="S448" s="370"/>
      <c r="T448" s="371"/>
      <c r="U448" s="372"/>
      <c r="V448" s="373"/>
      <c r="W448" s="398"/>
      <c r="X448" s="404"/>
      <c r="Y448" s="372"/>
      <c r="Z448" s="381"/>
      <c r="AA448" s="359"/>
      <c r="AB448" s="230"/>
      <c r="AC448" s="381"/>
      <c r="AD448" s="241"/>
      <c r="AE448" s="411"/>
      <c r="AF448" s="577"/>
      <c r="AG448" s="241"/>
      <c r="AH448" s="411"/>
      <c r="AI448" s="577"/>
      <c r="AJ448" s="241"/>
      <c r="AK448" s="411"/>
      <c r="AL448" s="577"/>
      <c r="AM448" s="241"/>
      <c r="AN448" s="411"/>
      <c r="AO448" s="577"/>
      <c r="AP448" s="241"/>
      <c r="AQ448" s="411"/>
      <c r="AR448" s="577"/>
      <c r="AS448" s="202"/>
    </row>
    <row r="449" spans="1:45" ht="13.5" hidden="1" customHeight="1">
      <c r="A449" s="12"/>
      <c r="B449" s="358" t="s">
        <v>2571</v>
      </c>
      <c r="C449" s="359">
        <v>1</v>
      </c>
      <c r="D449" s="359">
        <v>49</v>
      </c>
      <c r="E449" s="360"/>
      <c r="F449" s="524"/>
      <c r="G449" s="524"/>
      <c r="H449" s="362"/>
      <c r="I449" s="230"/>
      <c r="J449" s="230"/>
      <c r="K449" s="363"/>
      <c r="L449" s="364"/>
      <c r="M449" s="365"/>
      <c r="N449" s="366"/>
      <c r="O449" s="367"/>
      <c r="P449" s="368"/>
      <c r="Q449" s="369"/>
      <c r="R449" s="370"/>
      <c r="S449" s="370"/>
      <c r="T449" s="371"/>
      <c r="U449" s="372"/>
      <c r="V449" s="373"/>
      <c r="W449" s="374"/>
      <c r="X449" s="404"/>
      <c r="Y449" s="372"/>
      <c r="Z449" s="381"/>
      <c r="AA449" s="359"/>
      <c r="AB449" s="230"/>
      <c r="AC449" s="381"/>
      <c r="AD449" s="225"/>
      <c r="AE449" s="361"/>
      <c r="AF449" s="533"/>
      <c r="AG449" s="225"/>
      <c r="AH449" s="361"/>
      <c r="AI449" s="533"/>
      <c r="AJ449" s="225"/>
      <c r="AK449" s="361"/>
      <c r="AL449" s="533"/>
      <c r="AM449" s="225"/>
      <c r="AN449" s="361"/>
      <c r="AO449" s="533"/>
      <c r="AP449" s="225"/>
      <c r="AQ449" s="361"/>
      <c r="AR449" s="533"/>
      <c r="AS449" s="320"/>
    </row>
    <row r="450" spans="1:45" ht="13.5" hidden="1" customHeight="1">
      <c r="A450" s="12"/>
      <c r="B450" s="358"/>
      <c r="C450" s="359"/>
      <c r="D450" s="359"/>
      <c r="E450" s="360"/>
      <c r="F450" s="524"/>
      <c r="G450" s="524"/>
      <c r="H450" s="362"/>
      <c r="I450" s="230"/>
      <c r="J450" s="230"/>
      <c r="K450" s="363"/>
      <c r="L450" s="364"/>
      <c r="M450" s="365"/>
      <c r="N450" s="366"/>
      <c r="O450" s="367"/>
      <c r="P450" s="368"/>
      <c r="Q450" s="369"/>
      <c r="R450" s="370"/>
      <c r="S450" s="370"/>
      <c r="T450" s="371"/>
      <c r="U450" s="372"/>
      <c r="V450" s="373"/>
      <c r="W450" s="398"/>
      <c r="X450" s="404"/>
      <c r="Y450" s="372"/>
      <c r="Z450" s="381"/>
      <c r="AA450" s="359"/>
      <c r="AB450" s="230"/>
      <c r="AC450" s="381"/>
      <c r="AD450" s="241"/>
      <c r="AE450" s="411"/>
      <c r="AF450" s="577"/>
      <c r="AG450" s="241"/>
      <c r="AH450" s="411"/>
      <c r="AI450" s="577"/>
      <c r="AJ450" s="241"/>
      <c r="AK450" s="411"/>
      <c r="AL450" s="577"/>
      <c r="AM450" s="241"/>
      <c r="AN450" s="411"/>
      <c r="AO450" s="577"/>
      <c r="AP450" s="241"/>
      <c r="AQ450" s="411"/>
      <c r="AR450" s="577"/>
      <c r="AS450" s="202"/>
    </row>
    <row r="451" spans="1:45" ht="13.5" hidden="1" customHeight="1">
      <c r="A451" s="12"/>
      <c r="B451" s="358" t="s">
        <v>2571</v>
      </c>
      <c r="C451" s="359">
        <v>2</v>
      </c>
      <c r="D451" s="359">
        <v>50</v>
      </c>
      <c r="E451" s="360"/>
      <c r="F451" s="524"/>
      <c r="G451" s="524"/>
      <c r="H451" s="362"/>
      <c r="I451" s="230"/>
      <c r="J451" s="230"/>
      <c r="K451" s="363"/>
      <c r="L451" s="364"/>
      <c r="M451" s="365"/>
      <c r="N451" s="366"/>
      <c r="O451" s="367"/>
      <c r="P451" s="368"/>
      <c r="Q451" s="369"/>
      <c r="R451" s="370"/>
      <c r="S451" s="370"/>
      <c r="T451" s="371"/>
      <c r="U451" s="372"/>
      <c r="V451" s="373"/>
      <c r="W451" s="374"/>
      <c r="X451" s="404"/>
      <c r="Y451" s="372"/>
      <c r="Z451" s="381"/>
      <c r="AA451" s="359"/>
      <c r="AB451" s="230"/>
      <c r="AC451" s="381"/>
      <c r="AD451" s="225"/>
      <c r="AE451" s="361"/>
      <c r="AF451" s="533"/>
      <c r="AG451" s="225"/>
      <c r="AH451" s="361"/>
      <c r="AI451" s="533"/>
      <c r="AJ451" s="225"/>
      <c r="AK451" s="361"/>
      <c r="AL451" s="533"/>
      <c r="AM451" s="225"/>
      <c r="AN451" s="361"/>
      <c r="AO451" s="533"/>
      <c r="AP451" s="225"/>
      <c r="AQ451" s="361"/>
      <c r="AR451" s="533"/>
      <c r="AS451" s="320"/>
    </row>
    <row r="452" spans="1:45" ht="13.5" hidden="1" customHeight="1">
      <c r="A452" s="12"/>
      <c r="B452" s="358"/>
      <c r="C452" s="359"/>
      <c r="D452" s="359"/>
      <c r="E452" s="360"/>
      <c r="F452" s="524"/>
      <c r="G452" s="524"/>
      <c r="H452" s="362"/>
      <c r="I452" s="230"/>
      <c r="J452" s="230"/>
      <c r="K452" s="363"/>
      <c r="L452" s="364"/>
      <c r="M452" s="365"/>
      <c r="N452" s="366"/>
      <c r="O452" s="367"/>
      <c r="P452" s="368"/>
      <c r="Q452" s="369"/>
      <c r="R452" s="370"/>
      <c r="S452" s="370"/>
      <c r="T452" s="371"/>
      <c r="U452" s="372"/>
      <c r="V452" s="373"/>
      <c r="W452" s="398"/>
      <c r="X452" s="404"/>
      <c r="Y452" s="372"/>
      <c r="Z452" s="381"/>
      <c r="AA452" s="359"/>
      <c r="AB452" s="230"/>
      <c r="AC452" s="381"/>
      <c r="AD452" s="241"/>
      <c r="AE452" s="411"/>
      <c r="AF452" s="577"/>
      <c r="AG452" s="241"/>
      <c r="AH452" s="411"/>
      <c r="AI452" s="577"/>
      <c r="AJ452" s="241"/>
      <c r="AK452" s="411"/>
      <c r="AL452" s="577"/>
      <c r="AM452" s="241"/>
      <c r="AN452" s="411"/>
      <c r="AO452" s="577"/>
      <c r="AP452" s="241"/>
      <c r="AQ452" s="411"/>
      <c r="AR452" s="577"/>
      <c r="AS452" s="202"/>
    </row>
    <row r="453" spans="1:45" ht="13.5" hidden="1" customHeight="1">
      <c r="A453" s="12"/>
      <c r="B453" s="358" t="s">
        <v>2571</v>
      </c>
      <c r="C453" s="359">
        <v>3</v>
      </c>
      <c r="D453" s="359">
        <v>51</v>
      </c>
      <c r="E453" s="360"/>
      <c r="F453" s="524"/>
      <c r="G453" s="524"/>
      <c r="H453" s="362"/>
      <c r="I453" s="230"/>
      <c r="J453" s="230"/>
      <c r="K453" s="363"/>
      <c r="L453" s="364"/>
      <c r="M453" s="452"/>
      <c r="N453" s="611"/>
      <c r="O453" s="612"/>
      <c r="P453" s="455"/>
      <c r="Q453" s="612"/>
      <c r="R453" s="420"/>
      <c r="S453" s="420"/>
      <c r="T453" s="420"/>
      <c r="U453" s="420"/>
      <c r="V453" s="613"/>
      <c r="W453" s="374"/>
      <c r="X453" s="404"/>
      <c r="Y453" s="372"/>
      <c r="Z453" s="381"/>
      <c r="AA453" s="359"/>
      <c r="AB453" s="230"/>
      <c r="AC453" s="381"/>
      <c r="AD453" s="225"/>
      <c r="AE453" s="361"/>
      <c r="AF453" s="533"/>
      <c r="AG453" s="225"/>
      <c r="AH453" s="361"/>
      <c r="AI453" s="533"/>
      <c r="AJ453" s="225"/>
      <c r="AK453" s="361"/>
      <c r="AL453" s="533"/>
      <c r="AM453" s="225"/>
      <c r="AN453" s="361"/>
      <c r="AO453" s="533"/>
      <c r="AP453" s="225"/>
      <c r="AQ453" s="361"/>
      <c r="AR453" s="533"/>
      <c r="AS453" s="320"/>
    </row>
    <row r="454" spans="1:45" ht="13.5" hidden="1" customHeight="1">
      <c r="A454" s="12"/>
      <c r="B454" s="358"/>
      <c r="C454" s="359"/>
      <c r="D454" s="359"/>
      <c r="E454" s="360"/>
      <c r="F454" s="524"/>
      <c r="G454" s="524"/>
      <c r="H454" s="362"/>
      <c r="I454" s="230"/>
      <c r="J454" s="230"/>
      <c r="K454" s="363"/>
      <c r="L454" s="364"/>
      <c r="M454" s="604"/>
      <c r="N454" s="614"/>
      <c r="O454" s="615"/>
      <c r="P454" s="417"/>
      <c r="Q454" s="615"/>
      <c r="R454" s="582"/>
      <c r="S454" s="582"/>
      <c r="T454" s="582"/>
      <c r="U454" s="582"/>
      <c r="V454" s="616"/>
      <c r="W454" s="398"/>
      <c r="X454" s="404"/>
      <c r="Y454" s="372"/>
      <c r="Z454" s="381"/>
      <c r="AA454" s="359"/>
      <c r="AB454" s="230"/>
      <c r="AC454" s="381"/>
      <c r="AD454" s="241"/>
      <c r="AE454" s="411"/>
      <c r="AF454" s="577"/>
      <c r="AG454" s="241"/>
      <c r="AH454" s="411"/>
      <c r="AI454" s="577"/>
      <c r="AJ454" s="241"/>
      <c r="AK454" s="411"/>
      <c r="AL454" s="577"/>
      <c r="AM454" s="241"/>
      <c r="AN454" s="411"/>
      <c r="AO454" s="577"/>
      <c r="AP454" s="241"/>
      <c r="AQ454" s="411"/>
      <c r="AR454" s="577"/>
      <c r="AS454" s="202"/>
    </row>
    <row r="455" spans="1:45" ht="13.5" hidden="1" customHeight="1">
      <c r="A455" s="12"/>
      <c r="B455" s="358" t="s">
        <v>2571</v>
      </c>
      <c r="C455" s="359">
        <v>4</v>
      </c>
      <c r="D455" s="359">
        <v>52</v>
      </c>
      <c r="E455" s="360"/>
      <c r="F455" s="524"/>
      <c r="G455" s="524"/>
      <c r="H455" s="362"/>
      <c r="I455" s="230"/>
      <c r="J455" s="230"/>
      <c r="K455" s="363"/>
      <c r="L455" s="364"/>
      <c r="M455" s="604"/>
      <c r="N455" s="614"/>
      <c r="O455" s="615"/>
      <c r="P455" s="417"/>
      <c r="Q455" s="615"/>
      <c r="R455" s="582"/>
      <c r="S455" s="582"/>
      <c r="T455" s="582"/>
      <c r="U455" s="582"/>
      <c r="V455" s="616"/>
      <c r="W455" s="374"/>
      <c r="X455" s="404"/>
      <c r="Y455" s="372"/>
      <c r="Z455" s="381"/>
      <c r="AA455" s="359"/>
      <c r="AB455" s="230"/>
      <c r="AC455" s="381"/>
      <c r="AD455" s="225"/>
      <c r="AE455" s="361"/>
      <c r="AF455" s="533"/>
      <c r="AG455" s="225"/>
      <c r="AH455" s="361"/>
      <c r="AI455" s="533"/>
      <c r="AJ455" s="225"/>
      <c r="AK455" s="361"/>
      <c r="AL455" s="533"/>
      <c r="AM455" s="225"/>
      <c r="AN455" s="361"/>
      <c r="AO455" s="533"/>
      <c r="AP455" s="225"/>
      <c r="AQ455" s="361"/>
      <c r="AR455" s="533"/>
      <c r="AS455" s="320"/>
    </row>
    <row r="456" spans="1:45" ht="13.5" hidden="1" customHeight="1">
      <c r="A456" s="12"/>
      <c r="B456" s="358"/>
      <c r="C456" s="359"/>
      <c r="D456" s="359"/>
      <c r="E456" s="360"/>
      <c r="F456" s="524"/>
      <c r="G456" s="524"/>
      <c r="H456" s="362"/>
      <c r="I456" s="230"/>
      <c r="J456" s="230"/>
      <c r="K456" s="363"/>
      <c r="L456" s="364"/>
      <c r="M456" s="439"/>
      <c r="N456" s="617"/>
      <c r="O456" s="618"/>
      <c r="P456" s="430"/>
      <c r="Q456" s="618"/>
      <c r="R456" s="433"/>
      <c r="S456" s="433"/>
      <c r="T456" s="433"/>
      <c r="U456" s="433"/>
      <c r="V456" s="619"/>
      <c r="W456" s="398"/>
      <c r="X456" s="404"/>
      <c r="Y456" s="372"/>
      <c r="Z456" s="381"/>
      <c r="AA456" s="359"/>
      <c r="AB456" s="230"/>
      <c r="AC456" s="381"/>
      <c r="AD456" s="241"/>
      <c r="AE456" s="411"/>
      <c r="AF456" s="577"/>
      <c r="AG456" s="241"/>
      <c r="AH456" s="411"/>
      <c r="AI456" s="577"/>
      <c r="AJ456" s="241"/>
      <c r="AK456" s="411"/>
      <c r="AL456" s="577"/>
      <c r="AM456" s="241"/>
      <c r="AN456" s="411"/>
      <c r="AO456" s="577"/>
      <c r="AP456" s="241"/>
      <c r="AQ456" s="411"/>
      <c r="AR456" s="577"/>
      <c r="AS456" s="202"/>
    </row>
    <row r="457" spans="1:45" ht="13.5" hidden="1" customHeight="1">
      <c r="A457" s="12"/>
      <c r="B457" s="358" t="s">
        <v>2571</v>
      </c>
      <c r="C457" s="359">
        <v>5</v>
      </c>
      <c r="D457" s="359">
        <v>53</v>
      </c>
      <c r="E457" s="360"/>
      <c r="F457" s="524"/>
      <c r="G457" s="524"/>
      <c r="H457" s="362"/>
      <c r="I457" s="230"/>
      <c r="J457" s="230"/>
      <c r="K457" s="363"/>
      <c r="L457" s="364"/>
      <c r="M457" s="365"/>
      <c r="N457" s="366"/>
      <c r="O457" s="367"/>
      <c r="P457" s="368"/>
      <c r="Q457" s="369"/>
      <c r="R457" s="370"/>
      <c r="S457" s="370"/>
      <c r="T457" s="371"/>
      <c r="U457" s="372"/>
      <c r="V457" s="373"/>
      <c r="W457" s="374"/>
      <c r="X457" s="404"/>
      <c r="Y457" s="372"/>
      <c r="Z457" s="381"/>
      <c r="AA457" s="359"/>
      <c r="AB457" s="230"/>
      <c r="AC457" s="381"/>
      <c r="AD457" s="225"/>
      <c r="AE457" s="361"/>
      <c r="AF457" s="533"/>
      <c r="AG457" s="225"/>
      <c r="AH457" s="361"/>
      <c r="AI457" s="533"/>
      <c r="AJ457" s="225"/>
      <c r="AK457" s="361"/>
      <c r="AL457" s="533"/>
      <c r="AM457" s="225"/>
      <c r="AN457" s="361"/>
      <c r="AO457" s="533"/>
      <c r="AP457" s="225"/>
      <c r="AQ457" s="361"/>
      <c r="AR457" s="533"/>
      <c r="AS457" s="320"/>
    </row>
    <row r="458" spans="1:45" ht="13.5" hidden="1" customHeight="1">
      <c r="A458" s="12"/>
      <c r="B458" s="358"/>
      <c r="C458" s="359"/>
      <c r="D458" s="359"/>
      <c r="E458" s="360"/>
      <c r="F458" s="524"/>
      <c r="G458" s="524"/>
      <c r="H458" s="362"/>
      <c r="I458" s="230"/>
      <c r="J458" s="230"/>
      <c r="K458" s="363"/>
      <c r="L458" s="364"/>
      <c r="M458" s="365"/>
      <c r="N458" s="366"/>
      <c r="O458" s="367"/>
      <c r="P458" s="368"/>
      <c r="Q458" s="369"/>
      <c r="R458" s="370"/>
      <c r="S458" s="370"/>
      <c r="T458" s="371"/>
      <c r="U458" s="372"/>
      <c r="V458" s="373"/>
      <c r="W458" s="398"/>
      <c r="X458" s="404"/>
      <c r="Y458" s="372"/>
      <c r="Z458" s="381"/>
      <c r="AA458" s="359"/>
      <c r="AB458" s="230"/>
      <c r="AC458" s="381"/>
      <c r="AD458" s="241"/>
      <c r="AE458" s="411"/>
      <c r="AF458" s="577"/>
      <c r="AG458" s="241"/>
      <c r="AH458" s="411"/>
      <c r="AI458" s="577"/>
      <c r="AJ458" s="241"/>
      <c r="AK458" s="411"/>
      <c r="AL458" s="577"/>
      <c r="AM458" s="241"/>
      <c r="AN458" s="411"/>
      <c r="AO458" s="577"/>
      <c r="AP458" s="241"/>
      <c r="AQ458" s="411"/>
      <c r="AR458" s="577"/>
      <c r="AS458" s="202"/>
    </row>
    <row r="459" spans="1:45" ht="13.5" hidden="1" customHeight="1">
      <c r="A459" s="12"/>
      <c r="B459" s="358" t="s">
        <v>2571</v>
      </c>
      <c r="C459" s="359">
        <v>6</v>
      </c>
      <c r="D459" s="359">
        <v>54</v>
      </c>
      <c r="E459" s="360"/>
      <c r="F459" s="524"/>
      <c r="G459" s="524"/>
      <c r="H459" s="362"/>
      <c r="I459" s="230"/>
      <c r="J459" s="230"/>
      <c r="K459" s="363"/>
      <c r="L459" s="364"/>
      <c r="M459" s="365"/>
      <c r="N459" s="484"/>
      <c r="O459" s="620"/>
      <c r="P459" s="620"/>
      <c r="Q459" s="672"/>
      <c r="R459" s="370"/>
      <c r="S459" s="370"/>
      <c r="T459" s="371"/>
      <c r="U459" s="372"/>
      <c r="V459" s="373"/>
      <c r="W459" s="374"/>
      <c r="X459" s="404"/>
      <c r="Y459" s="372"/>
      <c r="Z459" s="381"/>
      <c r="AA459" s="359"/>
      <c r="AB459" s="230"/>
      <c r="AC459" s="381"/>
      <c r="AD459" s="225"/>
      <c r="AE459" s="361"/>
      <c r="AF459" s="533"/>
      <c r="AG459" s="225"/>
      <c r="AH459" s="361"/>
      <c r="AI459" s="533"/>
      <c r="AJ459" s="225"/>
      <c r="AK459" s="361"/>
      <c r="AL459" s="533"/>
      <c r="AM459" s="225"/>
      <c r="AN459" s="361"/>
      <c r="AO459" s="533"/>
      <c r="AP459" s="225"/>
      <c r="AQ459" s="361"/>
      <c r="AR459" s="533"/>
      <c r="AS459" s="320"/>
    </row>
    <row r="460" spans="1:45" ht="13.5" hidden="1" customHeight="1">
      <c r="A460" s="12"/>
      <c r="B460" s="358"/>
      <c r="C460" s="359"/>
      <c r="D460" s="359"/>
      <c r="E460" s="360"/>
      <c r="F460" s="524"/>
      <c r="G460" s="524"/>
      <c r="H460" s="362"/>
      <c r="I460" s="230"/>
      <c r="J460" s="230"/>
      <c r="K460" s="363"/>
      <c r="L460" s="364"/>
      <c r="M460" s="365"/>
      <c r="N460" s="490"/>
      <c r="O460" s="622"/>
      <c r="P460" s="622"/>
      <c r="Q460" s="673"/>
      <c r="R460" s="370"/>
      <c r="S460" s="370"/>
      <c r="T460" s="371"/>
      <c r="U460" s="372"/>
      <c r="V460" s="373"/>
      <c r="W460" s="398"/>
      <c r="X460" s="404"/>
      <c r="Y460" s="372"/>
      <c r="Z460" s="381"/>
      <c r="AA460" s="359"/>
      <c r="AB460" s="230"/>
      <c r="AC460" s="381"/>
      <c r="AD460" s="241"/>
      <c r="AE460" s="411"/>
      <c r="AF460" s="577"/>
      <c r="AG460" s="241"/>
      <c r="AH460" s="411"/>
      <c r="AI460" s="577"/>
      <c r="AJ460" s="241"/>
      <c r="AK460" s="411"/>
      <c r="AL460" s="577"/>
      <c r="AM460" s="241"/>
      <c r="AN460" s="411"/>
      <c r="AO460" s="577"/>
      <c r="AP460" s="241"/>
      <c r="AQ460" s="411"/>
      <c r="AR460" s="577"/>
      <c r="AS460" s="202"/>
    </row>
    <row r="461" spans="1:45" ht="13.5" hidden="1" customHeight="1">
      <c r="A461" s="12"/>
      <c r="B461" s="358" t="s">
        <v>2571</v>
      </c>
      <c r="C461" s="359">
        <v>7</v>
      </c>
      <c r="D461" s="359">
        <v>55</v>
      </c>
      <c r="E461" s="360"/>
      <c r="F461" s="524"/>
      <c r="G461" s="524"/>
      <c r="H461" s="362"/>
      <c r="I461" s="230"/>
      <c r="J461" s="230"/>
      <c r="K461" s="363"/>
      <c r="L461" s="364"/>
      <c r="M461" s="452"/>
      <c r="N461" s="611"/>
      <c r="O461" s="612"/>
      <c r="P461" s="455"/>
      <c r="Q461" s="612"/>
      <c r="R461" s="420"/>
      <c r="S461" s="420"/>
      <c r="T461" s="420"/>
      <c r="U461" s="420"/>
      <c r="V461" s="613"/>
      <c r="W461" s="374"/>
      <c r="X461" s="404"/>
      <c r="Y461" s="372"/>
      <c r="Z461" s="381"/>
      <c r="AA461" s="359"/>
      <c r="AB461" s="230"/>
      <c r="AC461" s="381"/>
      <c r="AD461" s="225"/>
      <c r="AE461" s="361"/>
      <c r="AF461" s="533"/>
      <c r="AG461" s="225"/>
      <c r="AH461" s="361"/>
      <c r="AI461" s="533"/>
      <c r="AJ461" s="225"/>
      <c r="AK461" s="361"/>
      <c r="AL461" s="533"/>
      <c r="AM461" s="225"/>
      <c r="AN461" s="361"/>
      <c r="AO461" s="533"/>
      <c r="AP461" s="225"/>
      <c r="AQ461" s="361"/>
      <c r="AR461" s="533"/>
      <c r="AS461" s="320"/>
    </row>
    <row r="462" spans="1:45" ht="13.5" hidden="1" customHeight="1">
      <c r="A462" s="12"/>
      <c r="B462" s="358"/>
      <c r="C462" s="359"/>
      <c r="D462" s="359"/>
      <c r="E462" s="360"/>
      <c r="F462" s="524"/>
      <c r="G462" s="524"/>
      <c r="H462" s="362"/>
      <c r="I462" s="230"/>
      <c r="J462" s="230"/>
      <c r="K462" s="363"/>
      <c r="L462" s="364"/>
      <c r="M462" s="604"/>
      <c r="N462" s="614"/>
      <c r="O462" s="615"/>
      <c r="P462" s="417"/>
      <c r="Q462" s="615"/>
      <c r="R462" s="582"/>
      <c r="S462" s="582"/>
      <c r="T462" s="582"/>
      <c r="U462" s="582"/>
      <c r="V462" s="616"/>
      <c r="W462" s="398"/>
      <c r="X462" s="404"/>
      <c r="Y462" s="372"/>
      <c r="Z462" s="381"/>
      <c r="AA462" s="359"/>
      <c r="AB462" s="230"/>
      <c r="AC462" s="381"/>
      <c r="AD462" s="241"/>
      <c r="AE462" s="411"/>
      <c r="AF462" s="577"/>
      <c r="AG462" s="241"/>
      <c r="AH462" s="411"/>
      <c r="AI462" s="577"/>
      <c r="AJ462" s="241"/>
      <c r="AK462" s="411"/>
      <c r="AL462" s="577"/>
      <c r="AM462" s="241"/>
      <c r="AN462" s="411"/>
      <c r="AO462" s="577"/>
      <c r="AP462" s="241"/>
      <c r="AQ462" s="411"/>
      <c r="AR462" s="577"/>
      <c r="AS462" s="202"/>
    </row>
    <row r="463" spans="1:45" ht="13.5" hidden="1" customHeight="1">
      <c r="A463" s="12"/>
      <c r="B463" s="358" t="s">
        <v>2571</v>
      </c>
      <c r="C463" s="359">
        <v>8</v>
      </c>
      <c r="D463" s="359">
        <v>56</v>
      </c>
      <c r="E463" s="360"/>
      <c r="F463" s="524"/>
      <c r="G463" s="524"/>
      <c r="H463" s="362"/>
      <c r="I463" s="230"/>
      <c r="J463" s="230"/>
      <c r="K463" s="363"/>
      <c r="L463" s="364"/>
      <c r="M463" s="604"/>
      <c r="N463" s="614"/>
      <c r="O463" s="615"/>
      <c r="P463" s="417"/>
      <c r="Q463" s="615"/>
      <c r="R463" s="582"/>
      <c r="S463" s="582"/>
      <c r="T463" s="582"/>
      <c r="U463" s="582"/>
      <c r="V463" s="616"/>
      <c r="W463" s="374"/>
      <c r="X463" s="404"/>
      <c r="Y463" s="372"/>
      <c r="Z463" s="381"/>
      <c r="AA463" s="359"/>
      <c r="AB463" s="230"/>
      <c r="AC463" s="381"/>
      <c r="AD463" s="225"/>
      <c r="AE463" s="361"/>
      <c r="AF463" s="533"/>
      <c r="AG463" s="225"/>
      <c r="AH463" s="361"/>
      <c r="AI463" s="533"/>
      <c r="AJ463" s="225"/>
      <c r="AK463" s="361"/>
      <c r="AL463" s="533"/>
      <c r="AM463" s="225"/>
      <c r="AN463" s="361"/>
      <c r="AO463" s="533"/>
      <c r="AP463" s="225"/>
      <c r="AQ463" s="361"/>
      <c r="AR463" s="533"/>
      <c r="AS463" s="320"/>
    </row>
    <row r="464" spans="1:45" ht="13.5" hidden="1" customHeight="1">
      <c r="A464" s="12"/>
      <c r="B464" s="358"/>
      <c r="C464" s="359"/>
      <c r="D464" s="359"/>
      <c r="E464" s="360"/>
      <c r="F464" s="524"/>
      <c r="G464" s="524"/>
      <c r="H464" s="362"/>
      <c r="I464" s="230"/>
      <c r="J464" s="230"/>
      <c r="K464" s="363"/>
      <c r="L464" s="364"/>
      <c r="M464" s="439"/>
      <c r="N464" s="617"/>
      <c r="O464" s="618"/>
      <c r="P464" s="430"/>
      <c r="Q464" s="618"/>
      <c r="R464" s="433"/>
      <c r="S464" s="433"/>
      <c r="T464" s="433"/>
      <c r="U464" s="433"/>
      <c r="V464" s="619"/>
      <c r="W464" s="398"/>
      <c r="X464" s="404"/>
      <c r="Y464" s="372"/>
      <c r="Z464" s="381"/>
      <c r="AA464" s="359"/>
      <c r="AB464" s="230"/>
      <c r="AC464" s="381"/>
      <c r="AD464" s="241"/>
      <c r="AE464" s="411"/>
      <c r="AF464" s="577"/>
      <c r="AG464" s="241"/>
      <c r="AH464" s="411"/>
      <c r="AI464" s="577"/>
      <c r="AJ464" s="241"/>
      <c r="AK464" s="411"/>
      <c r="AL464" s="577"/>
      <c r="AM464" s="241"/>
      <c r="AN464" s="411"/>
      <c r="AO464" s="577"/>
      <c r="AP464" s="241"/>
      <c r="AQ464" s="411"/>
      <c r="AR464" s="577"/>
      <c r="AS464" s="202"/>
    </row>
    <row r="465" spans="1:45" ht="13.5" hidden="1" customHeight="1">
      <c r="A465" s="12"/>
      <c r="B465" s="358" t="s">
        <v>2571</v>
      </c>
      <c r="C465" s="359">
        <v>9</v>
      </c>
      <c r="D465" s="359">
        <v>229</v>
      </c>
      <c r="E465" s="360"/>
      <c r="F465" s="524"/>
      <c r="G465" s="524"/>
      <c r="H465" s="362"/>
      <c r="I465" s="230"/>
      <c r="J465" s="230"/>
      <c r="K465" s="363"/>
      <c r="L465" s="364"/>
      <c r="M465" s="365"/>
      <c r="N465" s="366"/>
      <c r="O465" s="367"/>
      <c r="P465" s="368"/>
      <c r="Q465" s="369"/>
      <c r="R465" s="370"/>
      <c r="S465" s="370"/>
      <c r="T465" s="371"/>
      <c r="U465" s="372"/>
      <c r="V465" s="373"/>
      <c r="W465" s="374"/>
      <c r="X465" s="404"/>
      <c r="Y465" s="372"/>
      <c r="Z465" s="381"/>
      <c r="AA465" s="359"/>
      <c r="AB465" s="230"/>
      <c r="AC465" s="381"/>
      <c r="AD465" s="225"/>
      <c r="AE465" s="361"/>
      <c r="AF465" s="533"/>
      <c r="AG465" s="225"/>
      <c r="AH465" s="361"/>
      <c r="AI465" s="533"/>
      <c r="AJ465" s="225"/>
      <c r="AK465" s="361"/>
      <c r="AL465" s="533"/>
      <c r="AM465" s="225"/>
      <c r="AN465" s="361"/>
      <c r="AO465" s="533"/>
      <c r="AP465" s="225"/>
      <c r="AQ465" s="361"/>
      <c r="AR465" s="533"/>
      <c r="AS465" s="320"/>
    </row>
    <row r="466" spans="1:45" ht="13.5" hidden="1" customHeight="1">
      <c r="A466" s="12"/>
      <c r="B466" s="358"/>
      <c r="C466" s="359"/>
      <c r="D466" s="359"/>
      <c r="E466" s="360"/>
      <c r="F466" s="524"/>
      <c r="G466" s="524"/>
      <c r="H466" s="362"/>
      <c r="I466" s="230"/>
      <c r="J466" s="230"/>
      <c r="K466" s="363"/>
      <c r="L466" s="364"/>
      <c r="M466" s="365"/>
      <c r="N466" s="366"/>
      <c r="O466" s="367"/>
      <c r="P466" s="368"/>
      <c r="Q466" s="369"/>
      <c r="R466" s="370"/>
      <c r="S466" s="370"/>
      <c r="T466" s="371"/>
      <c r="U466" s="372"/>
      <c r="V466" s="373"/>
      <c r="W466" s="398"/>
      <c r="X466" s="404"/>
      <c r="Y466" s="372"/>
      <c r="Z466" s="381"/>
      <c r="AA466" s="359"/>
      <c r="AB466" s="230"/>
      <c r="AC466" s="381"/>
      <c r="AD466" s="241"/>
      <c r="AE466" s="411"/>
      <c r="AF466" s="577"/>
      <c r="AG466" s="241"/>
      <c r="AH466" s="411"/>
      <c r="AI466" s="577"/>
      <c r="AJ466" s="241"/>
      <c r="AK466" s="411"/>
      <c r="AL466" s="577"/>
      <c r="AM466" s="241"/>
      <c r="AN466" s="411"/>
      <c r="AO466" s="577"/>
      <c r="AP466" s="241"/>
      <c r="AQ466" s="411"/>
      <c r="AR466" s="577"/>
      <c r="AS466" s="202"/>
    </row>
    <row r="467" spans="1:45" ht="13.5" hidden="1" customHeight="1">
      <c r="A467" s="12"/>
      <c r="B467" s="358" t="s">
        <v>2571</v>
      </c>
      <c r="C467" s="359">
        <v>10</v>
      </c>
      <c r="D467" s="359">
        <v>230</v>
      </c>
      <c r="E467" s="360"/>
      <c r="F467" s="524"/>
      <c r="G467" s="524"/>
      <c r="H467" s="362"/>
      <c r="I467" s="230"/>
      <c r="J467" s="230"/>
      <c r="K467" s="363"/>
      <c r="L467" s="364"/>
      <c r="M467" s="365"/>
      <c r="N467" s="366"/>
      <c r="O467" s="367"/>
      <c r="P467" s="368"/>
      <c r="Q467" s="369"/>
      <c r="R467" s="370"/>
      <c r="S467" s="370"/>
      <c r="T467" s="371"/>
      <c r="U467" s="372"/>
      <c r="V467" s="373"/>
      <c r="W467" s="374"/>
      <c r="X467" s="404"/>
      <c r="Y467" s="372"/>
      <c r="Z467" s="381"/>
      <c r="AA467" s="359"/>
      <c r="AB467" s="230"/>
      <c r="AC467" s="381"/>
      <c r="AD467" s="225"/>
      <c r="AE467" s="361"/>
      <c r="AF467" s="533"/>
      <c r="AG467" s="225"/>
      <c r="AH467" s="361"/>
      <c r="AI467" s="533"/>
      <c r="AJ467" s="225"/>
      <c r="AK467" s="361"/>
      <c r="AL467" s="533"/>
      <c r="AM467" s="225"/>
      <c r="AN467" s="361"/>
      <c r="AO467" s="533"/>
      <c r="AP467" s="225"/>
      <c r="AQ467" s="361"/>
      <c r="AR467" s="533"/>
      <c r="AS467" s="320"/>
    </row>
    <row r="468" spans="1:45" ht="13.5" hidden="1" customHeight="1">
      <c r="A468" s="12"/>
      <c r="B468" s="358"/>
      <c r="C468" s="359"/>
      <c r="D468" s="359"/>
      <c r="E468" s="360"/>
      <c r="F468" s="524"/>
      <c r="G468" s="524"/>
      <c r="H468" s="362"/>
      <c r="I468" s="230"/>
      <c r="J468" s="230"/>
      <c r="K468" s="363"/>
      <c r="L468" s="364"/>
      <c r="M468" s="365"/>
      <c r="N468" s="366"/>
      <c r="O468" s="367"/>
      <c r="P468" s="368"/>
      <c r="Q468" s="369"/>
      <c r="R468" s="370"/>
      <c r="S468" s="370"/>
      <c r="T468" s="371"/>
      <c r="U468" s="372"/>
      <c r="V468" s="373"/>
      <c r="W468" s="398"/>
      <c r="X468" s="404"/>
      <c r="Y468" s="372"/>
      <c r="Z468" s="381"/>
      <c r="AA468" s="359"/>
      <c r="AB468" s="230"/>
      <c r="AC468" s="381"/>
      <c r="AD468" s="241"/>
      <c r="AE468" s="411"/>
      <c r="AF468" s="577"/>
      <c r="AG468" s="241"/>
      <c r="AH468" s="411"/>
      <c r="AI468" s="577"/>
      <c r="AJ468" s="241"/>
      <c r="AK468" s="411"/>
      <c r="AL468" s="577"/>
      <c r="AM468" s="241"/>
      <c r="AN468" s="411"/>
      <c r="AO468" s="577"/>
      <c r="AP468" s="241"/>
      <c r="AQ468" s="411"/>
      <c r="AR468" s="577"/>
      <c r="AS468" s="202"/>
    </row>
    <row r="469" spans="1:45" ht="13.5" hidden="1" customHeight="1">
      <c r="A469" s="12"/>
      <c r="B469" s="358" t="s">
        <v>2571</v>
      </c>
      <c r="C469" s="359">
        <v>11</v>
      </c>
      <c r="D469" s="359">
        <v>231</v>
      </c>
      <c r="E469" s="360"/>
      <c r="F469" s="524"/>
      <c r="G469" s="524"/>
      <c r="H469" s="362"/>
      <c r="I469" s="230"/>
      <c r="J469" s="230"/>
      <c r="K469" s="363"/>
      <c r="L469" s="364"/>
      <c r="M469" s="365"/>
      <c r="N469" s="366"/>
      <c r="O469" s="367"/>
      <c r="P469" s="368"/>
      <c r="Q469" s="369"/>
      <c r="R469" s="370"/>
      <c r="S469" s="370"/>
      <c r="T469" s="371"/>
      <c r="U469" s="372"/>
      <c r="V469" s="373"/>
      <c r="W469" s="374"/>
      <c r="X469" s="404"/>
      <c r="Y469" s="372"/>
      <c r="Z469" s="381"/>
      <c r="AA469" s="359"/>
      <c r="AB469" s="230"/>
      <c r="AC469" s="381"/>
      <c r="AD469" s="225"/>
      <c r="AE469" s="361"/>
      <c r="AF469" s="533"/>
      <c r="AG469" s="225"/>
      <c r="AH469" s="361"/>
      <c r="AI469" s="533"/>
      <c r="AJ469" s="225"/>
      <c r="AK469" s="361"/>
      <c r="AL469" s="533"/>
      <c r="AM469" s="225"/>
      <c r="AN469" s="361"/>
      <c r="AO469" s="533"/>
      <c r="AP469" s="225"/>
      <c r="AQ469" s="361"/>
      <c r="AR469" s="533"/>
      <c r="AS469" s="320"/>
    </row>
    <row r="470" spans="1:45" ht="13.5" hidden="1" customHeight="1">
      <c r="A470" s="12"/>
      <c r="B470" s="358"/>
      <c r="C470" s="359"/>
      <c r="D470" s="359"/>
      <c r="E470" s="360"/>
      <c r="F470" s="524"/>
      <c r="G470" s="524"/>
      <c r="H470" s="362"/>
      <c r="I470" s="230"/>
      <c r="J470" s="230"/>
      <c r="K470" s="363"/>
      <c r="L470" s="364"/>
      <c r="M470" s="365"/>
      <c r="N470" s="366"/>
      <c r="O470" s="367"/>
      <c r="P470" s="368"/>
      <c r="Q470" s="369"/>
      <c r="R470" s="370"/>
      <c r="S470" s="370"/>
      <c r="T470" s="371"/>
      <c r="U470" s="372"/>
      <c r="V470" s="373"/>
      <c r="W470" s="398"/>
      <c r="X470" s="404"/>
      <c r="Y470" s="372"/>
      <c r="Z470" s="381"/>
      <c r="AA470" s="359"/>
      <c r="AB470" s="230"/>
      <c r="AC470" s="381"/>
      <c r="AD470" s="241"/>
      <c r="AE470" s="411"/>
      <c r="AF470" s="577"/>
      <c r="AG470" s="241"/>
      <c r="AH470" s="411"/>
      <c r="AI470" s="577"/>
      <c r="AJ470" s="241"/>
      <c r="AK470" s="411"/>
      <c r="AL470" s="577"/>
      <c r="AM470" s="241"/>
      <c r="AN470" s="411"/>
      <c r="AO470" s="577"/>
      <c r="AP470" s="241"/>
      <c r="AQ470" s="411"/>
      <c r="AR470" s="577"/>
      <c r="AS470" s="202"/>
    </row>
    <row r="471" spans="1:45" ht="13.5" hidden="1" customHeight="1">
      <c r="A471" s="12"/>
      <c r="B471" s="358" t="s">
        <v>2571</v>
      </c>
      <c r="C471" s="359">
        <v>12</v>
      </c>
      <c r="D471" s="359">
        <v>232</v>
      </c>
      <c r="E471" s="360"/>
      <c r="F471" s="524"/>
      <c r="G471" s="524"/>
      <c r="H471" s="362"/>
      <c r="I471" s="230"/>
      <c r="J471" s="230"/>
      <c r="K471" s="363"/>
      <c r="L471" s="451"/>
      <c r="M471" s="452"/>
      <c r="N471" s="409"/>
      <c r="O471" s="225"/>
      <c r="P471" s="424"/>
      <c r="Q471" s="674"/>
      <c r="R471" s="421"/>
      <c r="S471" s="421"/>
      <c r="T471" s="421"/>
      <c r="U471" s="421"/>
      <c r="V471" s="613"/>
      <c r="W471" s="374"/>
      <c r="X471" s="404"/>
      <c r="Y471" s="372"/>
      <c r="Z471" s="381"/>
      <c r="AA471" s="359"/>
      <c r="AB471" s="230"/>
      <c r="AC471" s="381"/>
      <c r="AD471" s="225"/>
      <c r="AE471" s="361"/>
      <c r="AF471" s="533"/>
      <c r="AG471" s="225"/>
      <c r="AH471" s="361"/>
      <c r="AI471" s="533"/>
      <c r="AJ471" s="225"/>
      <c r="AK471" s="361"/>
      <c r="AL471" s="533"/>
      <c r="AM471" s="225"/>
      <c r="AN471" s="361"/>
      <c r="AO471" s="533"/>
      <c r="AP471" s="225"/>
      <c r="AQ471" s="361"/>
      <c r="AR471" s="533"/>
      <c r="AS471" s="320"/>
    </row>
    <row r="472" spans="1:45" ht="13.5" hidden="1" customHeight="1">
      <c r="A472" s="12"/>
      <c r="B472" s="358"/>
      <c r="C472" s="359"/>
      <c r="D472" s="359"/>
      <c r="E472" s="360"/>
      <c r="F472" s="524"/>
      <c r="G472" s="524"/>
      <c r="H472" s="362"/>
      <c r="I472" s="230"/>
      <c r="J472" s="230"/>
      <c r="K472" s="363"/>
      <c r="L472" s="413"/>
      <c r="M472" s="604"/>
      <c r="N472" s="415"/>
      <c r="O472" s="241"/>
      <c r="P472" s="625"/>
      <c r="Q472" s="241"/>
      <c r="R472" s="606"/>
      <c r="S472" s="606"/>
      <c r="T472" s="606"/>
      <c r="U472" s="606"/>
      <c r="V472" s="616"/>
      <c r="W472" s="398"/>
      <c r="X472" s="404"/>
      <c r="Y472" s="372"/>
      <c r="Z472" s="381"/>
      <c r="AA472" s="359"/>
      <c r="AB472" s="230"/>
      <c r="AC472" s="381"/>
      <c r="AD472" s="241"/>
      <c r="AE472" s="411"/>
      <c r="AF472" s="577"/>
      <c r="AG472" s="241"/>
      <c r="AH472" s="411"/>
      <c r="AI472" s="577"/>
      <c r="AJ472" s="241"/>
      <c r="AK472" s="411"/>
      <c r="AL472" s="577"/>
      <c r="AM472" s="241"/>
      <c r="AN472" s="411"/>
      <c r="AO472" s="577"/>
      <c r="AP472" s="241"/>
      <c r="AQ472" s="411"/>
      <c r="AR472" s="577"/>
      <c r="AS472" s="202"/>
    </row>
    <row r="473" spans="1:45" ht="13.5" hidden="1" customHeight="1">
      <c r="A473" s="12"/>
      <c r="B473" s="358" t="s">
        <v>2571</v>
      </c>
      <c r="C473" s="359">
        <v>13</v>
      </c>
      <c r="D473" s="359">
        <v>233</v>
      </c>
      <c r="E473" s="360"/>
      <c r="F473" s="524"/>
      <c r="G473" s="524"/>
      <c r="H473" s="362"/>
      <c r="I473" s="230"/>
      <c r="J473" s="230"/>
      <c r="K473" s="363"/>
      <c r="L473" s="413"/>
      <c r="M473" s="604"/>
      <c r="N473" s="415"/>
      <c r="O473" s="241"/>
      <c r="P473" s="625"/>
      <c r="Q473" s="241"/>
      <c r="R473" s="606"/>
      <c r="S473" s="606"/>
      <c r="T473" s="606"/>
      <c r="U473" s="606"/>
      <c r="V473" s="616"/>
      <c r="W473" s="374"/>
      <c r="X473" s="404"/>
      <c r="Y473" s="372"/>
      <c r="Z473" s="381"/>
      <c r="AA473" s="359"/>
      <c r="AB473" s="230"/>
      <c r="AC473" s="381"/>
      <c r="AD473" s="225"/>
      <c r="AE473" s="361"/>
      <c r="AF473" s="533"/>
      <c r="AG473" s="225"/>
      <c r="AH473" s="361"/>
      <c r="AI473" s="533"/>
      <c r="AJ473" s="225"/>
      <c r="AK473" s="361"/>
      <c r="AL473" s="533"/>
      <c r="AM473" s="225"/>
      <c r="AN473" s="361"/>
      <c r="AO473" s="533"/>
      <c r="AP473" s="225"/>
      <c r="AQ473" s="361"/>
      <c r="AR473" s="533"/>
      <c r="AS473" s="320"/>
    </row>
    <row r="474" spans="1:45" ht="13.5" hidden="1" customHeight="1">
      <c r="A474" s="12"/>
      <c r="B474" s="358"/>
      <c r="C474" s="359"/>
      <c r="D474" s="359"/>
      <c r="E474" s="360"/>
      <c r="F474" s="524"/>
      <c r="G474" s="524"/>
      <c r="H474" s="362"/>
      <c r="I474" s="230"/>
      <c r="J474" s="230"/>
      <c r="K474" s="363"/>
      <c r="L474" s="427"/>
      <c r="M474" s="439"/>
      <c r="N474" s="425"/>
      <c r="O474" s="325"/>
      <c r="P474" s="375"/>
      <c r="Q474" s="325"/>
      <c r="R474" s="434"/>
      <c r="S474" s="434"/>
      <c r="T474" s="434"/>
      <c r="U474" s="434"/>
      <c r="V474" s="619"/>
      <c r="W474" s="398"/>
      <c r="X474" s="404"/>
      <c r="Y474" s="372"/>
      <c r="Z474" s="381"/>
      <c r="AA474" s="359"/>
      <c r="AB474" s="230"/>
      <c r="AC474" s="381"/>
      <c r="AD474" s="241"/>
      <c r="AE474" s="411"/>
      <c r="AF474" s="577"/>
      <c r="AG474" s="241"/>
      <c r="AH474" s="411"/>
      <c r="AI474" s="577"/>
      <c r="AJ474" s="241"/>
      <c r="AK474" s="411"/>
      <c r="AL474" s="577"/>
      <c r="AM474" s="241"/>
      <c r="AN474" s="411"/>
      <c r="AO474" s="577"/>
      <c r="AP474" s="241"/>
      <c r="AQ474" s="411"/>
      <c r="AR474" s="577"/>
      <c r="AS474" s="202"/>
    </row>
    <row r="475" spans="1:45" ht="13.5" hidden="1" customHeight="1">
      <c r="A475" s="12"/>
      <c r="B475" s="358" t="s">
        <v>2571</v>
      </c>
      <c r="C475" s="359">
        <v>14</v>
      </c>
      <c r="D475" s="359">
        <v>234</v>
      </c>
      <c r="E475" s="360"/>
      <c r="F475" s="524"/>
      <c r="G475" s="524"/>
      <c r="H475" s="362"/>
      <c r="I475" s="230"/>
      <c r="J475" s="230"/>
      <c r="K475" s="363"/>
      <c r="L475" s="364"/>
      <c r="M475" s="365"/>
      <c r="N475" s="366"/>
      <c r="O475" s="367"/>
      <c r="P475" s="368"/>
      <c r="Q475" s="369"/>
      <c r="R475" s="370"/>
      <c r="S475" s="370"/>
      <c r="T475" s="371"/>
      <c r="U475" s="372"/>
      <c r="V475" s="373"/>
      <c r="W475" s="374"/>
      <c r="X475" s="404"/>
      <c r="Y475" s="372"/>
      <c r="Z475" s="381"/>
      <c r="AA475" s="359"/>
      <c r="AB475" s="230"/>
      <c r="AC475" s="381"/>
      <c r="AD475" s="225"/>
      <c r="AE475" s="361"/>
      <c r="AF475" s="533"/>
      <c r="AG475" s="225"/>
      <c r="AH475" s="361"/>
      <c r="AI475" s="533"/>
      <c r="AJ475" s="225"/>
      <c r="AK475" s="361"/>
      <c r="AL475" s="533"/>
      <c r="AM475" s="225"/>
      <c r="AN475" s="361"/>
      <c r="AO475" s="533"/>
      <c r="AP475" s="225"/>
      <c r="AQ475" s="361"/>
      <c r="AR475" s="533"/>
      <c r="AS475" s="320"/>
    </row>
    <row r="476" spans="1:45" ht="13.5" hidden="1" customHeight="1">
      <c r="A476" s="12"/>
      <c r="B476" s="358"/>
      <c r="C476" s="359"/>
      <c r="D476" s="359"/>
      <c r="E476" s="360"/>
      <c r="F476" s="524"/>
      <c r="G476" s="524"/>
      <c r="H476" s="362"/>
      <c r="I476" s="230"/>
      <c r="J476" s="230"/>
      <c r="K476" s="363"/>
      <c r="L476" s="364"/>
      <c r="M476" s="365"/>
      <c r="N476" s="366"/>
      <c r="O476" s="367"/>
      <c r="P476" s="368"/>
      <c r="Q476" s="369"/>
      <c r="R476" s="370"/>
      <c r="S476" s="370"/>
      <c r="T476" s="371"/>
      <c r="U476" s="372"/>
      <c r="V476" s="373"/>
      <c r="W476" s="398"/>
      <c r="X476" s="404"/>
      <c r="Y476" s="372"/>
      <c r="Z476" s="381"/>
      <c r="AA476" s="359"/>
      <c r="AB476" s="230"/>
      <c r="AC476" s="381"/>
      <c r="AD476" s="241"/>
      <c r="AE476" s="411"/>
      <c r="AF476" s="577"/>
      <c r="AG476" s="241"/>
      <c r="AH476" s="411"/>
      <c r="AI476" s="577"/>
      <c r="AJ476" s="241"/>
      <c r="AK476" s="411"/>
      <c r="AL476" s="577"/>
      <c r="AM476" s="241"/>
      <c r="AN476" s="411"/>
      <c r="AO476" s="577"/>
      <c r="AP476" s="241"/>
      <c r="AQ476" s="411"/>
      <c r="AR476" s="577"/>
      <c r="AS476" s="202"/>
    </row>
    <row r="477" spans="1:45" ht="13.5" hidden="1" customHeight="1">
      <c r="A477" s="12"/>
      <c r="B477" s="358" t="s">
        <v>2571</v>
      </c>
      <c r="C477" s="359">
        <v>15</v>
      </c>
      <c r="D477" s="359">
        <v>235</v>
      </c>
      <c r="E477" s="360"/>
      <c r="F477" s="524"/>
      <c r="G477" s="524"/>
      <c r="H477" s="362"/>
      <c r="I477" s="230"/>
      <c r="J477" s="230"/>
      <c r="K477" s="363"/>
      <c r="L477" s="364"/>
      <c r="M477" s="452"/>
      <c r="N477" s="409"/>
      <c r="O477" s="225"/>
      <c r="P477" s="424"/>
      <c r="Q477" s="674"/>
      <c r="R477" s="421"/>
      <c r="S477" s="421"/>
      <c r="T477" s="421"/>
      <c r="U477" s="421"/>
      <c r="V477" s="613"/>
      <c r="W477" s="374"/>
      <c r="X477" s="404"/>
      <c r="Y477" s="372"/>
      <c r="Z477" s="381"/>
      <c r="AA477" s="359"/>
      <c r="AB477" s="230"/>
      <c r="AC477" s="381"/>
      <c r="AD477" s="225"/>
      <c r="AE477" s="361"/>
      <c r="AF477" s="533"/>
      <c r="AG477" s="225"/>
      <c r="AH477" s="361"/>
      <c r="AI477" s="533"/>
      <c r="AJ477" s="225"/>
      <c r="AK477" s="361"/>
      <c r="AL477" s="533"/>
      <c r="AM477" s="225"/>
      <c r="AN477" s="361"/>
      <c r="AO477" s="533"/>
      <c r="AP477" s="225"/>
      <c r="AQ477" s="361"/>
      <c r="AR477" s="533"/>
      <c r="AS477" s="320"/>
    </row>
    <row r="478" spans="1:45" ht="13.5" hidden="1" customHeight="1">
      <c r="A478" s="12"/>
      <c r="B478" s="358"/>
      <c r="C478" s="359"/>
      <c r="D478" s="359"/>
      <c r="E478" s="360"/>
      <c r="F478" s="524"/>
      <c r="G478" s="524"/>
      <c r="H478" s="362"/>
      <c r="I478" s="230"/>
      <c r="J478" s="230"/>
      <c r="K478" s="363"/>
      <c r="L478" s="364"/>
      <c r="M478" s="604"/>
      <c r="N478" s="415"/>
      <c r="O478" s="241"/>
      <c r="P478" s="625"/>
      <c r="Q478" s="241"/>
      <c r="R478" s="606"/>
      <c r="S478" s="606"/>
      <c r="T478" s="606"/>
      <c r="U478" s="606"/>
      <c r="V478" s="616"/>
      <c r="W478" s="398"/>
      <c r="X478" s="404"/>
      <c r="Y478" s="372"/>
      <c r="Z478" s="381"/>
      <c r="AA478" s="359"/>
      <c r="AB478" s="230"/>
      <c r="AC478" s="381"/>
      <c r="AD478" s="241"/>
      <c r="AE478" s="411"/>
      <c r="AF478" s="577"/>
      <c r="AG478" s="241"/>
      <c r="AH478" s="411"/>
      <c r="AI478" s="577"/>
      <c r="AJ478" s="241"/>
      <c r="AK478" s="411"/>
      <c r="AL478" s="577"/>
      <c r="AM478" s="241"/>
      <c r="AN478" s="411"/>
      <c r="AO478" s="577"/>
      <c r="AP478" s="241"/>
      <c r="AQ478" s="411"/>
      <c r="AR478" s="577"/>
      <c r="AS478" s="202"/>
    </row>
    <row r="479" spans="1:45" ht="13.5" hidden="1" customHeight="1">
      <c r="A479" s="12"/>
      <c r="B479" s="358" t="s">
        <v>2571</v>
      </c>
      <c r="C479" s="359">
        <v>16</v>
      </c>
      <c r="D479" s="359">
        <v>236</v>
      </c>
      <c r="E479" s="360"/>
      <c r="F479" s="524"/>
      <c r="G479" s="524"/>
      <c r="H479" s="362"/>
      <c r="I479" s="230"/>
      <c r="J479" s="230"/>
      <c r="K479" s="363"/>
      <c r="L479" s="364"/>
      <c r="M479" s="604"/>
      <c r="N479" s="415"/>
      <c r="O479" s="241"/>
      <c r="P479" s="625"/>
      <c r="Q479" s="241"/>
      <c r="R479" s="606"/>
      <c r="S479" s="606"/>
      <c r="T479" s="606"/>
      <c r="U479" s="606"/>
      <c r="V479" s="616"/>
      <c r="W479" s="374"/>
      <c r="X479" s="404"/>
      <c r="Y479" s="372"/>
      <c r="Z479" s="381"/>
      <c r="AA479" s="359"/>
      <c r="AB479" s="230"/>
      <c r="AC479" s="381"/>
      <c r="AD479" s="225"/>
      <c r="AE479" s="361"/>
      <c r="AF479" s="533"/>
      <c r="AG479" s="225"/>
      <c r="AH479" s="361"/>
      <c r="AI479" s="533"/>
      <c r="AJ479" s="225"/>
      <c r="AK479" s="361"/>
      <c r="AL479" s="533"/>
      <c r="AM479" s="225"/>
      <c r="AN479" s="361"/>
      <c r="AO479" s="533"/>
      <c r="AP479" s="225"/>
      <c r="AQ479" s="361"/>
      <c r="AR479" s="533"/>
      <c r="AS479" s="320"/>
    </row>
    <row r="480" spans="1:45" ht="13.5" hidden="1" customHeight="1">
      <c r="A480" s="12"/>
      <c r="B480" s="358"/>
      <c r="C480" s="359"/>
      <c r="D480" s="359"/>
      <c r="E480" s="360"/>
      <c r="F480" s="524"/>
      <c r="G480" s="524"/>
      <c r="H480" s="362"/>
      <c r="I480" s="230"/>
      <c r="J480" s="230"/>
      <c r="K480" s="363"/>
      <c r="L480" s="364"/>
      <c r="M480" s="439"/>
      <c r="N480" s="425"/>
      <c r="O480" s="325"/>
      <c r="P480" s="375"/>
      <c r="Q480" s="325"/>
      <c r="R480" s="434"/>
      <c r="S480" s="434"/>
      <c r="T480" s="434"/>
      <c r="U480" s="434"/>
      <c r="V480" s="619"/>
      <c r="W480" s="398"/>
      <c r="X480" s="404"/>
      <c r="Y480" s="372"/>
      <c r="Z480" s="381"/>
      <c r="AA480" s="359"/>
      <c r="AB480" s="230"/>
      <c r="AC480" s="381"/>
      <c r="AD480" s="241"/>
      <c r="AE480" s="411"/>
      <c r="AF480" s="577"/>
      <c r="AG480" s="241"/>
      <c r="AH480" s="411"/>
      <c r="AI480" s="577"/>
      <c r="AJ480" s="241"/>
      <c r="AK480" s="411"/>
      <c r="AL480" s="577"/>
      <c r="AM480" s="241"/>
      <c r="AN480" s="411"/>
      <c r="AO480" s="577"/>
      <c r="AP480" s="241"/>
      <c r="AQ480" s="411"/>
      <c r="AR480" s="577"/>
      <c r="AS480" s="202"/>
    </row>
    <row r="481" spans="1:45" ht="13.5" hidden="1" customHeight="1">
      <c r="A481" s="12"/>
      <c r="B481" s="358" t="s">
        <v>2571</v>
      </c>
      <c r="C481" s="359">
        <v>17</v>
      </c>
      <c r="D481" s="359">
        <v>237</v>
      </c>
      <c r="E481" s="360"/>
      <c r="F481" s="524"/>
      <c r="G481" s="524"/>
      <c r="H481" s="362"/>
      <c r="I481" s="230"/>
      <c r="J481" s="230"/>
      <c r="K481" s="363"/>
      <c r="L481" s="364"/>
      <c r="M481" s="365"/>
      <c r="N481" s="366"/>
      <c r="O481" s="367"/>
      <c r="P481" s="368"/>
      <c r="Q481" s="369"/>
      <c r="R481" s="370"/>
      <c r="S481" s="370"/>
      <c r="T481" s="371"/>
      <c r="U481" s="372"/>
      <c r="V481" s="373"/>
      <c r="W481" s="374"/>
      <c r="X481" s="404"/>
      <c r="Y481" s="372"/>
      <c r="Z481" s="381"/>
      <c r="AA481" s="359"/>
      <c r="AB481" s="230"/>
      <c r="AC481" s="381"/>
      <c r="AD481" s="225"/>
      <c r="AE481" s="361"/>
      <c r="AF481" s="533"/>
      <c r="AG481" s="225"/>
      <c r="AH481" s="361"/>
      <c r="AI481" s="533"/>
      <c r="AJ481" s="225"/>
      <c r="AK481" s="361"/>
      <c r="AL481" s="533"/>
      <c r="AM481" s="225"/>
      <c r="AN481" s="361"/>
      <c r="AO481" s="533"/>
      <c r="AP481" s="225"/>
      <c r="AQ481" s="361"/>
      <c r="AR481" s="533"/>
      <c r="AS481" s="320"/>
    </row>
    <row r="482" spans="1:45" ht="13.5" hidden="1" customHeight="1">
      <c r="A482" s="12"/>
      <c r="B482" s="358"/>
      <c r="C482" s="359"/>
      <c r="D482" s="359"/>
      <c r="E482" s="360"/>
      <c r="F482" s="524"/>
      <c r="G482" s="524"/>
      <c r="H482" s="362"/>
      <c r="I482" s="230"/>
      <c r="J482" s="230"/>
      <c r="K482" s="363"/>
      <c r="L482" s="364"/>
      <c r="M482" s="365"/>
      <c r="N482" s="366"/>
      <c r="O482" s="367"/>
      <c r="P482" s="368"/>
      <c r="Q482" s="369"/>
      <c r="R482" s="370"/>
      <c r="S482" s="370"/>
      <c r="T482" s="371"/>
      <c r="U482" s="372"/>
      <c r="V482" s="373"/>
      <c r="W482" s="398"/>
      <c r="X482" s="404"/>
      <c r="Y482" s="372"/>
      <c r="Z482" s="381"/>
      <c r="AA482" s="241"/>
      <c r="AB482" s="411"/>
      <c r="AC482" s="577"/>
      <c r="AD482" s="241"/>
      <c r="AE482" s="411"/>
      <c r="AF482" s="577"/>
      <c r="AG482" s="241"/>
      <c r="AH482" s="411"/>
      <c r="AI482" s="577"/>
      <c r="AJ482" s="241"/>
      <c r="AK482" s="411"/>
      <c r="AL482" s="577"/>
      <c r="AM482" s="241"/>
      <c r="AN482" s="411"/>
      <c r="AO482" s="577"/>
      <c r="AP482" s="241"/>
      <c r="AQ482" s="411"/>
      <c r="AR482" s="577"/>
      <c r="AS482" s="202"/>
    </row>
    <row r="483" spans="1:45" ht="13.5" hidden="1" customHeight="1">
      <c r="A483" s="12"/>
      <c r="B483" s="358" t="s">
        <v>2571</v>
      </c>
      <c r="C483" s="359">
        <v>18</v>
      </c>
      <c r="D483" s="359">
        <v>238</v>
      </c>
      <c r="E483" s="626"/>
      <c r="F483" s="524"/>
      <c r="G483" s="524"/>
      <c r="H483" s="362"/>
      <c r="I483" s="230"/>
      <c r="J483" s="230"/>
      <c r="K483" s="368"/>
      <c r="L483" s="364"/>
      <c r="M483" s="365"/>
      <c r="N483" s="366"/>
      <c r="O483" s="367"/>
      <c r="P483" s="368"/>
      <c r="Q483" s="382"/>
      <c r="R483" s="370"/>
      <c r="S483" s="370"/>
      <c r="T483" s="371"/>
      <c r="U483" s="384"/>
      <c r="V483" s="627"/>
      <c r="W483" s="628"/>
      <c r="X483" s="404"/>
      <c r="Y483" s="384"/>
      <c r="Z483" s="513"/>
      <c r="AA483" s="402"/>
      <c r="AB483" s="403"/>
      <c r="AC483" s="401"/>
      <c r="AD483" s="402"/>
      <c r="AE483" s="403"/>
      <c r="AF483" s="401"/>
      <c r="AG483" s="402"/>
      <c r="AH483" s="403"/>
      <c r="AI483" s="401"/>
      <c r="AJ483" s="402"/>
      <c r="AK483" s="403"/>
      <c r="AL483" s="401"/>
      <c r="AM483" s="402"/>
      <c r="AN483" s="403"/>
      <c r="AO483" s="401"/>
      <c r="AP483" s="402"/>
      <c r="AQ483" s="403"/>
      <c r="AR483" s="401"/>
      <c r="AS483" s="202"/>
    </row>
    <row r="484" spans="1:45" ht="14.25" hidden="1" customHeight="1">
      <c r="A484" s="12"/>
      <c r="B484" s="358"/>
      <c r="C484" s="359"/>
      <c r="D484" s="359"/>
      <c r="E484" s="626"/>
      <c r="F484" s="524"/>
      <c r="G484" s="524"/>
      <c r="H484" s="362"/>
      <c r="I484" s="230"/>
      <c r="J484" s="230"/>
      <c r="K484" s="368"/>
      <c r="L484" s="364"/>
      <c r="M484" s="365"/>
      <c r="N484" s="366"/>
      <c r="O484" s="367"/>
      <c r="P484" s="368"/>
      <c r="Q484" s="382"/>
      <c r="R484" s="370"/>
      <c r="S484" s="370"/>
      <c r="T484" s="371"/>
      <c r="U484" s="384"/>
      <c r="V484" s="627"/>
      <c r="W484" s="628"/>
      <c r="X484" s="404"/>
      <c r="Y484" s="384"/>
      <c r="Z484" s="513"/>
      <c r="AA484" s="402"/>
      <c r="AB484" s="403"/>
      <c r="AC484" s="401"/>
      <c r="AD484" s="402"/>
      <c r="AE484" s="403"/>
      <c r="AF484" s="401"/>
      <c r="AG484" s="402"/>
      <c r="AH484" s="403"/>
      <c r="AI484" s="401"/>
      <c r="AJ484" s="402"/>
      <c r="AK484" s="403"/>
      <c r="AL484" s="401"/>
      <c r="AM484" s="402"/>
      <c r="AN484" s="403"/>
      <c r="AO484" s="401"/>
      <c r="AP484" s="402"/>
      <c r="AQ484" s="403"/>
      <c r="AR484" s="401"/>
      <c r="AS484" s="202"/>
    </row>
    <row r="485" spans="1:45" ht="13.5" hidden="1" customHeight="1">
      <c r="A485" s="12"/>
      <c r="B485" s="358" t="s">
        <v>2571</v>
      </c>
      <c r="C485" s="359">
        <v>19</v>
      </c>
      <c r="D485" s="359">
        <v>239</v>
      </c>
      <c r="E485" s="360"/>
      <c r="F485" s="524"/>
      <c r="G485" s="524"/>
      <c r="H485" s="362"/>
      <c r="I485" s="230"/>
      <c r="J485" s="230"/>
      <c r="K485" s="363"/>
      <c r="L485" s="364"/>
      <c r="M485" s="365"/>
      <c r="N485" s="366"/>
      <c r="O485" s="367"/>
      <c r="P485" s="368"/>
      <c r="Q485" s="369"/>
      <c r="R485" s="370"/>
      <c r="S485" s="370"/>
      <c r="T485" s="371"/>
      <c r="U485" s="372"/>
      <c r="V485" s="373"/>
      <c r="W485" s="374"/>
      <c r="X485" s="404"/>
      <c r="Y485" s="372"/>
      <c r="Z485" s="381"/>
      <c r="AA485" s="225"/>
      <c r="AB485" s="361"/>
      <c r="AC485" s="533"/>
      <c r="AD485" s="225"/>
      <c r="AE485" s="361"/>
      <c r="AF485" s="533"/>
      <c r="AG485" s="225"/>
      <c r="AH485" s="361"/>
      <c r="AI485" s="533"/>
      <c r="AJ485" s="225"/>
      <c r="AK485" s="361"/>
      <c r="AL485" s="533"/>
      <c r="AM485" s="225"/>
      <c r="AN485" s="361"/>
      <c r="AO485" s="533"/>
      <c r="AP485" s="225"/>
      <c r="AQ485" s="361"/>
      <c r="AR485" s="533"/>
      <c r="AS485" s="320"/>
    </row>
    <row r="486" spans="1:45" ht="13.5" hidden="1" customHeight="1">
      <c r="A486" s="12"/>
      <c r="B486" s="358"/>
      <c r="C486" s="359"/>
      <c r="D486" s="359"/>
      <c r="E486" s="360"/>
      <c r="F486" s="524"/>
      <c r="G486" s="524"/>
      <c r="H486" s="362"/>
      <c r="I486" s="230"/>
      <c r="J486" s="230"/>
      <c r="K486" s="363"/>
      <c r="L486" s="364"/>
      <c r="M486" s="365"/>
      <c r="N486" s="366"/>
      <c r="O486" s="367"/>
      <c r="P486" s="368"/>
      <c r="Q486" s="369"/>
      <c r="R486" s="370"/>
      <c r="S486" s="370"/>
      <c r="T486" s="371"/>
      <c r="U486" s="372"/>
      <c r="V486" s="373"/>
      <c r="W486" s="398"/>
      <c r="X486" s="404"/>
      <c r="Y486" s="372"/>
      <c r="Z486" s="381"/>
      <c r="AA486" s="241"/>
      <c r="AB486" s="411"/>
      <c r="AC486" s="577"/>
      <c r="AD486" s="241"/>
      <c r="AE486" s="411"/>
      <c r="AF486" s="577"/>
      <c r="AG486" s="241"/>
      <c r="AH486" s="411"/>
      <c r="AI486" s="577"/>
      <c r="AJ486" s="241"/>
      <c r="AK486" s="411"/>
      <c r="AL486" s="577"/>
      <c r="AM486" s="241"/>
      <c r="AN486" s="411"/>
      <c r="AO486" s="577"/>
      <c r="AP486" s="241"/>
      <c r="AQ486" s="411"/>
      <c r="AR486" s="577"/>
      <c r="AS486" s="202"/>
    </row>
    <row r="487" spans="1:45" ht="13.5" hidden="1" customHeight="1">
      <c r="A487" s="12"/>
      <c r="B487" s="358" t="s">
        <v>2571</v>
      </c>
      <c r="C487" s="359">
        <v>20</v>
      </c>
      <c r="D487" s="359">
        <v>240</v>
      </c>
      <c r="E487" s="360"/>
      <c r="F487" s="524"/>
      <c r="G487" s="524"/>
      <c r="H487" s="362"/>
      <c r="I487" s="230"/>
      <c r="J487" s="230"/>
      <c r="K487" s="363"/>
      <c r="L487" s="364"/>
      <c r="M487" s="365"/>
      <c r="N487" s="366"/>
      <c r="O487" s="367"/>
      <c r="P487" s="368"/>
      <c r="Q487" s="369"/>
      <c r="R487" s="370"/>
      <c r="S487" s="370"/>
      <c r="T487" s="371"/>
      <c r="U487" s="372"/>
      <c r="V487" s="373"/>
      <c r="W487" s="374"/>
      <c r="X487" s="404"/>
      <c r="Y487" s="372"/>
      <c r="Z487" s="381"/>
      <c r="AA487" s="225"/>
      <c r="AB487" s="361"/>
      <c r="AC487" s="533"/>
      <c r="AD487" s="225"/>
      <c r="AE487" s="361"/>
      <c r="AF487" s="533"/>
      <c r="AG487" s="225"/>
      <c r="AH487" s="361"/>
      <c r="AI487" s="533"/>
      <c r="AJ487" s="225"/>
      <c r="AK487" s="361"/>
      <c r="AL487" s="533"/>
      <c r="AM487" s="225"/>
      <c r="AN487" s="361"/>
      <c r="AO487" s="533"/>
      <c r="AP487" s="225"/>
      <c r="AQ487" s="361"/>
      <c r="AR487" s="533"/>
      <c r="AS487" s="320"/>
    </row>
    <row r="488" spans="1:45" ht="13.5" hidden="1" customHeight="1">
      <c r="A488" s="12"/>
      <c r="B488" s="358"/>
      <c r="C488" s="359"/>
      <c r="D488" s="359"/>
      <c r="E488" s="360"/>
      <c r="F488" s="524"/>
      <c r="G488" s="524"/>
      <c r="H488" s="362"/>
      <c r="I488" s="230"/>
      <c r="J488" s="230"/>
      <c r="K488" s="363"/>
      <c r="L488" s="364"/>
      <c r="M488" s="365"/>
      <c r="N488" s="366"/>
      <c r="O488" s="367"/>
      <c r="P488" s="368"/>
      <c r="Q488" s="369"/>
      <c r="R488" s="370"/>
      <c r="S488" s="370"/>
      <c r="T488" s="371"/>
      <c r="U488" s="372"/>
      <c r="V488" s="373"/>
      <c r="W488" s="398"/>
      <c r="X488" s="404"/>
      <c r="Y488" s="372"/>
      <c r="Z488" s="381"/>
      <c r="AA488" s="241"/>
      <c r="AB488" s="411"/>
      <c r="AC488" s="577"/>
      <c r="AD488" s="241"/>
      <c r="AE488" s="411"/>
      <c r="AF488" s="577"/>
      <c r="AG488" s="241"/>
      <c r="AH488" s="411"/>
      <c r="AI488" s="577"/>
      <c r="AJ488" s="241"/>
      <c r="AK488" s="411"/>
      <c r="AL488" s="577"/>
      <c r="AM488" s="241"/>
      <c r="AN488" s="411"/>
      <c r="AO488" s="577"/>
      <c r="AP488" s="241"/>
      <c r="AQ488" s="411"/>
      <c r="AR488" s="577"/>
      <c r="AS488" s="202"/>
    </row>
    <row r="489" spans="1:45" ht="13.5" hidden="1" customHeight="1">
      <c r="A489" s="12"/>
      <c r="B489" s="358" t="s">
        <v>2571</v>
      </c>
      <c r="C489" s="359">
        <v>21</v>
      </c>
      <c r="D489" s="359">
        <v>241</v>
      </c>
      <c r="E489" s="360"/>
      <c r="F489" s="524"/>
      <c r="G489" s="524"/>
      <c r="H489" s="362"/>
      <c r="I489" s="230"/>
      <c r="J489" s="230"/>
      <c r="K489" s="363"/>
      <c r="L489" s="364"/>
      <c r="M489" s="365"/>
      <c r="N489" s="366"/>
      <c r="O489" s="367"/>
      <c r="P489" s="368"/>
      <c r="Q489" s="369"/>
      <c r="R489" s="370"/>
      <c r="S489" s="370"/>
      <c r="T489" s="371"/>
      <c r="U489" s="372"/>
      <c r="V489" s="373"/>
      <c r="W489" s="374"/>
      <c r="X489" s="404"/>
      <c r="Y489" s="372"/>
      <c r="Z489" s="381"/>
      <c r="AA489" s="225"/>
      <c r="AB489" s="361"/>
      <c r="AC489" s="533"/>
      <c r="AD489" s="225"/>
      <c r="AE489" s="361"/>
      <c r="AF489" s="533"/>
      <c r="AG489" s="225"/>
      <c r="AH489" s="361"/>
      <c r="AI489" s="533"/>
      <c r="AJ489" s="225"/>
      <c r="AK489" s="361"/>
      <c r="AL489" s="533"/>
      <c r="AM489" s="225"/>
      <c r="AN489" s="361"/>
      <c r="AO489" s="533"/>
      <c r="AP489" s="225"/>
      <c r="AQ489" s="361"/>
      <c r="AR489" s="533"/>
      <c r="AS489" s="320"/>
    </row>
    <row r="490" spans="1:45" ht="13.5" hidden="1" customHeight="1">
      <c r="A490" s="12"/>
      <c r="B490" s="358"/>
      <c r="C490" s="359"/>
      <c r="D490" s="359"/>
      <c r="E490" s="360"/>
      <c r="F490" s="524"/>
      <c r="G490" s="524"/>
      <c r="H490" s="362"/>
      <c r="I490" s="230"/>
      <c r="J490" s="230"/>
      <c r="K490" s="363"/>
      <c r="L490" s="364"/>
      <c r="M490" s="365"/>
      <c r="N490" s="366"/>
      <c r="O490" s="367"/>
      <c r="P490" s="368"/>
      <c r="Q490" s="369"/>
      <c r="R490" s="370"/>
      <c r="S490" s="370"/>
      <c r="T490" s="371"/>
      <c r="U490" s="372"/>
      <c r="V490" s="373"/>
      <c r="W490" s="398"/>
      <c r="X490" s="404"/>
      <c r="Y490" s="372"/>
      <c r="Z490" s="381"/>
      <c r="AA490" s="241"/>
      <c r="AB490" s="411"/>
      <c r="AC490" s="577"/>
      <c r="AD490" s="241"/>
      <c r="AE490" s="411"/>
      <c r="AF490" s="577"/>
      <c r="AG490" s="241"/>
      <c r="AH490" s="411"/>
      <c r="AI490" s="577"/>
      <c r="AJ490" s="241"/>
      <c r="AK490" s="411"/>
      <c r="AL490" s="577"/>
      <c r="AM490" s="241"/>
      <c r="AN490" s="411"/>
      <c r="AO490" s="577"/>
      <c r="AP490" s="241"/>
      <c r="AQ490" s="411"/>
      <c r="AR490" s="577"/>
      <c r="AS490" s="202"/>
    </row>
    <row r="491" spans="1:45" ht="13.5" hidden="1" customHeight="1">
      <c r="A491" s="12"/>
      <c r="B491" s="358" t="s">
        <v>2571</v>
      </c>
      <c r="C491" s="359">
        <v>22</v>
      </c>
      <c r="D491" s="359">
        <v>242</v>
      </c>
      <c r="E491" s="360"/>
      <c r="F491" s="524"/>
      <c r="G491" s="524"/>
      <c r="H491" s="362"/>
      <c r="I491" s="230"/>
      <c r="J491" s="230"/>
      <c r="K491" s="363"/>
      <c r="L491" s="364"/>
      <c r="M491" s="365"/>
      <c r="N491" s="366"/>
      <c r="O491" s="367"/>
      <c r="P491" s="368"/>
      <c r="Q491" s="369"/>
      <c r="R491" s="370"/>
      <c r="S491" s="370"/>
      <c r="T491" s="371"/>
      <c r="U491" s="372"/>
      <c r="V491" s="373"/>
      <c r="W491" s="374"/>
      <c r="X491" s="404"/>
      <c r="Y491" s="372"/>
      <c r="Z491" s="381"/>
      <c r="AA491" s="225"/>
      <c r="AB491" s="361"/>
      <c r="AC491" s="533"/>
      <c r="AD491" s="225"/>
      <c r="AE491" s="361"/>
      <c r="AF491" s="533"/>
      <c r="AG491" s="225"/>
      <c r="AH491" s="361"/>
      <c r="AI491" s="533"/>
      <c r="AJ491" s="225"/>
      <c r="AK491" s="361"/>
      <c r="AL491" s="533"/>
      <c r="AM491" s="225"/>
      <c r="AN491" s="361"/>
      <c r="AO491" s="533"/>
      <c r="AP491" s="225"/>
      <c r="AQ491" s="361"/>
      <c r="AR491" s="533"/>
      <c r="AS491" s="320"/>
    </row>
    <row r="492" spans="1:45" ht="13.5" hidden="1" customHeight="1">
      <c r="A492" s="12"/>
      <c r="B492" s="358"/>
      <c r="C492" s="359"/>
      <c r="D492" s="359"/>
      <c r="E492" s="360"/>
      <c r="F492" s="524"/>
      <c r="G492" s="524"/>
      <c r="H492" s="362"/>
      <c r="I492" s="230"/>
      <c r="J492" s="230"/>
      <c r="K492" s="363"/>
      <c r="L492" s="364"/>
      <c r="M492" s="365"/>
      <c r="N492" s="366"/>
      <c r="O492" s="367"/>
      <c r="P492" s="368"/>
      <c r="Q492" s="369"/>
      <c r="R492" s="370"/>
      <c r="S492" s="370"/>
      <c r="T492" s="371"/>
      <c r="U492" s="372"/>
      <c r="V492" s="373"/>
      <c r="W492" s="398"/>
      <c r="X492" s="404"/>
      <c r="Y492" s="372"/>
      <c r="Z492" s="381"/>
      <c r="AA492" s="241"/>
      <c r="AB492" s="411"/>
      <c r="AC492" s="577"/>
      <c r="AD492" s="241"/>
      <c r="AE492" s="411"/>
      <c r="AF492" s="577"/>
      <c r="AG492" s="241"/>
      <c r="AH492" s="411"/>
      <c r="AI492" s="577"/>
      <c r="AJ492" s="241"/>
      <c r="AK492" s="411"/>
      <c r="AL492" s="577"/>
      <c r="AM492" s="241"/>
      <c r="AN492" s="411"/>
      <c r="AO492" s="577"/>
      <c r="AP492" s="241"/>
      <c r="AQ492" s="411"/>
      <c r="AR492" s="577"/>
      <c r="AS492" s="202"/>
    </row>
    <row r="493" spans="1:45" ht="13.5" hidden="1" customHeight="1">
      <c r="A493" s="12"/>
      <c r="B493" s="358" t="s">
        <v>2571</v>
      </c>
      <c r="C493" s="359">
        <v>23</v>
      </c>
      <c r="D493" s="359">
        <v>243</v>
      </c>
      <c r="E493" s="360"/>
      <c r="F493" s="524"/>
      <c r="G493" s="524"/>
      <c r="H493" s="362"/>
      <c r="I493" s="230"/>
      <c r="J493" s="230"/>
      <c r="K493" s="363"/>
      <c r="L493" s="364"/>
      <c r="M493" s="365"/>
      <c r="N493" s="366"/>
      <c r="O493" s="367"/>
      <c r="P493" s="368"/>
      <c r="Q493" s="369"/>
      <c r="R493" s="370"/>
      <c r="S493" s="370"/>
      <c r="T493" s="371"/>
      <c r="U493" s="372"/>
      <c r="V493" s="373"/>
      <c r="W493" s="374"/>
      <c r="X493" s="404"/>
      <c r="Y493" s="372"/>
      <c r="Z493" s="381"/>
      <c r="AA493" s="225"/>
      <c r="AB493" s="361"/>
      <c r="AC493" s="533"/>
      <c r="AD493" s="225"/>
      <c r="AE493" s="361"/>
      <c r="AF493" s="533"/>
      <c r="AG493" s="225"/>
      <c r="AH493" s="361"/>
      <c r="AI493" s="533"/>
      <c r="AJ493" s="225"/>
      <c r="AK493" s="361"/>
      <c r="AL493" s="533"/>
      <c r="AM493" s="225"/>
      <c r="AN493" s="361"/>
      <c r="AO493" s="533"/>
      <c r="AP493" s="225"/>
      <c r="AQ493" s="361"/>
      <c r="AR493" s="533"/>
      <c r="AS493" s="320"/>
    </row>
    <row r="494" spans="1:45" ht="13.5" hidden="1" customHeight="1">
      <c r="A494" s="12"/>
      <c r="B494" s="358"/>
      <c r="C494" s="359"/>
      <c r="D494" s="359"/>
      <c r="E494" s="360"/>
      <c r="F494" s="524"/>
      <c r="G494" s="524"/>
      <c r="H494" s="362"/>
      <c r="I494" s="230"/>
      <c r="J494" s="230"/>
      <c r="K494" s="363"/>
      <c r="L494" s="364"/>
      <c r="M494" s="365"/>
      <c r="N494" s="366"/>
      <c r="O494" s="367"/>
      <c r="P494" s="368"/>
      <c r="Q494" s="369"/>
      <c r="R494" s="370"/>
      <c r="S494" s="370"/>
      <c r="T494" s="371"/>
      <c r="U494" s="372"/>
      <c r="V494" s="373"/>
      <c r="W494" s="398"/>
      <c r="X494" s="404"/>
      <c r="Y494" s="372"/>
      <c r="Z494" s="381"/>
      <c r="AA494" s="241"/>
      <c r="AB494" s="411"/>
      <c r="AC494" s="577"/>
      <c r="AD494" s="241"/>
      <c r="AE494" s="411"/>
      <c r="AF494" s="577"/>
      <c r="AG494" s="241"/>
      <c r="AH494" s="411"/>
      <c r="AI494" s="577"/>
      <c r="AJ494" s="241"/>
      <c r="AK494" s="411"/>
      <c r="AL494" s="577"/>
      <c r="AM494" s="241"/>
      <c r="AN494" s="411"/>
      <c r="AO494" s="577"/>
      <c r="AP494" s="241"/>
      <c r="AQ494" s="411"/>
      <c r="AR494" s="577"/>
      <c r="AS494" s="202"/>
    </row>
    <row r="495" spans="1:45" ht="13.5" hidden="1" customHeight="1">
      <c r="A495" s="12"/>
      <c r="B495" s="358" t="s">
        <v>2571</v>
      </c>
      <c r="C495" s="359">
        <v>24</v>
      </c>
      <c r="D495" s="359">
        <v>244</v>
      </c>
      <c r="E495" s="360"/>
      <c r="F495" s="524"/>
      <c r="G495" s="524"/>
      <c r="H495" s="362"/>
      <c r="I495" s="230"/>
      <c r="J495" s="230"/>
      <c r="K495" s="363"/>
      <c r="L495" s="364"/>
      <c r="M495" s="365"/>
      <c r="N495" s="366"/>
      <c r="O495" s="367"/>
      <c r="P495" s="368"/>
      <c r="Q495" s="369"/>
      <c r="R495" s="370"/>
      <c r="S495" s="370"/>
      <c r="T495" s="371"/>
      <c r="U495" s="372"/>
      <c r="V495" s="373"/>
      <c r="W495" s="374"/>
      <c r="X495" s="404"/>
      <c r="Y495" s="372"/>
      <c r="Z495" s="381"/>
      <c r="AA495" s="225"/>
      <c r="AB495" s="361"/>
      <c r="AC495" s="533"/>
      <c r="AD495" s="225"/>
      <c r="AE495" s="361"/>
      <c r="AF495" s="533"/>
      <c r="AG495" s="225"/>
      <c r="AH495" s="361"/>
      <c r="AI495" s="533"/>
      <c r="AJ495" s="225"/>
      <c r="AK495" s="361"/>
      <c r="AL495" s="533"/>
      <c r="AM495" s="225"/>
      <c r="AN495" s="361"/>
      <c r="AO495" s="533"/>
      <c r="AP495" s="225"/>
      <c r="AQ495" s="361"/>
      <c r="AR495" s="533"/>
      <c r="AS495" s="320"/>
    </row>
    <row r="496" spans="1:45" ht="13.5" hidden="1" customHeight="1">
      <c r="A496" s="12"/>
      <c r="B496" s="358"/>
      <c r="C496" s="359"/>
      <c r="D496" s="359"/>
      <c r="E496" s="360"/>
      <c r="F496" s="524"/>
      <c r="G496" s="524"/>
      <c r="H496" s="362"/>
      <c r="I496" s="230"/>
      <c r="J496" s="230"/>
      <c r="K496" s="363"/>
      <c r="L496" s="364"/>
      <c r="M496" s="365"/>
      <c r="N496" s="366"/>
      <c r="O496" s="367"/>
      <c r="P496" s="368"/>
      <c r="Q496" s="369"/>
      <c r="R496" s="370"/>
      <c r="S496" s="370"/>
      <c r="T496" s="371"/>
      <c r="U496" s="372"/>
      <c r="V496" s="373"/>
      <c r="W496" s="398"/>
      <c r="X496" s="404"/>
      <c r="Y496" s="372"/>
      <c r="Z496" s="381"/>
      <c r="AA496" s="241"/>
      <c r="AB496" s="411"/>
      <c r="AC496" s="577"/>
      <c r="AD496" s="241"/>
      <c r="AE496" s="411"/>
      <c r="AF496" s="577"/>
      <c r="AG496" s="241"/>
      <c r="AH496" s="411"/>
      <c r="AI496" s="577"/>
      <c r="AJ496" s="241"/>
      <c r="AK496" s="411"/>
      <c r="AL496" s="577"/>
      <c r="AM496" s="241"/>
      <c r="AN496" s="411"/>
      <c r="AO496" s="577"/>
      <c r="AP496" s="241"/>
      <c r="AQ496" s="411"/>
      <c r="AR496" s="577"/>
      <c r="AS496" s="202"/>
    </row>
    <row r="497" spans="1:45" ht="13.5" hidden="1" customHeight="1">
      <c r="A497" s="12"/>
      <c r="B497" s="358" t="s">
        <v>2571</v>
      </c>
      <c r="C497" s="359">
        <v>25</v>
      </c>
      <c r="D497" s="359">
        <v>245</v>
      </c>
      <c r="E497" s="360"/>
      <c r="F497" s="524"/>
      <c r="G497" s="524"/>
      <c r="H497" s="362"/>
      <c r="I497" s="230"/>
      <c r="J497" s="230"/>
      <c r="K497" s="363"/>
      <c r="L497" s="364"/>
      <c r="M497" s="365"/>
      <c r="N497" s="366"/>
      <c r="O497" s="367"/>
      <c r="P497" s="368"/>
      <c r="Q497" s="369"/>
      <c r="R497" s="370"/>
      <c r="S497" s="370"/>
      <c r="T497" s="371"/>
      <c r="U497" s="372"/>
      <c r="V497" s="373"/>
      <c r="W497" s="374"/>
      <c r="X497" s="404"/>
      <c r="Y497" s="372"/>
      <c r="Z497" s="381"/>
      <c r="AA497" s="225"/>
      <c r="AB497" s="361"/>
      <c r="AC497" s="533"/>
      <c r="AD497" s="225"/>
      <c r="AE497" s="361"/>
      <c r="AF497" s="533"/>
      <c r="AG497" s="225"/>
      <c r="AH497" s="361"/>
      <c r="AI497" s="533"/>
      <c r="AJ497" s="225"/>
      <c r="AK497" s="361"/>
      <c r="AL497" s="533"/>
      <c r="AM497" s="225"/>
      <c r="AN497" s="361"/>
      <c r="AO497" s="533"/>
      <c r="AP497" s="225"/>
      <c r="AQ497" s="361"/>
      <c r="AR497" s="533"/>
      <c r="AS497" s="320"/>
    </row>
    <row r="498" spans="1:45" ht="13.5" hidden="1" customHeight="1">
      <c r="A498" s="12"/>
      <c r="B498" s="358"/>
      <c r="C498" s="359"/>
      <c r="D498" s="359"/>
      <c r="E498" s="360"/>
      <c r="F498" s="524"/>
      <c r="G498" s="524"/>
      <c r="H498" s="362"/>
      <c r="I498" s="230"/>
      <c r="J498" s="230"/>
      <c r="K498" s="363"/>
      <c r="L498" s="364"/>
      <c r="M498" s="365"/>
      <c r="N498" s="366"/>
      <c r="O498" s="367"/>
      <c r="P498" s="368"/>
      <c r="Q498" s="369"/>
      <c r="R498" s="370"/>
      <c r="S498" s="370"/>
      <c r="T498" s="371"/>
      <c r="U498" s="372"/>
      <c r="V498" s="373"/>
      <c r="W498" s="398"/>
      <c r="X498" s="404"/>
      <c r="Y498" s="372"/>
      <c r="Z498" s="381"/>
      <c r="AA498" s="241"/>
      <c r="AB498" s="411"/>
      <c r="AC498" s="577"/>
      <c r="AD498" s="241"/>
      <c r="AE498" s="411"/>
      <c r="AF498" s="577"/>
      <c r="AG498" s="241"/>
      <c r="AH498" s="411"/>
      <c r="AI498" s="577"/>
      <c r="AJ498" s="241"/>
      <c r="AK498" s="411"/>
      <c r="AL498" s="577"/>
      <c r="AM498" s="241"/>
      <c r="AN498" s="411"/>
      <c r="AO498" s="577"/>
      <c r="AP498" s="241"/>
      <c r="AQ498" s="411"/>
      <c r="AR498" s="577"/>
      <c r="AS498" s="202"/>
    </row>
    <row r="499" spans="1:45" ht="13.5" hidden="1" customHeight="1">
      <c r="A499" s="12"/>
      <c r="B499" s="358" t="s">
        <v>2571</v>
      </c>
      <c r="C499" s="359">
        <v>26</v>
      </c>
      <c r="D499" s="359">
        <v>246</v>
      </c>
      <c r="E499" s="360"/>
      <c r="F499" s="524"/>
      <c r="G499" s="524"/>
      <c r="H499" s="362"/>
      <c r="I499" s="230"/>
      <c r="J499" s="230"/>
      <c r="K499" s="363"/>
      <c r="L499" s="364"/>
      <c r="M499" s="365"/>
      <c r="N499" s="366"/>
      <c r="O499" s="367"/>
      <c r="P499" s="368"/>
      <c r="Q499" s="369"/>
      <c r="R499" s="370"/>
      <c r="S499" s="370"/>
      <c r="T499" s="371"/>
      <c r="U499" s="372"/>
      <c r="V499" s="373"/>
      <c r="W499" s="374"/>
      <c r="X499" s="404"/>
      <c r="Y499" s="372"/>
      <c r="Z499" s="381"/>
      <c r="AA499" s="225"/>
      <c r="AB499" s="361"/>
      <c r="AC499" s="533"/>
      <c r="AD499" s="225"/>
      <c r="AE499" s="361"/>
      <c r="AF499" s="533"/>
      <c r="AG499" s="225"/>
      <c r="AH499" s="361"/>
      <c r="AI499" s="533"/>
      <c r="AJ499" s="225"/>
      <c r="AK499" s="361"/>
      <c r="AL499" s="533"/>
      <c r="AM499" s="225"/>
      <c r="AN499" s="361"/>
      <c r="AO499" s="533"/>
      <c r="AP499" s="225"/>
      <c r="AQ499" s="361"/>
      <c r="AR499" s="533"/>
      <c r="AS499" s="320"/>
    </row>
    <row r="500" spans="1:45" ht="13.5" hidden="1" customHeight="1">
      <c r="A500" s="12"/>
      <c r="B500" s="358"/>
      <c r="C500" s="359"/>
      <c r="D500" s="359"/>
      <c r="E500" s="360"/>
      <c r="F500" s="524"/>
      <c r="G500" s="524"/>
      <c r="H500" s="362"/>
      <c r="I500" s="230"/>
      <c r="J500" s="230"/>
      <c r="K500" s="363"/>
      <c r="L500" s="364"/>
      <c r="M500" s="365"/>
      <c r="N500" s="366"/>
      <c r="O500" s="367"/>
      <c r="P500" s="368"/>
      <c r="Q500" s="369"/>
      <c r="R500" s="370"/>
      <c r="S500" s="370"/>
      <c r="T500" s="371"/>
      <c r="U500" s="372"/>
      <c r="V500" s="373"/>
      <c r="W500" s="398"/>
      <c r="X500" s="404"/>
      <c r="Y500" s="372"/>
      <c r="Z500" s="381"/>
      <c r="AA500" s="241"/>
      <c r="AB500" s="411"/>
      <c r="AC500" s="577"/>
      <c r="AD500" s="241"/>
      <c r="AE500" s="411"/>
      <c r="AF500" s="577"/>
      <c r="AG500" s="241"/>
      <c r="AH500" s="411"/>
      <c r="AI500" s="577"/>
      <c r="AJ500" s="241"/>
      <c r="AK500" s="411"/>
      <c r="AL500" s="577"/>
      <c r="AM500" s="241"/>
      <c r="AN500" s="411"/>
      <c r="AO500" s="577"/>
      <c r="AP500" s="241"/>
      <c r="AQ500" s="411"/>
      <c r="AR500" s="577"/>
      <c r="AS500" s="202"/>
    </row>
    <row r="501" spans="1:45" ht="13.5" hidden="1" customHeight="1">
      <c r="A501" s="12"/>
      <c r="B501" s="358" t="s">
        <v>2571</v>
      </c>
      <c r="C501" s="359">
        <v>27</v>
      </c>
      <c r="D501" s="359">
        <v>247</v>
      </c>
      <c r="E501" s="360"/>
      <c r="F501" s="524"/>
      <c r="G501" s="524"/>
      <c r="H501" s="362"/>
      <c r="I501" s="230"/>
      <c r="J501" s="230"/>
      <c r="K501" s="363"/>
      <c r="L501" s="364"/>
      <c r="M501" s="365"/>
      <c r="N501" s="366"/>
      <c r="O501" s="367"/>
      <c r="P501" s="368"/>
      <c r="Q501" s="369"/>
      <c r="R501" s="370"/>
      <c r="S501" s="370"/>
      <c r="T501" s="371"/>
      <c r="U501" s="372"/>
      <c r="V501" s="373"/>
      <c r="W501" s="374"/>
      <c r="X501" s="404"/>
      <c r="Y501" s="372"/>
      <c r="Z501" s="381"/>
      <c r="AA501" s="225"/>
      <c r="AB501" s="361"/>
      <c r="AC501" s="533"/>
      <c r="AD501" s="225"/>
      <c r="AE501" s="361"/>
      <c r="AF501" s="533"/>
      <c r="AG501" s="225"/>
      <c r="AH501" s="361"/>
      <c r="AI501" s="533"/>
      <c r="AJ501" s="225"/>
      <c r="AK501" s="361"/>
      <c r="AL501" s="533"/>
      <c r="AM501" s="225"/>
      <c r="AN501" s="361"/>
      <c r="AO501" s="533"/>
      <c r="AP501" s="225"/>
      <c r="AQ501" s="361"/>
      <c r="AR501" s="533"/>
      <c r="AS501" s="320"/>
    </row>
    <row r="502" spans="1:45" ht="13.5" hidden="1" customHeight="1">
      <c r="A502" s="12"/>
      <c r="B502" s="358"/>
      <c r="C502" s="359"/>
      <c r="D502" s="359"/>
      <c r="E502" s="360"/>
      <c r="F502" s="524"/>
      <c r="G502" s="524"/>
      <c r="H502" s="362"/>
      <c r="I502" s="230"/>
      <c r="J502" s="230"/>
      <c r="K502" s="363"/>
      <c r="L502" s="364"/>
      <c r="M502" s="365"/>
      <c r="N502" s="366"/>
      <c r="O502" s="367"/>
      <c r="P502" s="368"/>
      <c r="Q502" s="369"/>
      <c r="R502" s="370"/>
      <c r="S502" s="370"/>
      <c r="T502" s="371"/>
      <c r="U502" s="372"/>
      <c r="V502" s="373"/>
      <c r="W502" s="398"/>
      <c r="X502" s="404"/>
      <c r="Y502" s="372"/>
      <c r="Z502" s="381"/>
      <c r="AA502" s="241"/>
      <c r="AB502" s="411"/>
      <c r="AC502" s="577"/>
      <c r="AD502" s="241"/>
      <c r="AE502" s="411"/>
      <c r="AF502" s="577"/>
      <c r="AG502" s="241"/>
      <c r="AH502" s="411"/>
      <c r="AI502" s="577"/>
      <c r="AJ502" s="241"/>
      <c r="AK502" s="411"/>
      <c r="AL502" s="577"/>
      <c r="AM502" s="241"/>
      <c r="AN502" s="411"/>
      <c r="AO502" s="577"/>
      <c r="AP502" s="241"/>
      <c r="AQ502" s="411"/>
      <c r="AR502" s="577"/>
      <c r="AS502" s="202"/>
    </row>
    <row r="503" spans="1:45" ht="13.5" hidden="1" customHeight="1">
      <c r="A503" s="12"/>
      <c r="B503" s="358" t="s">
        <v>2571</v>
      </c>
      <c r="C503" s="359">
        <v>28</v>
      </c>
      <c r="D503" s="359">
        <v>248</v>
      </c>
      <c r="E503" s="360"/>
      <c r="F503" s="524"/>
      <c r="G503" s="524"/>
      <c r="H503" s="362"/>
      <c r="I503" s="230"/>
      <c r="J503" s="230"/>
      <c r="K503" s="363"/>
      <c r="L503" s="364"/>
      <c r="M503" s="365"/>
      <c r="N503" s="366"/>
      <c r="O503" s="367"/>
      <c r="P503" s="368"/>
      <c r="Q503" s="369"/>
      <c r="R503" s="370"/>
      <c r="S503" s="370"/>
      <c r="T503" s="371"/>
      <c r="U503" s="372"/>
      <c r="V503" s="373"/>
      <c r="W503" s="374"/>
      <c r="X503" s="404"/>
      <c r="Y503" s="372"/>
      <c r="Z503" s="381"/>
      <c r="AA503" s="225"/>
      <c r="AB503" s="361"/>
      <c r="AC503" s="533"/>
      <c r="AD503" s="225"/>
      <c r="AE503" s="361"/>
      <c r="AF503" s="533"/>
      <c r="AG503" s="225"/>
      <c r="AH503" s="361"/>
      <c r="AI503" s="533"/>
      <c r="AJ503" s="225"/>
      <c r="AK503" s="361"/>
      <c r="AL503" s="533"/>
      <c r="AM503" s="225"/>
      <c r="AN503" s="361"/>
      <c r="AO503" s="533"/>
      <c r="AP503" s="225"/>
      <c r="AQ503" s="361"/>
      <c r="AR503" s="533"/>
      <c r="AS503" s="320"/>
    </row>
    <row r="504" spans="1:45" ht="13.5" hidden="1" customHeight="1">
      <c r="A504" s="12"/>
      <c r="B504" s="358"/>
      <c r="C504" s="359"/>
      <c r="D504" s="359"/>
      <c r="E504" s="360"/>
      <c r="F504" s="524"/>
      <c r="G504" s="524"/>
      <c r="H504" s="362"/>
      <c r="I504" s="230"/>
      <c r="J504" s="230"/>
      <c r="K504" s="363"/>
      <c r="L504" s="364"/>
      <c r="M504" s="365"/>
      <c r="N504" s="366"/>
      <c r="O504" s="367"/>
      <c r="P504" s="368"/>
      <c r="Q504" s="369"/>
      <c r="R504" s="370"/>
      <c r="S504" s="370"/>
      <c r="T504" s="371"/>
      <c r="U504" s="372"/>
      <c r="V504" s="373"/>
      <c r="W504" s="398"/>
      <c r="X504" s="404"/>
      <c r="Y504" s="372"/>
      <c r="Z504" s="381"/>
      <c r="AA504" s="241"/>
      <c r="AB504" s="411"/>
      <c r="AC504" s="577"/>
      <c r="AD504" s="241"/>
      <c r="AE504" s="411"/>
      <c r="AF504" s="577"/>
      <c r="AG504" s="241"/>
      <c r="AH504" s="411"/>
      <c r="AI504" s="577"/>
      <c r="AJ504" s="241"/>
      <c r="AK504" s="411"/>
      <c r="AL504" s="577"/>
      <c r="AM504" s="241"/>
      <c r="AN504" s="411"/>
      <c r="AO504" s="577"/>
      <c r="AP504" s="241"/>
      <c r="AQ504" s="411"/>
      <c r="AR504" s="577"/>
      <c r="AS504" s="202"/>
    </row>
    <row r="505" spans="1:45" ht="13.5" hidden="1" customHeight="1">
      <c r="A505" s="12"/>
      <c r="B505" s="358" t="s">
        <v>2571</v>
      </c>
      <c r="C505" s="359">
        <v>29</v>
      </c>
      <c r="D505" s="359">
        <v>249</v>
      </c>
      <c r="E505" s="360"/>
      <c r="F505" s="524"/>
      <c r="G505" s="524"/>
      <c r="H505" s="362"/>
      <c r="I505" s="230"/>
      <c r="J505" s="230"/>
      <c r="K505" s="363"/>
      <c r="L505" s="364"/>
      <c r="M505" s="365"/>
      <c r="N505" s="366"/>
      <c r="O505" s="367"/>
      <c r="P505" s="368"/>
      <c r="Q505" s="369"/>
      <c r="R505" s="370"/>
      <c r="S505" s="370"/>
      <c r="T505" s="371"/>
      <c r="U505" s="372"/>
      <c r="V505" s="373"/>
      <c r="W505" s="374"/>
      <c r="X505" s="404"/>
      <c r="Y505" s="372"/>
      <c r="Z505" s="381"/>
      <c r="AA505" s="225"/>
      <c r="AB505" s="361"/>
      <c r="AC505" s="533"/>
      <c r="AD505" s="225"/>
      <c r="AE505" s="361"/>
      <c r="AF505" s="533"/>
      <c r="AG505" s="225"/>
      <c r="AH505" s="361"/>
      <c r="AI505" s="533"/>
      <c r="AJ505" s="225"/>
      <c r="AK505" s="361"/>
      <c r="AL505" s="533"/>
      <c r="AM505" s="225"/>
      <c r="AN505" s="361"/>
      <c r="AO505" s="533"/>
      <c r="AP505" s="225"/>
      <c r="AQ505" s="361"/>
      <c r="AR505" s="533"/>
      <c r="AS505" s="320"/>
    </row>
    <row r="506" spans="1:45" ht="13.5" hidden="1" customHeight="1">
      <c r="A506" s="12"/>
      <c r="B506" s="358"/>
      <c r="C506" s="359"/>
      <c r="D506" s="359"/>
      <c r="E506" s="360"/>
      <c r="F506" s="524"/>
      <c r="G506" s="524"/>
      <c r="H506" s="362"/>
      <c r="I506" s="230"/>
      <c r="J506" s="230"/>
      <c r="K506" s="363"/>
      <c r="L506" s="364"/>
      <c r="M506" s="365"/>
      <c r="N506" s="366"/>
      <c r="O506" s="367"/>
      <c r="P506" s="368"/>
      <c r="Q506" s="369"/>
      <c r="R506" s="370"/>
      <c r="S506" s="370"/>
      <c r="T506" s="371"/>
      <c r="U506" s="372"/>
      <c r="V506" s="373"/>
      <c r="W506" s="398"/>
      <c r="X506" s="404"/>
      <c r="Y506" s="372"/>
      <c r="Z506" s="381"/>
      <c r="AA506" s="241"/>
      <c r="AB506" s="411"/>
      <c r="AC506" s="577"/>
      <c r="AD506" s="241"/>
      <c r="AE506" s="411"/>
      <c r="AF506" s="577"/>
      <c r="AG506" s="241"/>
      <c r="AH506" s="411"/>
      <c r="AI506" s="577"/>
      <c r="AJ506" s="241"/>
      <c r="AK506" s="411"/>
      <c r="AL506" s="577"/>
      <c r="AM506" s="241"/>
      <c r="AN506" s="411"/>
      <c r="AO506" s="577"/>
      <c r="AP506" s="241"/>
      <c r="AQ506" s="411"/>
      <c r="AR506" s="577"/>
      <c r="AS506" s="202"/>
    </row>
    <row r="507" spans="1:45" ht="13.5" hidden="1" customHeight="1">
      <c r="A507" s="12"/>
      <c r="B507" s="358" t="s">
        <v>2571</v>
      </c>
      <c r="C507" s="359">
        <v>30</v>
      </c>
      <c r="D507" s="359">
        <v>250</v>
      </c>
      <c r="E507" s="360"/>
      <c r="F507" s="524"/>
      <c r="G507" s="524"/>
      <c r="H507" s="362"/>
      <c r="I507" s="230"/>
      <c r="J507" s="230"/>
      <c r="K507" s="363"/>
      <c r="L507" s="364"/>
      <c r="M507" s="365"/>
      <c r="N507" s="366"/>
      <c r="O507" s="367"/>
      <c r="P507" s="368"/>
      <c r="Q507" s="369"/>
      <c r="R507" s="370"/>
      <c r="S507" s="370"/>
      <c r="T507" s="371"/>
      <c r="U507" s="372"/>
      <c r="V507" s="373"/>
      <c r="W507" s="374"/>
      <c r="X507" s="404"/>
      <c r="Y507" s="372"/>
      <c r="Z507" s="381"/>
      <c r="AA507" s="359"/>
      <c r="AB507" s="230"/>
      <c r="AC507" s="381"/>
      <c r="AD507" s="225"/>
      <c r="AE507" s="361"/>
      <c r="AF507" s="533"/>
      <c r="AG507" s="225"/>
      <c r="AH507" s="361"/>
      <c r="AI507" s="533"/>
      <c r="AJ507" s="225"/>
      <c r="AK507" s="361"/>
      <c r="AL507" s="533"/>
      <c r="AM507" s="225"/>
      <c r="AN507" s="361"/>
      <c r="AO507" s="533"/>
      <c r="AP507" s="225"/>
      <c r="AQ507" s="361"/>
      <c r="AR507" s="533"/>
      <c r="AS507" s="320"/>
    </row>
    <row r="508" spans="1:45" ht="13.5" hidden="1" customHeight="1">
      <c r="A508" s="12"/>
      <c r="B508" s="358"/>
      <c r="C508" s="359"/>
      <c r="D508" s="359"/>
      <c r="E508" s="360"/>
      <c r="F508" s="524"/>
      <c r="G508" s="524"/>
      <c r="H508" s="362"/>
      <c r="I508" s="230"/>
      <c r="J508" s="230"/>
      <c r="K508" s="363"/>
      <c r="L508" s="364"/>
      <c r="M508" s="365"/>
      <c r="N508" s="366"/>
      <c r="O508" s="367"/>
      <c r="P508" s="368"/>
      <c r="Q508" s="369"/>
      <c r="R508" s="370"/>
      <c r="S508" s="370"/>
      <c r="T508" s="371"/>
      <c r="U508" s="372"/>
      <c r="V508" s="373"/>
      <c r="W508" s="398"/>
      <c r="X508" s="404"/>
      <c r="Y508" s="372"/>
      <c r="Z508" s="381"/>
      <c r="AA508" s="359"/>
      <c r="AB508" s="230"/>
      <c r="AC508" s="381"/>
      <c r="AD508" s="241"/>
      <c r="AE508" s="411"/>
      <c r="AF508" s="577"/>
      <c r="AG508" s="241"/>
      <c r="AH508" s="411"/>
      <c r="AI508" s="577"/>
      <c r="AJ508" s="241"/>
      <c r="AK508" s="411"/>
      <c r="AL508" s="577"/>
      <c r="AM508" s="241"/>
      <c r="AN508" s="411"/>
      <c r="AO508" s="577"/>
      <c r="AP508" s="241"/>
      <c r="AQ508" s="411"/>
      <c r="AR508" s="577"/>
      <c r="AS508" s="202"/>
    </row>
    <row r="509" spans="1:45" ht="13.5" hidden="1" customHeight="1">
      <c r="A509" s="12"/>
      <c r="B509" s="358" t="s">
        <v>2572</v>
      </c>
      <c r="C509" s="359">
        <v>1</v>
      </c>
      <c r="D509" s="359">
        <v>251</v>
      </c>
      <c r="E509" s="360"/>
      <c r="F509" s="524"/>
      <c r="G509" s="524"/>
      <c r="H509" s="362"/>
      <c r="I509" s="230"/>
      <c r="J509" s="230"/>
      <c r="K509" s="363"/>
      <c r="L509" s="364"/>
      <c r="M509" s="365"/>
      <c r="N509" s="366"/>
      <c r="O509" s="367"/>
      <c r="P509" s="368"/>
      <c r="Q509" s="369"/>
      <c r="R509" s="370"/>
      <c r="S509" s="370"/>
      <c r="T509" s="371"/>
      <c r="U509" s="372"/>
      <c r="V509" s="373"/>
      <c r="W509" s="374"/>
      <c r="X509" s="404"/>
      <c r="Y509" s="372"/>
      <c r="Z509" s="381"/>
      <c r="AA509" s="225"/>
      <c r="AB509" s="361"/>
      <c r="AC509" s="533"/>
      <c r="AD509" s="225"/>
      <c r="AE509" s="361"/>
      <c r="AF509" s="533"/>
      <c r="AG509" s="225"/>
      <c r="AH509" s="361"/>
      <c r="AI509" s="533"/>
      <c r="AJ509" s="225"/>
      <c r="AK509" s="361"/>
      <c r="AL509" s="533"/>
      <c r="AM509" s="225"/>
      <c r="AN509" s="361"/>
      <c r="AO509" s="533"/>
      <c r="AP509" s="225"/>
      <c r="AQ509" s="361"/>
      <c r="AR509" s="533"/>
      <c r="AS509" s="320"/>
    </row>
    <row r="510" spans="1:45" ht="13.5" hidden="1" customHeight="1">
      <c r="A510" s="12"/>
      <c r="B510" s="358"/>
      <c r="C510" s="359"/>
      <c r="D510" s="359"/>
      <c r="E510" s="360"/>
      <c r="F510" s="524"/>
      <c r="G510" s="524"/>
      <c r="H510" s="362"/>
      <c r="I510" s="230"/>
      <c r="J510" s="230"/>
      <c r="K510" s="363"/>
      <c r="L510" s="364"/>
      <c r="M510" s="365"/>
      <c r="N510" s="366"/>
      <c r="O510" s="367"/>
      <c r="P510" s="368"/>
      <c r="Q510" s="369"/>
      <c r="R510" s="370"/>
      <c r="S510" s="370"/>
      <c r="T510" s="371"/>
      <c r="U510" s="372"/>
      <c r="V510" s="373"/>
      <c r="W510" s="398"/>
      <c r="X510" s="404"/>
      <c r="Y510" s="372"/>
      <c r="Z510" s="381"/>
      <c r="AA510" s="241"/>
      <c r="AB510" s="411"/>
      <c r="AC510" s="577"/>
      <c r="AD510" s="241"/>
      <c r="AE510" s="411"/>
      <c r="AF510" s="577"/>
      <c r="AG510" s="241"/>
      <c r="AH510" s="411"/>
      <c r="AI510" s="577"/>
      <c r="AJ510" s="241"/>
      <c r="AK510" s="411"/>
      <c r="AL510" s="577"/>
      <c r="AM510" s="241"/>
      <c r="AN510" s="411"/>
      <c r="AO510" s="577"/>
      <c r="AP510" s="241"/>
      <c r="AQ510" s="411"/>
      <c r="AR510" s="577"/>
      <c r="AS510" s="202"/>
    </row>
    <row r="511" spans="1:45" ht="13.5" hidden="1" customHeight="1">
      <c r="A511" s="12"/>
      <c r="B511" s="358" t="s">
        <v>2572</v>
      </c>
      <c r="C511" s="359">
        <v>2</v>
      </c>
      <c r="D511" s="359">
        <v>252</v>
      </c>
      <c r="E511" s="360"/>
      <c r="F511" s="524"/>
      <c r="G511" s="524"/>
      <c r="H511" s="362"/>
      <c r="I511" s="230"/>
      <c r="J511" s="230"/>
      <c r="K511" s="363"/>
      <c r="L511" s="364"/>
      <c r="M511" s="365"/>
      <c r="N511" s="366"/>
      <c r="O511" s="367"/>
      <c r="P511" s="368"/>
      <c r="Q511" s="369"/>
      <c r="R511" s="370"/>
      <c r="S511" s="370"/>
      <c r="T511" s="371"/>
      <c r="U511" s="372"/>
      <c r="V511" s="373"/>
      <c r="W511" s="374"/>
      <c r="X511" s="404"/>
      <c r="Y511" s="372"/>
      <c r="Z511" s="381"/>
      <c r="AA511" s="225"/>
      <c r="AB511" s="361"/>
      <c r="AC511" s="533"/>
      <c r="AD511" s="225"/>
      <c r="AE511" s="361"/>
      <c r="AF511" s="533"/>
      <c r="AG511" s="225"/>
      <c r="AH511" s="361"/>
      <c r="AI511" s="533"/>
      <c r="AJ511" s="225"/>
      <c r="AK511" s="361"/>
      <c r="AL511" s="533"/>
      <c r="AM511" s="225"/>
      <c r="AN511" s="361"/>
      <c r="AO511" s="533"/>
      <c r="AP511" s="225"/>
      <c r="AQ511" s="361"/>
      <c r="AR511" s="533"/>
      <c r="AS511" s="320"/>
    </row>
    <row r="512" spans="1:45" ht="13.5" hidden="1" customHeight="1">
      <c r="A512" s="12"/>
      <c r="B512" s="358"/>
      <c r="C512" s="359"/>
      <c r="D512" s="359"/>
      <c r="E512" s="360"/>
      <c r="F512" s="524"/>
      <c r="G512" s="524"/>
      <c r="H512" s="362"/>
      <c r="I512" s="230"/>
      <c r="J512" s="230"/>
      <c r="K512" s="363"/>
      <c r="L512" s="364"/>
      <c r="M512" s="365"/>
      <c r="N512" s="366"/>
      <c r="O512" s="367"/>
      <c r="P512" s="368"/>
      <c r="Q512" s="369"/>
      <c r="R512" s="370"/>
      <c r="S512" s="370"/>
      <c r="T512" s="371"/>
      <c r="U512" s="372"/>
      <c r="V512" s="373"/>
      <c r="W512" s="398"/>
      <c r="X512" s="404"/>
      <c r="Y512" s="372"/>
      <c r="Z512" s="381"/>
      <c r="AA512" s="241"/>
      <c r="AB512" s="411"/>
      <c r="AC512" s="577"/>
      <c r="AD512" s="241"/>
      <c r="AE512" s="411"/>
      <c r="AF512" s="577"/>
      <c r="AG512" s="241"/>
      <c r="AH512" s="411"/>
      <c r="AI512" s="577"/>
      <c r="AJ512" s="241"/>
      <c r="AK512" s="411"/>
      <c r="AL512" s="577"/>
      <c r="AM512" s="241"/>
      <c r="AN512" s="411"/>
      <c r="AO512" s="577"/>
      <c r="AP512" s="241"/>
      <c r="AQ512" s="411"/>
      <c r="AR512" s="577"/>
      <c r="AS512" s="202"/>
    </row>
    <row r="513" spans="1:45" ht="13.5" hidden="1" customHeight="1">
      <c r="A513" s="12"/>
      <c r="B513" s="358" t="s">
        <v>2572</v>
      </c>
      <c r="C513" s="359">
        <v>3</v>
      </c>
      <c r="D513" s="359">
        <v>253</v>
      </c>
      <c r="E513" s="360"/>
      <c r="F513" s="524"/>
      <c r="G513" s="524"/>
      <c r="H513" s="362"/>
      <c r="I513" s="230"/>
      <c r="J513" s="230"/>
      <c r="K513" s="363"/>
      <c r="L513" s="364"/>
      <c r="M513" s="365"/>
      <c r="N513" s="366"/>
      <c r="O513" s="367"/>
      <c r="P513" s="368"/>
      <c r="Q513" s="369"/>
      <c r="R513" s="370"/>
      <c r="S513" s="370"/>
      <c r="T513" s="371"/>
      <c r="U513" s="372"/>
      <c r="V513" s="373"/>
      <c r="W513" s="374"/>
      <c r="X513" s="404"/>
      <c r="Y513" s="372"/>
      <c r="Z513" s="381"/>
      <c r="AA513" s="225"/>
      <c r="AB513" s="361"/>
      <c r="AC513" s="533"/>
      <c r="AD513" s="225"/>
      <c r="AE513" s="361"/>
      <c r="AF513" s="533"/>
      <c r="AG513" s="225"/>
      <c r="AH513" s="361"/>
      <c r="AI513" s="533"/>
      <c r="AJ513" s="225"/>
      <c r="AK513" s="361"/>
      <c r="AL513" s="533"/>
      <c r="AM513" s="225"/>
      <c r="AN513" s="361"/>
      <c r="AO513" s="533"/>
      <c r="AP513" s="225"/>
      <c r="AQ513" s="361"/>
      <c r="AR513" s="533"/>
      <c r="AS513" s="320"/>
    </row>
    <row r="514" spans="1:45" ht="13.5" hidden="1" customHeight="1">
      <c r="A514" s="12"/>
      <c r="B514" s="358"/>
      <c r="C514" s="359"/>
      <c r="D514" s="359"/>
      <c r="E514" s="360"/>
      <c r="F514" s="524"/>
      <c r="G514" s="524"/>
      <c r="H514" s="362"/>
      <c r="I514" s="230"/>
      <c r="J514" s="230"/>
      <c r="K514" s="363"/>
      <c r="L514" s="364"/>
      <c r="M514" s="365"/>
      <c r="N514" s="366"/>
      <c r="O514" s="367"/>
      <c r="P514" s="368"/>
      <c r="Q514" s="369"/>
      <c r="R514" s="370"/>
      <c r="S514" s="370"/>
      <c r="T514" s="371"/>
      <c r="U514" s="372"/>
      <c r="V514" s="373"/>
      <c r="W514" s="398"/>
      <c r="X514" s="404"/>
      <c r="Y514" s="372"/>
      <c r="Z514" s="381"/>
      <c r="AA514" s="241"/>
      <c r="AB514" s="411"/>
      <c r="AC514" s="577"/>
      <c r="AD514" s="241"/>
      <c r="AE514" s="411"/>
      <c r="AF514" s="577"/>
      <c r="AG514" s="241"/>
      <c r="AH514" s="411"/>
      <c r="AI514" s="577"/>
      <c r="AJ514" s="241"/>
      <c r="AK514" s="411"/>
      <c r="AL514" s="577"/>
      <c r="AM514" s="241"/>
      <c r="AN514" s="411"/>
      <c r="AO514" s="577"/>
      <c r="AP514" s="241"/>
      <c r="AQ514" s="411"/>
      <c r="AR514" s="577"/>
      <c r="AS514" s="202"/>
    </row>
    <row r="515" spans="1:45" ht="13.5" hidden="1" customHeight="1">
      <c r="A515" s="12"/>
      <c r="B515" s="358" t="s">
        <v>2572</v>
      </c>
      <c r="C515" s="359">
        <v>4</v>
      </c>
      <c r="D515" s="359">
        <v>254</v>
      </c>
      <c r="E515" s="360"/>
      <c r="F515" s="524"/>
      <c r="G515" s="524"/>
      <c r="H515" s="362"/>
      <c r="I515" s="230"/>
      <c r="J515" s="230"/>
      <c r="K515" s="363"/>
      <c r="L515" s="364"/>
      <c r="M515" s="365"/>
      <c r="N515" s="366"/>
      <c r="O515" s="367"/>
      <c r="P515" s="368"/>
      <c r="Q515" s="369"/>
      <c r="R515" s="370"/>
      <c r="S515" s="370"/>
      <c r="T515" s="371"/>
      <c r="U515" s="372"/>
      <c r="V515" s="373"/>
      <c r="W515" s="374"/>
      <c r="X515" s="404"/>
      <c r="Y515" s="372"/>
      <c r="Z515" s="381"/>
      <c r="AA515" s="225"/>
      <c r="AB515" s="361"/>
      <c r="AC515" s="533"/>
      <c r="AD515" s="225"/>
      <c r="AE515" s="361"/>
      <c r="AF515" s="533"/>
      <c r="AG515" s="225"/>
      <c r="AH515" s="361"/>
      <c r="AI515" s="533"/>
      <c r="AJ515" s="225"/>
      <c r="AK515" s="361"/>
      <c r="AL515" s="533"/>
      <c r="AM515" s="225"/>
      <c r="AN515" s="361"/>
      <c r="AO515" s="533"/>
      <c r="AP515" s="225"/>
      <c r="AQ515" s="361"/>
      <c r="AR515" s="533"/>
      <c r="AS515" s="320"/>
    </row>
    <row r="516" spans="1:45" ht="13.5" hidden="1" customHeight="1">
      <c r="A516" s="12"/>
      <c r="B516" s="358"/>
      <c r="C516" s="359"/>
      <c r="D516" s="359"/>
      <c r="E516" s="360"/>
      <c r="F516" s="524"/>
      <c r="G516" s="524"/>
      <c r="H516" s="362"/>
      <c r="I516" s="230"/>
      <c r="J516" s="230"/>
      <c r="K516" s="363"/>
      <c r="L516" s="364"/>
      <c r="M516" s="365"/>
      <c r="N516" s="366"/>
      <c r="O516" s="367"/>
      <c r="P516" s="368"/>
      <c r="Q516" s="369"/>
      <c r="R516" s="370"/>
      <c r="S516" s="370"/>
      <c r="T516" s="371"/>
      <c r="U516" s="372"/>
      <c r="V516" s="373"/>
      <c r="W516" s="398"/>
      <c r="X516" s="404"/>
      <c r="Y516" s="372"/>
      <c r="Z516" s="381"/>
      <c r="AA516" s="241"/>
      <c r="AB516" s="411"/>
      <c r="AC516" s="577"/>
      <c r="AD516" s="241"/>
      <c r="AE516" s="411"/>
      <c r="AF516" s="577"/>
      <c r="AG516" s="241"/>
      <c r="AH516" s="411"/>
      <c r="AI516" s="577"/>
      <c r="AJ516" s="241"/>
      <c r="AK516" s="411"/>
      <c r="AL516" s="577"/>
      <c r="AM516" s="241"/>
      <c r="AN516" s="411"/>
      <c r="AO516" s="577"/>
      <c r="AP516" s="241"/>
      <c r="AQ516" s="411"/>
      <c r="AR516" s="577"/>
      <c r="AS516" s="202"/>
    </row>
    <row r="517" spans="1:45" ht="13.5" hidden="1" customHeight="1">
      <c r="A517" s="12"/>
      <c r="B517" s="358" t="s">
        <v>2572</v>
      </c>
      <c r="C517" s="359">
        <v>5</v>
      </c>
      <c r="D517" s="359">
        <v>255</v>
      </c>
      <c r="E517" s="360"/>
      <c r="F517" s="524"/>
      <c r="G517" s="524"/>
      <c r="H517" s="362"/>
      <c r="I517" s="230"/>
      <c r="J517" s="230"/>
      <c r="K517" s="363"/>
      <c r="L517" s="364"/>
      <c r="M517" s="365"/>
      <c r="N517" s="366"/>
      <c r="O517" s="367"/>
      <c r="P517" s="368"/>
      <c r="Q517" s="369"/>
      <c r="R517" s="370"/>
      <c r="S517" s="370"/>
      <c r="T517" s="371"/>
      <c r="U517" s="372"/>
      <c r="V517" s="373"/>
      <c r="W517" s="374"/>
      <c r="X517" s="404"/>
      <c r="Y517" s="372"/>
      <c r="Z517" s="381"/>
      <c r="AA517" s="225"/>
      <c r="AB517" s="361"/>
      <c r="AC517" s="533"/>
      <c r="AD517" s="225"/>
      <c r="AE517" s="361"/>
      <c r="AF517" s="533"/>
      <c r="AG517" s="225"/>
      <c r="AH517" s="361"/>
      <c r="AI517" s="533"/>
      <c r="AJ517" s="225"/>
      <c r="AK517" s="361"/>
      <c r="AL517" s="533"/>
      <c r="AM517" s="225"/>
      <c r="AN517" s="361"/>
      <c r="AO517" s="533"/>
      <c r="AP517" s="225"/>
      <c r="AQ517" s="361"/>
      <c r="AR517" s="533"/>
      <c r="AS517" s="320"/>
    </row>
    <row r="518" spans="1:45" ht="13.5" hidden="1" customHeight="1">
      <c r="A518" s="12"/>
      <c r="B518" s="358"/>
      <c r="C518" s="359"/>
      <c r="D518" s="359"/>
      <c r="E518" s="360"/>
      <c r="F518" s="524"/>
      <c r="G518" s="524"/>
      <c r="H518" s="362"/>
      <c r="I518" s="230"/>
      <c r="J518" s="230"/>
      <c r="K518" s="363"/>
      <c r="L518" s="364"/>
      <c r="M518" s="365"/>
      <c r="N518" s="366"/>
      <c r="O518" s="367"/>
      <c r="P518" s="368"/>
      <c r="Q518" s="369"/>
      <c r="R518" s="370"/>
      <c r="S518" s="370"/>
      <c r="T518" s="371"/>
      <c r="U518" s="372"/>
      <c r="V518" s="373"/>
      <c r="W518" s="398"/>
      <c r="X518" s="404"/>
      <c r="Y518" s="372"/>
      <c r="Z518" s="381"/>
      <c r="AA518" s="241"/>
      <c r="AB518" s="411"/>
      <c r="AC518" s="577"/>
      <c r="AD518" s="241"/>
      <c r="AE518" s="411"/>
      <c r="AF518" s="577"/>
      <c r="AG518" s="241"/>
      <c r="AH518" s="411"/>
      <c r="AI518" s="577"/>
      <c r="AJ518" s="241"/>
      <c r="AK518" s="411"/>
      <c r="AL518" s="577"/>
      <c r="AM518" s="241"/>
      <c r="AN518" s="411"/>
      <c r="AO518" s="577"/>
      <c r="AP518" s="241"/>
      <c r="AQ518" s="411"/>
      <c r="AR518" s="577"/>
      <c r="AS518" s="202"/>
    </row>
    <row r="519" spans="1:45" ht="13.5" hidden="1" customHeight="1">
      <c r="A519" s="12"/>
      <c r="B519" s="358" t="s">
        <v>2572</v>
      </c>
      <c r="C519" s="359">
        <v>6</v>
      </c>
      <c r="D519" s="359">
        <v>256</v>
      </c>
      <c r="E519" s="360"/>
      <c r="F519" s="524"/>
      <c r="G519" s="524"/>
      <c r="H519" s="362"/>
      <c r="I519" s="230"/>
      <c r="J519" s="230"/>
      <c r="K519" s="363"/>
      <c r="L519" s="364"/>
      <c r="M519" s="365"/>
      <c r="N519" s="366"/>
      <c r="O519" s="367"/>
      <c r="P519" s="368"/>
      <c r="Q519" s="369"/>
      <c r="R519" s="370"/>
      <c r="S519" s="370"/>
      <c r="T519" s="371"/>
      <c r="U519" s="372"/>
      <c r="V519" s="373"/>
      <c r="W519" s="374"/>
      <c r="X519" s="404"/>
      <c r="Y519" s="372"/>
      <c r="Z519" s="381"/>
      <c r="AA519" s="225"/>
      <c r="AB519" s="361"/>
      <c r="AC519" s="533"/>
      <c r="AD519" s="225"/>
      <c r="AE519" s="361"/>
      <c r="AF519" s="533"/>
      <c r="AG519" s="225"/>
      <c r="AH519" s="361"/>
      <c r="AI519" s="533"/>
      <c r="AJ519" s="225"/>
      <c r="AK519" s="361"/>
      <c r="AL519" s="533"/>
      <c r="AM519" s="225"/>
      <c r="AN519" s="361"/>
      <c r="AO519" s="533"/>
      <c r="AP519" s="225"/>
      <c r="AQ519" s="361"/>
      <c r="AR519" s="533"/>
      <c r="AS519" s="320"/>
    </row>
    <row r="520" spans="1:45" ht="13.5" hidden="1" customHeight="1">
      <c r="A520" s="12"/>
      <c r="B520" s="358"/>
      <c r="C520" s="359"/>
      <c r="D520" s="359"/>
      <c r="E520" s="360"/>
      <c r="F520" s="524"/>
      <c r="G520" s="524"/>
      <c r="H520" s="362"/>
      <c r="I520" s="230"/>
      <c r="J520" s="230"/>
      <c r="K520" s="363"/>
      <c r="L520" s="364"/>
      <c r="M520" s="365"/>
      <c r="N520" s="366"/>
      <c r="O520" s="367"/>
      <c r="P520" s="368"/>
      <c r="Q520" s="369"/>
      <c r="R520" s="370"/>
      <c r="S520" s="370"/>
      <c r="T520" s="371"/>
      <c r="U520" s="372"/>
      <c r="V520" s="373"/>
      <c r="W520" s="398"/>
      <c r="X520" s="404"/>
      <c r="Y520" s="372"/>
      <c r="Z520" s="381"/>
      <c r="AA520" s="241"/>
      <c r="AB520" s="411"/>
      <c r="AC520" s="577"/>
      <c r="AD520" s="241"/>
      <c r="AE520" s="411"/>
      <c r="AF520" s="577"/>
      <c r="AG520" s="241"/>
      <c r="AH520" s="411"/>
      <c r="AI520" s="577"/>
      <c r="AJ520" s="241"/>
      <c r="AK520" s="411"/>
      <c r="AL520" s="577"/>
      <c r="AM520" s="241"/>
      <c r="AN520" s="411"/>
      <c r="AO520" s="577"/>
      <c r="AP520" s="241"/>
      <c r="AQ520" s="411"/>
      <c r="AR520" s="577"/>
      <c r="AS520" s="202"/>
    </row>
    <row r="521" spans="1:45" ht="13.5" hidden="1" customHeight="1">
      <c r="A521" s="12"/>
      <c r="B521" s="358" t="s">
        <v>2572</v>
      </c>
      <c r="C521" s="359">
        <v>7</v>
      </c>
      <c r="D521" s="359">
        <v>257</v>
      </c>
      <c r="E521" s="360"/>
      <c r="F521" s="524"/>
      <c r="G521" s="524"/>
      <c r="H521" s="362"/>
      <c r="I521" s="230"/>
      <c r="J521" s="230"/>
      <c r="K521" s="363"/>
      <c r="L521" s="364"/>
      <c r="M521" s="365"/>
      <c r="N521" s="366"/>
      <c r="O521" s="367"/>
      <c r="P521" s="368"/>
      <c r="Q521" s="369"/>
      <c r="R521" s="370"/>
      <c r="S521" s="370"/>
      <c r="T521" s="371"/>
      <c r="U521" s="372"/>
      <c r="V521" s="373"/>
      <c r="W521" s="374"/>
      <c r="X521" s="404"/>
      <c r="Y521" s="372"/>
      <c r="Z521" s="381"/>
      <c r="AA521" s="225"/>
      <c r="AB521" s="361"/>
      <c r="AC521" s="533"/>
      <c r="AD521" s="225"/>
      <c r="AE521" s="361"/>
      <c r="AF521" s="533"/>
      <c r="AG521" s="225"/>
      <c r="AH521" s="361"/>
      <c r="AI521" s="533"/>
      <c r="AJ521" s="225"/>
      <c r="AK521" s="361"/>
      <c r="AL521" s="533"/>
      <c r="AM521" s="225"/>
      <c r="AN521" s="361"/>
      <c r="AO521" s="533"/>
      <c r="AP521" s="225"/>
      <c r="AQ521" s="361"/>
      <c r="AR521" s="533"/>
      <c r="AS521" s="320"/>
    </row>
    <row r="522" spans="1:45" ht="13.5" hidden="1" customHeight="1">
      <c r="A522" s="12"/>
      <c r="B522" s="358"/>
      <c r="C522" s="359"/>
      <c r="D522" s="359"/>
      <c r="E522" s="360"/>
      <c r="F522" s="524"/>
      <c r="G522" s="524"/>
      <c r="H522" s="362"/>
      <c r="I522" s="230"/>
      <c r="J522" s="230"/>
      <c r="K522" s="363"/>
      <c r="L522" s="364"/>
      <c r="M522" s="365"/>
      <c r="N522" s="366"/>
      <c r="O522" s="367"/>
      <c r="P522" s="368"/>
      <c r="Q522" s="369"/>
      <c r="R522" s="370"/>
      <c r="S522" s="370"/>
      <c r="T522" s="371"/>
      <c r="U522" s="372"/>
      <c r="V522" s="373"/>
      <c r="W522" s="398"/>
      <c r="X522" s="404"/>
      <c r="Y522" s="372"/>
      <c r="Z522" s="381"/>
      <c r="AA522" s="241"/>
      <c r="AB522" s="411"/>
      <c r="AC522" s="577"/>
      <c r="AD522" s="241"/>
      <c r="AE522" s="411"/>
      <c r="AF522" s="577"/>
      <c r="AG522" s="241"/>
      <c r="AH522" s="411"/>
      <c r="AI522" s="577"/>
      <c r="AJ522" s="241"/>
      <c r="AK522" s="411"/>
      <c r="AL522" s="577"/>
      <c r="AM522" s="241"/>
      <c r="AN522" s="411"/>
      <c r="AO522" s="577"/>
      <c r="AP522" s="241"/>
      <c r="AQ522" s="411"/>
      <c r="AR522" s="577"/>
      <c r="AS522" s="202"/>
    </row>
    <row r="523" spans="1:45" ht="13.5" hidden="1" customHeight="1">
      <c r="A523" s="12"/>
      <c r="B523" s="358" t="s">
        <v>2572</v>
      </c>
      <c r="C523" s="359">
        <v>8</v>
      </c>
      <c r="D523" s="359">
        <v>258</v>
      </c>
      <c r="E523" s="360"/>
      <c r="F523" s="524"/>
      <c r="G523" s="524"/>
      <c r="H523" s="362"/>
      <c r="I523" s="230"/>
      <c r="J523" s="230"/>
      <c r="K523" s="363"/>
      <c r="L523" s="364"/>
      <c r="M523" s="365"/>
      <c r="N523" s="366"/>
      <c r="O523" s="367"/>
      <c r="P523" s="368"/>
      <c r="Q523" s="369"/>
      <c r="R523" s="370"/>
      <c r="S523" s="370"/>
      <c r="T523" s="371"/>
      <c r="U523" s="372"/>
      <c r="V523" s="373"/>
      <c r="W523" s="374"/>
      <c r="X523" s="404"/>
      <c r="Y523" s="372"/>
      <c r="Z523" s="381"/>
      <c r="AA523" s="225"/>
      <c r="AB523" s="361"/>
      <c r="AC523" s="533"/>
      <c r="AD523" s="225"/>
      <c r="AE523" s="361"/>
      <c r="AF523" s="533"/>
      <c r="AG523" s="225"/>
      <c r="AH523" s="361"/>
      <c r="AI523" s="533"/>
      <c r="AJ523" s="225"/>
      <c r="AK523" s="361"/>
      <c r="AL523" s="533"/>
      <c r="AM523" s="225"/>
      <c r="AN523" s="361"/>
      <c r="AO523" s="533"/>
      <c r="AP523" s="225"/>
      <c r="AQ523" s="361"/>
      <c r="AR523" s="533"/>
      <c r="AS523" s="320"/>
    </row>
    <row r="524" spans="1:45" ht="13.5" hidden="1" customHeight="1">
      <c r="A524" s="12"/>
      <c r="B524" s="358"/>
      <c r="C524" s="359"/>
      <c r="D524" s="359"/>
      <c r="E524" s="360"/>
      <c r="F524" s="524"/>
      <c r="G524" s="524"/>
      <c r="H524" s="362"/>
      <c r="I524" s="230"/>
      <c r="J524" s="230"/>
      <c r="K524" s="363"/>
      <c r="L524" s="364"/>
      <c r="M524" s="365"/>
      <c r="N524" s="366"/>
      <c r="O524" s="367"/>
      <c r="P524" s="368"/>
      <c r="Q524" s="369"/>
      <c r="R524" s="370"/>
      <c r="S524" s="370"/>
      <c r="T524" s="371"/>
      <c r="U524" s="372"/>
      <c r="V524" s="373"/>
      <c r="W524" s="398"/>
      <c r="X524" s="404"/>
      <c r="Y524" s="372"/>
      <c r="Z524" s="381"/>
      <c r="AA524" s="241"/>
      <c r="AB524" s="411"/>
      <c r="AC524" s="577"/>
      <c r="AD524" s="241"/>
      <c r="AE524" s="411"/>
      <c r="AF524" s="577"/>
      <c r="AG524" s="241"/>
      <c r="AH524" s="411"/>
      <c r="AI524" s="577"/>
      <c r="AJ524" s="241"/>
      <c r="AK524" s="411"/>
      <c r="AL524" s="577"/>
      <c r="AM524" s="241"/>
      <c r="AN524" s="411"/>
      <c r="AO524" s="577"/>
      <c r="AP524" s="241"/>
      <c r="AQ524" s="411"/>
      <c r="AR524" s="577"/>
      <c r="AS524" s="202"/>
    </row>
    <row r="525" spans="1:45" ht="13.5" hidden="1" customHeight="1">
      <c r="A525" s="12"/>
      <c r="B525" s="358" t="s">
        <v>2572</v>
      </c>
      <c r="C525" s="359">
        <v>9</v>
      </c>
      <c r="D525" s="359">
        <v>259</v>
      </c>
      <c r="E525" s="360"/>
      <c r="F525" s="524"/>
      <c r="G525" s="524"/>
      <c r="H525" s="362"/>
      <c r="I525" s="230"/>
      <c r="J525" s="230"/>
      <c r="K525" s="363"/>
      <c r="L525" s="364"/>
      <c r="M525" s="365"/>
      <c r="N525" s="366"/>
      <c r="O525" s="367"/>
      <c r="P525" s="368"/>
      <c r="Q525" s="369"/>
      <c r="R525" s="370"/>
      <c r="S525" s="370"/>
      <c r="T525" s="371"/>
      <c r="U525" s="372"/>
      <c r="V525" s="373"/>
      <c r="W525" s="374"/>
      <c r="X525" s="404"/>
      <c r="Y525" s="372"/>
      <c r="Z525" s="381"/>
      <c r="AA525" s="225"/>
      <c r="AB525" s="361"/>
      <c r="AC525" s="533"/>
      <c r="AD525" s="225"/>
      <c r="AE525" s="361"/>
      <c r="AF525" s="533"/>
      <c r="AG525" s="225"/>
      <c r="AH525" s="361"/>
      <c r="AI525" s="533"/>
      <c r="AJ525" s="225"/>
      <c r="AK525" s="361"/>
      <c r="AL525" s="533"/>
      <c r="AM525" s="225"/>
      <c r="AN525" s="361"/>
      <c r="AO525" s="533"/>
      <c r="AP525" s="225"/>
      <c r="AQ525" s="361"/>
      <c r="AR525" s="533"/>
      <c r="AS525" s="320"/>
    </row>
    <row r="526" spans="1:45" ht="13.5" hidden="1" customHeight="1">
      <c r="A526" s="12"/>
      <c r="B526" s="358"/>
      <c r="C526" s="359"/>
      <c r="D526" s="359"/>
      <c r="E526" s="360"/>
      <c r="F526" s="524"/>
      <c r="G526" s="524"/>
      <c r="H526" s="362"/>
      <c r="I526" s="230"/>
      <c r="J526" s="230"/>
      <c r="K526" s="363"/>
      <c r="L526" s="364"/>
      <c r="M526" s="365"/>
      <c r="N526" s="366"/>
      <c r="O526" s="367"/>
      <c r="P526" s="368"/>
      <c r="Q526" s="369"/>
      <c r="R526" s="370"/>
      <c r="S526" s="370"/>
      <c r="T526" s="371"/>
      <c r="U526" s="372"/>
      <c r="V526" s="373"/>
      <c r="W526" s="398"/>
      <c r="X526" s="404"/>
      <c r="Y526" s="372"/>
      <c r="Z526" s="381"/>
      <c r="AA526" s="241"/>
      <c r="AB526" s="411"/>
      <c r="AC526" s="577"/>
      <c r="AD526" s="241"/>
      <c r="AE526" s="411"/>
      <c r="AF526" s="577"/>
      <c r="AG526" s="241"/>
      <c r="AH526" s="411"/>
      <c r="AI526" s="577"/>
      <c r="AJ526" s="241"/>
      <c r="AK526" s="411"/>
      <c r="AL526" s="577"/>
      <c r="AM526" s="241"/>
      <c r="AN526" s="411"/>
      <c r="AO526" s="577"/>
      <c r="AP526" s="241"/>
      <c r="AQ526" s="411"/>
      <c r="AR526" s="577"/>
      <c r="AS526" s="202"/>
    </row>
    <row r="527" spans="1:45" ht="13.5" hidden="1" customHeight="1">
      <c r="A527" s="12"/>
      <c r="B527" s="358" t="s">
        <v>2572</v>
      </c>
      <c r="C527" s="359">
        <v>10</v>
      </c>
      <c r="D527" s="359">
        <v>260</v>
      </c>
      <c r="E527" s="360"/>
      <c r="F527" s="524"/>
      <c r="G527" s="524"/>
      <c r="H527" s="362"/>
      <c r="I527" s="230"/>
      <c r="J527" s="230"/>
      <c r="K527" s="363"/>
      <c r="L527" s="364"/>
      <c r="M527" s="365"/>
      <c r="N527" s="366"/>
      <c r="O527" s="367"/>
      <c r="P527" s="368"/>
      <c r="Q527" s="369"/>
      <c r="R527" s="370"/>
      <c r="S527" s="370"/>
      <c r="T527" s="371"/>
      <c r="U527" s="372"/>
      <c r="V527" s="373"/>
      <c r="W527" s="374"/>
      <c r="X527" s="404"/>
      <c r="Y527" s="372"/>
      <c r="Z527" s="381"/>
      <c r="AA527" s="225"/>
      <c r="AB527" s="361"/>
      <c r="AC527" s="533"/>
      <c r="AD527" s="225"/>
      <c r="AE527" s="361"/>
      <c r="AF527" s="533"/>
      <c r="AG527" s="225"/>
      <c r="AH527" s="361"/>
      <c r="AI527" s="533"/>
      <c r="AJ527" s="225"/>
      <c r="AK527" s="361"/>
      <c r="AL527" s="533"/>
      <c r="AM527" s="225"/>
      <c r="AN527" s="361"/>
      <c r="AO527" s="533"/>
      <c r="AP527" s="225"/>
      <c r="AQ527" s="361"/>
      <c r="AR527" s="533"/>
      <c r="AS527" s="320"/>
    </row>
    <row r="528" spans="1:45" ht="13.5" hidden="1" customHeight="1">
      <c r="A528" s="12"/>
      <c r="B528" s="358"/>
      <c r="C528" s="359"/>
      <c r="D528" s="359"/>
      <c r="E528" s="360"/>
      <c r="F528" s="524"/>
      <c r="G528" s="524"/>
      <c r="H528" s="362"/>
      <c r="I528" s="230"/>
      <c r="J528" s="230"/>
      <c r="K528" s="363"/>
      <c r="L528" s="364"/>
      <c r="M528" s="365"/>
      <c r="N528" s="366"/>
      <c r="O528" s="367"/>
      <c r="P528" s="368"/>
      <c r="Q528" s="369"/>
      <c r="R528" s="370"/>
      <c r="S528" s="370"/>
      <c r="T528" s="371"/>
      <c r="U528" s="372"/>
      <c r="V528" s="373"/>
      <c r="W528" s="398"/>
      <c r="X528" s="404"/>
      <c r="Y528" s="372"/>
      <c r="Z528" s="381"/>
      <c r="AA528" s="241"/>
      <c r="AB528" s="411"/>
      <c r="AC528" s="577"/>
      <c r="AD528" s="241"/>
      <c r="AE528" s="411"/>
      <c r="AF528" s="577"/>
      <c r="AG528" s="241"/>
      <c r="AH528" s="411"/>
      <c r="AI528" s="577"/>
      <c r="AJ528" s="241"/>
      <c r="AK528" s="411"/>
      <c r="AL528" s="577"/>
      <c r="AM528" s="241"/>
      <c r="AN528" s="411"/>
      <c r="AO528" s="577"/>
      <c r="AP528" s="241"/>
      <c r="AQ528" s="411"/>
      <c r="AR528" s="577"/>
      <c r="AS528" s="202"/>
    </row>
    <row r="529" spans="1:45" ht="13.5" hidden="1" customHeight="1">
      <c r="A529" s="12"/>
      <c r="B529" s="358" t="s">
        <v>2572</v>
      </c>
      <c r="C529" s="359">
        <v>11</v>
      </c>
      <c r="D529" s="359">
        <v>261</v>
      </c>
      <c r="E529" s="360"/>
      <c r="F529" s="524"/>
      <c r="G529" s="524"/>
      <c r="H529" s="362"/>
      <c r="I529" s="230"/>
      <c r="J529" s="230"/>
      <c r="K529" s="363"/>
      <c r="L529" s="364"/>
      <c r="M529" s="365"/>
      <c r="N529" s="366"/>
      <c r="O529" s="367"/>
      <c r="P529" s="368"/>
      <c r="Q529" s="369"/>
      <c r="R529" s="370"/>
      <c r="S529" s="629"/>
      <c r="T529" s="371"/>
      <c r="U529" s="372"/>
      <c r="V529" s="373"/>
      <c r="W529" s="374"/>
      <c r="X529" s="404"/>
      <c r="Y529" s="372"/>
      <c r="Z529" s="381"/>
      <c r="AA529" s="225"/>
      <c r="AB529" s="361"/>
      <c r="AC529" s="533"/>
      <c r="AD529" s="225"/>
      <c r="AE529" s="361"/>
      <c r="AF529" s="533"/>
      <c r="AG529" s="225"/>
      <c r="AH529" s="361"/>
      <c r="AI529" s="533"/>
      <c r="AJ529" s="225"/>
      <c r="AK529" s="361"/>
      <c r="AL529" s="533"/>
      <c r="AM529" s="225"/>
      <c r="AN529" s="361"/>
      <c r="AO529" s="533"/>
      <c r="AP529" s="225"/>
      <c r="AQ529" s="361"/>
      <c r="AR529" s="533"/>
      <c r="AS529" s="320"/>
    </row>
    <row r="530" spans="1:45" ht="13.5" hidden="1" customHeight="1">
      <c r="A530" s="12"/>
      <c r="B530" s="358"/>
      <c r="C530" s="359"/>
      <c r="D530" s="359"/>
      <c r="E530" s="360"/>
      <c r="F530" s="524"/>
      <c r="G530" s="524"/>
      <c r="H530" s="362"/>
      <c r="I530" s="230"/>
      <c r="J530" s="230"/>
      <c r="K530" s="363"/>
      <c r="L530" s="364"/>
      <c r="M530" s="365"/>
      <c r="N530" s="366"/>
      <c r="O530" s="367"/>
      <c r="P530" s="368"/>
      <c r="Q530" s="369"/>
      <c r="R530" s="370"/>
      <c r="S530" s="370"/>
      <c r="T530" s="371"/>
      <c r="U530" s="372"/>
      <c r="V530" s="373"/>
      <c r="W530" s="398"/>
      <c r="X530" s="404"/>
      <c r="Y530" s="372"/>
      <c r="Z530" s="381"/>
      <c r="AA530" s="241"/>
      <c r="AB530" s="411"/>
      <c r="AC530" s="577"/>
      <c r="AD530" s="241"/>
      <c r="AE530" s="411"/>
      <c r="AF530" s="577"/>
      <c r="AG530" s="241"/>
      <c r="AH530" s="411"/>
      <c r="AI530" s="577"/>
      <c r="AJ530" s="241"/>
      <c r="AK530" s="411"/>
      <c r="AL530" s="577"/>
      <c r="AM530" s="241"/>
      <c r="AN530" s="411"/>
      <c r="AO530" s="577"/>
      <c r="AP530" s="241"/>
      <c r="AQ530" s="411"/>
      <c r="AR530" s="577"/>
      <c r="AS530" s="202"/>
    </row>
    <row r="531" spans="1:45" ht="13.5" hidden="1" customHeight="1">
      <c r="A531" s="12"/>
      <c r="B531" s="358" t="s">
        <v>2572</v>
      </c>
      <c r="C531" s="359">
        <v>12</v>
      </c>
      <c r="D531" s="359">
        <v>262</v>
      </c>
      <c r="E531" s="360"/>
      <c r="F531" s="524"/>
      <c r="G531" s="524"/>
      <c r="H531" s="362"/>
      <c r="I531" s="230"/>
      <c r="J531" s="230"/>
      <c r="K531" s="363"/>
      <c r="L531" s="364"/>
      <c r="M531" s="365"/>
      <c r="N531" s="366"/>
      <c r="O531" s="367"/>
      <c r="P531" s="368"/>
      <c r="Q531" s="369"/>
      <c r="R531" s="370"/>
      <c r="S531" s="370"/>
      <c r="T531" s="371"/>
      <c r="U531" s="372"/>
      <c r="V531" s="373"/>
      <c r="W531" s="374"/>
      <c r="X531" s="404"/>
      <c r="Y531" s="372"/>
      <c r="Z531" s="381"/>
      <c r="AA531" s="225"/>
      <c r="AB531" s="361"/>
      <c r="AC531" s="533"/>
      <c r="AD531" s="225"/>
      <c r="AE531" s="361"/>
      <c r="AF531" s="533"/>
      <c r="AG531" s="225"/>
      <c r="AH531" s="361"/>
      <c r="AI531" s="533"/>
      <c r="AJ531" s="225"/>
      <c r="AK531" s="361"/>
      <c r="AL531" s="533"/>
      <c r="AM531" s="225"/>
      <c r="AN531" s="361"/>
      <c r="AO531" s="533"/>
      <c r="AP531" s="225"/>
      <c r="AQ531" s="361"/>
      <c r="AR531" s="533"/>
      <c r="AS531" s="320"/>
    </row>
    <row r="532" spans="1:45" ht="13.5" hidden="1" customHeight="1">
      <c r="A532" s="12"/>
      <c r="B532" s="358"/>
      <c r="C532" s="359"/>
      <c r="D532" s="359"/>
      <c r="E532" s="360"/>
      <c r="F532" s="524"/>
      <c r="G532" s="524"/>
      <c r="H532" s="362"/>
      <c r="I532" s="230"/>
      <c r="J532" s="230"/>
      <c r="K532" s="363"/>
      <c r="L532" s="364"/>
      <c r="M532" s="365"/>
      <c r="N532" s="366"/>
      <c r="O532" s="367"/>
      <c r="P532" s="368"/>
      <c r="Q532" s="369"/>
      <c r="R532" s="370"/>
      <c r="S532" s="370"/>
      <c r="T532" s="371"/>
      <c r="U532" s="372"/>
      <c r="V532" s="373"/>
      <c r="W532" s="398"/>
      <c r="X532" s="404"/>
      <c r="Y532" s="372"/>
      <c r="Z532" s="381"/>
      <c r="AA532" s="241"/>
      <c r="AB532" s="411"/>
      <c r="AC532" s="577"/>
      <c r="AD532" s="241"/>
      <c r="AE532" s="411"/>
      <c r="AF532" s="577"/>
      <c r="AG532" s="241"/>
      <c r="AH532" s="411"/>
      <c r="AI532" s="577"/>
      <c r="AJ532" s="241"/>
      <c r="AK532" s="411"/>
      <c r="AL532" s="577"/>
      <c r="AM532" s="241"/>
      <c r="AN532" s="411"/>
      <c r="AO532" s="577"/>
      <c r="AP532" s="241"/>
      <c r="AQ532" s="411"/>
      <c r="AR532" s="577"/>
      <c r="AS532" s="202"/>
    </row>
    <row r="533" spans="1:45" ht="13.5" hidden="1" customHeight="1">
      <c r="A533" s="12"/>
      <c r="B533" s="358" t="s">
        <v>2572</v>
      </c>
      <c r="C533" s="359">
        <v>13</v>
      </c>
      <c r="D533" s="359">
        <v>263</v>
      </c>
      <c r="E533" s="360"/>
      <c r="F533" s="524"/>
      <c r="G533" s="524"/>
      <c r="H533" s="362"/>
      <c r="I533" s="230"/>
      <c r="J533" s="230"/>
      <c r="K533" s="363"/>
      <c r="L533" s="364"/>
      <c r="M533" s="365"/>
      <c r="N533" s="366"/>
      <c r="O533" s="367"/>
      <c r="P533" s="368"/>
      <c r="Q533" s="369"/>
      <c r="R533" s="370"/>
      <c r="S533" s="370"/>
      <c r="T533" s="371"/>
      <c r="U533" s="372"/>
      <c r="V533" s="373"/>
      <c r="W533" s="374"/>
      <c r="X533" s="404"/>
      <c r="Y533" s="372"/>
      <c r="Z533" s="381"/>
      <c r="AA533" s="359"/>
      <c r="AB533" s="230"/>
      <c r="AC533" s="381"/>
      <c r="AD533" s="225"/>
      <c r="AE533" s="361"/>
      <c r="AF533" s="533"/>
      <c r="AG533" s="225"/>
      <c r="AH533" s="361"/>
      <c r="AI533" s="533"/>
      <c r="AJ533" s="225"/>
      <c r="AK533" s="361"/>
      <c r="AL533" s="533"/>
      <c r="AM533" s="225"/>
      <c r="AN533" s="361"/>
      <c r="AO533" s="533"/>
      <c r="AP533" s="225"/>
      <c r="AQ533" s="361"/>
      <c r="AR533" s="533"/>
      <c r="AS533" s="320"/>
    </row>
    <row r="534" spans="1:45" ht="13.5" hidden="1" customHeight="1">
      <c r="A534" s="12"/>
      <c r="B534" s="358"/>
      <c r="C534" s="359"/>
      <c r="D534" s="359"/>
      <c r="E534" s="360"/>
      <c r="F534" s="524"/>
      <c r="G534" s="524"/>
      <c r="H534" s="362"/>
      <c r="I534" s="230"/>
      <c r="J534" s="230"/>
      <c r="K534" s="363"/>
      <c r="L534" s="364"/>
      <c r="M534" s="365"/>
      <c r="N534" s="366"/>
      <c r="O534" s="367"/>
      <c r="P534" s="368"/>
      <c r="Q534" s="369"/>
      <c r="R534" s="370"/>
      <c r="S534" s="370"/>
      <c r="T534" s="371"/>
      <c r="U534" s="372"/>
      <c r="V534" s="373"/>
      <c r="W534" s="398"/>
      <c r="X534" s="404"/>
      <c r="Y534" s="372"/>
      <c r="Z534" s="381"/>
      <c r="AA534" s="359"/>
      <c r="AB534" s="230"/>
      <c r="AC534" s="381"/>
      <c r="AD534" s="241"/>
      <c r="AE534" s="411"/>
      <c r="AF534" s="577"/>
      <c r="AG534" s="241"/>
      <c r="AH534" s="411"/>
      <c r="AI534" s="577"/>
      <c r="AJ534" s="241"/>
      <c r="AK534" s="411"/>
      <c r="AL534" s="577"/>
      <c r="AM534" s="241"/>
      <c r="AN534" s="411"/>
      <c r="AO534" s="577"/>
      <c r="AP534" s="241"/>
      <c r="AQ534" s="411"/>
      <c r="AR534" s="577"/>
      <c r="AS534" s="202"/>
    </row>
    <row r="535" spans="1:45" ht="13.5" hidden="1" customHeight="1">
      <c r="A535" s="12"/>
      <c r="B535" s="358" t="s">
        <v>2572</v>
      </c>
      <c r="C535" s="359">
        <v>14</v>
      </c>
      <c r="D535" s="359">
        <v>264</v>
      </c>
      <c r="E535" s="360"/>
      <c r="F535" s="524"/>
      <c r="G535" s="524"/>
      <c r="H535" s="362"/>
      <c r="I535" s="230"/>
      <c r="J535" s="230"/>
      <c r="K535" s="363"/>
      <c r="L535" s="364"/>
      <c r="M535" s="365"/>
      <c r="N535" s="366"/>
      <c r="O535" s="367"/>
      <c r="P535" s="368"/>
      <c r="Q535" s="369"/>
      <c r="R535" s="370"/>
      <c r="S535" s="629"/>
      <c r="T535" s="371"/>
      <c r="U535" s="372"/>
      <c r="V535" s="373"/>
      <c r="W535" s="374"/>
      <c r="X535" s="404"/>
      <c r="Y535" s="372"/>
      <c r="Z535" s="381"/>
      <c r="AA535" s="225"/>
      <c r="AB535" s="361"/>
      <c r="AC535" s="533"/>
      <c r="AD535" s="225"/>
      <c r="AE535" s="361"/>
      <c r="AF535" s="533"/>
      <c r="AG535" s="225"/>
      <c r="AH535" s="361"/>
      <c r="AI535" s="533"/>
      <c r="AJ535" s="225"/>
      <c r="AK535" s="361"/>
      <c r="AL535" s="533"/>
      <c r="AM535" s="225"/>
      <c r="AN535" s="361"/>
      <c r="AO535" s="533"/>
      <c r="AP535" s="225"/>
      <c r="AQ535" s="361"/>
      <c r="AR535" s="533"/>
      <c r="AS535" s="320"/>
    </row>
    <row r="536" spans="1:45" ht="13.5" hidden="1" customHeight="1">
      <c r="A536" s="12"/>
      <c r="B536" s="358"/>
      <c r="C536" s="359"/>
      <c r="D536" s="359"/>
      <c r="E536" s="360"/>
      <c r="F536" s="524"/>
      <c r="G536" s="524"/>
      <c r="H536" s="362"/>
      <c r="I536" s="230"/>
      <c r="J536" s="230"/>
      <c r="K536" s="363"/>
      <c r="L536" s="364"/>
      <c r="M536" s="365"/>
      <c r="N536" s="366"/>
      <c r="O536" s="367"/>
      <c r="P536" s="368"/>
      <c r="Q536" s="369"/>
      <c r="R536" s="370"/>
      <c r="S536" s="370"/>
      <c r="T536" s="371"/>
      <c r="U536" s="372"/>
      <c r="V536" s="373"/>
      <c r="W536" s="398"/>
      <c r="X536" s="404"/>
      <c r="Y536" s="372"/>
      <c r="Z536" s="381"/>
      <c r="AA536" s="241"/>
      <c r="AB536" s="411"/>
      <c r="AC536" s="577"/>
      <c r="AD536" s="241"/>
      <c r="AE536" s="411"/>
      <c r="AF536" s="577"/>
      <c r="AG536" s="241"/>
      <c r="AH536" s="411"/>
      <c r="AI536" s="577"/>
      <c r="AJ536" s="241"/>
      <c r="AK536" s="411"/>
      <c r="AL536" s="577"/>
      <c r="AM536" s="241"/>
      <c r="AN536" s="411"/>
      <c r="AO536" s="577"/>
      <c r="AP536" s="241"/>
      <c r="AQ536" s="411"/>
      <c r="AR536" s="577"/>
      <c r="AS536" s="202"/>
    </row>
    <row r="537" spans="1:45" ht="13.5" hidden="1" customHeight="1">
      <c r="A537" s="12"/>
      <c r="B537" s="358" t="s">
        <v>2572</v>
      </c>
      <c r="C537" s="359">
        <v>15</v>
      </c>
      <c r="D537" s="359">
        <v>265</v>
      </c>
      <c r="E537" s="360"/>
      <c r="F537" s="524"/>
      <c r="G537" s="524"/>
      <c r="H537" s="362"/>
      <c r="I537" s="230"/>
      <c r="J537" s="230"/>
      <c r="K537" s="363"/>
      <c r="L537" s="364"/>
      <c r="M537" s="365"/>
      <c r="N537" s="366"/>
      <c r="O537" s="367"/>
      <c r="P537" s="368"/>
      <c r="Q537" s="369"/>
      <c r="R537" s="370"/>
      <c r="S537" s="370"/>
      <c r="T537" s="371"/>
      <c r="U537" s="372"/>
      <c r="V537" s="373"/>
      <c r="W537" s="374"/>
      <c r="X537" s="404"/>
      <c r="Y537" s="372"/>
      <c r="Z537" s="381"/>
      <c r="AA537" s="225"/>
      <c r="AB537" s="361"/>
      <c r="AC537" s="533"/>
      <c r="AD537" s="225"/>
      <c r="AE537" s="361"/>
      <c r="AF537" s="533"/>
      <c r="AG537" s="225"/>
      <c r="AH537" s="361"/>
      <c r="AI537" s="533"/>
      <c r="AJ537" s="225"/>
      <c r="AK537" s="361"/>
      <c r="AL537" s="533"/>
      <c r="AM537" s="225"/>
      <c r="AN537" s="361"/>
      <c r="AO537" s="533"/>
      <c r="AP537" s="225"/>
      <c r="AQ537" s="361"/>
      <c r="AR537" s="533"/>
      <c r="AS537" s="320"/>
    </row>
    <row r="538" spans="1:45" ht="13.5" hidden="1" customHeight="1">
      <c r="A538" s="12"/>
      <c r="B538" s="358"/>
      <c r="C538" s="359"/>
      <c r="D538" s="359"/>
      <c r="E538" s="360"/>
      <c r="F538" s="524"/>
      <c r="G538" s="524"/>
      <c r="H538" s="362"/>
      <c r="I538" s="230"/>
      <c r="J538" s="230"/>
      <c r="K538" s="363"/>
      <c r="L538" s="364"/>
      <c r="M538" s="365"/>
      <c r="N538" s="366"/>
      <c r="O538" s="367"/>
      <c r="P538" s="368"/>
      <c r="Q538" s="369"/>
      <c r="R538" s="370"/>
      <c r="S538" s="370"/>
      <c r="T538" s="371"/>
      <c r="U538" s="372"/>
      <c r="V538" s="373"/>
      <c r="W538" s="398"/>
      <c r="X538" s="404"/>
      <c r="Y538" s="372"/>
      <c r="Z538" s="381"/>
      <c r="AA538" s="241"/>
      <c r="AB538" s="411"/>
      <c r="AC538" s="577"/>
      <c r="AD538" s="241"/>
      <c r="AE538" s="411"/>
      <c r="AF538" s="577"/>
      <c r="AG538" s="241"/>
      <c r="AH538" s="411"/>
      <c r="AI538" s="577"/>
      <c r="AJ538" s="241"/>
      <c r="AK538" s="411"/>
      <c r="AL538" s="577"/>
      <c r="AM538" s="241"/>
      <c r="AN538" s="411"/>
      <c r="AO538" s="577"/>
      <c r="AP538" s="241"/>
      <c r="AQ538" s="411"/>
      <c r="AR538" s="577"/>
      <c r="AS538" s="202"/>
    </row>
    <row r="539" spans="1:45" ht="13.5" hidden="1" customHeight="1">
      <c r="A539" s="12"/>
      <c r="B539" s="358" t="s">
        <v>2572</v>
      </c>
      <c r="C539" s="359">
        <v>16</v>
      </c>
      <c r="D539" s="359">
        <v>266</v>
      </c>
      <c r="E539" s="360"/>
      <c r="F539" s="524"/>
      <c r="G539" s="524"/>
      <c r="H539" s="362"/>
      <c r="I539" s="230"/>
      <c r="J539" s="230"/>
      <c r="K539" s="363"/>
      <c r="L539" s="364"/>
      <c r="M539" s="365"/>
      <c r="N539" s="366"/>
      <c r="O539" s="367"/>
      <c r="P539" s="368"/>
      <c r="Q539" s="369"/>
      <c r="R539" s="370"/>
      <c r="S539" s="370"/>
      <c r="T539" s="371"/>
      <c r="U539" s="372"/>
      <c r="V539" s="373"/>
      <c r="W539" s="374"/>
      <c r="X539" s="404"/>
      <c r="Y539" s="372"/>
      <c r="Z539" s="381"/>
      <c r="AA539" s="225"/>
      <c r="AB539" s="361"/>
      <c r="AC539" s="533"/>
      <c r="AD539" s="225"/>
      <c r="AE539" s="361"/>
      <c r="AF539" s="533"/>
      <c r="AG539" s="225"/>
      <c r="AH539" s="361"/>
      <c r="AI539" s="533"/>
      <c r="AJ539" s="225"/>
      <c r="AK539" s="361"/>
      <c r="AL539" s="533"/>
      <c r="AM539" s="225"/>
      <c r="AN539" s="361"/>
      <c r="AO539" s="533"/>
      <c r="AP539" s="225"/>
      <c r="AQ539" s="361"/>
      <c r="AR539" s="533"/>
      <c r="AS539" s="320"/>
    </row>
    <row r="540" spans="1:45" ht="13.5" hidden="1" customHeight="1">
      <c r="A540" s="12"/>
      <c r="B540" s="358"/>
      <c r="C540" s="359"/>
      <c r="D540" s="359"/>
      <c r="E540" s="360"/>
      <c r="F540" s="524"/>
      <c r="G540" s="524"/>
      <c r="H540" s="362"/>
      <c r="I540" s="230"/>
      <c r="J540" s="230"/>
      <c r="K540" s="363"/>
      <c r="L540" s="364"/>
      <c r="M540" s="365"/>
      <c r="N540" s="366"/>
      <c r="O540" s="367"/>
      <c r="P540" s="368"/>
      <c r="Q540" s="369"/>
      <c r="R540" s="370"/>
      <c r="S540" s="370"/>
      <c r="T540" s="371"/>
      <c r="U540" s="372"/>
      <c r="V540" s="373"/>
      <c r="W540" s="398"/>
      <c r="X540" s="404"/>
      <c r="Y540" s="372"/>
      <c r="Z540" s="381"/>
      <c r="AA540" s="241"/>
      <c r="AB540" s="411"/>
      <c r="AC540" s="577"/>
      <c r="AD540" s="241"/>
      <c r="AE540" s="411"/>
      <c r="AF540" s="577"/>
      <c r="AG540" s="241"/>
      <c r="AH540" s="411"/>
      <c r="AI540" s="577"/>
      <c r="AJ540" s="241"/>
      <c r="AK540" s="411"/>
      <c r="AL540" s="577"/>
      <c r="AM540" s="241"/>
      <c r="AN540" s="411"/>
      <c r="AO540" s="577"/>
      <c r="AP540" s="241"/>
      <c r="AQ540" s="411"/>
      <c r="AR540" s="577"/>
      <c r="AS540" s="202"/>
    </row>
    <row r="541" spans="1:45" ht="13.5" hidden="1" customHeight="1">
      <c r="A541" s="12"/>
      <c r="B541" s="358" t="s">
        <v>2572</v>
      </c>
      <c r="C541" s="359">
        <v>17</v>
      </c>
      <c r="D541" s="359">
        <v>267</v>
      </c>
      <c r="E541" s="360"/>
      <c r="F541" s="524"/>
      <c r="G541" s="524"/>
      <c r="H541" s="362"/>
      <c r="I541" s="230"/>
      <c r="J541" s="230"/>
      <c r="K541" s="363"/>
      <c r="L541" s="364"/>
      <c r="M541" s="365"/>
      <c r="N541" s="630"/>
      <c r="O541" s="367"/>
      <c r="P541" s="368"/>
      <c r="Q541" s="369"/>
      <c r="R541" s="370"/>
      <c r="S541" s="370"/>
      <c r="T541" s="371"/>
      <c r="U541" s="372"/>
      <c r="V541" s="373"/>
      <c r="W541" s="374"/>
      <c r="X541" s="404"/>
      <c r="Y541" s="372"/>
      <c r="Z541" s="381"/>
      <c r="AA541" s="225"/>
      <c r="AB541" s="361"/>
      <c r="AC541" s="533"/>
      <c r="AD541" s="225"/>
      <c r="AE541" s="361"/>
      <c r="AF541" s="533"/>
      <c r="AG541" s="225"/>
      <c r="AH541" s="361"/>
      <c r="AI541" s="533"/>
      <c r="AJ541" s="225"/>
      <c r="AK541" s="361"/>
      <c r="AL541" s="533"/>
      <c r="AM541" s="225"/>
      <c r="AN541" s="361"/>
      <c r="AO541" s="533"/>
      <c r="AP541" s="225"/>
      <c r="AQ541" s="361"/>
      <c r="AR541" s="533"/>
      <c r="AS541" s="320"/>
    </row>
    <row r="542" spans="1:45" ht="13.5" hidden="1" customHeight="1">
      <c r="A542" s="12"/>
      <c r="B542" s="358"/>
      <c r="C542" s="359"/>
      <c r="D542" s="359"/>
      <c r="E542" s="360"/>
      <c r="F542" s="524"/>
      <c r="G542" s="524"/>
      <c r="H542" s="362"/>
      <c r="I542" s="230"/>
      <c r="J542" s="230"/>
      <c r="K542" s="363"/>
      <c r="L542" s="364"/>
      <c r="M542" s="365"/>
      <c r="N542" s="630"/>
      <c r="O542" s="367"/>
      <c r="P542" s="368"/>
      <c r="Q542" s="369"/>
      <c r="R542" s="370"/>
      <c r="S542" s="370"/>
      <c r="T542" s="371"/>
      <c r="U542" s="372"/>
      <c r="V542" s="373"/>
      <c r="W542" s="398"/>
      <c r="X542" s="404"/>
      <c r="Y542" s="372"/>
      <c r="Z542" s="381"/>
      <c r="AA542" s="241"/>
      <c r="AB542" s="411"/>
      <c r="AC542" s="577"/>
      <c r="AD542" s="241"/>
      <c r="AE542" s="411"/>
      <c r="AF542" s="577"/>
      <c r="AG542" s="241"/>
      <c r="AH542" s="411"/>
      <c r="AI542" s="577"/>
      <c r="AJ542" s="241"/>
      <c r="AK542" s="411"/>
      <c r="AL542" s="577"/>
      <c r="AM542" s="241"/>
      <c r="AN542" s="411"/>
      <c r="AO542" s="577"/>
      <c r="AP542" s="241"/>
      <c r="AQ542" s="411"/>
      <c r="AR542" s="577"/>
      <c r="AS542" s="202"/>
    </row>
    <row r="543" spans="1:45" ht="13.5" hidden="1" customHeight="1">
      <c r="A543" s="12"/>
      <c r="B543" s="358" t="s">
        <v>2572</v>
      </c>
      <c r="C543" s="359">
        <v>18</v>
      </c>
      <c r="D543" s="359">
        <v>268</v>
      </c>
      <c r="E543" s="360"/>
      <c r="F543" s="524"/>
      <c r="G543" s="524"/>
      <c r="H543" s="362"/>
      <c r="I543" s="230"/>
      <c r="J543" s="230"/>
      <c r="K543" s="363"/>
      <c r="L543" s="364"/>
      <c r="M543" s="365"/>
      <c r="N543" s="366"/>
      <c r="O543" s="367"/>
      <c r="P543" s="368"/>
      <c r="Q543" s="369"/>
      <c r="R543" s="370"/>
      <c r="S543" s="370"/>
      <c r="T543" s="371"/>
      <c r="U543" s="372"/>
      <c r="V543" s="373"/>
      <c r="W543" s="374"/>
      <c r="X543" s="404"/>
      <c r="Y543" s="372"/>
      <c r="Z543" s="381"/>
      <c r="AA543" s="225"/>
      <c r="AB543" s="361"/>
      <c r="AC543" s="533"/>
      <c r="AD543" s="225"/>
      <c r="AE543" s="361"/>
      <c r="AF543" s="533"/>
      <c r="AG543" s="225"/>
      <c r="AH543" s="361"/>
      <c r="AI543" s="533"/>
      <c r="AJ543" s="225"/>
      <c r="AK543" s="361"/>
      <c r="AL543" s="533"/>
      <c r="AM543" s="225"/>
      <c r="AN543" s="361"/>
      <c r="AO543" s="533"/>
      <c r="AP543" s="225"/>
      <c r="AQ543" s="361"/>
      <c r="AR543" s="533"/>
      <c r="AS543" s="320"/>
    </row>
    <row r="544" spans="1:45" ht="13.5" hidden="1" customHeight="1">
      <c r="A544" s="12"/>
      <c r="B544" s="358"/>
      <c r="C544" s="359"/>
      <c r="D544" s="359"/>
      <c r="E544" s="360"/>
      <c r="F544" s="524"/>
      <c r="G544" s="524"/>
      <c r="H544" s="362"/>
      <c r="I544" s="230"/>
      <c r="J544" s="230"/>
      <c r="K544" s="363"/>
      <c r="L544" s="364"/>
      <c r="M544" s="365"/>
      <c r="N544" s="366"/>
      <c r="O544" s="367"/>
      <c r="P544" s="368"/>
      <c r="Q544" s="369"/>
      <c r="R544" s="370"/>
      <c r="S544" s="370"/>
      <c r="T544" s="371"/>
      <c r="U544" s="372"/>
      <c r="V544" s="373"/>
      <c r="W544" s="398"/>
      <c r="X544" s="404"/>
      <c r="Y544" s="372"/>
      <c r="Z544" s="381"/>
      <c r="AA544" s="241"/>
      <c r="AB544" s="411"/>
      <c r="AC544" s="577"/>
      <c r="AD544" s="241"/>
      <c r="AE544" s="411"/>
      <c r="AF544" s="577"/>
      <c r="AG544" s="241"/>
      <c r="AH544" s="411"/>
      <c r="AI544" s="577"/>
      <c r="AJ544" s="241"/>
      <c r="AK544" s="411"/>
      <c r="AL544" s="577"/>
      <c r="AM544" s="241"/>
      <c r="AN544" s="411"/>
      <c r="AO544" s="577"/>
      <c r="AP544" s="241"/>
      <c r="AQ544" s="411"/>
      <c r="AR544" s="577"/>
      <c r="AS544" s="202"/>
    </row>
    <row r="545" spans="1:45" ht="13.5" hidden="1" customHeight="1">
      <c r="A545" s="12"/>
      <c r="B545" s="358" t="s">
        <v>2572</v>
      </c>
      <c r="C545" s="359">
        <v>19</v>
      </c>
      <c r="D545" s="359">
        <v>269</v>
      </c>
      <c r="E545" s="360"/>
      <c r="F545" s="524"/>
      <c r="G545" s="524"/>
      <c r="H545" s="362"/>
      <c r="I545" s="230"/>
      <c r="J545" s="230"/>
      <c r="K545" s="363"/>
      <c r="L545" s="364"/>
      <c r="M545" s="365"/>
      <c r="N545" s="630"/>
      <c r="O545" s="367"/>
      <c r="P545" s="368"/>
      <c r="Q545" s="369"/>
      <c r="R545" s="370"/>
      <c r="S545" s="370"/>
      <c r="T545" s="371"/>
      <c r="U545" s="372"/>
      <c r="V545" s="373"/>
      <c r="W545" s="374"/>
      <c r="X545" s="404"/>
      <c r="Y545" s="372"/>
      <c r="Z545" s="381"/>
      <c r="AA545" s="225"/>
      <c r="AB545" s="361"/>
      <c r="AC545" s="533"/>
      <c r="AD545" s="225"/>
      <c r="AE545" s="361"/>
      <c r="AF545" s="533"/>
      <c r="AG545" s="225"/>
      <c r="AH545" s="361"/>
      <c r="AI545" s="533"/>
      <c r="AJ545" s="225"/>
      <c r="AK545" s="361"/>
      <c r="AL545" s="533"/>
      <c r="AM545" s="225"/>
      <c r="AN545" s="361"/>
      <c r="AO545" s="533"/>
      <c r="AP545" s="225"/>
      <c r="AQ545" s="361"/>
      <c r="AR545" s="533"/>
      <c r="AS545" s="320"/>
    </row>
    <row r="546" spans="1:45" ht="13.5" hidden="1" customHeight="1">
      <c r="A546" s="12"/>
      <c r="B546" s="358"/>
      <c r="C546" s="359"/>
      <c r="D546" s="359"/>
      <c r="E546" s="360"/>
      <c r="F546" s="524"/>
      <c r="G546" s="524"/>
      <c r="H546" s="362"/>
      <c r="I546" s="230"/>
      <c r="J546" s="230"/>
      <c r="K546" s="363"/>
      <c r="L546" s="364"/>
      <c r="M546" s="365"/>
      <c r="N546" s="630"/>
      <c r="O546" s="367"/>
      <c r="P546" s="368"/>
      <c r="Q546" s="369"/>
      <c r="R546" s="370"/>
      <c r="S546" s="370"/>
      <c r="T546" s="371"/>
      <c r="U546" s="372"/>
      <c r="V546" s="373"/>
      <c r="W546" s="398"/>
      <c r="X546" s="404"/>
      <c r="Y546" s="372"/>
      <c r="Z546" s="381"/>
      <c r="AA546" s="241"/>
      <c r="AB546" s="411"/>
      <c r="AC546" s="577"/>
      <c r="AD546" s="241"/>
      <c r="AE546" s="411"/>
      <c r="AF546" s="577"/>
      <c r="AG546" s="241"/>
      <c r="AH546" s="411"/>
      <c r="AI546" s="577"/>
      <c r="AJ546" s="241"/>
      <c r="AK546" s="411"/>
      <c r="AL546" s="577"/>
      <c r="AM546" s="241"/>
      <c r="AN546" s="411"/>
      <c r="AO546" s="577"/>
      <c r="AP546" s="241"/>
      <c r="AQ546" s="411"/>
      <c r="AR546" s="577"/>
      <c r="AS546" s="202"/>
    </row>
    <row r="547" spans="1:45" ht="13.5" hidden="1" customHeight="1">
      <c r="A547" s="12"/>
      <c r="B547" s="358" t="s">
        <v>2572</v>
      </c>
      <c r="C547" s="359">
        <v>20</v>
      </c>
      <c r="D547" s="359">
        <v>270</v>
      </c>
      <c r="E547" s="360"/>
      <c r="F547" s="524"/>
      <c r="G547" s="524"/>
      <c r="H547" s="362"/>
      <c r="I547" s="230"/>
      <c r="J547" s="230"/>
      <c r="K547" s="363"/>
      <c r="L547" s="364"/>
      <c r="M547" s="365"/>
      <c r="N547" s="366"/>
      <c r="O547" s="367"/>
      <c r="P547" s="368"/>
      <c r="Q547" s="369"/>
      <c r="R547" s="370"/>
      <c r="S547" s="370"/>
      <c r="T547" s="371"/>
      <c r="U547" s="372"/>
      <c r="V547" s="373"/>
      <c r="W547" s="374"/>
      <c r="X547" s="404"/>
      <c r="Y547" s="372"/>
      <c r="Z547" s="381"/>
      <c r="AA547" s="225"/>
      <c r="AB547" s="361"/>
      <c r="AC547" s="533"/>
      <c r="AD547" s="225"/>
      <c r="AE547" s="361"/>
      <c r="AF547" s="533"/>
      <c r="AG547" s="225"/>
      <c r="AH547" s="361"/>
      <c r="AI547" s="533"/>
      <c r="AJ547" s="225"/>
      <c r="AK547" s="361"/>
      <c r="AL547" s="533"/>
      <c r="AM547" s="225"/>
      <c r="AN547" s="361"/>
      <c r="AO547" s="533"/>
      <c r="AP547" s="225"/>
      <c r="AQ547" s="361"/>
      <c r="AR547" s="533"/>
      <c r="AS547" s="320"/>
    </row>
    <row r="548" spans="1:45" ht="13.5" hidden="1" customHeight="1">
      <c r="A548" s="12"/>
      <c r="B548" s="358"/>
      <c r="C548" s="359"/>
      <c r="D548" s="359"/>
      <c r="E548" s="360"/>
      <c r="F548" s="524"/>
      <c r="G548" s="524"/>
      <c r="H548" s="362"/>
      <c r="I548" s="230"/>
      <c r="J548" s="230"/>
      <c r="K548" s="363"/>
      <c r="L548" s="364"/>
      <c r="M548" s="365"/>
      <c r="N548" s="366"/>
      <c r="O548" s="367"/>
      <c r="P548" s="368"/>
      <c r="Q548" s="369"/>
      <c r="R548" s="370"/>
      <c r="S548" s="370"/>
      <c r="T548" s="371"/>
      <c r="U548" s="372"/>
      <c r="V548" s="373"/>
      <c r="W548" s="398"/>
      <c r="X548" s="404"/>
      <c r="Y548" s="372"/>
      <c r="Z548" s="381"/>
      <c r="AA548" s="241"/>
      <c r="AB548" s="411"/>
      <c r="AC548" s="577"/>
      <c r="AD548" s="241"/>
      <c r="AE548" s="411"/>
      <c r="AF548" s="577"/>
      <c r="AG548" s="241"/>
      <c r="AH548" s="411"/>
      <c r="AI548" s="577"/>
      <c r="AJ548" s="241"/>
      <c r="AK548" s="411"/>
      <c r="AL548" s="577"/>
      <c r="AM548" s="241"/>
      <c r="AN548" s="411"/>
      <c r="AO548" s="577"/>
      <c r="AP548" s="241"/>
      <c r="AQ548" s="411"/>
      <c r="AR548" s="577"/>
      <c r="AS548" s="202"/>
    </row>
    <row r="549" spans="1:45" ht="13.5" hidden="1" customHeight="1">
      <c r="A549" s="12"/>
      <c r="B549" s="358" t="s">
        <v>2572</v>
      </c>
      <c r="C549" s="359">
        <v>21</v>
      </c>
      <c r="D549" s="359">
        <v>271</v>
      </c>
      <c r="E549" s="360"/>
      <c r="F549" s="524"/>
      <c r="G549" s="524"/>
      <c r="H549" s="362"/>
      <c r="I549" s="230"/>
      <c r="J549" s="230"/>
      <c r="K549" s="363"/>
      <c r="L549" s="364"/>
      <c r="M549" s="365"/>
      <c r="N549" s="366"/>
      <c r="O549" s="367"/>
      <c r="P549" s="368"/>
      <c r="Q549" s="369"/>
      <c r="R549" s="370"/>
      <c r="S549" s="370"/>
      <c r="T549" s="371"/>
      <c r="U549" s="372"/>
      <c r="V549" s="373"/>
      <c r="W549" s="374"/>
      <c r="X549" s="404"/>
      <c r="Y549" s="372"/>
      <c r="Z549" s="381"/>
      <c r="AA549" s="225"/>
      <c r="AB549" s="361"/>
      <c r="AC549" s="533"/>
      <c r="AD549" s="225"/>
      <c r="AE549" s="361"/>
      <c r="AF549" s="533"/>
      <c r="AG549" s="225"/>
      <c r="AH549" s="361"/>
      <c r="AI549" s="533"/>
      <c r="AJ549" s="225"/>
      <c r="AK549" s="361"/>
      <c r="AL549" s="533"/>
      <c r="AM549" s="225"/>
      <c r="AN549" s="361"/>
      <c r="AO549" s="533"/>
      <c r="AP549" s="225"/>
      <c r="AQ549" s="361"/>
      <c r="AR549" s="533"/>
      <c r="AS549" s="320"/>
    </row>
    <row r="550" spans="1:45" ht="13.5" hidden="1" customHeight="1">
      <c r="A550" s="12"/>
      <c r="B550" s="358"/>
      <c r="C550" s="359"/>
      <c r="D550" s="359"/>
      <c r="E550" s="360"/>
      <c r="F550" s="524"/>
      <c r="G550" s="524"/>
      <c r="H550" s="362"/>
      <c r="I550" s="230"/>
      <c r="J550" s="230"/>
      <c r="K550" s="363"/>
      <c r="L550" s="364"/>
      <c r="M550" s="365"/>
      <c r="N550" s="366"/>
      <c r="O550" s="367"/>
      <c r="P550" s="368"/>
      <c r="Q550" s="369"/>
      <c r="R550" s="370"/>
      <c r="S550" s="370"/>
      <c r="T550" s="371"/>
      <c r="U550" s="372"/>
      <c r="V550" s="373"/>
      <c r="W550" s="398"/>
      <c r="X550" s="404"/>
      <c r="Y550" s="372"/>
      <c r="Z550" s="381"/>
      <c r="AA550" s="241"/>
      <c r="AB550" s="411"/>
      <c r="AC550" s="577"/>
      <c r="AD550" s="241"/>
      <c r="AE550" s="411"/>
      <c r="AF550" s="577"/>
      <c r="AG550" s="241"/>
      <c r="AH550" s="411"/>
      <c r="AI550" s="577"/>
      <c r="AJ550" s="241"/>
      <c r="AK550" s="411"/>
      <c r="AL550" s="577"/>
      <c r="AM550" s="241"/>
      <c r="AN550" s="411"/>
      <c r="AO550" s="577"/>
      <c r="AP550" s="241"/>
      <c r="AQ550" s="411"/>
      <c r="AR550" s="577"/>
      <c r="AS550" s="202"/>
    </row>
    <row r="551" spans="1:45" ht="13.5" hidden="1" customHeight="1">
      <c r="A551" s="12"/>
      <c r="B551" s="358" t="s">
        <v>2572</v>
      </c>
      <c r="C551" s="359">
        <v>22</v>
      </c>
      <c r="D551" s="359">
        <v>272</v>
      </c>
      <c r="E551" s="360"/>
      <c r="F551" s="524"/>
      <c r="G551" s="524"/>
      <c r="H551" s="362"/>
      <c r="I551" s="230"/>
      <c r="J551" s="230"/>
      <c r="K551" s="363"/>
      <c r="L551" s="364"/>
      <c r="M551" s="365"/>
      <c r="N551" s="366"/>
      <c r="O551" s="367"/>
      <c r="P551" s="368"/>
      <c r="Q551" s="369"/>
      <c r="R551" s="370"/>
      <c r="S551" s="370"/>
      <c r="T551" s="371"/>
      <c r="U551" s="372"/>
      <c r="V551" s="373"/>
      <c r="W551" s="374"/>
      <c r="X551" s="404"/>
      <c r="Y551" s="372"/>
      <c r="Z551" s="381"/>
      <c r="AA551" s="225"/>
      <c r="AB551" s="361"/>
      <c r="AC551" s="533"/>
      <c r="AD551" s="225"/>
      <c r="AE551" s="361"/>
      <c r="AF551" s="533"/>
      <c r="AG551" s="225"/>
      <c r="AH551" s="361"/>
      <c r="AI551" s="533"/>
      <c r="AJ551" s="225"/>
      <c r="AK551" s="361"/>
      <c r="AL551" s="533"/>
      <c r="AM551" s="225"/>
      <c r="AN551" s="361"/>
      <c r="AO551" s="533"/>
      <c r="AP551" s="225"/>
      <c r="AQ551" s="361"/>
      <c r="AR551" s="533"/>
      <c r="AS551" s="320"/>
    </row>
    <row r="552" spans="1:45" ht="13.5" hidden="1" customHeight="1">
      <c r="A552" s="12"/>
      <c r="B552" s="358"/>
      <c r="C552" s="359"/>
      <c r="D552" s="359"/>
      <c r="E552" s="360"/>
      <c r="F552" s="524"/>
      <c r="G552" s="524"/>
      <c r="H552" s="362"/>
      <c r="I552" s="230"/>
      <c r="J552" s="230"/>
      <c r="K552" s="363"/>
      <c r="L552" s="364"/>
      <c r="M552" s="365"/>
      <c r="N552" s="366"/>
      <c r="O552" s="367"/>
      <c r="P552" s="368"/>
      <c r="Q552" s="369"/>
      <c r="R552" s="370"/>
      <c r="S552" s="370"/>
      <c r="T552" s="371"/>
      <c r="U552" s="372"/>
      <c r="V552" s="373"/>
      <c r="W552" s="398"/>
      <c r="X552" s="404"/>
      <c r="Y552" s="372"/>
      <c r="Z552" s="381"/>
      <c r="AA552" s="241"/>
      <c r="AB552" s="411"/>
      <c r="AC552" s="577"/>
      <c r="AD552" s="241"/>
      <c r="AE552" s="411"/>
      <c r="AF552" s="577"/>
      <c r="AG552" s="241"/>
      <c r="AH552" s="411"/>
      <c r="AI552" s="577"/>
      <c r="AJ552" s="241"/>
      <c r="AK552" s="411"/>
      <c r="AL552" s="577"/>
      <c r="AM552" s="241"/>
      <c r="AN552" s="411"/>
      <c r="AO552" s="577"/>
      <c r="AP552" s="241"/>
      <c r="AQ552" s="411"/>
      <c r="AR552" s="577"/>
      <c r="AS552" s="202"/>
    </row>
    <row r="553" spans="1:45" ht="13.5" hidden="1" customHeight="1">
      <c r="A553" s="12"/>
      <c r="B553" s="358" t="s">
        <v>2572</v>
      </c>
      <c r="C553" s="359">
        <v>23</v>
      </c>
      <c r="D553" s="359">
        <v>273</v>
      </c>
      <c r="E553" s="360"/>
      <c r="F553" s="524"/>
      <c r="G553" s="524"/>
      <c r="H553" s="362"/>
      <c r="I553" s="230"/>
      <c r="J553" s="230"/>
      <c r="K553" s="363"/>
      <c r="L553" s="364"/>
      <c r="M553" s="365"/>
      <c r="N553" s="366"/>
      <c r="O553" s="367"/>
      <c r="P553" s="368"/>
      <c r="Q553" s="369"/>
      <c r="R553" s="370"/>
      <c r="S553" s="370"/>
      <c r="T553" s="371"/>
      <c r="U553" s="372"/>
      <c r="V553" s="373"/>
      <c r="W553" s="374"/>
      <c r="X553" s="404"/>
      <c r="Y553" s="372"/>
      <c r="Z553" s="381"/>
      <c r="AA553" s="225"/>
      <c r="AB553" s="361"/>
      <c r="AC553" s="533"/>
      <c r="AD553" s="225"/>
      <c r="AE553" s="361"/>
      <c r="AF553" s="533"/>
      <c r="AG553" s="225"/>
      <c r="AH553" s="361"/>
      <c r="AI553" s="533"/>
      <c r="AJ553" s="225"/>
      <c r="AK553" s="361"/>
      <c r="AL553" s="533"/>
      <c r="AM553" s="225"/>
      <c r="AN553" s="361"/>
      <c r="AO553" s="533"/>
      <c r="AP553" s="225"/>
      <c r="AQ553" s="361"/>
      <c r="AR553" s="533"/>
      <c r="AS553" s="320"/>
    </row>
    <row r="554" spans="1:45" ht="13.5" hidden="1" customHeight="1">
      <c r="A554" s="12"/>
      <c r="B554" s="358"/>
      <c r="C554" s="359"/>
      <c r="D554" s="359"/>
      <c r="E554" s="360"/>
      <c r="F554" s="524"/>
      <c r="G554" s="524"/>
      <c r="H554" s="362"/>
      <c r="I554" s="230"/>
      <c r="J554" s="230"/>
      <c r="K554" s="363"/>
      <c r="L554" s="364"/>
      <c r="M554" s="365"/>
      <c r="N554" s="366"/>
      <c r="O554" s="367"/>
      <c r="P554" s="368"/>
      <c r="Q554" s="369"/>
      <c r="R554" s="370"/>
      <c r="S554" s="370"/>
      <c r="T554" s="371"/>
      <c r="U554" s="372"/>
      <c r="V554" s="373"/>
      <c r="W554" s="398"/>
      <c r="X554" s="404"/>
      <c r="Y554" s="372"/>
      <c r="Z554" s="381"/>
      <c r="AA554" s="325"/>
      <c r="AB554" s="378"/>
      <c r="AC554" s="377"/>
      <c r="AD554" s="241"/>
      <c r="AE554" s="411"/>
      <c r="AF554" s="577"/>
      <c r="AG554" s="241"/>
      <c r="AH554" s="411"/>
      <c r="AI554" s="577"/>
      <c r="AJ554" s="241"/>
      <c r="AK554" s="411"/>
      <c r="AL554" s="577"/>
      <c r="AM554" s="241"/>
      <c r="AN554" s="411"/>
      <c r="AO554" s="577"/>
      <c r="AP554" s="241"/>
      <c r="AQ554" s="411"/>
      <c r="AR554" s="577"/>
      <c r="AS554" s="202"/>
    </row>
    <row r="555" spans="1:45" ht="13.5" hidden="1" customHeight="1">
      <c r="A555" s="12"/>
      <c r="B555" s="358" t="s">
        <v>2572</v>
      </c>
      <c r="C555" s="359">
        <v>24</v>
      </c>
      <c r="D555" s="359">
        <v>276</v>
      </c>
      <c r="E555" s="360"/>
      <c r="F555" s="524"/>
      <c r="G555" s="524"/>
      <c r="H555" s="362"/>
      <c r="I555" s="230"/>
      <c r="J555" s="230"/>
      <c r="K555" s="363"/>
      <c r="L555" s="364"/>
      <c r="M555" s="365"/>
      <c r="N555" s="366"/>
      <c r="O555" s="367"/>
      <c r="P555" s="368"/>
      <c r="Q555" s="363"/>
      <c r="R555" s="370"/>
      <c r="S555" s="370"/>
      <c r="T555" s="371"/>
      <c r="U555" s="372"/>
      <c r="V555" s="373"/>
      <c r="W555" s="374"/>
      <c r="X555" s="404"/>
      <c r="Y555" s="372"/>
      <c r="Z555" s="381"/>
      <c r="AA555" s="225"/>
      <c r="AB555" s="361"/>
      <c r="AC555" s="533"/>
      <c r="AD555" s="225"/>
      <c r="AE555" s="361"/>
      <c r="AF555" s="533"/>
      <c r="AG555" s="225"/>
      <c r="AH555" s="361"/>
      <c r="AI555" s="533"/>
      <c r="AJ555" s="225"/>
      <c r="AK555" s="361"/>
      <c r="AL555" s="533"/>
      <c r="AM555" s="225"/>
      <c r="AN555" s="361"/>
      <c r="AO555" s="533"/>
      <c r="AP555" s="225"/>
      <c r="AQ555" s="361"/>
      <c r="AR555" s="533"/>
      <c r="AS555" s="320"/>
    </row>
    <row r="556" spans="1:45" ht="13.5" hidden="1" customHeight="1">
      <c r="A556" s="12"/>
      <c r="B556" s="358"/>
      <c r="C556" s="359"/>
      <c r="D556" s="359"/>
      <c r="E556" s="360"/>
      <c r="F556" s="524"/>
      <c r="G556" s="524"/>
      <c r="H556" s="362"/>
      <c r="I556" s="230"/>
      <c r="J556" s="230"/>
      <c r="K556" s="363"/>
      <c r="L556" s="364"/>
      <c r="M556" s="365"/>
      <c r="N556" s="366"/>
      <c r="O556" s="367"/>
      <c r="P556" s="368"/>
      <c r="Q556" s="363"/>
      <c r="R556" s="370"/>
      <c r="S556" s="370"/>
      <c r="T556" s="371"/>
      <c r="U556" s="372"/>
      <c r="V556" s="373"/>
      <c r="W556" s="398"/>
      <c r="X556" s="404"/>
      <c r="Y556" s="372"/>
      <c r="Z556" s="381"/>
      <c r="AA556" s="241"/>
      <c r="AB556" s="411"/>
      <c r="AC556" s="377"/>
      <c r="AD556" s="241"/>
      <c r="AE556" s="411"/>
      <c r="AF556" s="577"/>
      <c r="AG556" s="241"/>
      <c r="AH556" s="411"/>
      <c r="AI556" s="577"/>
      <c r="AJ556" s="241"/>
      <c r="AK556" s="411"/>
      <c r="AL556" s="577"/>
      <c r="AM556" s="241"/>
      <c r="AN556" s="411"/>
      <c r="AO556" s="577"/>
      <c r="AP556" s="241"/>
      <c r="AQ556" s="411"/>
      <c r="AR556" s="577"/>
      <c r="AS556" s="202"/>
    </row>
    <row r="557" spans="1:45" ht="13.5" hidden="1" customHeight="1">
      <c r="A557" s="12"/>
      <c r="B557" s="358" t="s">
        <v>2572</v>
      </c>
      <c r="C557" s="359">
        <v>25</v>
      </c>
      <c r="D557" s="359">
        <v>277</v>
      </c>
      <c r="E557" s="360"/>
      <c r="F557" s="524"/>
      <c r="G557" s="524"/>
      <c r="H557" s="362"/>
      <c r="I557" s="230"/>
      <c r="J557" s="230"/>
      <c r="K557" s="363"/>
      <c r="L557" s="364"/>
      <c r="M557" s="365"/>
      <c r="N557" s="366"/>
      <c r="O557" s="367"/>
      <c r="P557" s="368"/>
      <c r="Q557" s="369"/>
      <c r="R557" s="370"/>
      <c r="S557" s="370"/>
      <c r="T557" s="371"/>
      <c r="U557" s="372"/>
      <c r="V557" s="373"/>
      <c r="W557" s="374"/>
      <c r="X557" s="404"/>
      <c r="Y557" s="372"/>
      <c r="Z557" s="381"/>
      <c r="AA557" s="225"/>
      <c r="AB557" s="361"/>
      <c r="AC557" s="533"/>
      <c r="AD557" s="225"/>
      <c r="AE557" s="361"/>
      <c r="AF557" s="533"/>
      <c r="AG557" s="225"/>
      <c r="AH557" s="361"/>
      <c r="AI557" s="533"/>
      <c r="AJ557" s="225"/>
      <c r="AK557" s="361"/>
      <c r="AL557" s="533"/>
      <c r="AM557" s="225"/>
      <c r="AN557" s="361"/>
      <c r="AO557" s="533"/>
      <c r="AP557" s="225"/>
      <c r="AQ557" s="361"/>
      <c r="AR557" s="533"/>
      <c r="AS557" s="320"/>
    </row>
    <row r="558" spans="1:45" ht="13.5" hidden="1" customHeight="1">
      <c r="A558" s="12"/>
      <c r="B558" s="358"/>
      <c r="C558" s="359"/>
      <c r="D558" s="359"/>
      <c r="E558" s="360"/>
      <c r="F558" s="524"/>
      <c r="G558" s="524"/>
      <c r="H558" s="362"/>
      <c r="I558" s="230"/>
      <c r="J558" s="230"/>
      <c r="K558" s="363"/>
      <c r="L558" s="364"/>
      <c r="M558" s="365"/>
      <c r="N558" s="366"/>
      <c r="O558" s="367"/>
      <c r="P558" s="368"/>
      <c r="Q558" s="369"/>
      <c r="R558" s="370"/>
      <c r="S558" s="370"/>
      <c r="T558" s="371"/>
      <c r="U558" s="372"/>
      <c r="V558" s="373"/>
      <c r="W558" s="398"/>
      <c r="X558" s="404"/>
      <c r="Y558" s="372"/>
      <c r="Z558" s="381"/>
      <c r="AA558" s="241"/>
      <c r="AB558" s="411"/>
      <c r="AC558" s="577"/>
      <c r="AD558" s="241"/>
      <c r="AE558" s="411"/>
      <c r="AF558" s="577"/>
      <c r="AG558" s="241"/>
      <c r="AH558" s="411"/>
      <c r="AI558" s="577"/>
      <c r="AJ558" s="241"/>
      <c r="AK558" s="411"/>
      <c r="AL558" s="577"/>
      <c r="AM558" s="241"/>
      <c r="AN558" s="411"/>
      <c r="AO558" s="577"/>
      <c r="AP558" s="241"/>
      <c r="AQ558" s="411"/>
      <c r="AR558" s="577"/>
      <c r="AS558" s="202"/>
    </row>
    <row r="559" spans="1:45" ht="13.5" hidden="1" customHeight="1">
      <c r="A559" s="12"/>
      <c r="B559" s="631" t="s">
        <v>2572</v>
      </c>
      <c r="C559" s="632">
        <v>26</v>
      </c>
      <c r="D559" s="632">
        <v>278</v>
      </c>
      <c r="E559" s="633"/>
      <c r="F559" s="524"/>
      <c r="G559" s="524"/>
      <c r="H559" s="362"/>
      <c r="I559" s="230"/>
      <c r="J559" s="230"/>
      <c r="K559" s="363"/>
      <c r="L559" s="364"/>
      <c r="M559" s="365"/>
      <c r="N559" s="366"/>
      <c r="O559" s="634"/>
      <c r="P559" s="368"/>
      <c r="Q559" s="369"/>
      <c r="R559" s="635"/>
      <c r="S559" s="629"/>
      <c r="T559" s="371"/>
      <c r="U559" s="372"/>
      <c r="V559" s="373"/>
      <c r="W559" s="374"/>
      <c r="X559" s="404"/>
      <c r="Y559" s="372"/>
      <c r="Z559" s="381"/>
      <c r="AA559" s="225"/>
      <c r="AB559" s="361"/>
      <c r="AC559" s="533"/>
      <c r="AD559" s="225"/>
      <c r="AE559" s="361"/>
      <c r="AF559" s="533"/>
      <c r="AG559" s="225"/>
      <c r="AH559" s="361"/>
      <c r="AI559" s="533"/>
      <c r="AJ559" s="225"/>
      <c r="AK559" s="361"/>
      <c r="AL559" s="533"/>
      <c r="AM559" s="225"/>
      <c r="AN559" s="361"/>
      <c r="AO559" s="533"/>
      <c r="AP559" s="225"/>
      <c r="AQ559" s="361"/>
      <c r="AR559" s="533"/>
      <c r="AS559" s="320"/>
    </row>
    <row r="560" spans="1:45" ht="13.5" hidden="1" customHeight="1">
      <c r="A560" s="12"/>
      <c r="B560" s="631"/>
      <c r="C560" s="632"/>
      <c r="D560" s="632"/>
      <c r="E560" s="633"/>
      <c r="F560" s="524"/>
      <c r="G560" s="524"/>
      <c r="H560" s="362"/>
      <c r="I560" s="230"/>
      <c r="J560" s="230"/>
      <c r="K560" s="363"/>
      <c r="L560" s="364"/>
      <c r="M560" s="365"/>
      <c r="N560" s="366"/>
      <c r="O560" s="634"/>
      <c r="P560" s="368"/>
      <c r="Q560" s="369"/>
      <c r="R560" s="635"/>
      <c r="S560" s="370"/>
      <c r="T560" s="371"/>
      <c r="U560" s="372"/>
      <c r="V560" s="373"/>
      <c r="W560" s="636"/>
      <c r="X560" s="404"/>
      <c r="Y560" s="372"/>
      <c r="Z560" s="381"/>
      <c r="AA560" s="241"/>
      <c r="AB560" s="411"/>
      <c r="AC560" s="577"/>
      <c r="AD560" s="241"/>
      <c r="AE560" s="411"/>
      <c r="AF560" s="577"/>
      <c r="AG560" s="241"/>
      <c r="AH560" s="411"/>
      <c r="AI560" s="577"/>
      <c r="AJ560" s="241"/>
      <c r="AK560" s="411"/>
      <c r="AL560" s="577"/>
      <c r="AM560" s="241"/>
      <c r="AN560" s="411"/>
      <c r="AO560" s="577"/>
      <c r="AP560" s="241"/>
      <c r="AQ560" s="411"/>
      <c r="AR560" s="577"/>
    </row>
    <row r="561" spans="1:45" ht="13.5" hidden="1" customHeight="1">
      <c r="A561" s="12"/>
      <c r="B561" s="631" t="s">
        <v>2572</v>
      </c>
      <c r="C561" s="632">
        <v>27</v>
      </c>
      <c r="D561" s="632">
        <v>274</v>
      </c>
      <c r="E561" s="633"/>
      <c r="F561" s="524"/>
      <c r="G561" s="524"/>
      <c r="H561" s="362"/>
      <c r="I561" s="230"/>
      <c r="J561" s="230"/>
      <c r="K561" s="363"/>
      <c r="L561" s="364"/>
      <c r="M561" s="452"/>
      <c r="N561" s="637"/>
      <c r="O561" s="638"/>
      <c r="P561" s="454"/>
      <c r="Q561" s="504"/>
      <c r="R561" s="639"/>
      <c r="S561" s="420"/>
      <c r="T561" s="421"/>
      <c r="U561" s="387"/>
      <c r="V561" s="373"/>
      <c r="W561" s="640"/>
      <c r="X561" s="404"/>
      <c r="Y561" s="372"/>
      <c r="Z561" s="381"/>
      <c r="AA561" s="225"/>
      <c r="AB561" s="361"/>
      <c r="AC561" s="533"/>
      <c r="AD561" s="225"/>
      <c r="AE561" s="361"/>
      <c r="AF561" s="533"/>
      <c r="AG561" s="225"/>
      <c r="AH561" s="361"/>
      <c r="AI561" s="533"/>
      <c r="AJ561" s="225"/>
      <c r="AK561" s="361"/>
      <c r="AL561" s="533"/>
      <c r="AM561" s="225"/>
      <c r="AN561" s="361"/>
      <c r="AO561" s="533"/>
      <c r="AP561" s="225"/>
      <c r="AQ561" s="361"/>
      <c r="AR561" s="533"/>
      <c r="AS561" s="320"/>
    </row>
    <row r="562" spans="1:45" ht="13.5" hidden="1" customHeight="1">
      <c r="A562" s="12"/>
      <c r="B562" s="631"/>
      <c r="C562" s="632"/>
      <c r="D562" s="632"/>
      <c r="E562" s="633"/>
      <c r="F562" s="524"/>
      <c r="G562" s="524"/>
      <c r="H562" s="362"/>
      <c r="I562" s="230"/>
      <c r="J562" s="230"/>
      <c r="K562" s="363"/>
      <c r="L562" s="364"/>
      <c r="M562" s="604"/>
      <c r="N562" s="641"/>
      <c r="O562" s="642"/>
      <c r="P562" s="581"/>
      <c r="Q562" s="563"/>
      <c r="R562" s="643"/>
      <c r="S562" s="582"/>
      <c r="T562" s="606"/>
      <c r="U562" s="607"/>
      <c r="V562" s="373"/>
      <c r="W562" s="636"/>
      <c r="X562" s="404"/>
      <c r="Y562" s="372"/>
      <c r="Z562" s="381"/>
      <c r="AA562" s="241"/>
      <c r="AB562" s="411"/>
      <c r="AC562" s="577"/>
      <c r="AD562" s="241"/>
      <c r="AE562" s="411"/>
      <c r="AF562" s="577"/>
      <c r="AG562" s="241"/>
      <c r="AH562" s="411"/>
      <c r="AI562" s="577"/>
      <c r="AJ562" s="241"/>
      <c r="AK562" s="411"/>
      <c r="AL562" s="577"/>
      <c r="AM562" s="241"/>
      <c r="AN562" s="411"/>
      <c r="AO562" s="577"/>
      <c r="AP562" s="241"/>
      <c r="AQ562" s="411"/>
      <c r="AR562" s="577"/>
    </row>
    <row r="563" spans="1:45" ht="13.5" hidden="1" customHeight="1">
      <c r="A563" s="12"/>
      <c r="B563" s="631" t="s">
        <v>2572</v>
      </c>
      <c r="C563" s="632">
        <v>28</v>
      </c>
      <c r="D563" s="632">
        <v>275</v>
      </c>
      <c r="E563" s="633"/>
      <c r="F563" s="524"/>
      <c r="G563" s="524"/>
      <c r="H563" s="362"/>
      <c r="I563" s="230"/>
      <c r="J563" s="230"/>
      <c r="K563" s="363"/>
      <c r="L563" s="364"/>
      <c r="M563" s="604"/>
      <c r="N563" s="641"/>
      <c r="O563" s="642"/>
      <c r="P563" s="581"/>
      <c r="Q563" s="563"/>
      <c r="R563" s="643"/>
      <c r="S563" s="582"/>
      <c r="T563" s="606"/>
      <c r="U563" s="607"/>
      <c r="V563" s="373"/>
      <c r="W563" s="640"/>
      <c r="X563" s="404"/>
      <c r="Y563" s="372"/>
      <c r="Z563" s="381"/>
      <c r="AA563" s="225"/>
      <c r="AB563" s="361"/>
      <c r="AC563" s="533"/>
      <c r="AD563" s="225"/>
      <c r="AE563" s="361"/>
      <c r="AF563" s="533"/>
      <c r="AG563" s="225"/>
      <c r="AH563" s="361"/>
      <c r="AI563" s="533"/>
      <c r="AJ563" s="225"/>
      <c r="AK563" s="361"/>
      <c r="AL563" s="533"/>
      <c r="AM563" s="225"/>
      <c r="AN563" s="361"/>
      <c r="AO563" s="533"/>
      <c r="AP563" s="225"/>
      <c r="AQ563" s="361"/>
      <c r="AR563" s="533"/>
      <c r="AS563" s="320"/>
    </row>
    <row r="564" spans="1:45" ht="13.5" hidden="1" customHeight="1">
      <c r="A564" s="12"/>
      <c r="B564" s="631"/>
      <c r="C564" s="632"/>
      <c r="D564" s="632"/>
      <c r="E564" s="633"/>
      <c r="F564" s="524"/>
      <c r="G564" s="524"/>
      <c r="H564" s="362"/>
      <c r="I564" s="230"/>
      <c r="J564" s="230"/>
      <c r="K564" s="363"/>
      <c r="L564" s="364"/>
      <c r="M564" s="439"/>
      <c r="N564" s="644"/>
      <c r="O564" s="645"/>
      <c r="P564" s="429"/>
      <c r="Q564" s="442"/>
      <c r="R564" s="646"/>
      <c r="S564" s="433"/>
      <c r="T564" s="434"/>
      <c r="U564" s="376"/>
      <c r="V564" s="373"/>
      <c r="W564" s="636"/>
      <c r="X564" s="404"/>
      <c r="Y564" s="372"/>
      <c r="Z564" s="381"/>
      <c r="AA564" s="241"/>
      <c r="AB564" s="411"/>
      <c r="AC564" s="577"/>
      <c r="AD564" s="241"/>
      <c r="AE564" s="411"/>
      <c r="AF564" s="577"/>
      <c r="AG564" s="241"/>
      <c r="AH564" s="411"/>
      <c r="AI564" s="577"/>
      <c r="AJ564" s="241"/>
      <c r="AK564" s="411"/>
      <c r="AL564" s="577"/>
      <c r="AM564" s="241"/>
      <c r="AN564" s="411"/>
      <c r="AO564" s="577"/>
      <c r="AP564" s="241"/>
      <c r="AQ564" s="411"/>
      <c r="AR564" s="577"/>
    </row>
    <row r="565" spans="1:45" ht="13.5" hidden="1" customHeight="1">
      <c r="A565" s="12"/>
      <c r="B565" s="631" t="s">
        <v>2572</v>
      </c>
      <c r="C565" s="632">
        <v>29</v>
      </c>
      <c r="D565" s="632">
        <v>279</v>
      </c>
      <c r="E565" s="633"/>
      <c r="F565" s="524"/>
      <c r="G565" s="524"/>
      <c r="H565" s="362"/>
      <c r="I565" s="230"/>
      <c r="J565" s="230"/>
      <c r="K565" s="363"/>
      <c r="L565" s="364"/>
      <c r="M565" s="365"/>
      <c r="N565" s="366"/>
      <c r="O565" s="634"/>
      <c r="P565" s="368"/>
      <c r="Q565" s="369"/>
      <c r="R565" s="635"/>
      <c r="S565" s="370"/>
      <c r="T565" s="371"/>
      <c r="U565" s="372"/>
      <c r="V565" s="373"/>
      <c r="W565" s="640"/>
      <c r="X565" s="404"/>
      <c r="Y565" s="372"/>
      <c r="Z565" s="381"/>
      <c r="AA565" s="225"/>
      <c r="AB565" s="361"/>
      <c r="AC565" s="533"/>
      <c r="AD565" s="225"/>
      <c r="AE565" s="361"/>
      <c r="AF565" s="533"/>
      <c r="AG565" s="225"/>
      <c r="AH565" s="361"/>
      <c r="AI565" s="533"/>
      <c r="AJ565" s="225"/>
      <c r="AK565" s="361"/>
      <c r="AL565" s="533"/>
      <c r="AM565" s="225"/>
      <c r="AN565" s="361"/>
      <c r="AO565" s="533"/>
      <c r="AP565" s="225"/>
      <c r="AQ565" s="361"/>
      <c r="AR565" s="533"/>
      <c r="AS565" s="320"/>
    </row>
    <row r="566" spans="1:45" ht="13.5" hidden="1" customHeight="1">
      <c r="A566" s="12"/>
      <c r="B566" s="631"/>
      <c r="C566" s="632"/>
      <c r="D566" s="632"/>
      <c r="E566" s="633"/>
      <c r="F566" s="524"/>
      <c r="G566" s="524"/>
      <c r="H566" s="362"/>
      <c r="I566" s="230"/>
      <c r="J566" s="230"/>
      <c r="K566" s="363"/>
      <c r="L566" s="364"/>
      <c r="M566" s="365"/>
      <c r="N566" s="366"/>
      <c r="O566" s="634"/>
      <c r="P566" s="368"/>
      <c r="Q566" s="369"/>
      <c r="R566" s="635"/>
      <c r="S566" s="370"/>
      <c r="T566" s="371"/>
      <c r="U566" s="372"/>
      <c r="V566" s="373"/>
      <c r="W566" s="636"/>
      <c r="X566" s="404"/>
      <c r="Y566" s="372"/>
      <c r="Z566" s="381"/>
      <c r="AA566" s="241"/>
      <c r="AB566" s="411"/>
      <c r="AC566" s="577"/>
      <c r="AD566" s="241"/>
      <c r="AE566" s="411"/>
      <c r="AF566" s="577"/>
      <c r="AG566" s="241"/>
      <c r="AH566" s="411"/>
      <c r="AI566" s="577"/>
      <c r="AJ566" s="241"/>
      <c r="AK566" s="411"/>
      <c r="AL566" s="577"/>
      <c r="AM566" s="241"/>
      <c r="AN566" s="411"/>
      <c r="AO566" s="577"/>
      <c r="AP566" s="241"/>
      <c r="AQ566" s="411"/>
      <c r="AR566" s="577"/>
    </row>
    <row r="567" spans="1:45" ht="13.5" hidden="1" customHeight="1">
      <c r="A567" s="12"/>
      <c r="B567" s="631" t="s">
        <v>2572</v>
      </c>
      <c r="C567" s="632">
        <v>30</v>
      </c>
      <c r="D567" s="632">
        <v>280</v>
      </c>
      <c r="E567" s="633"/>
      <c r="F567" s="524"/>
      <c r="G567" s="524"/>
      <c r="H567" s="362"/>
      <c r="I567" s="230"/>
      <c r="J567" s="230"/>
      <c r="K567" s="363"/>
      <c r="L567" s="364"/>
      <c r="M567" s="365"/>
      <c r="N567" s="366"/>
      <c r="O567" s="634"/>
      <c r="P567" s="368"/>
      <c r="Q567" s="369"/>
      <c r="R567" s="635"/>
      <c r="S567" s="370"/>
      <c r="T567" s="371"/>
      <c r="U567" s="372"/>
      <c r="V567" s="373"/>
      <c r="W567" s="640"/>
      <c r="X567" s="404"/>
      <c r="Y567" s="372"/>
      <c r="Z567" s="381"/>
      <c r="AA567" s="225"/>
      <c r="AB567" s="361"/>
      <c r="AC567" s="533"/>
      <c r="AD567" s="225"/>
      <c r="AE567" s="361"/>
      <c r="AF567" s="533"/>
      <c r="AG567" s="225"/>
      <c r="AH567" s="361"/>
      <c r="AI567" s="533"/>
      <c r="AJ567" s="225"/>
      <c r="AK567" s="361"/>
      <c r="AL567" s="533"/>
      <c r="AM567" s="225"/>
      <c r="AN567" s="361"/>
      <c r="AO567" s="533"/>
      <c r="AP567" s="225"/>
      <c r="AQ567" s="361"/>
      <c r="AR567" s="533"/>
      <c r="AS567" s="320"/>
    </row>
    <row r="568" spans="1:45" ht="13.5" hidden="1" customHeight="1">
      <c r="A568" s="12"/>
      <c r="B568" s="631"/>
      <c r="C568" s="632"/>
      <c r="D568" s="632"/>
      <c r="E568" s="633"/>
      <c r="F568" s="524"/>
      <c r="G568" s="524"/>
      <c r="H568" s="362"/>
      <c r="I568" s="230"/>
      <c r="J568" s="230"/>
      <c r="K568" s="363"/>
      <c r="L568" s="364"/>
      <c r="M568" s="365"/>
      <c r="N568" s="366"/>
      <c r="O568" s="634"/>
      <c r="P568" s="368"/>
      <c r="Q568" s="369"/>
      <c r="R568" s="635"/>
      <c r="S568" s="370"/>
      <c r="T568" s="371"/>
      <c r="U568" s="372"/>
      <c r="V568" s="373"/>
      <c r="W568" s="636"/>
      <c r="X568" s="404"/>
      <c r="Y568" s="372"/>
      <c r="Z568" s="381"/>
      <c r="AA568" s="241"/>
      <c r="AB568" s="411"/>
      <c r="AC568" s="577"/>
      <c r="AD568" s="241"/>
      <c r="AE568" s="411"/>
      <c r="AF568" s="577"/>
      <c r="AG568" s="241"/>
      <c r="AH568" s="411"/>
      <c r="AI568" s="577"/>
      <c r="AJ568" s="241"/>
      <c r="AK568" s="411"/>
      <c r="AL568" s="577"/>
      <c r="AM568" s="241"/>
      <c r="AN568" s="411"/>
      <c r="AO568" s="577"/>
      <c r="AP568" s="241"/>
      <c r="AQ568" s="411"/>
      <c r="AR568" s="577"/>
    </row>
    <row r="569" spans="1:45" ht="13.5" hidden="1" customHeight="1">
      <c r="A569" s="12"/>
      <c r="B569" s="647" t="s">
        <v>1935</v>
      </c>
      <c r="C569" s="632">
        <v>1</v>
      </c>
      <c r="D569" s="632">
        <v>281</v>
      </c>
      <c r="E569" s="633"/>
      <c r="F569" s="524"/>
      <c r="G569" s="524"/>
      <c r="H569" s="362"/>
      <c r="I569" s="230"/>
      <c r="J569" s="230"/>
      <c r="K569" s="363"/>
      <c r="L569" s="364"/>
      <c r="M569" s="365"/>
      <c r="N569" s="630"/>
      <c r="O569" s="634"/>
      <c r="P569" s="368"/>
      <c r="Q569" s="369"/>
      <c r="R569" s="635"/>
      <c r="S569" s="370"/>
      <c r="T569" s="371"/>
      <c r="U569" s="372"/>
      <c r="V569" s="373"/>
      <c r="W569" s="640"/>
      <c r="X569" s="404"/>
      <c r="Y569" s="372"/>
      <c r="Z569" s="381"/>
      <c r="AA569" s="225"/>
      <c r="AB569" s="361"/>
      <c r="AC569" s="533"/>
      <c r="AD569" s="225"/>
      <c r="AE569" s="361"/>
      <c r="AF569" s="533"/>
      <c r="AG569" s="225"/>
      <c r="AH569" s="361"/>
      <c r="AI569" s="533"/>
      <c r="AJ569" s="225"/>
      <c r="AK569" s="361"/>
      <c r="AL569" s="533"/>
      <c r="AM569" s="225"/>
      <c r="AN569" s="361"/>
      <c r="AO569" s="533"/>
      <c r="AP569" s="225"/>
      <c r="AQ569" s="361"/>
      <c r="AR569" s="533"/>
      <c r="AS569" s="320"/>
    </row>
    <row r="570" spans="1:45" ht="13.5" hidden="1" customHeight="1">
      <c r="A570" s="12"/>
      <c r="B570" s="647"/>
      <c r="C570" s="632"/>
      <c r="D570" s="632"/>
      <c r="E570" s="633"/>
      <c r="F570" s="524"/>
      <c r="G570" s="524"/>
      <c r="H570" s="362"/>
      <c r="I570" s="230"/>
      <c r="J570" s="230"/>
      <c r="K570" s="363"/>
      <c r="L570" s="364"/>
      <c r="M570" s="365"/>
      <c r="N570" s="630"/>
      <c r="O570" s="634"/>
      <c r="P570" s="368"/>
      <c r="Q570" s="369"/>
      <c r="R570" s="635"/>
      <c r="S570" s="370"/>
      <c r="T570" s="371"/>
      <c r="U570" s="372"/>
      <c r="V570" s="373"/>
      <c r="W570" s="636"/>
      <c r="X570" s="404"/>
      <c r="Y570" s="372"/>
      <c r="Z570" s="381"/>
      <c r="AA570" s="241"/>
      <c r="AB570" s="411"/>
      <c r="AC570" s="577"/>
      <c r="AD570" s="241"/>
      <c r="AE570" s="411"/>
      <c r="AF570" s="577"/>
      <c r="AG570" s="241"/>
      <c r="AH570" s="411"/>
      <c r="AI570" s="577"/>
      <c r="AJ570" s="241"/>
      <c r="AK570" s="411"/>
      <c r="AL570" s="577"/>
      <c r="AM570" s="241"/>
      <c r="AN570" s="411"/>
      <c r="AO570" s="577"/>
      <c r="AP570" s="241"/>
      <c r="AQ570" s="411"/>
      <c r="AR570" s="577"/>
    </row>
    <row r="571" spans="1:45" ht="13.5" hidden="1" customHeight="1">
      <c r="A571" s="12"/>
      <c r="B571" s="647" t="s">
        <v>1935</v>
      </c>
      <c r="C571" s="632">
        <v>2</v>
      </c>
      <c r="D571" s="632">
        <v>282</v>
      </c>
      <c r="E571" s="633"/>
      <c r="F571" s="524"/>
      <c r="G571" s="524"/>
      <c r="H571" s="362"/>
      <c r="I571" s="230"/>
      <c r="J571" s="230"/>
      <c r="K571" s="363"/>
      <c r="L571" s="364"/>
      <c r="M571" s="365"/>
      <c r="N571" s="630"/>
      <c r="O571" s="634"/>
      <c r="P571" s="368"/>
      <c r="Q571" s="369"/>
      <c r="R571" s="635"/>
      <c r="S571" s="370"/>
      <c r="T571" s="371"/>
      <c r="U571" s="372"/>
      <c r="V571" s="373"/>
      <c r="W571" s="640"/>
      <c r="X571" s="404"/>
      <c r="Y571" s="372"/>
      <c r="Z571" s="381"/>
      <c r="AA571" s="225"/>
      <c r="AB571" s="361"/>
      <c r="AC571" s="533"/>
      <c r="AD571" s="225"/>
      <c r="AE571" s="361"/>
      <c r="AF571" s="533"/>
      <c r="AG571" s="225"/>
      <c r="AH571" s="361"/>
      <c r="AI571" s="533"/>
      <c r="AJ571" s="225"/>
      <c r="AK571" s="361"/>
      <c r="AL571" s="533"/>
      <c r="AM571" s="225"/>
      <c r="AN571" s="361"/>
      <c r="AO571" s="533"/>
      <c r="AP571" s="225"/>
      <c r="AQ571" s="361"/>
      <c r="AR571" s="533"/>
      <c r="AS571" s="320"/>
    </row>
    <row r="572" spans="1:45" ht="13.5" hidden="1" customHeight="1">
      <c r="A572" s="12"/>
      <c r="B572" s="647"/>
      <c r="C572" s="632"/>
      <c r="D572" s="632"/>
      <c r="E572" s="633"/>
      <c r="F572" s="524"/>
      <c r="G572" s="524"/>
      <c r="H572" s="362"/>
      <c r="I572" s="230"/>
      <c r="J572" s="230"/>
      <c r="K572" s="363"/>
      <c r="L572" s="364"/>
      <c r="M572" s="365"/>
      <c r="N572" s="630"/>
      <c r="O572" s="634"/>
      <c r="P572" s="368"/>
      <c r="Q572" s="369"/>
      <c r="R572" s="635"/>
      <c r="S572" s="370"/>
      <c r="T572" s="371"/>
      <c r="U572" s="372"/>
      <c r="V572" s="373"/>
      <c r="W572" s="636"/>
      <c r="X572" s="404"/>
      <c r="Y572" s="372"/>
      <c r="Z572" s="381"/>
      <c r="AA572" s="241"/>
      <c r="AB572" s="411"/>
      <c r="AC572" s="577"/>
      <c r="AD572" s="241"/>
      <c r="AE572" s="411"/>
      <c r="AF572" s="577"/>
      <c r="AG572" s="241"/>
      <c r="AH572" s="411"/>
      <c r="AI572" s="577"/>
      <c r="AJ572" s="241"/>
      <c r="AK572" s="411"/>
      <c r="AL572" s="577"/>
      <c r="AM572" s="241"/>
      <c r="AN572" s="411"/>
      <c r="AO572" s="577"/>
      <c r="AP572" s="241"/>
      <c r="AQ572" s="411"/>
      <c r="AR572" s="577"/>
    </row>
    <row r="573" spans="1:45" ht="13.5" hidden="1" customHeight="1">
      <c r="A573" s="12"/>
      <c r="B573" s="647" t="s">
        <v>1935</v>
      </c>
      <c r="C573" s="632">
        <v>3</v>
      </c>
      <c r="D573" s="632">
        <v>283</v>
      </c>
      <c r="E573" s="633"/>
      <c r="F573" s="524"/>
      <c r="G573" s="524"/>
      <c r="H573" s="362"/>
      <c r="I573" s="230"/>
      <c r="J573" s="230"/>
      <c r="K573" s="363"/>
      <c r="L573" s="364"/>
      <c r="M573" s="365"/>
      <c r="N573" s="366"/>
      <c r="O573" s="634"/>
      <c r="P573" s="368"/>
      <c r="Q573" s="369"/>
      <c r="R573" s="635"/>
      <c r="S573" s="370"/>
      <c r="T573" s="371"/>
      <c r="U573" s="372"/>
      <c r="V573" s="373"/>
      <c r="W573" s="640"/>
      <c r="X573" s="404"/>
      <c r="Y573" s="372"/>
      <c r="Z573" s="381"/>
      <c r="AA573" s="225"/>
      <c r="AB573" s="361"/>
      <c r="AC573" s="533"/>
      <c r="AD573" s="225"/>
      <c r="AE573" s="361"/>
      <c r="AF573" s="533"/>
      <c r="AG573" s="225"/>
      <c r="AH573" s="361"/>
      <c r="AI573" s="533"/>
      <c r="AJ573" s="225"/>
      <c r="AK573" s="361"/>
      <c r="AL573" s="533"/>
      <c r="AM573" s="225"/>
      <c r="AN573" s="361"/>
      <c r="AO573" s="533"/>
      <c r="AP573" s="225"/>
      <c r="AQ573" s="361"/>
      <c r="AR573" s="533"/>
      <c r="AS573" s="320"/>
    </row>
    <row r="574" spans="1:45" ht="13.5" hidden="1" customHeight="1">
      <c r="A574" s="12"/>
      <c r="B574" s="647"/>
      <c r="C574" s="632"/>
      <c r="D574" s="632"/>
      <c r="E574" s="633"/>
      <c r="F574" s="524"/>
      <c r="G574" s="524"/>
      <c r="H574" s="362"/>
      <c r="I574" s="230"/>
      <c r="J574" s="230"/>
      <c r="K574" s="363"/>
      <c r="L574" s="364"/>
      <c r="M574" s="365"/>
      <c r="N574" s="366"/>
      <c r="O574" s="634"/>
      <c r="P574" s="368"/>
      <c r="Q574" s="369"/>
      <c r="R574" s="635"/>
      <c r="S574" s="370"/>
      <c r="T574" s="371"/>
      <c r="U574" s="372"/>
      <c r="V574" s="373"/>
      <c r="W574" s="636"/>
      <c r="X574" s="404"/>
      <c r="Y574" s="372"/>
      <c r="Z574" s="381"/>
      <c r="AA574" s="241"/>
      <c r="AB574" s="411"/>
      <c r="AC574" s="577"/>
      <c r="AD574" s="241"/>
      <c r="AE574" s="411"/>
      <c r="AF574" s="577"/>
      <c r="AG574" s="241"/>
      <c r="AH574" s="411"/>
      <c r="AI574" s="577"/>
      <c r="AJ574" s="241"/>
      <c r="AK574" s="411"/>
      <c r="AL574" s="577"/>
      <c r="AM574" s="241"/>
      <c r="AN574" s="411"/>
      <c r="AO574" s="577"/>
      <c r="AP574" s="241"/>
      <c r="AQ574" s="411"/>
      <c r="AR574" s="577"/>
    </row>
    <row r="575" spans="1:45" ht="13.5" hidden="1" customHeight="1">
      <c r="A575" s="12"/>
      <c r="B575" s="647" t="s">
        <v>1935</v>
      </c>
      <c r="C575" s="632">
        <v>4</v>
      </c>
      <c r="D575" s="632">
        <v>284</v>
      </c>
      <c r="E575" s="633"/>
      <c r="F575" s="524"/>
      <c r="G575" s="524"/>
      <c r="H575" s="362"/>
      <c r="I575" s="230"/>
      <c r="J575" s="230"/>
      <c r="K575" s="363"/>
      <c r="L575" s="364"/>
      <c r="M575" s="365"/>
      <c r="N575" s="366"/>
      <c r="O575" s="634"/>
      <c r="P575" s="368"/>
      <c r="Q575" s="369"/>
      <c r="R575" s="635"/>
      <c r="S575" s="370"/>
      <c r="T575" s="371"/>
      <c r="U575" s="372"/>
      <c r="V575" s="373"/>
      <c r="W575" s="640"/>
      <c r="X575" s="404"/>
      <c r="Y575" s="372"/>
      <c r="Z575" s="381"/>
      <c r="AA575" s="225"/>
      <c r="AB575" s="361"/>
      <c r="AC575" s="533"/>
      <c r="AD575" s="225"/>
      <c r="AE575" s="361"/>
      <c r="AF575" s="533"/>
      <c r="AG575" s="225"/>
      <c r="AH575" s="361"/>
      <c r="AI575" s="533"/>
      <c r="AJ575" s="225"/>
      <c r="AK575" s="361"/>
      <c r="AL575" s="533"/>
      <c r="AM575" s="225"/>
      <c r="AN575" s="361"/>
      <c r="AO575" s="533"/>
      <c r="AP575" s="225"/>
      <c r="AQ575" s="361"/>
      <c r="AR575" s="533"/>
      <c r="AS575" s="320"/>
    </row>
    <row r="576" spans="1:45" ht="13.5" hidden="1" customHeight="1">
      <c r="A576" s="12"/>
      <c r="B576" s="647"/>
      <c r="C576" s="632"/>
      <c r="D576" s="632"/>
      <c r="E576" s="633"/>
      <c r="F576" s="524"/>
      <c r="G576" s="524"/>
      <c r="H576" s="362"/>
      <c r="I576" s="230"/>
      <c r="J576" s="230"/>
      <c r="K576" s="363"/>
      <c r="L576" s="364"/>
      <c r="M576" s="365"/>
      <c r="N576" s="366"/>
      <c r="O576" s="634"/>
      <c r="P576" s="368"/>
      <c r="Q576" s="369"/>
      <c r="R576" s="635"/>
      <c r="S576" s="370"/>
      <c r="T576" s="371"/>
      <c r="U576" s="372"/>
      <c r="V576" s="373"/>
      <c r="W576" s="636"/>
      <c r="X576" s="404"/>
      <c r="Y576" s="372"/>
      <c r="Z576" s="381"/>
      <c r="AA576" s="241"/>
      <c r="AB576" s="411"/>
      <c r="AC576" s="577"/>
      <c r="AD576" s="241"/>
      <c r="AE576" s="411"/>
      <c r="AF576" s="577"/>
      <c r="AG576" s="241"/>
      <c r="AH576" s="411"/>
      <c r="AI576" s="577"/>
      <c r="AJ576" s="241"/>
      <c r="AK576" s="411"/>
      <c r="AL576" s="577"/>
      <c r="AM576" s="241"/>
      <c r="AN576" s="411"/>
      <c r="AO576" s="577"/>
      <c r="AP576" s="241"/>
      <c r="AQ576" s="411"/>
      <c r="AR576" s="577"/>
    </row>
    <row r="577" spans="1:45" ht="13.5" hidden="1" customHeight="1">
      <c r="A577" s="12"/>
      <c r="B577" s="647" t="s">
        <v>1935</v>
      </c>
      <c r="C577" s="632">
        <v>5</v>
      </c>
      <c r="D577" s="632">
        <v>285</v>
      </c>
      <c r="E577" s="633"/>
      <c r="F577" s="524"/>
      <c r="G577" s="524"/>
      <c r="H577" s="362"/>
      <c r="I577" s="230"/>
      <c r="J577" s="230"/>
      <c r="K577" s="363"/>
      <c r="L577" s="364"/>
      <c r="M577" s="365"/>
      <c r="N577" s="366"/>
      <c r="O577" s="634"/>
      <c r="P577" s="368"/>
      <c r="Q577" s="369"/>
      <c r="R577" s="635"/>
      <c r="S577" s="370"/>
      <c r="T577" s="371"/>
      <c r="U577" s="372"/>
      <c r="V577" s="373"/>
      <c r="W577" s="640"/>
      <c r="X577" s="404"/>
      <c r="Y577" s="372"/>
      <c r="Z577" s="381"/>
      <c r="AA577" s="225"/>
      <c r="AB577" s="361"/>
      <c r="AC577" s="533"/>
      <c r="AD577" s="225"/>
      <c r="AE577" s="361"/>
      <c r="AF577" s="533"/>
      <c r="AG577" s="225"/>
      <c r="AH577" s="361"/>
      <c r="AI577" s="533"/>
      <c r="AJ577" s="225"/>
      <c r="AK577" s="361"/>
      <c r="AL577" s="533"/>
      <c r="AM577" s="225"/>
      <c r="AN577" s="361"/>
      <c r="AO577" s="533"/>
      <c r="AP577" s="225"/>
      <c r="AQ577" s="361"/>
      <c r="AR577" s="533"/>
      <c r="AS577" s="320"/>
    </row>
    <row r="578" spans="1:45" ht="13.5" hidden="1" customHeight="1">
      <c r="A578" s="12"/>
      <c r="B578" s="647"/>
      <c r="C578" s="632"/>
      <c r="D578" s="632"/>
      <c r="E578" s="633"/>
      <c r="F578" s="524"/>
      <c r="G578" s="524"/>
      <c r="H578" s="362"/>
      <c r="I578" s="230"/>
      <c r="J578" s="230"/>
      <c r="K578" s="363"/>
      <c r="L578" s="364"/>
      <c r="M578" s="365"/>
      <c r="N578" s="366"/>
      <c r="O578" s="634"/>
      <c r="P578" s="368"/>
      <c r="Q578" s="369"/>
      <c r="R578" s="635"/>
      <c r="S578" s="370"/>
      <c r="T578" s="371"/>
      <c r="U578" s="372"/>
      <c r="V578" s="373"/>
      <c r="W578" s="636"/>
      <c r="X578" s="404"/>
      <c r="Y578" s="372"/>
      <c r="Z578" s="381"/>
      <c r="AA578" s="241"/>
      <c r="AB578" s="411"/>
      <c r="AC578" s="577"/>
      <c r="AD578" s="241"/>
      <c r="AE578" s="411"/>
      <c r="AF578" s="577"/>
      <c r="AG578" s="241"/>
      <c r="AH578" s="411"/>
      <c r="AI578" s="577"/>
      <c r="AJ578" s="241"/>
      <c r="AK578" s="411"/>
      <c r="AL578" s="577"/>
      <c r="AM578" s="241"/>
      <c r="AN578" s="411"/>
      <c r="AO578" s="577"/>
      <c r="AP578" s="241"/>
      <c r="AQ578" s="411"/>
      <c r="AR578" s="577"/>
    </row>
    <row r="579" spans="1:45" ht="13.5" hidden="1" customHeight="1">
      <c r="A579" s="12"/>
      <c r="B579" s="647" t="s">
        <v>1935</v>
      </c>
      <c r="C579" s="632">
        <v>6</v>
      </c>
      <c r="D579" s="632">
        <v>286</v>
      </c>
      <c r="E579" s="633"/>
      <c r="F579" s="524"/>
      <c r="G579" s="524"/>
      <c r="H579" s="362"/>
      <c r="I579" s="230"/>
      <c r="J579" s="230"/>
      <c r="K579" s="363"/>
      <c r="L579" s="364"/>
      <c r="M579" s="365"/>
      <c r="N579" s="366"/>
      <c r="O579" s="634"/>
      <c r="P579" s="368"/>
      <c r="Q579" s="369"/>
      <c r="R579" s="635"/>
      <c r="S579" s="370"/>
      <c r="T579" s="371"/>
      <c r="U579" s="387"/>
      <c r="V579" s="648"/>
      <c r="W579" s="640"/>
      <c r="X579" s="404"/>
      <c r="Y579" s="372"/>
      <c r="Z579" s="381"/>
      <c r="AA579" s="225"/>
      <c r="AB579" s="361"/>
      <c r="AC579" s="533"/>
      <c r="AD579" s="225"/>
      <c r="AE579" s="361"/>
      <c r="AF579" s="533"/>
      <c r="AG579" s="225"/>
      <c r="AH579" s="361"/>
      <c r="AI579" s="533"/>
      <c r="AJ579" s="225"/>
      <c r="AK579" s="361"/>
      <c r="AL579" s="533"/>
      <c r="AM579" s="225"/>
      <c r="AN579" s="361"/>
      <c r="AO579" s="533"/>
      <c r="AP579" s="225"/>
      <c r="AQ579" s="361"/>
      <c r="AR579" s="533"/>
      <c r="AS579" s="320"/>
    </row>
    <row r="580" spans="1:45" ht="13.5" hidden="1" customHeight="1">
      <c r="A580" s="12"/>
      <c r="B580" s="647"/>
      <c r="C580" s="632"/>
      <c r="D580" s="632"/>
      <c r="E580" s="633"/>
      <c r="F580" s="524"/>
      <c r="G580" s="524"/>
      <c r="H580" s="362"/>
      <c r="I580" s="230"/>
      <c r="J580" s="230"/>
      <c r="K580" s="363"/>
      <c r="L580" s="364"/>
      <c r="M580" s="365"/>
      <c r="N580" s="366"/>
      <c r="O580" s="634"/>
      <c r="P580" s="368"/>
      <c r="Q580" s="369"/>
      <c r="R580" s="635"/>
      <c r="S580" s="370"/>
      <c r="T580" s="371"/>
      <c r="U580" s="376"/>
      <c r="V580" s="649"/>
      <c r="W580" s="636"/>
      <c r="X580" s="404"/>
      <c r="Y580" s="372"/>
      <c r="Z580" s="381"/>
      <c r="AA580" s="241"/>
      <c r="AB580" s="411"/>
      <c r="AC580" s="577"/>
      <c r="AD580" s="241"/>
      <c r="AE580" s="411"/>
      <c r="AF580" s="577"/>
      <c r="AG580" s="241"/>
      <c r="AH580" s="411"/>
      <c r="AI580" s="577"/>
      <c r="AJ580" s="241"/>
      <c r="AK580" s="411"/>
      <c r="AL580" s="577"/>
      <c r="AM580" s="241"/>
      <c r="AN580" s="411"/>
      <c r="AO580" s="577"/>
      <c r="AP580" s="241"/>
      <c r="AQ580" s="411"/>
      <c r="AR580" s="577"/>
    </row>
    <row r="581" spans="1:45" ht="13.5" hidden="1" customHeight="1">
      <c r="A581" s="12"/>
      <c r="B581" s="647" t="s">
        <v>1935</v>
      </c>
      <c r="C581" s="632">
        <v>7</v>
      </c>
      <c r="D581" s="632">
        <v>287</v>
      </c>
      <c r="E581" s="633"/>
      <c r="F581" s="524"/>
      <c r="G581" s="524"/>
      <c r="H581" s="362"/>
      <c r="I581" s="230"/>
      <c r="J581" s="230"/>
      <c r="K581" s="363"/>
      <c r="L581" s="364"/>
      <c r="M581" s="365"/>
      <c r="N581" s="366"/>
      <c r="O581" s="634"/>
      <c r="P581" s="368"/>
      <c r="Q581" s="369"/>
      <c r="R581" s="635"/>
      <c r="S581" s="370"/>
      <c r="T581" s="371"/>
      <c r="U581" s="372"/>
      <c r="V581" s="373"/>
      <c r="W581" s="640"/>
      <c r="X581" s="404"/>
      <c r="Y581" s="372"/>
      <c r="Z581" s="381"/>
      <c r="AA581" s="225"/>
      <c r="AB581" s="361"/>
      <c r="AC581" s="533"/>
      <c r="AD581" s="225"/>
      <c r="AE581" s="361"/>
      <c r="AF581" s="533"/>
      <c r="AG581" s="225"/>
      <c r="AH581" s="361"/>
      <c r="AI581" s="533"/>
      <c r="AJ581" s="225"/>
      <c r="AK581" s="361"/>
      <c r="AL581" s="533"/>
      <c r="AM581" s="225"/>
      <c r="AN581" s="361"/>
      <c r="AO581" s="533"/>
      <c r="AP581" s="225"/>
      <c r="AQ581" s="361"/>
      <c r="AR581" s="533"/>
      <c r="AS581" s="320"/>
    </row>
    <row r="582" spans="1:45" ht="13.5" hidden="1" customHeight="1">
      <c r="A582" s="12"/>
      <c r="B582" s="647"/>
      <c r="C582" s="632"/>
      <c r="D582" s="632"/>
      <c r="E582" s="633"/>
      <c r="F582" s="524"/>
      <c r="G582" s="524"/>
      <c r="H582" s="362"/>
      <c r="I582" s="230"/>
      <c r="J582" s="230"/>
      <c r="K582" s="363"/>
      <c r="L582" s="364"/>
      <c r="M582" s="365"/>
      <c r="N582" s="366"/>
      <c r="O582" s="634"/>
      <c r="P582" s="368"/>
      <c r="Q582" s="369"/>
      <c r="R582" s="635"/>
      <c r="S582" s="370"/>
      <c r="T582" s="371"/>
      <c r="U582" s="372"/>
      <c r="V582" s="373"/>
      <c r="W582" s="636"/>
      <c r="X582" s="404"/>
      <c r="Y582" s="372"/>
      <c r="Z582" s="381"/>
      <c r="AA582" s="241"/>
      <c r="AB582" s="411"/>
      <c r="AC582" s="577"/>
      <c r="AD582" s="241"/>
      <c r="AE582" s="411"/>
      <c r="AF582" s="577"/>
      <c r="AG582" s="241"/>
      <c r="AH582" s="411"/>
      <c r="AI582" s="577"/>
      <c r="AJ582" s="241"/>
      <c r="AK582" s="411"/>
      <c r="AL582" s="577"/>
      <c r="AM582" s="241"/>
      <c r="AN582" s="411"/>
      <c r="AO582" s="577"/>
      <c r="AP582" s="241"/>
      <c r="AQ582" s="411"/>
      <c r="AR582" s="577"/>
    </row>
    <row r="583" spans="1:45" ht="13.5" hidden="1" customHeight="1">
      <c r="A583" s="12"/>
      <c r="B583" s="647" t="s">
        <v>1935</v>
      </c>
      <c r="C583" s="632">
        <v>8</v>
      </c>
      <c r="D583" s="632">
        <v>288</v>
      </c>
      <c r="E583" s="633"/>
      <c r="F583" s="524"/>
      <c r="G583" s="524"/>
      <c r="H583" s="362"/>
      <c r="I583" s="230"/>
      <c r="J583" s="230"/>
      <c r="K583" s="597"/>
      <c r="L583" s="364"/>
      <c r="M583" s="365"/>
      <c r="N583" s="366"/>
      <c r="O583" s="359"/>
      <c r="P583" s="454"/>
      <c r="Q583" s="504"/>
      <c r="R583" s="639"/>
      <c r="S583" s="650"/>
      <c r="T583" s="421"/>
      <c r="U583" s="387"/>
      <c r="V583" s="648"/>
      <c r="W583" s="640"/>
      <c r="X583" s="404"/>
      <c r="Y583" s="372"/>
      <c r="Z583" s="381"/>
      <c r="AA583" s="225"/>
      <c r="AB583" s="361"/>
      <c r="AC583" s="533"/>
      <c r="AD583" s="225"/>
      <c r="AE583" s="361"/>
      <c r="AF583" s="533"/>
      <c r="AG583" s="225"/>
      <c r="AH583" s="361"/>
      <c r="AI583" s="533"/>
      <c r="AJ583" s="225"/>
      <c r="AK583" s="361"/>
      <c r="AL583" s="533"/>
      <c r="AM583" s="225"/>
      <c r="AN583" s="361"/>
      <c r="AO583" s="533"/>
      <c r="AP583" s="225"/>
      <c r="AQ583" s="361"/>
      <c r="AR583" s="533"/>
      <c r="AS583" s="320"/>
    </row>
    <row r="584" spans="1:45" ht="13.5" hidden="1" customHeight="1">
      <c r="A584" s="12"/>
      <c r="B584" s="647"/>
      <c r="C584" s="632"/>
      <c r="D584" s="632"/>
      <c r="E584" s="633"/>
      <c r="F584" s="524"/>
      <c r="G584" s="524"/>
      <c r="H584" s="362"/>
      <c r="I584" s="230"/>
      <c r="J584" s="230"/>
      <c r="K584" s="412"/>
      <c r="L584" s="364"/>
      <c r="M584" s="365"/>
      <c r="N584" s="366"/>
      <c r="O584" s="359"/>
      <c r="P584" s="581"/>
      <c r="Q584" s="563"/>
      <c r="R584" s="643"/>
      <c r="S584" s="651"/>
      <c r="T584" s="434"/>
      <c r="U584" s="376"/>
      <c r="V584" s="649"/>
      <c r="W584" s="636"/>
      <c r="X584" s="404"/>
      <c r="Y584" s="372"/>
      <c r="Z584" s="381"/>
      <c r="AA584" s="241"/>
      <c r="AB584" s="411"/>
      <c r="AC584" s="577"/>
      <c r="AD584" s="241"/>
      <c r="AE584" s="411"/>
      <c r="AF584" s="577"/>
      <c r="AG584" s="241"/>
      <c r="AH584" s="411"/>
      <c r="AI584" s="577"/>
      <c r="AJ584" s="241"/>
      <c r="AK584" s="411"/>
      <c r="AL584" s="577"/>
      <c r="AM584" s="241"/>
      <c r="AN584" s="411"/>
      <c r="AO584" s="577"/>
      <c r="AP584" s="241"/>
      <c r="AQ584" s="411"/>
      <c r="AR584" s="577"/>
    </row>
    <row r="585" spans="1:45" ht="13.5" hidden="1" customHeight="1">
      <c r="A585" s="12"/>
      <c r="B585" s="647" t="s">
        <v>1935</v>
      </c>
      <c r="C585" s="632">
        <v>9</v>
      </c>
      <c r="D585" s="632">
        <v>289</v>
      </c>
      <c r="E585" s="633"/>
      <c r="F585" s="524"/>
      <c r="G585" s="524"/>
      <c r="H585" s="362"/>
      <c r="I585" s="230"/>
      <c r="J585" s="230"/>
      <c r="K585" s="412"/>
      <c r="L585" s="364"/>
      <c r="M585" s="365"/>
      <c r="N585" s="366"/>
      <c r="O585" s="359"/>
      <c r="P585" s="581"/>
      <c r="Q585" s="563"/>
      <c r="R585" s="643"/>
      <c r="S585" s="651"/>
      <c r="T585" s="421"/>
      <c r="U585" s="372"/>
      <c r="V585" s="373"/>
      <c r="W585" s="640"/>
      <c r="X585" s="404"/>
      <c r="Y585" s="372"/>
      <c r="Z585" s="381"/>
      <c r="AA585" s="225"/>
      <c r="AB585" s="361"/>
      <c r="AC585" s="533"/>
      <c r="AD585" s="225"/>
      <c r="AE585" s="361"/>
      <c r="AF585" s="533"/>
      <c r="AG585" s="225"/>
      <c r="AH585" s="361"/>
      <c r="AI585" s="533"/>
      <c r="AJ585" s="225"/>
      <c r="AK585" s="361"/>
      <c r="AL585" s="533"/>
      <c r="AM585" s="225"/>
      <c r="AN585" s="361"/>
      <c r="AO585" s="533"/>
      <c r="AP585" s="225"/>
      <c r="AQ585" s="361"/>
      <c r="AR585" s="533"/>
      <c r="AS585" s="320"/>
    </row>
    <row r="586" spans="1:45" ht="13.5" hidden="1" customHeight="1">
      <c r="A586" s="12"/>
      <c r="B586" s="647"/>
      <c r="C586" s="632"/>
      <c r="D586" s="632"/>
      <c r="E586" s="633"/>
      <c r="F586" s="524"/>
      <c r="G586" s="524"/>
      <c r="H586" s="362"/>
      <c r="I586" s="230"/>
      <c r="J586" s="230"/>
      <c r="K586" s="438"/>
      <c r="L586" s="364"/>
      <c r="M586" s="365"/>
      <c r="N586" s="366"/>
      <c r="O586" s="359"/>
      <c r="P586" s="429"/>
      <c r="Q586" s="442"/>
      <c r="R586" s="646"/>
      <c r="S586" s="652"/>
      <c r="T586" s="434"/>
      <c r="U586" s="372"/>
      <c r="V586" s="373"/>
      <c r="W586" s="636"/>
      <c r="X586" s="404"/>
      <c r="Y586" s="372"/>
      <c r="Z586" s="381"/>
      <c r="AA586" s="241"/>
      <c r="AB586" s="411"/>
      <c r="AC586" s="577"/>
      <c r="AD586" s="241"/>
      <c r="AE586" s="411"/>
      <c r="AF586" s="577"/>
      <c r="AG586" s="241"/>
      <c r="AH586" s="411"/>
      <c r="AI586" s="577"/>
      <c r="AJ586" s="241"/>
      <c r="AK586" s="411"/>
      <c r="AL586" s="577"/>
      <c r="AM586" s="241"/>
      <c r="AN586" s="411"/>
      <c r="AO586" s="577"/>
      <c r="AP586" s="241"/>
      <c r="AQ586" s="411"/>
      <c r="AR586" s="577"/>
    </row>
    <row r="587" spans="1:45" ht="13.5" hidden="1" customHeight="1">
      <c r="A587" s="12"/>
      <c r="B587" s="647" t="s">
        <v>1935</v>
      </c>
      <c r="C587" s="632">
        <v>10</v>
      </c>
      <c r="D587" s="632">
        <v>290</v>
      </c>
      <c r="E587" s="633"/>
      <c r="F587" s="524"/>
      <c r="G587" s="524"/>
      <c r="H587" s="362"/>
      <c r="I587" s="230"/>
      <c r="J587" s="230"/>
      <c r="K587" s="363"/>
      <c r="L587" s="364"/>
      <c r="M587" s="365"/>
      <c r="N587" s="366"/>
      <c r="O587" s="634"/>
      <c r="P587" s="368"/>
      <c r="Q587" s="369"/>
      <c r="R587" s="635"/>
      <c r="S587" s="370"/>
      <c r="T587" s="371"/>
      <c r="U587" s="372"/>
      <c r="V587" s="373"/>
      <c r="W587" s="640"/>
      <c r="X587" s="404"/>
      <c r="Y587" s="372"/>
      <c r="Z587" s="381"/>
      <c r="AA587" s="225"/>
      <c r="AB587" s="361"/>
      <c r="AC587" s="533"/>
      <c r="AD587" s="225"/>
      <c r="AE587" s="361"/>
      <c r="AF587" s="533"/>
      <c r="AG587" s="225"/>
      <c r="AH587" s="361"/>
      <c r="AI587" s="533"/>
      <c r="AJ587" s="225"/>
      <c r="AK587" s="361"/>
      <c r="AL587" s="533"/>
      <c r="AM587" s="225"/>
      <c r="AN587" s="361"/>
      <c r="AO587" s="533"/>
      <c r="AP587" s="225"/>
      <c r="AQ587" s="361"/>
      <c r="AR587" s="533"/>
      <c r="AS587" s="320"/>
    </row>
    <row r="588" spans="1:45" ht="13.5" hidden="1" customHeight="1">
      <c r="A588" s="12"/>
      <c r="B588" s="647"/>
      <c r="C588" s="632"/>
      <c r="D588" s="632"/>
      <c r="E588" s="633"/>
      <c r="F588" s="524"/>
      <c r="G588" s="524"/>
      <c r="H588" s="362"/>
      <c r="I588" s="230"/>
      <c r="J588" s="230"/>
      <c r="K588" s="363"/>
      <c r="L588" s="364"/>
      <c r="M588" s="365"/>
      <c r="N588" s="366"/>
      <c r="O588" s="634"/>
      <c r="P588" s="368"/>
      <c r="Q588" s="369"/>
      <c r="R588" s="635"/>
      <c r="S588" s="370"/>
      <c r="T588" s="371"/>
      <c r="U588" s="372"/>
      <c r="V588" s="373"/>
      <c r="W588" s="636"/>
      <c r="X588" s="404"/>
      <c r="Y588" s="372"/>
      <c r="Z588" s="381"/>
      <c r="AA588" s="241"/>
      <c r="AB588" s="411"/>
      <c r="AC588" s="577"/>
      <c r="AD588" s="241"/>
      <c r="AE588" s="411"/>
      <c r="AF588" s="577"/>
      <c r="AG588" s="241"/>
      <c r="AH588" s="411"/>
      <c r="AI588" s="577"/>
      <c r="AJ588" s="241"/>
      <c r="AK588" s="411"/>
      <c r="AL588" s="577"/>
      <c r="AM588" s="241"/>
      <c r="AN588" s="411"/>
      <c r="AO588" s="577"/>
      <c r="AP588" s="241"/>
      <c r="AQ588" s="411"/>
      <c r="AR588" s="577"/>
    </row>
    <row r="589" spans="1:45" ht="13.5" hidden="1" customHeight="1">
      <c r="A589" s="12"/>
      <c r="B589" s="647" t="s">
        <v>1935</v>
      </c>
      <c r="C589" s="632">
        <v>11</v>
      </c>
      <c r="D589" s="632">
        <v>291</v>
      </c>
      <c r="E589" s="633"/>
      <c r="F589" s="524"/>
      <c r="G589" s="524"/>
      <c r="H589" s="362"/>
      <c r="I589" s="230"/>
      <c r="J589" s="230"/>
      <c r="K589" s="363"/>
      <c r="L589" s="364"/>
      <c r="M589" s="365"/>
      <c r="N589" s="366"/>
      <c r="O589" s="634"/>
      <c r="P589" s="368"/>
      <c r="Q589" s="369"/>
      <c r="R589" s="635"/>
      <c r="S589" s="370"/>
      <c r="T589" s="371"/>
      <c r="U589" s="372"/>
      <c r="V589" s="373"/>
      <c r="W589" s="640"/>
      <c r="X589" s="404"/>
      <c r="Y589" s="372"/>
      <c r="Z589" s="381"/>
      <c r="AA589" s="225"/>
      <c r="AB589" s="361"/>
      <c r="AC589" s="533"/>
      <c r="AD589" s="225"/>
      <c r="AE589" s="361"/>
      <c r="AF589" s="533"/>
      <c r="AG589" s="225"/>
      <c r="AH589" s="361"/>
      <c r="AI589" s="533"/>
      <c r="AJ589" s="225"/>
      <c r="AK589" s="361"/>
      <c r="AL589" s="533"/>
      <c r="AM589" s="225"/>
      <c r="AN589" s="361"/>
      <c r="AO589" s="533"/>
      <c r="AP589" s="225"/>
      <c r="AQ589" s="361"/>
      <c r="AR589" s="533"/>
      <c r="AS589" s="320"/>
    </row>
    <row r="590" spans="1:45" ht="13.5" hidden="1" customHeight="1">
      <c r="A590" s="12"/>
      <c r="B590" s="647"/>
      <c r="C590" s="632"/>
      <c r="D590" s="632"/>
      <c r="E590" s="633"/>
      <c r="F590" s="524"/>
      <c r="G590" s="524"/>
      <c r="H590" s="362"/>
      <c r="I590" s="230"/>
      <c r="J590" s="230"/>
      <c r="K590" s="363"/>
      <c r="L590" s="364"/>
      <c r="M590" s="365"/>
      <c r="N590" s="366"/>
      <c r="O590" s="634"/>
      <c r="P590" s="368"/>
      <c r="Q590" s="369"/>
      <c r="R590" s="635"/>
      <c r="S590" s="370"/>
      <c r="T590" s="371"/>
      <c r="U590" s="372"/>
      <c r="V590" s="373"/>
      <c r="W590" s="636"/>
      <c r="X590" s="404"/>
      <c r="Y590" s="372"/>
      <c r="Z590" s="381"/>
      <c r="AA590" s="241"/>
      <c r="AB590" s="411"/>
      <c r="AC590" s="577"/>
      <c r="AD590" s="241"/>
      <c r="AE590" s="411"/>
      <c r="AF590" s="577"/>
      <c r="AG590" s="241"/>
      <c r="AH590" s="411"/>
      <c r="AI590" s="577"/>
      <c r="AJ590" s="241"/>
      <c r="AK590" s="411"/>
      <c r="AL590" s="577"/>
      <c r="AM590" s="241"/>
      <c r="AN590" s="411"/>
      <c r="AO590" s="577"/>
      <c r="AP590" s="241"/>
      <c r="AQ590" s="411"/>
      <c r="AR590" s="577"/>
    </row>
    <row r="591" spans="1:45" ht="13.5" hidden="1" customHeight="1">
      <c r="A591" s="12"/>
      <c r="B591" s="647" t="s">
        <v>1935</v>
      </c>
      <c r="C591" s="632">
        <v>12</v>
      </c>
      <c r="D591" s="632">
        <v>292</v>
      </c>
      <c r="E591" s="633"/>
      <c r="F591" s="524"/>
      <c r="G591" s="524"/>
      <c r="H591" s="362"/>
      <c r="I591" s="230"/>
      <c r="J591" s="230"/>
      <c r="K591" s="363"/>
      <c r="L591" s="364"/>
      <c r="M591" s="365"/>
      <c r="N591" s="366"/>
      <c r="O591" s="634"/>
      <c r="P591" s="368"/>
      <c r="Q591" s="369"/>
      <c r="R591" s="635"/>
      <c r="S591" s="629"/>
      <c r="T591" s="371"/>
      <c r="U591" s="372"/>
      <c r="V591" s="373"/>
      <c r="W591" s="640"/>
      <c r="X591" s="404"/>
      <c r="Y591" s="372"/>
      <c r="Z591" s="381"/>
      <c r="AA591" s="225"/>
      <c r="AB591" s="361"/>
      <c r="AC591" s="533"/>
      <c r="AD591" s="225"/>
      <c r="AE591" s="361"/>
      <c r="AF591" s="533"/>
      <c r="AG591" s="225"/>
      <c r="AH591" s="361"/>
      <c r="AI591" s="533"/>
      <c r="AJ591" s="225"/>
      <c r="AK591" s="361"/>
      <c r="AL591" s="533"/>
      <c r="AM591" s="225"/>
      <c r="AN591" s="361"/>
      <c r="AO591" s="533"/>
      <c r="AP591" s="225"/>
      <c r="AQ591" s="361"/>
      <c r="AR591" s="533"/>
      <c r="AS591" s="320"/>
    </row>
    <row r="592" spans="1:45" ht="13.5" hidden="1" customHeight="1">
      <c r="A592" s="12"/>
      <c r="B592" s="647"/>
      <c r="C592" s="632"/>
      <c r="D592" s="632"/>
      <c r="E592" s="633"/>
      <c r="F592" s="524"/>
      <c r="G592" s="524"/>
      <c r="H592" s="362"/>
      <c r="I592" s="230"/>
      <c r="J592" s="230"/>
      <c r="K592" s="363"/>
      <c r="L592" s="364"/>
      <c r="M592" s="365"/>
      <c r="N592" s="366"/>
      <c r="O592" s="634"/>
      <c r="P592" s="368"/>
      <c r="Q592" s="369"/>
      <c r="R592" s="635"/>
      <c r="S592" s="370"/>
      <c r="T592" s="371"/>
      <c r="U592" s="372"/>
      <c r="V592" s="373"/>
      <c r="W592" s="636"/>
      <c r="X592" s="404"/>
      <c r="Y592" s="372"/>
      <c r="Z592" s="381"/>
      <c r="AA592" s="241"/>
      <c r="AB592" s="411"/>
      <c r="AC592" s="577"/>
      <c r="AD592" s="241"/>
      <c r="AE592" s="411"/>
      <c r="AF592" s="577"/>
      <c r="AG592" s="241"/>
      <c r="AH592" s="411"/>
      <c r="AI592" s="577"/>
      <c r="AJ592" s="241"/>
      <c r="AK592" s="411"/>
      <c r="AL592" s="577"/>
      <c r="AM592" s="241"/>
      <c r="AN592" s="411"/>
      <c r="AO592" s="577"/>
      <c r="AP592" s="241"/>
      <c r="AQ592" s="411"/>
      <c r="AR592" s="577"/>
    </row>
    <row r="593" spans="1:45" ht="13.5" hidden="1" customHeight="1">
      <c r="A593" s="12"/>
      <c r="B593" s="647" t="s">
        <v>1935</v>
      </c>
      <c r="C593" s="632">
        <v>13</v>
      </c>
      <c r="D593" s="632">
        <v>293</v>
      </c>
      <c r="E593" s="653"/>
      <c r="F593" s="524"/>
      <c r="G593" s="524"/>
      <c r="H593" s="362"/>
      <c r="I593" s="230"/>
      <c r="J593" s="230"/>
      <c r="K593" s="363"/>
      <c r="L593" s="364"/>
      <c r="M593" s="365"/>
      <c r="N593" s="366"/>
      <c r="O593" s="634"/>
      <c r="P593" s="368"/>
      <c r="Q593" s="369"/>
      <c r="R593" s="635"/>
      <c r="S593" s="370"/>
      <c r="T593" s="371"/>
      <c r="U593" s="372"/>
      <c r="V593" s="373"/>
      <c r="W593" s="640"/>
      <c r="X593" s="404"/>
      <c r="Y593" s="372"/>
      <c r="Z593" s="381"/>
      <c r="AA593" s="225"/>
      <c r="AB593" s="361"/>
      <c r="AC593" s="533"/>
      <c r="AD593" s="225"/>
      <c r="AE593" s="361"/>
      <c r="AF593" s="533"/>
      <c r="AG593" s="225"/>
      <c r="AH593" s="361"/>
      <c r="AI593" s="533"/>
      <c r="AJ593" s="225"/>
      <c r="AK593" s="361"/>
      <c r="AL593" s="533"/>
      <c r="AM593" s="225"/>
      <c r="AN593" s="361"/>
      <c r="AO593" s="533"/>
      <c r="AP593" s="225"/>
      <c r="AQ593" s="361"/>
      <c r="AR593" s="533"/>
      <c r="AS593" s="320"/>
    </row>
    <row r="594" spans="1:45" ht="13.5" hidden="1" customHeight="1">
      <c r="A594" s="12"/>
      <c r="B594" s="647"/>
      <c r="C594" s="632"/>
      <c r="D594" s="632"/>
      <c r="E594" s="653"/>
      <c r="F594" s="524"/>
      <c r="G594" s="524"/>
      <c r="H594" s="362"/>
      <c r="I594" s="230"/>
      <c r="J594" s="230"/>
      <c r="K594" s="363"/>
      <c r="L594" s="364"/>
      <c r="M594" s="365"/>
      <c r="N594" s="366"/>
      <c r="O594" s="634"/>
      <c r="P594" s="368"/>
      <c r="Q594" s="369"/>
      <c r="R594" s="635"/>
      <c r="S594" s="370"/>
      <c r="T594" s="371"/>
      <c r="U594" s="372"/>
      <c r="V594" s="373"/>
      <c r="W594" s="636"/>
      <c r="X594" s="404"/>
      <c r="Y594" s="372"/>
      <c r="Z594" s="381"/>
      <c r="AA594" s="241"/>
      <c r="AB594" s="411"/>
      <c r="AC594" s="577"/>
      <c r="AD594" s="241"/>
      <c r="AE594" s="411"/>
      <c r="AF594" s="577"/>
      <c r="AG594" s="241"/>
      <c r="AH594" s="411"/>
      <c r="AI594" s="577"/>
      <c r="AJ594" s="241"/>
      <c r="AK594" s="411"/>
      <c r="AL594" s="577"/>
      <c r="AM594" s="241"/>
      <c r="AN594" s="411"/>
      <c r="AO594" s="577"/>
      <c r="AP594" s="241"/>
      <c r="AQ594" s="411"/>
      <c r="AR594" s="577"/>
    </row>
    <row r="595" spans="1:45" ht="13.5" hidden="1" customHeight="1">
      <c r="A595" s="12"/>
      <c r="B595" s="647" t="s">
        <v>1935</v>
      </c>
      <c r="C595" s="632">
        <v>14</v>
      </c>
      <c r="D595" s="632">
        <v>294</v>
      </c>
      <c r="E595" s="633"/>
      <c r="F595" s="524"/>
      <c r="G595" s="524"/>
      <c r="H595" s="362"/>
      <c r="I595" s="230"/>
      <c r="J595" s="230"/>
      <c r="K595" s="363"/>
      <c r="L595" s="364"/>
      <c r="M595" s="365"/>
      <c r="N595" s="366"/>
      <c r="O595" s="634"/>
      <c r="P595" s="368"/>
      <c r="Q595" s="369"/>
      <c r="R595" s="635"/>
      <c r="S595" s="629"/>
      <c r="T595" s="371"/>
      <c r="U595" s="372"/>
      <c r="V595" s="373"/>
      <c r="W595" s="640"/>
      <c r="X595" s="404"/>
      <c r="Y595" s="372"/>
      <c r="Z595" s="381"/>
      <c r="AA595" s="225"/>
      <c r="AB595" s="361"/>
      <c r="AC595" s="533"/>
      <c r="AD595" s="225"/>
      <c r="AE595" s="361"/>
      <c r="AF595" s="533"/>
      <c r="AG595" s="225"/>
      <c r="AH595" s="361"/>
      <c r="AI595" s="533"/>
      <c r="AJ595" s="225"/>
      <c r="AK595" s="361"/>
      <c r="AL595" s="533"/>
      <c r="AM595" s="225"/>
      <c r="AN595" s="361"/>
      <c r="AO595" s="533"/>
      <c r="AP595" s="225"/>
      <c r="AQ595" s="361"/>
      <c r="AR595" s="533"/>
      <c r="AS595" s="320"/>
    </row>
    <row r="596" spans="1:45" ht="13.5" hidden="1" customHeight="1">
      <c r="A596" s="12"/>
      <c r="B596" s="647"/>
      <c r="C596" s="632"/>
      <c r="D596" s="632"/>
      <c r="E596" s="633"/>
      <c r="F596" s="524"/>
      <c r="G596" s="524"/>
      <c r="H596" s="362"/>
      <c r="I596" s="230"/>
      <c r="J596" s="230"/>
      <c r="K596" s="363"/>
      <c r="L596" s="364"/>
      <c r="M596" s="365"/>
      <c r="N596" s="366"/>
      <c r="O596" s="634"/>
      <c r="P596" s="368"/>
      <c r="Q596" s="369"/>
      <c r="R596" s="635"/>
      <c r="S596" s="370"/>
      <c r="T596" s="371"/>
      <c r="U596" s="372"/>
      <c r="V596" s="373"/>
      <c r="W596" s="636"/>
      <c r="X596" s="404"/>
      <c r="Y596" s="372"/>
      <c r="Z596" s="381"/>
      <c r="AA596" s="241"/>
      <c r="AB596" s="411"/>
      <c r="AC596" s="577"/>
      <c r="AD596" s="241"/>
      <c r="AE596" s="411"/>
      <c r="AF596" s="577"/>
      <c r="AG596" s="241"/>
      <c r="AH596" s="411"/>
      <c r="AI596" s="577"/>
      <c r="AJ596" s="241"/>
      <c r="AK596" s="411"/>
      <c r="AL596" s="577"/>
      <c r="AM596" s="241"/>
      <c r="AN596" s="411"/>
      <c r="AO596" s="577"/>
      <c r="AP596" s="241"/>
      <c r="AQ596" s="411"/>
      <c r="AR596" s="577"/>
    </row>
    <row r="597" spans="1:45" ht="13.5" hidden="1" customHeight="1">
      <c r="A597" s="12"/>
      <c r="B597" s="647" t="s">
        <v>1935</v>
      </c>
      <c r="C597" s="632">
        <v>15</v>
      </c>
      <c r="D597" s="632">
        <v>295</v>
      </c>
      <c r="E597" s="633"/>
      <c r="F597" s="524"/>
      <c r="G597" s="524"/>
      <c r="H597" s="362"/>
      <c r="I597" s="230"/>
      <c r="J597" s="230"/>
      <c r="K597" s="597"/>
      <c r="L597" s="451"/>
      <c r="M597" s="452"/>
      <c r="N597" s="366"/>
      <c r="O597" s="634"/>
      <c r="P597" s="368"/>
      <c r="Q597" s="369"/>
      <c r="R597" s="635"/>
      <c r="S597" s="370"/>
      <c r="T597" s="371"/>
      <c r="U597" s="372"/>
      <c r="V597" s="373"/>
      <c r="W597" s="640"/>
      <c r="X597" s="404"/>
      <c r="Y597" s="372"/>
      <c r="Z597" s="381"/>
      <c r="AA597" s="225"/>
      <c r="AB597" s="361"/>
      <c r="AC597" s="533"/>
      <c r="AD597" s="225"/>
      <c r="AE597" s="361"/>
      <c r="AF597" s="533"/>
      <c r="AG597" s="225"/>
      <c r="AH597" s="361"/>
      <c r="AI597" s="533"/>
      <c r="AJ597" s="225"/>
      <c r="AK597" s="361"/>
      <c r="AL597" s="533"/>
      <c r="AM597" s="225"/>
      <c r="AN597" s="361"/>
      <c r="AO597" s="533"/>
      <c r="AP597" s="225"/>
      <c r="AQ597" s="361"/>
      <c r="AR597" s="533"/>
      <c r="AS597" s="320"/>
    </row>
    <row r="598" spans="1:45" ht="13.5" hidden="1" customHeight="1">
      <c r="A598" s="12"/>
      <c r="B598" s="647"/>
      <c r="C598" s="632"/>
      <c r="D598" s="632"/>
      <c r="E598" s="633"/>
      <c r="F598" s="524"/>
      <c r="G598" s="524"/>
      <c r="H598" s="362"/>
      <c r="I598" s="230"/>
      <c r="J598" s="230"/>
      <c r="K598" s="412"/>
      <c r="L598" s="413"/>
      <c r="M598" s="604"/>
      <c r="N598" s="366"/>
      <c r="O598" s="634"/>
      <c r="P598" s="368"/>
      <c r="Q598" s="369"/>
      <c r="R598" s="635"/>
      <c r="S598" s="370"/>
      <c r="T598" s="371"/>
      <c r="U598" s="372"/>
      <c r="V598" s="373"/>
      <c r="W598" s="636"/>
      <c r="X598" s="404"/>
      <c r="Y598" s="372"/>
      <c r="Z598" s="381"/>
      <c r="AA598" s="241"/>
      <c r="AB598" s="411"/>
      <c r="AC598" s="577"/>
      <c r="AD598" s="241"/>
      <c r="AE598" s="411"/>
      <c r="AF598" s="577"/>
      <c r="AG598" s="241"/>
      <c r="AH598" s="411"/>
      <c r="AI598" s="577"/>
      <c r="AJ598" s="241"/>
      <c r="AK598" s="411"/>
      <c r="AL598" s="577"/>
      <c r="AM598" s="241"/>
      <c r="AN598" s="411"/>
      <c r="AO598" s="577"/>
      <c r="AP598" s="241"/>
      <c r="AQ598" s="411"/>
      <c r="AR598" s="577"/>
    </row>
    <row r="599" spans="1:45" ht="13.5" hidden="1" customHeight="1">
      <c r="A599" s="12"/>
      <c r="B599" s="647" t="s">
        <v>1935</v>
      </c>
      <c r="C599" s="632">
        <v>16</v>
      </c>
      <c r="D599" s="632">
        <v>296</v>
      </c>
      <c r="E599" s="633"/>
      <c r="F599" s="524"/>
      <c r="G599" s="524"/>
      <c r="H599" s="362"/>
      <c r="I599" s="230"/>
      <c r="J599" s="230"/>
      <c r="K599" s="412"/>
      <c r="L599" s="413"/>
      <c r="M599" s="604"/>
      <c r="N599" s="366"/>
      <c r="O599" s="634"/>
      <c r="P599" s="368"/>
      <c r="Q599" s="369"/>
      <c r="R599" s="635"/>
      <c r="S599" s="370"/>
      <c r="T599" s="371"/>
      <c r="U599" s="372"/>
      <c r="V599" s="373"/>
      <c r="W599" s="640"/>
      <c r="X599" s="404"/>
      <c r="Y599" s="372"/>
      <c r="Z599" s="381"/>
      <c r="AA599" s="225"/>
      <c r="AB599" s="361"/>
      <c r="AC599" s="533"/>
      <c r="AD599" s="225"/>
      <c r="AE599" s="361"/>
      <c r="AF599" s="533"/>
      <c r="AG599" s="225"/>
      <c r="AH599" s="361"/>
      <c r="AI599" s="533"/>
      <c r="AJ599" s="225"/>
      <c r="AK599" s="361"/>
      <c r="AL599" s="533"/>
      <c r="AM599" s="225"/>
      <c r="AN599" s="361"/>
      <c r="AO599" s="533"/>
      <c r="AP599" s="225"/>
      <c r="AQ599" s="361"/>
      <c r="AR599" s="533"/>
      <c r="AS599" s="320"/>
    </row>
    <row r="600" spans="1:45" ht="13.5" hidden="1" customHeight="1">
      <c r="A600" s="12"/>
      <c r="B600" s="647"/>
      <c r="C600" s="632"/>
      <c r="D600" s="632"/>
      <c r="E600" s="633"/>
      <c r="F600" s="524"/>
      <c r="G600" s="524"/>
      <c r="H600" s="362"/>
      <c r="I600" s="230"/>
      <c r="J600" s="230"/>
      <c r="K600" s="438"/>
      <c r="L600" s="427"/>
      <c r="M600" s="439"/>
      <c r="N600" s="366"/>
      <c r="O600" s="634"/>
      <c r="P600" s="368"/>
      <c r="Q600" s="369"/>
      <c r="R600" s="635"/>
      <c r="S600" s="370"/>
      <c r="T600" s="371"/>
      <c r="U600" s="372"/>
      <c r="V600" s="373"/>
      <c r="W600" s="636"/>
      <c r="X600" s="404"/>
      <c r="Y600" s="372"/>
      <c r="Z600" s="381"/>
      <c r="AA600" s="241"/>
      <c r="AB600" s="411"/>
      <c r="AC600" s="577"/>
      <c r="AD600" s="241"/>
      <c r="AE600" s="411"/>
      <c r="AF600" s="577"/>
      <c r="AG600" s="241"/>
      <c r="AH600" s="411"/>
      <c r="AI600" s="577"/>
      <c r="AJ600" s="241"/>
      <c r="AK600" s="411"/>
      <c r="AL600" s="577"/>
      <c r="AM600" s="241"/>
      <c r="AN600" s="411"/>
      <c r="AO600" s="577"/>
      <c r="AP600" s="241"/>
      <c r="AQ600" s="411"/>
      <c r="AR600" s="577"/>
    </row>
    <row r="601" spans="1:45" ht="13.5" hidden="1" customHeight="1">
      <c r="A601" s="12"/>
      <c r="B601" s="647" t="s">
        <v>1935</v>
      </c>
      <c r="C601" s="632">
        <v>17</v>
      </c>
      <c r="D601" s="632">
        <v>297</v>
      </c>
      <c r="E601" s="633"/>
      <c r="F601" s="524"/>
      <c r="G601" s="524"/>
      <c r="H601" s="362"/>
      <c r="I601" s="230"/>
      <c r="J601" s="230"/>
      <c r="K601" s="363"/>
      <c r="L601" s="364"/>
      <c r="M601" s="452"/>
      <c r="N601" s="409"/>
      <c r="O601" s="638"/>
      <c r="P601" s="454"/>
      <c r="Q601" s="504"/>
      <c r="R601" s="639"/>
      <c r="S601" s="650"/>
      <c r="T601" s="421"/>
      <c r="U601" s="372"/>
      <c r="V601" s="373"/>
      <c r="W601" s="640"/>
      <c r="X601" s="404"/>
      <c r="Y601" s="372"/>
      <c r="Z601" s="381"/>
      <c r="AA601" s="225"/>
      <c r="AB601" s="361"/>
      <c r="AC601" s="533"/>
      <c r="AD601" s="225"/>
      <c r="AE601" s="361"/>
      <c r="AF601" s="533"/>
      <c r="AG601" s="225"/>
      <c r="AH601" s="361"/>
      <c r="AI601" s="533"/>
      <c r="AJ601" s="225"/>
      <c r="AK601" s="361"/>
      <c r="AL601" s="533"/>
      <c r="AM601" s="225"/>
      <c r="AN601" s="361"/>
      <c r="AO601" s="533"/>
      <c r="AP601" s="225"/>
      <c r="AQ601" s="361"/>
      <c r="AR601" s="533"/>
      <c r="AS601" s="320"/>
    </row>
    <row r="602" spans="1:45" ht="13.5" hidden="1" customHeight="1">
      <c r="A602" s="12"/>
      <c r="B602" s="647"/>
      <c r="C602" s="632"/>
      <c r="D602" s="632"/>
      <c r="E602" s="633"/>
      <c r="F602" s="524"/>
      <c r="G602" s="524"/>
      <c r="H602" s="362"/>
      <c r="I602" s="230"/>
      <c r="J602" s="230"/>
      <c r="K602" s="363"/>
      <c r="L602" s="364"/>
      <c r="M602" s="604"/>
      <c r="N602" s="415"/>
      <c r="O602" s="642"/>
      <c r="P602" s="581"/>
      <c r="Q602" s="563"/>
      <c r="R602" s="643"/>
      <c r="S602" s="651"/>
      <c r="T602" s="606"/>
      <c r="U602" s="372"/>
      <c r="V602" s="373"/>
      <c r="W602" s="636"/>
      <c r="X602" s="404"/>
      <c r="Y602" s="372"/>
      <c r="Z602" s="381"/>
      <c r="AA602" s="241"/>
      <c r="AB602" s="411"/>
      <c r="AC602" s="577"/>
      <c r="AD602" s="241"/>
      <c r="AE602" s="411"/>
      <c r="AF602" s="577"/>
      <c r="AG602" s="241"/>
      <c r="AH602" s="411"/>
      <c r="AI602" s="577"/>
      <c r="AJ602" s="241"/>
      <c r="AK602" s="411"/>
      <c r="AL602" s="577"/>
      <c r="AM602" s="241"/>
      <c r="AN602" s="411"/>
      <c r="AO602" s="577"/>
      <c r="AP602" s="241"/>
      <c r="AQ602" s="411"/>
      <c r="AR602" s="577"/>
    </row>
    <row r="603" spans="1:45" ht="13.5" hidden="1" customHeight="1">
      <c r="A603" s="12"/>
      <c r="B603" s="647" t="s">
        <v>1935</v>
      </c>
      <c r="C603" s="632">
        <v>18</v>
      </c>
      <c r="D603" s="632">
        <v>298</v>
      </c>
      <c r="E603" s="633"/>
      <c r="F603" s="524"/>
      <c r="G603" s="524"/>
      <c r="H603" s="362"/>
      <c r="I603" s="230"/>
      <c r="J603" s="230"/>
      <c r="K603" s="363"/>
      <c r="L603" s="364"/>
      <c r="M603" s="604"/>
      <c r="N603" s="415"/>
      <c r="O603" s="642"/>
      <c r="P603" s="581"/>
      <c r="Q603" s="563"/>
      <c r="R603" s="643"/>
      <c r="S603" s="651"/>
      <c r="T603" s="606"/>
      <c r="U603" s="372"/>
      <c r="V603" s="373"/>
      <c r="W603" s="640"/>
      <c r="X603" s="404"/>
      <c r="Y603" s="372"/>
      <c r="Z603" s="381"/>
      <c r="AA603" s="225"/>
      <c r="AB603" s="361"/>
      <c r="AC603" s="533"/>
      <c r="AD603" s="225"/>
      <c r="AE603" s="361"/>
      <c r="AF603" s="533"/>
      <c r="AG603" s="225"/>
      <c r="AH603" s="361"/>
      <c r="AI603" s="533"/>
      <c r="AJ603" s="225"/>
      <c r="AK603" s="361"/>
      <c r="AL603" s="533"/>
      <c r="AM603" s="225"/>
      <c r="AN603" s="361"/>
      <c r="AO603" s="533"/>
      <c r="AP603" s="225"/>
      <c r="AQ603" s="361"/>
      <c r="AR603" s="533"/>
      <c r="AS603" s="320"/>
    </row>
    <row r="604" spans="1:45" ht="13.5" hidden="1" customHeight="1">
      <c r="A604" s="12"/>
      <c r="B604" s="647"/>
      <c r="C604" s="632"/>
      <c r="D604" s="632"/>
      <c r="E604" s="633"/>
      <c r="F604" s="524"/>
      <c r="G604" s="524"/>
      <c r="H604" s="362"/>
      <c r="I604" s="230"/>
      <c r="J604" s="230"/>
      <c r="K604" s="363"/>
      <c r="L604" s="364"/>
      <c r="M604" s="439"/>
      <c r="N604" s="425"/>
      <c r="O604" s="645"/>
      <c r="P604" s="429"/>
      <c r="Q604" s="442"/>
      <c r="R604" s="646"/>
      <c r="S604" s="652"/>
      <c r="T604" s="434"/>
      <c r="U604" s="372"/>
      <c r="V604" s="373"/>
      <c r="W604" s="636"/>
      <c r="X604" s="404"/>
      <c r="Y604" s="372"/>
      <c r="Z604" s="381"/>
      <c r="AA604" s="241"/>
      <c r="AB604" s="411"/>
      <c r="AC604" s="577"/>
      <c r="AD604" s="241"/>
      <c r="AE604" s="411"/>
      <c r="AF604" s="577"/>
      <c r="AG604" s="241"/>
      <c r="AH604" s="411"/>
      <c r="AI604" s="577"/>
      <c r="AJ604" s="241"/>
      <c r="AK604" s="411"/>
      <c r="AL604" s="577"/>
      <c r="AM604" s="241"/>
      <c r="AN604" s="411"/>
      <c r="AO604" s="577"/>
      <c r="AP604" s="241"/>
      <c r="AQ604" s="411"/>
      <c r="AR604" s="577"/>
    </row>
    <row r="605" spans="1:45" ht="13.5" hidden="1" customHeight="1">
      <c r="A605" s="12"/>
      <c r="B605" s="647" t="s">
        <v>1935</v>
      </c>
      <c r="C605" s="632">
        <v>19</v>
      </c>
      <c r="D605" s="632">
        <v>299</v>
      </c>
      <c r="E605" s="633"/>
      <c r="F605" s="524"/>
      <c r="G605" s="524"/>
      <c r="H605" s="362"/>
      <c r="I605" s="230"/>
      <c r="J605" s="230"/>
      <c r="K605" s="363"/>
      <c r="L605" s="364"/>
      <c r="M605" s="365"/>
      <c r="N605" s="366"/>
      <c r="O605" s="634"/>
      <c r="P605" s="368"/>
      <c r="Q605" s="369"/>
      <c r="R605" s="635"/>
      <c r="S605" s="629"/>
      <c r="T605" s="371"/>
      <c r="U605" s="372"/>
      <c r="V605" s="373"/>
      <c r="W605" s="640"/>
      <c r="X605" s="404"/>
      <c r="Y605" s="372"/>
      <c r="Z605" s="381"/>
      <c r="AA605" s="225"/>
      <c r="AB605" s="361"/>
      <c r="AC605" s="533"/>
      <c r="AD605" s="225"/>
      <c r="AE605" s="361"/>
      <c r="AF605" s="533"/>
      <c r="AG605" s="225"/>
      <c r="AH605" s="361"/>
      <c r="AI605" s="533"/>
      <c r="AJ605" s="225"/>
      <c r="AK605" s="361"/>
      <c r="AL605" s="533"/>
      <c r="AM605" s="225"/>
      <c r="AN605" s="361"/>
      <c r="AO605" s="533"/>
      <c r="AP605" s="225"/>
      <c r="AQ605" s="361"/>
      <c r="AR605" s="533"/>
      <c r="AS605" s="320"/>
    </row>
    <row r="606" spans="1:45" ht="13.5" hidden="1" customHeight="1">
      <c r="A606" s="12"/>
      <c r="B606" s="647"/>
      <c r="C606" s="632"/>
      <c r="D606" s="632"/>
      <c r="E606" s="633"/>
      <c r="F606" s="524"/>
      <c r="G606" s="524"/>
      <c r="H606" s="362"/>
      <c r="I606" s="230"/>
      <c r="J606" s="230"/>
      <c r="K606" s="363"/>
      <c r="L606" s="364"/>
      <c r="M606" s="365"/>
      <c r="N606" s="366"/>
      <c r="O606" s="634"/>
      <c r="P606" s="368"/>
      <c r="Q606" s="369"/>
      <c r="R606" s="635"/>
      <c r="S606" s="370"/>
      <c r="T606" s="371"/>
      <c r="U606" s="372"/>
      <c r="V606" s="373"/>
      <c r="W606" s="636"/>
      <c r="X606" s="404"/>
      <c r="Y606" s="372"/>
      <c r="Z606" s="381"/>
      <c r="AA606" s="241"/>
      <c r="AB606" s="411"/>
      <c r="AC606" s="577"/>
      <c r="AD606" s="241"/>
      <c r="AE606" s="411"/>
      <c r="AF606" s="577"/>
      <c r="AG606" s="241"/>
      <c r="AH606" s="411"/>
      <c r="AI606" s="577"/>
      <c r="AJ606" s="241"/>
      <c r="AK606" s="411"/>
      <c r="AL606" s="577"/>
      <c r="AM606" s="241"/>
      <c r="AN606" s="411"/>
      <c r="AO606" s="577"/>
      <c r="AP606" s="241"/>
      <c r="AQ606" s="411"/>
      <c r="AR606" s="577"/>
    </row>
    <row r="607" spans="1:45" ht="13.5" hidden="1" customHeight="1">
      <c r="A607" s="12"/>
      <c r="B607" s="647" t="s">
        <v>1935</v>
      </c>
      <c r="C607" s="632">
        <v>20</v>
      </c>
      <c r="D607" s="632">
        <v>300</v>
      </c>
      <c r="E607" s="633"/>
      <c r="F607" s="524"/>
      <c r="G607" s="524"/>
      <c r="H607" s="362"/>
      <c r="I607" s="230"/>
      <c r="J607" s="230"/>
      <c r="K607" s="363"/>
      <c r="L607" s="364"/>
      <c r="M607" s="365"/>
      <c r="N607" s="366"/>
      <c r="O607" s="634"/>
      <c r="P607" s="368"/>
      <c r="Q607" s="369"/>
      <c r="R607" s="635"/>
      <c r="S607" s="370"/>
      <c r="T607" s="371"/>
      <c r="U607" s="372"/>
      <c r="V607" s="373"/>
      <c r="W607" s="640"/>
      <c r="X607" s="404"/>
      <c r="Y607" s="372"/>
      <c r="Z607" s="381"/>
      <c r="AA607" s="225"/>
      <c r="AB607" s="361"/>
      <c r="AC607" s="533"/>
      <c r="AD607" s="225"/>
      <c r="AE607" s="361"/>
      <c r="AF607" s="533"/>
      <c r="AG607" s="225"/>
      <c r="AH607" s="361"/>
      <c r="AI607" s="533"/>
      <c r="AJ607" s="225"/>
      <c r="AK607" s="361"/>
      <c r="AL607" s="533"/>
      <c r="AM607" s="225"/>
      <c r="AN607" s="361"/>
      <c r="AO607" s="533"/>
      <c r="AP607" s="225"/>
      <c r="AQ607" s="361"/>
      <c r="AR607" s="533"/>
      <c r="AS607" s="320"/>
    </row>
    <row r="608" spans="1:45" ht="13.5" hidden="1" customHeight="1">
      <c r="A608" s="12"/>
      <c r="B608" s="647"/>
      <c r="C608" s="632"/>
      <c r="D608" s="632"/>
      <c r="E608" s="633"/>
      <c r="F608" s="524"/>
      <c r="G608" s="524"/>
      <c r="H608" s="362"/>
      <c r="I608" s="230"/>
      <c r="J608" s="230"/>
      <c r="K608" s="363"/>
      <c r="L608" s="364"/>
      <c r="M608" s="365"/>
      <c r="N608" s="366"/>
      <c r="O608" s="634"/>
      <c r="P608" s="368"/>
      <c r="Q608" s="369"/>
      <c r="R608" s="635"/>
      <c r="S608" s="370"/>
      <c r="T608" s="371"/>
      <c r="U608" s="372"/>
      <c r="V608" s="373"/>
      <c r="W608" s="636"/>
      <c r="X608" s="404"/>
      <c r="Y608" s="372"/>
      <c r="Z608" s="381"/>
      <c r="AA608" s="241"/>
      <c r="AB608" s="411"/>
      <c r="AC608" s="577"/>
      <c r="AD608" s="241"/>
      <c r="AE608" s="411"/>
      <c r="AF608" s="577"/>
      <c r="AG608" s="241"/>
      <c r="AH608" s="411"/>
      <c r="AI608" s="577"/>
      <c r="AJ608" s="241"/>
      <c r="AK608" s="411"/>
      <c r="AL608" s="577"/>
      <c r="AM608" s="241"/>
      <c r="AN608" s="411"/>
      <c r="AO608" s="577"/>
      <c r="AP608" s="241"/>
      <c r="AQ608" s="411"/>
      <c r="AR608" s="577"/>
    </row>
    <row r="609" spans="1:44" ht="15.75" hidden="1" customHeight="1">
      <c r="A609" s="309"/>
      <c r="B609" s="647" t="s">
        <v>1935</v>
      </c>
      <c r="C609" s="632">
        <v>25</v>
      </c>
      <c r="D609" s="632">
        <v>305</v>
      </c>
      <c r="E609" s="633"/>
      <c r="F609" s="524"/>
      <c r="G609" s="524"/>
      <c r="H609" s="362"/>
      <c r="I609" s="230"/>
      <c r="J609" s="230"/>
      <c r="K609" s="363"/>
      <c r="L609" s="364"/>
      <c r="M609" s="365"/>
      <c r="N609" s="630"/>
      <c r="O609" s="634"/>
      <c r="P609" s="368"/>
      <c r="Q609" s="369"/>
      <c r="R609" s="635"/>
      <c r="S609" s="370"/>
      <c r="T609" s="371"/>
      <c r="U609" s="372"/>
      <c r="V609" s="373"/>
      <c r="W609" s="640"/>
      <c r="X609" s="404"/>
      <c r="Y609" s="372"/>
      <c r="Z609" s="381"/>
      <c r="AA609" s="225"/>
      <c r="AB609" s="361"/>
      <c r="AC609" s="533"/>
      <c r="AD609" s="225"/>
      <c r="AE609" s="361"/>
      <c r="AF609" s="533"/>
      <c r="AG609" s="225"/>
      <c r="AH609" s="361"/>
      <c r="AI609" s="533"/>
      <c r="AJ609" s="225"/>
      <c r="AK609" s="361"/>
      <c r="AL609" s="533"/>
      <c r="AM609" s="225"/>
      <c r="AN609" s="361"/>
      <c r="AO609" s="533"/>
      <c r="AP609" s="225"/>
      <c r="AQ609" s="361"/>
      <c r="AR609" s="533"/>
    </row>
    <row r="610" spans="1:44" ht="15.75" hidden="1" customHeight="1">
      <c r="A610" s="309"/>
      <c r="B610" s="647"/>
      <c r="C610" s="632"/>
      <c r="D610" s="632"/>
      <c r="E610" s="633"/>
      <c r="F610" s="524"/>
      <c r="G610" s="524"/>
      <c r="H610" s="362"/>
      <c r="I610" s="230"/>
      <c r="J610" s="230"/>
      <c r="K610" s="363"/>
      <c r="L610" s="364"/>
      <c r="M610" s="365"/>
      <c r="N610" s="630"/>
      <c r="O610" s="634"/>
      <c r="P610" s="368"/>
      <c r="Q610" s="369"/>
      <c r="R610" s="635"/>
      <c r="S610" s="370"/>
      <c r="T610" s="371"/>
      <c r="U610" s="372"/>
      <c r="V610" s="373"/>
      <c r="W610" s="636"/>
      <c r="X610" s="404"/>
      <c r="Y610" s="372"/>
      <c r="Z610" s="381"/>
      <c r="AA610" s="241"/>
      <c r="AB610" s="411"/>
      <c r="AC610" s="577"/>
      <c r="AD610" s="241"/>
      <c r="AE610" s="411"/>
      <c r="AF610" s="577"/>
      <c r="AG610" s="241"/>
      <c r="AH610" s="411"/>
      <c r="AI610" s="577"/>
      <c r="AJ610" s="241"/>
      <c r="AK610" s="411"/>
      <c r="AL610" s="577"/>
      <c r="AM610" s="241"/>
      <c r="AN610" s="411"/>
      <c r="AO610" s="577"/>
      <c r="AP610" s="241"/>
      <c r="AQ610" s="411"/>
      <c r="AR610" s="577"/>
    </row>
    <row r="611" spans="1:44" ht="13.5" hidden="1" customHeight="1">
      <c r="A611" s="202"/>
      <c r="B611" s="647" t="s">
        <v>1935</v>
      </c>
      <c r="C611" s="632">
        <v>22</v>
      </c>
      <c r="D611" s="632">
        <v>302</v>
      </c>
      <c r="E611" s="633"/>
      <c r="F611" s="524"/>
      <c r="G611" s="524"/>
      <c r="H611" s="362"/>
      <c r="I611" s="230"/>
      <c r="J611" s="230"/>
      <c r="K611" s="363"/>
      <c r="L611" s="364"/>
      <c r="M611" s="365"/>
      <c r="N611" s="630"/>
      <c r="O611" s="634"/>
      <c r="P611" s="368"/>
      <c r="Q611" s="369"/>
      <c r="R611" s="635"/>
      <c r="S611" s="370"/>
      <c r="T611" s="371"/>
      <c r="U611" s="372"/>
      <c r="V611" s="373"/>
      <c r="W611" s="640"/>
      <c r="X611" s="404"/>
      <c r="Y611" s="372"/>
      <c r="Z611" s="381"/>
      <c r="AA611" s="225"/>
      <c r="AB611" s="361"/>
      <c r="AC611" s="533"/>
      <c r="AD611" s="225"/>
      <c r="AE611" s="361"/>
      <c r="AF611" s="533"/>
      <c r="AG611" s="225"/>
      <c r="AH611" s="361"/>
      <c r="AI611" s="533"/>
      <c r="AJ611" s="225"/>
      <c r="AK611" s="361"/>
      <c r="AL611" s="533"/>
      <c r="AM611" s="225"/>
      <c r="AN611" s="361"/>
      <c r="AO611" s="533"/>
      <c r="AP611" s="225"/>
      <c r="AQ611" s="361"/>
      <c r="AR611" s="533"/>
    </row>
    <row r="612" spans="1:44" ht="13.5" hidden="1" customHeight="1">
      <c r="A612" s="202"/>
      <c r="B612" s="647"/>
      <c r="C612" s="632"/>
      <c r="D612" s="632"/>
      <c r="E612" s="633"/>
      <c r="F612" s="524"/>
      <c r="G612" s="524"/>
      <c r="H612" s="362"/>
      <c r="I612" s="230"/>
      <c r="J612" s="230"/>
      <c r="K612" s="363"/>
      <c r="L612" s="364"/>
      <c r="M612" s="365"/>
      <c r="N612" s="630"/>
      <c r="O612" s="634"/>
      <c r="P612" s="368"/>
      <c r="Q612" s="369"/>
      <c r="R612" s="635"/>
      <c r="S612" s="370"/>
      <c r="T612" s="371"/>
      <c r="U612" s="372"/>
      <c r="V612" s="373"/>
      <c r="W612" s="636"/>
      <c r="X612" s="404"/>
      <c r="Y612" s="372"/>
      <c r="Z612" s="381"/>
      <c r="AA612" s="241"/>
      <c r="AB612" s="411"/>
      <c r="AC612" s="577"/>
      <c r="AD612" s="241"/>
      <c r="AE612" s="411"/>
      <c r="AF612" s="577"/>
      <c r="AG612" s="241"/>
      <c r="AH612" s="411"/>
      <c r="AI612" s="577"/>
      <c r="AJ612" s="241"/>
      <c r="AK612" s="411"/>
      <c r="AL612" s="577"/>
      <c r="AM612" s="241"/>
      <c r="AN612" s="411"/>
      <c r="AO612" s="577"/>
      <c r="AP612" s="241"/>
      <c r="AQ612" s="411"/>
      <c r="AR612" s="577"/>
    </row>
    <row r="613" spans="1:44" ht="13.5" hidden="1" customHeight="1">
      <c r="A613" s="202"/>
      <c r="B613" s="647" t="s">
        <v>1935</v>
      </c>
      <c r="C613" s="632">
        <v>21</v>
      </c>
      <c r="D613" s="632">
        <v>301</v>
      </c>
      <c r="E613" s="633"/>
      <c r="F613" s="524"/>
      <c r="G613" s="524"/>
      <c r="H613" s="362"/>
      <c r="I613" s="230"/>
      <c r="J613" s="230"/>
      <c r="K613" s="363"/>
      <c r="L613" s="364"/>
      <c r="M613" s="365"/>
      <c r="N613" s="366"/>
      <c r="O613" s="634"/>
      <c r="P613" s="368"/>
      <c r="Q613" s="369"/>
      <c r="R613" s="635"/>
      <c r="S613" s="629"/>
      <c r="T613" s="371"/>
      <c r="U613" s="372"/>
      <c r="V613" s="373"/>
      <c r="W613" s="640"/>
      <c r="X613" s="404"/>
      <c r="Y613" s="372"/>
      <c r="Z613" s="381"/>
      <c r="AA613" s="225"/>
      <c r="AB613" s="361"/>
      <c r="AC613" s="533"/>
      <c r="AD613" s="225"/>
      <c r="AE613" s="361"/>
      <c r="AF613" s="533"/>
      <c r="AG613" s="225"/>
      <c r="AH613" s="361"/>
      <c r="AI613" s="533"/>
      <c r="AJ613" s="225"/>
      <c r="AK613" s="361"/>
      <c r="AL613" s="533"/>
      <c r="AM613" s="225"/>
      <c r="AN613" s="361"/>
      <c r="AO613" s="533"/>
      <c r="AP613" s="225"/>
      <c r="AQ613" s="361"/>
      <c r="AR613" s="533"/>
    </row>
    <row r="614" spans="1:44" ht="13.5" hidden="1" customHeight="1">
      <c r="A614" s="202"/>
      <c r="B614" s="647"/>
      <c r="C614" s="632"/>
      <c r="D614" s="632"/>
      <c r="E614" s="633"/>
      <c r="F614" s="524"/>
      <c r="G614" s="524"/>
      <c r="H614" s="362"/>
      <c r="I614" s="230"/>
      <c r="J614" s="230"/>
      <c r="K614" s="363"/>
      <c r="L614" s="364"/>
      <c r="M614" s="365"/>
      <c r="N614" s="366"/>
      <c r="O614" s="634"/>
      <c r="P614" s="368"/>
      <c r="Q614" s="369"/>
      <c r="R614" s="635"/>
      <c r="S614" s="370"/>
      <c r="T614" s="371"/>
      <c r="U614" s="372"/>
      <c r="V614" s="373"/>
      <c r="W614" s="636"/>
      <c r="X614" s="404"/>
      <c r="Y614" s="372"/>
      <c r="Z614" s="381"/>
      <c r="AA614" s="241"/>
      <c r="AB614" s="411"/>
      <c r="AC614" s="577"/>
      <c r="AD614" s="241"/>
      <c r="AE614" s="411"/>
      <c r="AF614" s="577"/>
      <c r="AG614" s="241"/>
      <c r="AH614" s="411"/>
      <c r="AI614" s="577"/>
      <c r="AJ614" s="241"/>
      <c r="AK614" s="411"/>
      <c r="AL614" s="577"/>
      <c r="AM614" s="241"/>
      <c r="AN614" s="411"/>
      <c r="AO614" s="577"/>
      <c r="AP614" s="241"/>
      <c r="AQ614" s="411"/>
      <c r="AR614" s="577"/>
    </row>
    <row r="615" spans="1:44" ht="13.5" hidden="1" customHeight="1">
      <c r="A615" s="202"/>
      <c r="B615" s="647" t="s">
        <v>1935</v>
      </c>
      <c r="C615" s="632">
        <v>23</v>
      </c>
      <c r="D615" s="632">
        <v>303</v>
      </c>
      <c r="E615" s="633"/>
      <c r="F615" s="524"/>
      <c r="G615" s="524"/>
      <c r="H615" s="362"/>
      <c r="I615" s="230"/>
      <c r="J615" s="230"/>
      <c r="K615" s="363"/>
      <c r="L615" s="364"/>
      <c r="M615" s="365"/>
      <c r="N615" s="630"/>
      <c r="O615" s="634"/>
      <c r="P615" s="368"/>
      <c r="Q615" s="369"/>
      <c r="R615" s="635"/>
      <c r="S615" s="629"/>
      <c r="T615" s="371"/>
      <c r="U615" s="372"/>
      <c r="V615" s="373"/>
      <c r="W615" s="640"/>
      <c r="X615" s="404"/>
      <c r="Y615" s="372"/>
      <c r="Z615" s="381"/>
      <c r="AA615" s="225"/>
      <c r="AB615" s="361"/>
      <c r="AC615" s="533"/>
      <c r="AD615" s="225"/>
      <c r="AE615" s="361"/>
      <c r="AF615" s="533"/>
      <c r="AG615" s="225"/>
      <c r="AH615" s="361"/>
      <c r="AI615" s="533"/>
      <c r="AJ615" s="225"/>
      <c r="AK615" s="361"/>
      <c r="AL615" s="533"/>
      <c r="AM615" s="225"/>
      <c r="AN615" s="361"/>
      <c r="AO615" s="533"/>
      <c r="AP615" s="225"/>
      <c r="AQ615" s="361"/>
      <c r="AR615" s="533"/>
    </row>
    <row r="616" spans="1:44" ht="13.5" hidden="1" customHeight="1">
      <c r="A616" s="202"/>
      <c r="B616" s="647"/>
      <c r="C616" s="632"/>
      <c r="D616" s="632"/>
      <c r="E616" s="633"/>
      <c r="F616" s="524"/>
      <c r="G616" s="524"/>
      <c r="H616" s="362"/>
      <c r="I616" s="230"/>
      <c r="J616" s="230"/>
      <c r="K616" s="363"/>
      <c r="L616" s="364"/>
      <c r="M616" s="365"/>
      <c r="N616" s="630"/>
      <c r="O616" s="634"/>
      <c r="P616" s="368"/>
      <c r="Q616" s="369"/>
      <c r="R616" s="635"/>
      <c r="S616" s="370"/>
      <c r="T616" s="371"/>
      <c r="U616" s="372"/>
      <c r="V616" s="373"/>
      <c r="W616" s="636"/>
      <c r="X616" s="404"/>
      <c r="Y616" s="372"/>
      <c r="Z616" s="381"/>
      <c r="AA616" s="241"/>
      <c r="AB616" s="411"/>
      <c r="AC616" s="577"/>
      <c r="AD616" s="241"/>
      <c r="AE616" s="411"/>
      <c r="AF616" s="577"/>
      <c r="AG616" s="241"/>
      <c r="AH616" s="411"/>
      <c r="AI616" s="577"/>
      <c r="AJ616" s="241"/>
      <c r="AK616" s="411"/>
      <c r="AL616" s="577"/>
      <c r="AM616" s="241"/>
      <c r="AN616" s="411"/>
      <c r="AO616" s="577"/>
      <c r="AP616" s="241"/>
      <c r="AQ616" s="411"/>
      <c r="AR616" s="577"/>
    </row>
    <row r="617" spans="1:44" ht="13.5" hidden="1" customHeight="1">
      <c r="A617" s="202"/>
      <c r="B617" s="647" t="s">
        <v>1935</v>
      </c>
      <c r="C617" s="632">
        <v>24</v>
      </c>
      <c r="D617" s="632">
        <v>304</v>
      </c>
      <c r="E617" s="633"/>
      <c r="F617" s="524"/>
      <c r="G617" s="524"/>
      <c r="H617" s="362"/>
      <c r="I617" s="230"/>
      <c r="J617" s="230"/>
      <c r="K617" s="363"/>
      <c r="L617" s="364"/>
      <c r="M617" s="365"/>
      <c r="N617" s="366"/>
      <c r="O617" s="634"/>
      <c r="P617" s="368"/>
      <c r="Q617" s="369"/>
      <c r="R617" s="635"/>
      <c r="S617" s="370"/>
      <c r="T617" s="371"/>
      <c r="U617" s="372"/>
      <c r="V617" s="373"/>
      <c r="W617" s="640"/>
      <c r="X617" s="404"/>
      <c r="Y617" s="372"/>
      <c r="Z617" s="381"/>
      <c r="AA617" s="225"/>
      <c r="AB617" s="361"/>
      <c r="AC617" s="533"/>
      <c r="AD617" s="225"/>
      <c r="AE617" s="361"/>
      <c r="AF617" s="533"/>
      <c r="AG617" s="225"/>
      <c r="AH617" s="361"/>
      <c r="AI617" s="533"/>
      <c r="AJ617" s="225"/>
      <c r="AK617" s="361"/>
      <c r="AL617" s="533"/>
      <c r="AM617" s="225"/>
      <c r="AN617" s="361"/>
      <c r="AO617" s="533"/>
      <c r="AP617" s="225"/>
      <c r="AQ617" s="361"/>
      <c r="AR617" s="533"/>
    </row>
    <row r="618" spans="1:44" ht="13.5" hidden="1" customHeight="1">
      <c r="A618" s="202"/>
      <c r="B618" s="647"/>
      <c r="C618" s="632"/>
      <c r="D618" s="632"/>
      <c r="E618" s="633"/>
      <c r="F618" s="524"/>
      <c r="G618" s="524"/>
      <c r="H618" s="362"/>
      <c r="I618" s="230"/>
      <c r="J618" s="230"/>
      <c r="K618" s="363"/>
      <c r="L618" s="364"/>
      <c r="M618" s="365"/>
      <c r="N618" s="366"/>
      <c r="O618" s="634"/>
      <c r="P618" s="368"/>
      <c r="Q618" s="369"/>
      <c r="R618" s="635"/>
      <c r="S618" s="370"/>
      <c r="T618" s="371"/>
      <c r="U618" s="372"/>
      <c r="V618" s="373"/>
      <c r="W618" s="636"/>
      <c r="X618" s="404"/>
      <c r="Y618" s="372"/>
      <c r="Z618" s="381"/>
      <c r="AA618" s="241"/>
      <c r="AB618" s="411"/>
      <c r="AC618" s="577"/>
      <c r="AD618" s="241"/>
      <c r="AE618" s="411"/>
      <c r="AF618" s="577"/>
      <c r="AG618" s="241"/>
      <c r="AH618" s="411"/>
      <c r="AI618" s="577"/>
      <c r="AJ618" s="241"/>
      <c r="AK618" s="411"/>
      <c r="AL618" s="577"/>
      <c r="AM618" s="241"/>
      <c r="AN618" s="411"/>
      <c r="AO618" s="577"/>
      <c r="AP618" s="241"/>
      <c r="AQ618" s="411"/>
      <c r="AR618" s="577"/>
    </row>
    <row r="619" spans="1:44" ht="15.75" hidden="1" customHeight="1">
      <c r="A619" s="309"/>
      <c r="B619" s="647" t="s">
        <v>1935</v>
      </c>
      <c r="C619" s="632">
        <v>26</v>
      </c>
      <c r="D619" s="632">
        <v>306</v>
      </c>
      <c r="E619" s="633"/>
      <c r="F619" s="524"/>
      <c r="G619" s="524"/>
      <c r="H619" s="362"/>
      <c r="I619" s="230"/>
      <c r="J619" s="230"/>
      <c r="K619" s="363"/>
      <c r="L619" s="364"/>
      <c r="M619" s="365"/>
      <c r="N619" s="366"/>
      <c r="O619" s="634"/>
      <c r="P619" s="368"/>
      <c r="Q619" s="369"/>
      <c r="R619" s="635"/>
      <c r="S619" s="370"/>
      <c r="T619" s="371"/>
      <c r="U619" s="372"/>
      <c r="V619" s="373"/>
      <c r="W619" s="640"/>
      <c r="X619" s="404"/>
      <c r="Y619" s="372"/>
      <c r="Z619" s="381"/>
      <c r="AA619" s="225"/>
      <c r="AB619" s="361"/>
      <c r="AC619" s="533"/>
      <c r="AD619" s="225"/>
      <c r="AE619" s="361"/>
      <c r="AF619" s="533"/>
      <c r="AG619" s="225"/>
      <c r="AH619" s="361"/>
      <c r="AI619" s="533"/>
      <c r="AJ619" s="225"/>
      <c r="AK619" s="361"/>
      <c r="AL619" s="533"/>
      <c r="AM619" s="225"/>
      <c r="AN619" s="361"/>
      <c r="AO619" s="533"/>
      <c r="AP619" s="225"/>
      <c r="AQ619" s="361"/>
      <c r="AR619" s="533"/>
    </row>
    <row r="620" spans="1:44" ht="15.75" hidden="1" customHeight="1">
      <c r="A620" s="309"/>
      <c r="B620" s="647"/>
      <c r="C620" s="632"/>
      <c r="D620" s="632"/>
      <c r="E620" s="633"/>
      <c r="F620" s="524"/>
      <c r="G620" s="524"/>
      <c r="H620" s="362"/>
      <c r="I620" s="230"/>
      <c r="J620" s="230"/>
      <c r="K620" s="363"/>
      <c r="L620" s="364"/>
      <c r="M620" s="365"/>
      <c r="N620" s="366"/>
      <c r="O620" s="634"/>
      <c r="P620" s="368"/>
      <c r="Q620" s="369"/>
      <c r="R620" s="635"/>
      <c r="S620" s="370"/>
      <c r="T620" s="371"/>
      <c r="U620" s="372"/>
      <c r="V620" s="373"/>
      <c r="W620" s="636"/>
      <c r="X620" s="404"/>
      <c r="Y620" s="372"/>
      <c r="Z620" s="381"/>
      <c r="AA620" s="241"/>
      <c r="AB620" s="411"/>
      <c r="AC620" s="577"/>
      <c r="AD620" s="241"/>
      <c r="AE620" s="411"/>
      <c r="AF620" s="577"/>
      <c r="AG620" s="241"/>
      <c r="AH620" s="411"/>
      <c r="AI620" s="577"/>
      <c r="AJ620" s="241"/>
      <c r="AK620" s="411"/>
      <c r="AL620" s="577"/>
      <c r="AM620" s="241"/>
      <c r="AN620" s="411"/>
      <c r="AO620" s="577"/>
      <c r="AP620" s="241"/>
      <c r="AQ620" s="411"/>
      <c r="AR620" s="577"/>
    </row>
    <row r="621" spans="1:44" ht="15.75" hidden="1" customHeight="1">
      <c r="A621" s="309"/>
      <c r="B621" s="647" t="s">
        <v>1935</v>
      </c>
      <c r="C621" s="632">
        <v>27</v>
      </c>
      <c r="D621" s="632">
        <v>307</v>
      </c>
      <c r="E621" s="633"/>
      <c r="F621" s="524"/>
      <c r="G621" s="524"/>
      <c r="H621" s="362"/>
      <c r="I621" s="230"/>
      <c r="J621" s="230"/>
      <c r="K621" s="363"/>
      <c r="L621" s="364"/>
      <c r="M621" s="365"/>
      <c r="N621" s="630"/>
      <c r="O621" s="634"/>
      <c r="P621" s="368"/>
      <c r="Q621" s="369"/>
      <c r="R621" s="635"/>
      <c r="S621" s="629"/>
      <c r="T621" s="371"/>
      <c r="U621" s="372"/>
      <c r="V621" s="373"/>
      <c r="W621" s="640"/>
      <c r="X621" s="404"/>
      <c r="Y621" s="372"/>
      <c r="Z621" s="381"/>
      <c r="AA621" s="225"/>
      <c r="AB621" s="361"/>
      <c r="AC621" s="533"/>
      <c r="AD621" s="225"/>
      <c r="AE621" s="361"/>
      <c r="AF621" s="533"/>
      <c r="AG621" s="225"/>
      <c r="AH621" s="361"/>
      <c r="AI621" s="533"/>
      <c r="AJ621" s="225"/>
      <c r="AK621" s="361"/>
      <c r="AL621" s="533"/>
      <c r="AM621" s="225"/>
      <c r="AN621" s="361"/>
      <c r="AO621" s="533"/>
      <c r="AP621" s="225"/>
      <c r="AQ621" s="361"/>
      <c r="AR621" s="533"/>
    </row>
    <row r="622" spans="1:44" ht="15.75" hidden="1" customHeight="1">
      <c r="A622" s="309"/>
      <c r="B622" s="647"/>
      <c r="C622" s="632"/>
      <c r="D622" s="632"/>
      <c r="E622" s="633"/>
      <c r="F622" s="524"/>
      <c r="G622" s="524"/>
      <c r="H622" s="362"/>
      <c r="I622" s="230"/>
      <c r="J622" s="230"/>
      <c r="K622" s="363"/>
      <c r="L622" s="364"/>
      <c r="M622" s="365"/>
      <c r="N622" s="630"/>
      <c r="O622" s="634"/>
      <c r="P622" s="368"/>
      <c r="Q622" s="369"/>
      <c r="R622" s="635"/>
      <c r="S622" s="370"/>
      <c r="T622" s="371"/>
      <c r="U622" s="372"/>
      <c r="V622" s="373"/>
      <c r="W622" s="636"/>
      <c r="X622" s="404"/>
      <c r="Y622" s="372"/>
      <c r="Z622" s="381"/>
      <c r="AA622" s="241"/>
      <c r="AB622" s="411"/>
      <c r="AC622" s="577"/>
      <c r="AD622" s="241"/>
      <c r="AE622" s="411"/>
      <c r="AF622" s="577"/>
      <c r="AG622" s="241"/>
      <c r="AH622" s="411"/>
      <c r="AI622" s="577"/>
      <c r="AJ622" s="241"/>
      <c r="AK622" s="411"/>
      <c r="AL622" s="577"/>
      <c r="AM622" s="241"/>
      <c r="AN622" s="411"/>
      <c r="AO622" s="577"/>
      <c r="AP622" s="241"/>
      <c r="AQ622" s="411"/>
      <c r="AR622" s="577"/>
    </row>
    <row r="623" spans="1:44" ht="15.75" hidden="1" customHeight="1">
      <c r="A623" s="309"/>
      <c r="B623" s="647" t="s">
        <v>1935</v>
      </c>
      <c r="C623" s="632">
        <v>28</v>
      </c>
      <c r="D623" s="632">
        <v>308</v>
      </c>
      <c r="E623" s="633"/>
      <c r="F623" s="524"/>
      <c r="G623" s="524"/>
      <c r="H623" s="362"/>
      <c r="I623" s="230"/>
      <c r="J623" s="230"/>
      <c r="K623" s="363"/>
      <c r="L623" s="364"/>
      <c r="M623" s="365"/>
      <c r="N623" s="366"/>
      <c r="O623" s="634"/>
      <c r="P623" s="454"/>
      <c r="Q623" s="504"/>
      <c r="R623" s="639"/>
      <c r="S623" s="420"/>
      <c r="T623" s="421"/>
      <c r="U623" s="387"/>
      <c r="V623" s="648"/>
      <c r="W623" s="640"/>
      <c r="X623" s="404"/>
      <c r="Y623" s="372"/>
      <c r="Z623" s="381"/>
      <c r="AA623" s="225"/>
      <c r="AB623" s="361"/>
      <c r="AC623" s="533"/>
      <c r="AD623" s="225"/>
      <c r="AE623" s="361"/>
      <c r="AF623" s="533"/>
      <c r="AG623" s="225"/>
      <c r="AH623" s="361"/>
      <c r="AI623" s="533"/>
      <c r="AJ623" s="225"/>
      <c r="AK623" s="361"/>
      <c r="AL623" s="533"/>
      <c r="AM623" s="225"/>
      <c r="AN623" s="361"/>
      <c r="AO623" s="533"/>
      <c r="AP623" s="225"/>
      <c r="AQ623" s="361"/>
      <c r="AR623" s="533"/>
    </row>
    <row r="624" spans="1:44" ht="15.75" hidden="1" customHeight="1">
      <c r="A624" s="309"/>
      <c r="B624" s="647"/>
      <c r="C624" s="632"/>
      <c r="D624" s="632"/>
      <c r="E624" s="633"/>
      <c r="F624" s="524"/>
      <c r="G624" s="524"/>
      <c r="H624" s="362"/>
      <c r="I624" s="230"/>
      <c r="J624" s="230"/>
      <c r="K624" s="363"/>
      <c r="L624" s="364"/>
      <c r="M624" s="365"/>
      <c r="N624" s="366"/>
      <c r="O624" s="634"/>
      <c r="P624" s="429"/>
      <c r="Q624" s="442"/>
      <c r="R624" s="646"/>
      <c r="S624" s="433"/>
      <c r="T624" s="434"/>
      <c r="U624" s="376"/>
      <c r="V624" s="649"/>
      <c r="W624" s="636"/>
      <c r="X624" s="404"/>
      <c r="Y624" s="372"/>
      <c r="Z624" s="381"/>
      <c r="AA624" s="241"/>
      <c r="AB624" s="411"/>
      <c r="AC624" s="577"/>
      <c r="AD624" s="241"/>
      <c r="AE624" s="411"/>
      <c r="AF624" s="577"/>
      <c r="AG624" s="241"/>
      <c r="AH624" s="411"/>
      <c r="AI624" s="577"/>
      <c r="AJ624" s="241"/>
      <c r="AK624" s="411"/>
      <c r="AL624" s="577"/>
      <c r="AM624" s="241"/>
      <c r="AN624" s="411"/>
      <c r="AO624" s="577"/>
      <c r="AP624" s="241"/>
      <c r="AQ624" s="411"/>
      <c r="AR624" s="577"/>
    </row>
    <row r="625" spans="1:44" ht="15.75" hidden="1" customHeight="1">
      <c r="A625" s="309"/>
      <c r="B625" s="647" t="s">
        <v>1935</v>
      </c>
      <c r="C625" s="632">
        <v>29</v>
      </c>
      <c r="D625" s="632">
        <v>309</v>
      </c>
      <c r="E625" s="633"/>
      <c r="F625" s="524"/>
      <c r="G625" s="524"/>
      <c r="H625" s="362"/>
      <c r="I625" s="230"/>
      <c r="J625" s="230"/>
      <c r="K625" s="363"/>
      <c r="L625" s="364"/>
      <c r="M625" s="365"/>
      <c r="N625" s="366"/>
      <c r="O625" s="634"/>
      <c r="P625" s="454"/>
      <c r="Q625" s="675"/>
      <c r="R625" s="639"/>
      <c r="S625" s="420"/>
      <c r="T625" s="421"/>
      <c r="U625" s="387"/>
      <c r="V625" s="648"/>
      <c r="W625" s="640"/>
      <c r="X625" s="404"/>
      <c r="Y625" s="372"/>
      <c r="Z625" s="381"/>
      <c r="AA625" s="225"/>
      <c r="AB625" s="361"/>
      <c r="AC625" s="533"/>
      <c r="AD625" s="225"/>
      <c r="AE625" s="361"/>
      <c r="AF625" s="533"/>
      <c r="AG625" s="225"/>
      <c r="AH625" s="361"/>
      <c r="AI625" s="533"/>
      <c r="AJ625" s="225"/>
      <c r="AK625" s="361"/>
      <c r="AL625" s="533"/>
      <c r="AM625" s="225"/>
      <c r="AN625" s="361"/>
      <c r="AO625" s="533"/>
      <c r="AP625" s="225"/>
      <c r="AQ625" s="361"/>
      <c r="AR625" s="533"/>
    </row>
    <row r="626" spans="1:44" ht="15.75" hidden="1" customHeight="1">
      <c r="A626" s="309"/>
      <c r="B626" s="647"/>
      <c r="C626" s="632"/>
      <c r="D626" s="632"/>
      <c r="E626" s="633"/>
      <c r="F626" s="524"/>
      <c r="G626" s="524"/>
      <c r="H626" s="362"/>
      <c r="I626" s="230"/>
      <c r="J626" s="230"/>
      <c r="K626" s="363"/>
      <c r="L626" s="364"/>
      <c r="M626" s="365"/>
      <c r="N626" s="366"/>
      <c r="O626" s="634"/>
      <c r="P626" s="429"/>
      <c r="Q626" s="676"/>
      <c r="R626" s="646"/>
      <c r="S626" s="433"/>
      <c r="T626" s="434"/>
      <c r="U626" s="376"/>
      <c r="V626" s="649"/>
      <c r="W626" s="636"/>
      <c r="X626" s="404"/>
      <c r="Y626" s="372"/>
      <c r="Z626" s="381"/>
      <c r="AA626" s="241"/>
      <c r="AB626" s="411"/>
      <c r="AC626" s="577"/>
      <c r="AD626" s="241"/>
      <c r="AE626" s="411"/>
      <c r="AF626" s="577"/>
      <c r="AG626" s="241"/>
      <c r="AH626" s="411"/>
      <c r="AI626" s="577"/>
      <c r="AJ626" s="241"/>
      <c r="AK626" s="411"/>
      <c r="AL626" s="577"/>
      <c r="AM626" s="241"/>
      <c r="AN626" s="411"/>
      <c r="AO626" s="577"/>
      <c r="AP626" s="241"/>
      <c r="AQ626" s="411"/>
      <c r="AR626" s="577"/>
    </row>
    <row r="627" spans="1:44" ht="15.75" hidden="1" customHeight="1">
      <c r="A627" s="309"/>
      <c r="B627" s="647" t="s">
        <v>1935</v>
      </c>
      <c r="C627" s="632">
        <v>30</v>
      </c>
      <c r="D627" s="632">
        <v>310</v>
      </c>
      <c r="E627" s="633"/>
      <c r="F627" s="524"/>
      <c r="G627" s="524"/>
      <c r="H627" s="362"/>
      <c r="I627" s="230"/>
      <c r="J627" s="230"/>
      <c r="K627" s="597"/>
      <c r="L627" s="451"/>
      <c r="M627" s="452"/>
      <c r="N627" s="637"/>
      <c r="O627" s="638"/>
      <c r="P627" s="454"/>
      <c r="Q627" s="504"/>
      <c r="R627" s="639"/>
      <c r="S627" s="420"/>
      <c r="T627" s="421"/>
      <c r="U627" s="387"/>
      <c r="V627" s="648"/>
      <c r="W627" s="640"/>
      <c r="X627" s="404"/>
      <c r="Y627" s="372"/>
      <c r="Z627" s="381"/>
      <c r="AA627" s="225"/>
      <c r="AB627" s="361"/>
      <c r="AC627" s="533"/>
      <c r="AD627" s="225"/>
      <c r="AE627" s="361"/>
      <c r="AF627" s="533"/>
      <c r="AG627" s="225"/>
      <c r="AH627" s="361"/>
      <c r="AI627" s="533"/>
      <c r="AJ627" s="225"/>
      <c r="AK627" s="361"/>
      <c r="AL627" s="533"/>
      <c r="AM627" s="225"/>
      <c r="AN627" s="361"/>
      <c r="AO627" s="533"/>
      <c r="AP627" s="225"/>
      <c r="AQ627" s="361"/>
      <c r="AR627" s="533"/>
    </row>
    <row r="628" spans="1:44" ht="15.75" hidden="1" customHeight="1">
      <c r="A628" s="309"/>
      <c r="B628" s="647"/>
      <c r="C628" s="632"/>
      <c r="D628" s="632"/>
      <c r="E628" s="633"/>
      <c r="F628" s="524"/>
      <c r="G628" s="524"/>
      <c r="H628" s="362"/>
      <c r="I628" s="230"/>
      <c r="J628" s="230"/>
      <c r="K628" s="412"/>
      <c r="L628" s="413"/>
      <c r="M628" s="604"/>
      <c r="N628" s="641"/>
      <c r="O628" s="642"/>
      <c r="P628" s="581"/>
      <c r="Q628" s="563"/>
      <c r="R628" s="646"/>
      <c r="S628" s="433"/>
      <c r="T628" s="434"/>
      <c r="U628" s="376"/>
      <c r="V628" s="649"/>
      <c r="W628" s="636"/>
      <c r="X628" s="404"/>
      <c r="Y628" s="372"/>
      <c r="Z628" s="381"/>
      <c r="AA628" s="241"/>
      <c r="AB628" s="411"/>
      <c r="AC628" s="577"/>
      <c r="AD628" s="241"/>
      <c r="AE628" s="411"/>
      <c r="AF628" s="577"/>
      <c r="AG628" s="241"/>
      <c r="AH628" s="411"/>
      <c r="AI628" s="577"/>
      <c r="AJ628" s="241"/>
      <c r="AK628" s="411"/>
      <c r="AL628" s="577"/>
      <c r="AM628" s="241"/>
      <c r="AN628" s="411"/>
      <c r="AO628" s="577"/>
      <c r="AP628" s="241"/>
      <c r="AQ628" s="411"/>
      <c r="AR628" s="577"/>
    </row>
    <row r="629" spans="1:44" ht="15.75" hidden="1" customHeight="1">
      <c r="A629" s="309"/>
      <c r="B629" s="656" t="s">
        <v>2548</v>
      </c>
      <c r="C629" s="632">
        <v>1</v>
      </c>
      <c r="D629" s="632">
        <v>311</v>
      </c>
      <c r="E629" s="633"/>
      <c r="F629" s="524"/>
      <c r="G629" s="524"/>
      <c r="H629" s="362"/>
      <c r="I629" s="230"/>
      <c r="J629" s="230"/>
      <c r="K629" s="412"/>
      <c r="L629" s="413"/>
      <c r="M629" s="604"/>
      <c r="N629" s="641"/>
      <c r="O629" s="642"/>
      <c r="P629" s="581"/>
      <c r="Q629" s="563"/>
      <c r="R629" s="639"/>
      <c r="S629" s="420"/>
      <c r="T629" s="421"/>
      <c r="U629" s="387"/>
      <c r="V629" s="648"/>
      <c r="W629" s="640"/>
      <c r="X629" s="404"/>
      <c r="Y629" s="372"/>
      <c r="Z629" s="381"/>
      <c r="AA629" s="225"/>
      <c r="AB629" s="361"/>
      <c r="AC629" s="533"/>
      <c r="AD629" s="225"/>
      <c r="AE629" s="361"/>
      <c r="AF629" s="533"/>
      <c r="AG629" s="225"/>
      <c r="AH629" s="361"/>
      <c r="AI629" s="533"/>
      <c r="AJ629" s="225"/>
      <c r="AK629" s="361"/>
      <c r="AL629" s="533"/>
      <c r="AM629" s="225"/>
      <c r="AN629" s="361"/>
      <c r="AO629" s="533"/>
      <c r="AP629" s="225"/>
      <c r="AQ629" s="361"/>
      <c r="AR629" s="533"/>
    </row>
    <row r="630" spans="1:44" ht="15.75" hidden="1" customHeight="1">
      <c r="A630" s="309"/>
      <c r="B630" s="656"/>
      <c r="C630" s="632"/>
      <c r="D630" s="632"/>
      <c r="E630" s="633"/>
      <c r="F630" s="524"/>
      <c r="G630" s="524"/>
      <c r="H630" s="362"/>
      <c r="I630" s="230"/>
      <c r="J630" s="230"/>
      <c r="K630" s="438"/>
      <c r="L630" s="427"/>
      <c r="M630" s="439"/>
      <c r="N630" s="644"/>
      <c r="O630" s="645"/>
      <c r="P630" s="429"/>
      <c r="Q630" s="442"/>
      <c r="R630" s="646"/>
      <c r="S630" s="433"/>
      <c r="T630" s="434"/>
      <c r="U630" s="376"/>
      <c r="V630" s="649"/>
      <c r="W630" s="636"/>
      <c r="X630" s="404"/>
      <c r="Y630" s="372"/>
      <c r="Z630" s="381"/>
      <c r="AA630" s="241"/>
      <c r="AB630" s="411"/>
      <c r="AC630" s="577"/>
      <c r="AD630" s="241"/>
      <c r="AE630" s="411"/>
      <c r="AF630" s="577"/>
      <c r="AG630" s="241"/>
      <c r="AH630" s="411"/>
      <c r="AI630" s="577"/>
      <c r="AJ630" s="241"/>
      <c r="AK630" s="411"/>
      <c r="AL630" s="577"/>
      <c r="AM630" s="241"/>
      <c r="AN630" s="411"/>
      <c r="AO630" s="577"/>
      <c r="AP630" s="241"/>
      <c r="AQ630" s="411"/>
      <c r="AR630" s="577"/>
    </row>
    <row r="631" spans="1:44" ht="15.75" hidden="1" customHeight="1">
      <c r="A631" s="309"/>
      <c r="B631" s="656" t="s">
        <v>2548</v>
      </c>
      <c r="C631" s="632">
        <v>2</v>
      </c>
      <c r="D631" s="632">
        <v>312</v>
      </c>
      <c r="E631" s="633"/>
      <c r="F631" s="524"/>
      <c r="G631" s="524"/>
      <c r="H631" s="362"/>
      <c r="I631" s="230"/>
      <c r="J631" s="230"/>
      <c r="K631" s="363"/>
      <c r="L631" s="364"/>
      <c r="M631" s="365"/>
      <c r="N631" s="366"/>
      <c r="O631" s="634"/>
      <c r="P631" s="454"/>
      <c r="Q631" s="504"/>
      <c r="R631" s="639"/>
      <c r="S631" s="420"/>
      <c r="T631" s="421"/>
      <c r="U631" s="387"/>
      <c r="V631" s="648"/>
      <c r="W631" s="640"/>
      <c r="X631" s="404"/>
      <c r="Y631" s="372"/>
      <c r="Z631" s="381"/>
      <c r="AA631" s="225"/>
      <c r="AB631" s="361"/>
      <c r="AC631" s="533"/>
      <c r="AD631" s="225"/>
      <c r="AE631" s="361"/>
      <c r="AF631" s="533"/>
      <c r="AG631" s="225"/>
      <c r="AH631" s="361"/>
      <c r="AI631" s="533"/>
      <c r="AJ631" s="225"/>
      <c r="AK631" s="361"/>
      <c r="AL631" s="533"/>
      <c r="AM631" s="225"/>
      <c r="AN631" s="361"/>
      <c r="AO631" s="533"/>
      <c r="AP631" s="225"/>
      <c r="AQ631" s="361"/>
      <c r="AR631" s="533"/>
    </row>
    <row r="632" spans="1:44" ht="15.75" hidden="1" customHeight="1">
      <c r="A632" s="309"/>
      <c r="B632" s="656"/>
      <c r="C632" s="632"/>
      <c r="D632" s="632"/>
      <c r="E632" s="633"/>
      <c r="F632" s="524"/>
      <c r="G632" s="524"/>
      <c r="H632" s="362"/>
      <c r="I632" s="230"/>
      <c r="J632" s="230"/>
      <c r="K632" s="363"/>
      <c r="L632" s="364"/>
      <c r="M632" s="365"/>
      <c r="N632" s="366"/>
      <c r="O632" s="634"/>
      <c r="P632" s="429"/>
      <c r="Q632" s="442"/>
      <c r="R632" s="646"/>
      <c r="S632" s="433"/>
      <c r="T632" s="434"/>
      <c r="U632" s="376"/>
      <c r="V632" s="649"/>
      <c r="W632" s="636"/>
      <c r="X632" s="404"/>
      <c r="Y632" s="372"/>
      <c r="Z632" s="381"/>
      <c r="AA632" s="241"/>
      <c r="AB632" s="411"/>
      <c r="AC632" s="577"/>
      <c r="AD632" s="241"/>
      <c r="AE632" s="411"/>
      <c r="AF632" s="577"/>
      <c r="AG632" s="241"/>
      <c r="AH632" s="411"/>
      <c r="AI632" s="577"/>
      <c r="AJ632" s="241"/>
      <c r="AK632" s="411"/>
      <c r="AL632" s="577"/>
      <c r="AM632" s="241"/>
      <c r="AN632" s="411"/>
      <c r="AO632" s="577"/>
      <c r="AP632" s="241"/>
      <c r="AQ632" s="411"/>
      <c r="AR632" s="577"/>
    </row>
    <row r="633" spans="1:44" ht="15.75" hidden="1" customHeight="1">
      <c r="A633" s="309"/>
      <c r="B633" s="656" t="s">
        <v>2548</v>
      </c>
      <c r="C633" s="632">
        <v>3</v>
      </c>
      <c r="D633" s="632">
        <v>313</v>
      </c>
      <c r="E633" s="633"/>
      <c r="F633" s="524"/>
      <c r="G633" s="524"/>
      <c r="H633" s="362"/>
      <c r="I633" s="230"/>
      <c r="J633" s="230"/>
      <c r="K633" s="363"/>
      <c r="L633" s="364"/>
      <c r="M633" s="365"/>
      <c r="N633" s="366"/>
      <c r="O633" s="634"/>
      <c r="P633" s="454"/>
      <c r="Q633" s="504"/>
      <c r="R633" s="639"/>
      <c r="S633" s="420"/>
      <c r="T633" s="421"/>
      <c r="U633" s="387"/>
      <c r="V633" s="648"/>
      <c r="W633" s="640"/>
      <c r="X633" s="404"/>
      <c r="Y633" s="372"/>
      <c r="Z633" s="381"/>
      <c r="AA633" s="225"/>
      <c r="AB633" s="361"/>
      <c r="AC633" s="533"/>
      <c r="AD633" s="225"/>
      <c r="AE633" s="361"/>
      <c r="AF633" s="533"/>
      <c r="AG633" s="225"/>
      <c r="AH633" s="361"/>
      <c r="AI633" s="533"/>
      <c r="AJ633" s="225"/>
      <c r="AK633" s="361"/>
      <c r="AL633" s="533"/>
      <c r="AM633" s="225"/>
      <c r="AN633" s="361"/>
      <c r="AO633" s="533"/>
      <c r="AP633" s="225"/>
      <c r="AQ633" s="361"/>
      <c r="AR633" s="533"/>
    </row>
    <row r="634" spans="1:44" ht="15.75" hidden="1" customHeight="1">
      <c r="A634" s="309"/>
      <c r="B634" s="656"/>
      <c r="C634" s="632"/>
      <c r="D634" s="632"/>
      <c r="E634" s="633"/>
      <c r="F634" s="524"/>
      <c r="G634" s="524"/>
      <c r="H634" s="362"/>
      <c r="I634" s="230"/>
      <c r="J634" s="230"/>
      <c r="K634" s="363"/>
      <c r="L634" s="364"/>
      <c r="M634" s="365"/>
      <c r="N634" s="366"/>
      <c r="O634" s="634"/>
      <c r="P634" s="429"/>
      <c r="Q634" s="442"/>
      <c r="R634" s="646"/>
      <c r="S634" s="433"/>
      <c r="T634" s="434"/>
      <c r="U634" s="376"/>
      <c r="V634" s="649"/>
      <c r="W634" s="636"/>
      <c r="X634" s="404"/>
      <c r="Y634" s="372"/>
      <c r="Z634" s="381"/>
      <c r="AA634" s="241"/>
      <c r="AB634" s="411"/>
      <c r="AC634" s="577"/>
      <c r="AD634" s="241"/>
      <c r="AE634" s="411"/>
      <c r="AF634" s="577"/>
      <c r="AG634" s="241"/>
      <c r="AH634" s="411"/>
      <c r="AI634" s="577"/>
      <c r="AJ634" s="241"/>
      <c r="AK634" s="411"/>
      <c r="AL634" s="577"/>
      <c r="AM634" s="241"/>
      <c r="AN634" s="411"/>
      <c r="AO634" s="577"/>
      <c r="AP634" s="241"/>
      <c r="AQ634" s="411"/>
      <c r="AR634" s="577"/>
    </row>
    <row r="635" spans="1:44" ht="15.75" hidden="1" customHeight="1">
      <c r="A635" s="309"/>
      <c r="B635" s="656" t="s">
        <v>2548</v>
      </c>
      <c r="C635" s="632">
        <v>4</v>
      </c>
      <c r="D635" s="632">
        <v>314</v>
      </c>
      <c r="E635" s="633"/>
      <c r="F635" s="524"/>
      <c r="G635" s="524"/>
      <c r="H635" s="362"/>
      <c r="I635" s="230"/>
      <c r="J635" s="230"/>
      <c r="K635" s="363"/>
      <c r="L635" s="364"/>
      <c r="M635" s="365"/>
      <c r="N635" s="366"/>
      <c r="O635" s="634"/>
      <c r="P635" s="454"/>
      <c r="Q635" s="504"/>
      <c r="R635" s="639"/>
      <c r="S635" s="420"/>
      <c r="T635" s="421"/>
      <c r="U635" s="387"/>
      <c r="V635" s="648"/>
      <c r="W635" s="640"/>
      <c r="X635" s="404"/>
      <c r="Y635" s="372"/>
      <c r="Z635" s="381"/>
      <c r="AA635" s="225"/>
      <c r="AB635" s="361"/>
      <c r="AC635" s="533"/>
      <c r="AD635" s="225"/>
      <c r="AE635" s="361"/>
      <c r="AF635" s="533"/>
      <c r="AG635" s="225"/>
      <c r="AH635" s="361"/>
      <c r="AI635" s="533"/>
      <c r="AJ635" s="225"/>
      <c r="AK635" s="361"/>
      <c r="AL635" s="533"/>
      <c r="AM635" s="225"/>
      <c r="AN635" s="361"/>
      <c r="AO635" s="533"/>
      <c r="AP635" s="225"/>
      <c r="AQ635" s="361"/>
      <c r="AR635" s="533"/>
    </row>
    <row r="636" spans="1:44" ht="15.75" hidden="1" customHeight="1">
      <c r="A636" s="309"/>
      <c r="B636" s="656"/>
      <c r="C636" s="632"/>
      <c r="D636" s="632"/>
      <c r="E636" s="633"/>
      <c r="F636" s="524"/>
      <c r="G636" s="524"/>
      <c r="H636" s="362"/>
      <c r="I636" s="230"/>
      <c r="J636" s="230"/>
      <c r="K636" s="363"/>
      <c r="L636" s="364"/>
      <c r="M636" s="365"/>
      <c r="N636" s="366"/>
      <c r="O636" s="634"/>
      <c r="P636" s="429"/>
      <c r="Q636" s="442"/>
      <c r="R636" s="646"/>
      <c r="S636" s="433"/>
      <c r="T636" s="434"/>
      <c r="U636" s="376"/>
      <c r="V636" s="649"/>
      <c r="W636" s="636"/>
      <c r="X636" s="404"/>
      <c r="Y636" s="372"/>
      <c r="Z636" s="381"/>
      <c r="AA636" s="241"/>
      <c r="AB636" s="411"/>
      <c r="AC636" s="577"/>
      <c r="AD636" s="241"/>
      <c r="AE636" s="411"/>
      <c r="AF636" s="577"/>
      <c r="AG636" s="241"/>
      <c r="AH636" s="411"/>
      <c r="AI636" s="577"/>
      <c r="AJ636" s="241"/>
      <c r="AK636" s="411"/>
      <c r="AL636" s="577"/>
      <c r="AM636" s="241"/>
      <c r="AN636" s="411"/>
      <c r="AO636" s="577"/>
      <c r="AP636" s="241"/>
      <c r="AQ636" s="411"/>
      <c r="AR636" s="577"/>
    </row>
    <row r="637" spans="1:44" ht="15.75" hidden="1" customHeight="1">
      <c r="A637" s="309"/>
      <c r="B637" s="656" t="s">
        <v>2548</v>
      </c>
      <c r="C637" s="632">
        <v>5</v>
      </c>
      <c r="D637" s="632">
        <v>315</v>
      </c>
      <c r="E637" s="633"/>
      <c r="F637" s="524"/>
      <c r="G637" s="524"/>
      <c r="H637" s="362"/>
      <c r="I637" s="230"/>
      <c r="J637" s="230"/>
      <c r="K637" s="363"/>
      <c r="L637" s="364"/>
      <c r="M637" s="365"/>
      <c r="N637" s="366"/>
      <c r="O637" s="634"/>
      <c r="P637" s="454"/>
      <c r="Q637" s="504"/>
      <c r="R637" s="639"/>
      <c r="S637" s="420"/>
      <c r="T637" s="421"/>
      <c r="U637" s="387"/>
      <c r="V637" s="648"/>
      <c r="W637" s="640"/>
      <c r="X637" s="404"/>
      <c r="Y637" s="372"/>
      <c r="Z637" s="381"/>
      <c r="AA637" s="225"/>
      <c r="AB637" s="361"/>
      <c r="AC637" s="533"/>
      <c r="AD637" s="225"/>
      <c r="AE637" s="361"/>
      <c r="AF637" s="533"/>
      <c r="AG637" s="225"/>
      <c r="AH637" s="361"/>
      <c r="AI637" s="533"/>
      <c r="AJ637" s="225"/>
      <c r="AK637" s="361"/>
      <c r="AL637" s="533"/>
      <c r="AM637" s="225"/>
      <c r="AN637" s="361"/>
      <c r="AO637" s="533"/>
      <c r="AP637" s="225"/>
      <c r="AQ637" s="361"/>
      <c r="AR637" s="533"/>
    </row>
    <row r="638" spans="1:44" ht="15.75" hidden="1" customHeight="1">
      <c r="A638" s="309"/>
      <c r="B638" s="656"/>
      <c r="C638" s="632"/>
      <c r="D638" s="632"/>
      <c r="E638" s="633"/>
      <c r="F638" s="524"/>
      <c r="G638" s="524"/>
      <c r="H638" s="362"/>
      <c r="I638" s="230"/>
      <c r="J638" s="230"/>
      <c r="K638" s="363"/>
      <c r="L638" s="364"/>
      <c r="M638" s="365"/>
      <c r="N638" s="366"/>
      <c r="O638" s="634"/>
      <c r="P638" s="429"/>
      <c r="Q638" s="442"/>
      <c r="R638" s="646"/>
      <c r="S638" s="433"/>
      <c r="T638" s="434"/>
      <c r="U638" s="376"/>
      <c r="V638" s="649"/>
      <c r="W638" s="636"/>
      <c r="X638" s="404"/>
      <c r="Y638" s="372"/>
      <c r="Z638" s="381"/>
      <c r="AA638" s="241"/>
      <c r="AB638" s="411"/>
      <c r="AC638" s="577"/>
      <c r="AD638" s="241"/>
      <c r="AE638" s="411"/>
      <c r="AF638" s="577"/>
      <c r="AG638" s="241"/>
      <c r="AH638" s="411"/>
      <c r="AI638" s="577"/>
      <c r="AJ638" s="241"/>
      <c r="AK638" s="411"/>
      <c r="AL638" s="577"/>
      <c r="AM638" s="241"/>
      <c r="AN638" s="411"/>
      <c r="AO638" s="577"/>
      <c r="AP638" s="241"/>
      <c r="AQ638" s="411"/>
      <c r="AR638" s="577"/>
    </row>
    <row r="639" spans="1:44" ht="15.75" hidden="1" customHeight="1">
      <c r="A639" s="309"/>
      <c r="B639" s="656" t="s">
        <v>2548</v>
      </c>
      <c r="C639" s="632">
        <v>6</v>
      </c>
      <c r="D639" s="632">
        <v>316</v>
      </c>
      <c r="E639" s="633"/>
      <c r="F639" s="524"/>
      <c r="G639" s="524"/>
      <c r="H639" s="362"/>
      <c r="I639" s="230"/>
      <c r="J639" s="230"/>
      <c r="K639" s="363"/>
      <c r="L639" s="364"/>
      <c r="M639" s="365"/>
      <c r="N639" s="366"/>
      <c r="O639" s="634"/>
      <c r="P639" s="454"/>
      <c r="Q639" s="504"/>
      <c r="R639" s="639"/>
      <c r="S639" s="420"/>
      <c r="T639" s="421"/>
      <c r="U639" s="387"/>
      <c r="V639" s="648"/>
      <c r="W639" s="640"/>
      <c r="X639" s="404"/>
      <c r="Y639" s="372"/>
      <c r="Z639" s="381"/>
      <c r="AA639" s="225"/>
      <c r="AB639" s="361"/>
      <c r="AC639" s="533"/>
      <c r="AD639" s="225"/>
      <c r="AE639" s="361"/>
      <c r="AF639" s="533"/>
      <c r="AG639" s="225"/>
      <c r="AH639" s="361"/>
      <c r="AI639" s="533"/>
      <c r="AJ639" s="225"/>
      <c r="AK639" s="361"/>
      <c r="AL639" s="533"/>
      <c r="AM639" s="225"/>
      <c r="AN639" s="361"/>
      <c r="AO639" s="533"/>
      <c r="AP639" s="225"/>
      <c r="AQ639" s="361"/>
      <c r="AR639" s="533"/>
    </row>
    <row r="640" spans="1:44" ht="15.75" hidden="1" customHeight="1">
      <c r="A640" s="309"/>
      <c r="B640" s="656"/>
      <c r="C640" s="632"/>
      <c r="D640" s="632"/>
      <c r="E640" s="633"/>
      <c r="F640" s="524"/>
      <c r="G640" s="524"/>
      <c r="H640" s="362"/>
      <c r="I640" s="230"/>
      <c r="J640" s="230"/>
      <c r="K640" s="363"/>
      <c r="L640" s="364"/>
      <c r="M640" s="365"/>
      <c r="N640" s="366"/>
      <c r="O640" s="634"/>
      <c r="P640" s="429"/>
      <c r="Q640" s="442"/>
      <c r="R640" s="646"/>
      <c r="S640" s="433"/>
      <c r="T640" s="434"/>
      <c r="U640" s="376"/>
      <c r="V640" s="649"/>
      <c r="W640" s="636"/>
      <c r="X640" s="404"/>
      <c r="Y640" s="372"/>
      <c r="Z640" s="381"/>
      <c r="AA640" s="241"/>
      <c r="AB640" s="411"/>
      <c r="AC640" s="577"/>
      <c r="AD640" s="241"/>
      <c r="AE640" s="411"/>
      <c r="AF640" s="577"/>
      <c r="AG640" s="241"/>
      <c r="AH640" s="411"/>
      <c r="AI640" s="577"/>
      <c r="AJ640" s="241"/>
      <c r="AK640" s="411"/>
      <c r="AL640" s="577"/>
      <c r="AM640" s="241"/>
      <c r="AN640" s="411"/>
      <c r="AO640" s="577"/>
      <c r="AP640" s="241"/>
      <c r="AQ640" s="411"/>
      <c r="AR640" s="577"/>
    </row>
    <row r="641" spans="1:44" ht="15.75" hidden="1" customHeight="1">
      <c r="A641" s="309"/>
      <c r="B641" s="656" t="s">
        <v>2548</v>
      </c>
      <c r="C641" s="632">
        <v>7</v>
      </c>
      <c r="D641" s="632">
        <v>317</v>
      </c>
      <c r="E641" s="633"/>
      <c r="F641" s="524"/>
      <c r="G641" s="524"/>
      <c r="H641" s="362"/>
      <c r="I641" s="230"/>
      <c r="J641" s="230"/>
      <c r="K641" s="363"/>
      <c r="L641" s="364"/>
      <c r="M641" s="365"/>
      <c r="N641" s="366"/>
      <c r="O641" s="634"/>
      <c r="P641" s="454"/>
      <c r="Q641" s="504"/>
      <c r="R641" s="639"/>
      <c r="S641" s="420"/>
      <c r="T641" s="421"/>
      <c r="U641" s="387"/>
      <c r="V641" s="648"/>
      <c r="W641" s="640"/>
      <c r="X641" s="404"/>
      <c r="Y641" s="372"/>
      <c r="Z641" s="381"/>
      <c r="AA641" s="225"/>
      <c r="AB641" s="361"/>
      <c r="AC641" s="533"/>
      <c r="AD641" s="225"/>
      <c r="AE641" s="361"/>
      <c r="AF641" s="533"/>
      <c r="AG641" s="225"/>
      <c r="AH641" s="361"/>
      <c r="AI641" s="533"/>
      <c r="AJ641" s="225"/>
      <c r="AK641" s="361"/>
      <c r="AL641" s="533"/>
      <c r="AM641" s="225"/>
      <c r="AN641" s="361"/>
      <c r="AO641" s="533"/>
      <c r="AP641" s="225"/>
      <c r="AQ641" s="361"/>
      <c r="AR641" s="533"/>
    </row>
    <row r="642" spans="1:44" ht="15.75" hidden="1" customHeight="1">
      <c r="A642" s="309"/>
      <c r="B642" s="656"/>
      <c r="C642" s="632"/>
      <c r="D642" s="632"/>
      <c r="E642" s="633"/>
      <c r="F642" s="524"/>
      <c r="G642" s="524"/>
      <c r="H642" s="362"/>
      <c r="I642" s="230"/>
      <c r="J642" s="230"/>
      <c r="K642" s="363"/>
      <c r="L642" s="364"/>
      <c r="M642" s="365"/>
      <c r="N642" s="366"/>
      <c r="O642" s="634"/>
      <c r="P642" s="429"/>
      <c r="Q642" s="442"/>
      <c r="R642" s="646"/>
      <c r="S642" s="433"/>
      <c r="T642" s="434"/>
      <c r="U642" s="376"/>
      <c r="V642" s="649"/>
      <c r="W642" s="636"/>
      <c r="X642" s="404"/>
      <c r="Y642" s="372"/>
      <c r="Z642" s="381"/>
      <c r="AA642" s="241"/>
      <c r="AB642" s="411"/>
      <c r="AC642" s="577"/>
      <c r="AD642" s="241"/>
      <c r="AE642" s="411"/>
      <c r="AF642" s="577"/>
      <c r="AG642" s="241"/>
      <c r="AH642" s="411"/>
      <c r="AI642" s="577"/>
      <c r="AJ642" s="241"/>
      <c r="AK642" s="411"/>
      <c r="AL642" s="577"/>
      <c r="AM642" s="241"/>
      <c r="AN642" s="411"/>
      <c r="AO642" s="577"/>
      <c r="AP642" s="241"/>
      <c r="AQ642" s="411"/>
      <c r="AR642" s="577"/>
    </row>
    <row r="643" spans="1:44" ht="15.75" hidden="1" customHeight="1">
      <c r="A643" s="309"/>
      <c r="B643" s="656" t="s">
        <v>2548</v>
      </c>
      <c r="C643" s="632">
        <v>8</v>
      </c>
      <c r="D643" s="632">
        <v>318</v>
      </c>
      <c r="E643" s="633"/>
      <c r="F643" s="524"/>
      <c r="G643" s="524"/>
      <c r="H643" s="362"/>
      <c r="I643" s="230"/>
      <c r="J643" s="230"/>
      <c r="K643" s="363"/>
      <c r="L643" s="364"/>
      <c r="M643" s="365"/>
      <c r="N643" s="630"/>
      <c r="O643" s="634"/>
      <c r="P643" s="454"/>
      <c r="Q643" s="504"/>
      <c r="R643" s="639"/>
      <c r="S643" s="420"/>
      <c r="T643" s="421"/>
      <c r="U643" s="387"/>
      <c r="V643" s="648"/>
      <c r="W643" s="640"/>
      <c r="X643" s="404"/>
      <c r="Y643" s="372"/>
      <c r="Z643" s="381"/>
      <c r="AA643" s="225"/>
      <c r="AB643" s="361"/>
      <c r="AC643" s="533"/>
      <c r="AD643" s="225"/>
      <c r="AE643" s="361"/>
      <c r="AF643" s="533"/>
      <c r="AG643" s="225"/>
      <c r="AH643" s="361"/>
      <c r="AI643" s="533"/>
      <c r="AJ643" s="225"/>
      <c r="AK643" s="361"/>
      <c r="AL643" s="533"/>
      <c r="AM643" s="225"/>
      <c r="AN643" s="361"/>
      <c r="AO643" s="533"/>
      <c r="AP643" s="225"/>
      <c r="AQ643" s="361"/>
      <c r="AR643" s="533"/>
    </row>
    <row r="644" spans="1:44" ht="15.75" hidden="1" customHeight="1">
      <c r="A644" s="309"/>
      <c r="B644" s="656"/>
      <c r="C644" s="632"/>
      <c r="D644" s="632"/>
      <c r="E644" s="633"/>
      <c r="F644" s="524"/>
      <c r="G644" s="524"/>
      <c r="H644" s="362"/>
      <c r="I644" s="230"/>
      <c r="J644" s="230"/>
      <c r="K644" s="363"/>
      <c r="L644" s="364"/>
      <c r="M644" s="365"/>
      <c r="N644" s="630"/>
      <c r="O644" s="634"/>
      <c r="P644" s="429"/>
      <c r="Q644" s="442"/>
      <c r="R644" s="646"/>
      <c r="S644" s="433"/>
      <c r="T644" s="434"/>
      <c r="U644" s="376"/>
      <c r="V644" s="649"/>
      <c r="W644" s="636"/>
      <c r="X644" s="404"/>
      <c r="Y644" s="372"/>
      <c r="Z644" s="381"/>
      <c r="AA644" s="241"/>
      <c r="AB644" s="411"/>
      <c r="AC644" s="577"/>
      <c r="AD644" s="241"/>
      <c r="AE644" s="411"/>
      <c r="AF644" s="577"/>
      <c r="AG644" s="241"/>
      <c r="AH644" s="411"/>
      <c r="AI644" s="577"/>
      <c r="AJ644" s="241"/>
      <c r="AK644" s="411"/>
      <c r="AL644" s="577"/>
      <c r="AM644" s="241"/>
      <c r="AN644" s="411"/>
      <c r="AO644" s="577"/>
      <c r="AP644" s="241"/>
      <c r="AQ644" s="411"/>
      <c r="AR644" s="577"/>
    </row>
    <row r="645" spans="1:44" ht="15.75" hidden="1" customHeight="1">
      <c r="A645" s="309"/>
      <c r="B645" s="656" t="s">
        <v>2548</v>
      </c>
      <c r="C645" s="632">
        <v>9</v>
      </c>
      <c r="D645" s="632">
        <v>319</v>
      </c>
      <c r="E645" s="633"/>
      <c r="F645" s="524"/>
      <c r="G645" s="524"/>
      <c r="H645" s="362"/>
      <c r="I645" s="230"/>
      <c r="J645" s="230"/>
      <c r="K645" s="363"/>
      <c r="L645" s="364"/>
      <c r="M645" s="365"/>
      <c r="N645" s="366"/>
      <c r="O645" s="634"/>
      <c r="P645" s="454"/>
      <c r="Q645" s="504"/>
      <c r="R645" s="639"/>
      <c r="S645" s="420"/>
      <c r="T645" s="421"/>
      <c r="U645" s="387"/>
      <c r="V645" s="648"/>
      <c r="W645" s="640"/>
      <c r="X645" s="404"/>
      <c r="Y645" s="372"/>
      <c r="Z645" s="381"/>
      <c r="AA645" s="225"/>
      <c r="AB645" s="361"/>
      <c r="AC645" s="533"/>
      <c r="AD645" s="225"/>
      <c r="AE645" s="361"/>
      <c r="AF645" s="533"/>
      <c r="AG645" s="225"/>
      <c r="AH645" s="361"/>
      <c r="AI645" s="533"/>
      <c r="AJ645" s="225"/>
      <c r="AK645" s="361"/>
      <c r="AL645" s="533"/>
      <c r="AM645" s="225"/>
      <c r="AN645" s="361"/>
      <c r="AO645" s="533"/>
      <c r="AP645" s="225"/>
      <c r="AQ645" s="361"/>
      <c r="AR645" s="533"/>
    </row>
    <row r="646" spans="1:44" ht="15.75" hidden="1" customHeight="1">
      <c r="A646" s="309"/>
      <c r="B646" s="656"/>
      <c r="C646" s="632"/>
      <c r="D646" s="632"/>
      <c r="E646" s="633"/>
      <c r="F646" s="524"/>
      <c r="G646" s="524"/>
      <c r="H646" s="362"/>
      <c r="I646" s="230"/>
      <c r="J646" s="230"/>
      <c r="K646" s="363"/>
      <c r="L646" s="364"/>
      <c r="M646" s="365"/>
      <c r="N646" s="366"/>
      <c r="O646" s="634"/>
      <c r="P646" s="429"/>
      <c r="Q646" s="442"/>
      <c r="R646" s="646"/>
      <c r="S646" s="433"/>
      <c r="T646" s="434"/>
      <c r="U646" s="376"/>
      <c r="V646" s="649"/>
      <c r="W646" s="636"/>
      <c r="X646" s="404"/>
      <c r="Y646" s="372"/>
      <c r="Z646" s="381"/>
      <c r="AA646" s="241"/>
      <c r="AB646" s="411"/>
      <c r="AC646" s="577"/>
      <c r="AD646" s="241"/>
      <c r="AE646" s="411"/>
      <c r="AF646" s="577"/>
      <c r="AG646" s="241"/>
      <c r="AH646" s="411"/>
      <c r="AI646" s="577"/>
      <c r="AJ646" s="241"/>
      <c r="AK646" s="411"/>
      <c r="AL646" s="577"/>
      <c r="AM646" s="241"/>
      <c r="AN646" s="411"/>
      <c r="AO646" s="577"/>
      <c r="AP646" s="241"/>
      <c r="AQ646" s="411"/>
      <c r="AR646" s="577"/>
    </row>
    <row r="647" spans="1:44" ht="15.75" hidden="1" customHeight="1">
      <c r="A647" s="309"/>
      <c r="B647" s="656" t="s">
        <v>2548</v>
      </c>
      <c r="C647" s="632">
        <v>10</v>
      </c>
      <c r="D647" s="632">
        <v>320</v>
      </c>
      <c r="E647" s="633"/>
      <c r="F647" s="524"/>
      <c r="G647" s="524"/>
      <c r="H647" s="362"/>
      <c r="I647" s="230"/>
      <c r="J647" s="230"/>
      <c r="K647" s="363"/>
      <c r="L647" s="364"/>
      <c r="M647" s="365"/>
      <c r="N647" s="409"/>
      <c r="O647" s="638"/>
      <c r="P647" s="454"/>
      <c r="Q647" s="504"/>
      <c r="R647" s="639"/>
      <c r="S647" s="420"/>
      <c r="T647" s="421"/>
      <c r="U647" s="387"/>
      <c r="V647" s="648"/>
      <c r="W647" s="640"/>
      <c r="X647" s="404"/>
      <c r="Y647" s="372"/>
      <c r="Z647" s="381"/>
      <c r="AA647" s="225"/>
      <c r="AB647" s="361"/>
      <c r="AC647" s="533"/>
      <c r="AD647" s="225"/>
      <c r="AE647" s="361"/>
      <c r="AF647" s="533"/>
      <c r="AG647" s="225"/>
      <c r="AH647" s="361"/>
      <c r="AI647" s="533"/>
      <c r="AJ647" s="225"/>
      <c r="AK647" s="361"/>
      <c r="AL647" s="533"/>
      <c r="AM647" s="225"/>
      <c r="AN647" s="361"/>
      <c r="AO647" s="533"/>
      <c r="AP647" s="225"/>
      <c r="AQ647" s="361"/>
      <c r="AR647" s="533"/>
    </row>
    <row r="648" spans="1:44" ht="15.75" hidden="1" customHeight="1">
      <c r="A648" s="309"/>
      <c r="B648" s="656"/>
      <c r="C648" s="632"/>
      <c r="D648" s="632"/>
      <c r="E648" s="633"/>
      <c r="F648" s="524"/>
      <c r="G648" s="524"/>
      <c r="H648" s="362"/>
      <c r="I648" s="230"/>
      <c r="J648" s="230"/>
      <c r="K648" s="363"/>
      <c r="L648" s="364"/>
      <c r="M648" s="365"/>
      <c r="N648" s="415"/>
      <c r="O648" s="642"/>
      <c r="P648" s="581"/>
      <c r="Q648" s="563"/>
      <c r="R648" s="646"/>
      <c r="S648" s="433"/>
      <c r="T648" s="434"/>
      <c r="U648" s="376"/>
      <c r="V648" s="649"/>
      <c r="W648" s="636"/>
      <c r="X648" s="404"/>
      <c r="Y648" s="372"/>
      <c r="Z648" s="381"/>
      <c r="AA648" s="241"/>
      <c r="AB648" s="411"/>
      <c r="AC648" s="577"/>
      <c r="AD648" s="241"/>
      <c r="AE648" s="411"/>
      <c r="AF648" s="577"/>
      <c r="AG648" s="241"/>
      <c r="AH648" s="411"/>
      <c r="AI648" s="577"/>
      <c r="AJ648" s="241"/>
      <c r="AK648" s="411"/>
      <c r="AL648" s="577"/>
      <c r="AM648" s="241"/>
      <c r="AN648" s="411"/>
      <c r="AO648" s="577"/>
      <c r="AP648" s="241"/>
      <c r="AQ648" s="411"/>
      <c r="AR648" s="577"/>
    </row>
    <row r="649" spans="1:44" ht="15.75" hidden="1" customHeight="1">
      <c r="A649" s="309"/>
      <c r="B649" s="656" t="s">
        <v>2548</v>
      </c>
      <c r="C649" s="632">
        <v>11</v>
      </c>
      <c r="D649" s="632">
        <v>321</v>
      </c>
      <c r="E649" s="633"/>
      <c r="F649" s="524"/>
      <c r="G649" s="524"/>
      <c r="H649" s="362"/>
      <c r="I649" s="230"/>
      <c r="J649" s="230"/>
      <c r="K649" s="363"/>
      <c r="L649" s="364"/>
      <c r="M649" s="365"/>
      <c r="N649" s="415"/>
      <c r="O649" s="642"/>
      <c r="P649" s="581"/>
      <c r="Q649" s="563"/>
      <c r="R649" s="639"/>
      <c r="S649" s="420"/>
      <c r="T649" s="421"/>
      <c r="U649" s="387"/>
      <c r="V649" s="648"/>
      <c r="W649" s="640"/>
      <c r="X649" s="404"/>
      <c r="Y649" s="372"/>
      <c r="Z649" s="381"/>
      <c r="AA649" s="225"/>
      <c r="AB649" s="361"/>
      <c r="AC649" s="533"/>
      <c r="AD649" s="225"/>
      <c r="AE649" s="361"/>
      <c r="AF649" s="533"/>
      <c r="AG649" s="225"/>
      <c r="AH649" s="361"/>
      <c r="AI649" s="533"/>
      <c r="AJ649" s="225"/>
      <c r="AK649" s="361"/>
      <c r="AL649" s="533"/>
      <c r="AM649" s="225"/>
      <c r="AN649" s="361"/>
      <c r="AO649" s="533"/>
      <c r="AP649" s="225"/>
      <c r="AQ649" s="361"/>
      <c r="AR649" s="533"/>
    </row>
    <row r="650" spans="1:44" ht="15.75" hidden="1" customHeight="1">
      <c r="A650" s="309"/>
      <c r="B650" s="656"/>
      <c r="C650" s="632"/>
      <c r="D650" s="632"/>
      <c r="E650" s="633"/>
      <c r="F650" s="524"/>
      <c r="G650" s="524"/>
      <c r="H650" s="362"/>
      <c r="I650" s="230"/>
      <c r="J650" s="230"/>
      <c r="K650" s="363"/>
      <c r="L650" s="364"/>
      <c r="M650" s="365"/>
      <c r="N650" s="425"/>
      <c r="O650" s="645"/>
      <c r="P650" s="429"/>
      <c r="Q650" s="442"/>
      <c r="R650" s="646"/>
      <c r="S650" s="433"/>
      <c r="T650" s="434"/>
      <c r="U650" s="376"/>
      <c r="V650" s="649"/>
      <c r="W650" s="636"/>
      <c r="X650" s="404"/>
      <c r="Y650" s="372"/>
      <c r="Z650" s="381"/>
      <c r="AA650" s="241"/>
      <c r="AB650" s="411"/>
      <c r="AC650" s="577"/>
      <c r="AD650" s="241"/>
      <c r="AE650" s="411"/>
      <c r="AF650" s="577"/>
      <c r="AG650" s="241"/>
      <c r="AH650" s="411"/>
      <c r="AI650" s="577"/>
      <c r="AJ650" s="241"/>
      <c r="AK650" s="411"/>
      <c r="AL650" s="577"/>
      <c r="AM650" s="241"/>
      <c r="AN650" s="411"/>
      <c r="AO650" s="577"/>
      <c r="AP650" s="241"/>
      <c r="AQ650" s="411"/>
      <c r="AR650" s="577"/>
    </row>
    <row r="651" spans="1:44" ht="15.75" hidden="1" customHeight="1">
      <c r="A651" s="309"/>
      <c r="B651" s="656" t="s">
        <v>2548</v>
      </c>
      <c r="C651" s="632">
        <v>12</v>
      </c>
      <c r="D651" s="632">
        <v>322</v>
      </c>
      <c r="E651" s="633"/>
      <c r="F651" s="524"/>
      <c r="G651" s="524"/>
      <c r="H651" s="362"/>
      <c r="I651" s="230"/>
      <c r="J651" s="230"/>
      <c r="K651" s="363"/>
      <c r="L651" s="364"/>
      <c r="M651" s="365"/>
      <c r="N651" s="366"/>
      <c r="O651" s="634"/>
      <c r="P651" s="454"/>
      <c r="Q651" s="504"/>
      <c r="R651" s="639"/>
      <c r="S651" s="420"/>
      <c r="T651" s="421"/>
      <c r="U651" s="387"/>
      <c r="V651" s="648"/>
      <c r="W651" s="640"/>
      <c r="X651" s="404"/>
      <c r="Y651" s="372"/>
      <c r="Z651" s="381"/>
      <c r="AA651" s="225"/>
      <c r="AB651" s="361"/>
      <c r="AC651" s="533"/>
      <c r="AD651" s="225"/>
      <c r="AE651" s="361"/>
      <c r="AF651" s="533"/>
      <c r="AG651" s="225"/>
      <c r="AH651" s="361"/>
      <c r="AI651" s="533"/>
      <c r="AJ651" s="225"/>
      <c r="AK651" s="361"/>
      <c r="AL651" s="533"/>
      <c r="AM651" s="225"/>
      <c r="AN651" s="361"/>
      <c r="AO651" s="533"/>
      <c r="AP651" s="225"/>
      <c r="AQ651" s="361"/>
      <c r="AR651" s="533"/>
    </row>
    <row r="652" spans="1:44" ht="15.75" hidden="1" customHeight="1">
      <c r="A652" s="309"/>
      <c r="B652" s="656"/>
      <c r="C652" s="632"/>
      <c r="D652" s="632"/>
      <c r="E652" s="633"/>
      <c r="F652" s="524"/>
      <c r="G652" s="524"/>
      <c r="H652" s="362"/>
      <c r="I652" s="230"/>
      <c r="J652" s="230"/>
      <c r="K652" s="363"/>
      <c r="L652" s="364"/>
      <c r="M652" s="365"/>
      <c r="N652" s="366"/>
      <c r="O652" s="634"/>
      <c r="P652" s="429"/>
      <c r="Q652" s="442"/>
      <c r="R652" s="646"/>
      <c r="S652" s="433"/>
      <c r="T652" s="434"/>
      <c r="U652" s="376"/>
      <c r="V652" s="649"/>
      <c r="W652" s="636"/>
      <c r="X652" s="404"/>
      <c r="Y652" s="372"/>
      <c r="Z652" s="381"/>
      <c r="AA652" s="241"/>
      <c r="AB652" s="411"/>
      <c r="AC652" s="577"/>
      <c r="AD652" s="241"/>
      <c r="AE652" s="411"/>
      <c r="AF652" s="577"/>
      <c r="AG652" s="241"/>
      <c r="AH652" s="411"/>
      <c r="AI652" s="577"/>
      <c r="AJ652" s="241"/>
      <c r="AK652" s="411"/>
      <c r="AL652" s="577"/>
      <c r="AM652" s="241"/>
      <c r="AN652" s="411"/>
      <c r="AO652" s="577"/>
      <c r="AP652" s="241"/>
      <c r="AQ652" s="411"/>
      <c r="AR652" s="577"/>
    </row>
    <row r="653" spans="1:44" ht="15.75" hidden="1" customHeight="1">
      <c r="A653" s="309"/>
      <c r="B653" s="656" t="s">
        <v>2548</v>
      </c>
      <c r="C653" s="632">
        <v>13</v>
      </c>
      <c r="D653" s="632">
        <v>324</v>
      </c>
      <c r="E653" s="633"/>
      <c r="F653" s="524"/>
      <c r="G653" s="524"/>
      <c r="H653" s="362"/>
      <c r="I653" s="230"/>
      <c r="J653" s="230"/>
      <c r="K653" s="363"/>
      <c r="L653" s="364"/>
      <c r="M653" s="365"/>
      <c r="N653" s="366"/>
      <c r="O653" s="634"/>
      <c r="P653" s="454"/>
      <c r="Q653" s="504"/>
      <c r="R653" s="639"/>
      <c r="S653" s="420"/>
      <c r="T653" s="421"/>
      <c r="U653" s="387"/>
      <c r="V653" s="648"/>
      <c r="W653" s="640"/>
      <c r="X653" s="404"/>
      <c r="Y653" s="372"/>
      <c r="Z653" s="381"/>
      <c r="AA653" s="225"/>
      <c r="AB653" s="361"/>
      <c r="AC653" s="533"/>
      <c r="AD653" s="225"/>
      <c r="AE653" s="361"/>
      <c r="AF653" s="533"/>
      <c r="AG653" s="225"/>
      <c r="AH653" s="361"/>
      <c r="AI653" s="533"/>
      <c r="AJ653" s="225"/>
      <c r="AK653" s="361"/>
      <c r="AL653" s="533"/>
      <c r="AM653" s="225"/>
      <c r="AN653" s="361"/>
      <c r="AO653" s="533"/>
      <c r="AP653" s="225"/>
      <c r="AQ653" s="361"/>
      <c r="AR653" s="533"/>
    </row>
    <row r="654" spans="1:44" ht="15.75" hidden="1" customHeight="1">
      <c r="A654" s="309"/>
      <c r="B654" s="656"/>
      <c r="C654" s="632"/>
      <c r="D654" s="632"/>
      <c r="E654" s="633"/>
      <c r="F654" s="524"/>
      <c r="G654" s="524"/>
      <c r="H654" s="362"/>
      <c r="I654" s="230"/>
      <c r="J654" s="230"/>
      <c r="K654" s="363"/>
      <c r="L654" s="364"/>
      <c r="M654" s="365"/>
      <c r="N654" s="366"/>
      <c r="O654" s="634"/>
      <c r="P654" s="429"/>
      <c r="Q654" s="442"/>
      <c r="R654" s="646"/>
      <c r="S654" s="433"/>
      <c r="T654" s="434"/>
      <c r="U654" s="376"/>
      <c r="V654" s="649"/>
      <c r="W654" s="636"/>
      <c r="X654" s="404"/>
      <c r="Y654" s="372"/>
      <c r="Z654" s="381"/>
      <c r="AA654" s="241"/>
      <c r="AB654" s="411"/>
      <c r="AC654" s="577"/>
      <c r="AD654" s="241"/>
      <c r="AE654" s="411"/>
      <c r="AF654" s="577"/>
      <c r="AG654" s="241"/>
      <c r="AH654" s="411"/>
      <c r="AI654" s="577"/>
      <c r="AJ654" s="241"/>
      <c r="AK654" s="411"/>
      <c r="AL654" s="577"/>
      <c r="AM654" s="241"/>
      <c r="AN654" s="411"/>
      <c r="AO654" s="577"/>
      <c r="AP654" s="241"/>
      <c r="AQ654" s="411"/>
      <c r="AR654" s="577"/>
    </row>
    <row r="655" spans="1:44" ht="15.75" hidden="1" customHeight="1">
      <c r="A655" s="309"/>
      <c r="B655" s="656" t="s">
        <v>2548</v>
      </c>
      <c r="C655" s="632">
        <v>14</v>
      </c>
      <c r="D655" s="632">
        <v>325</v>
      </c>
      <c r="E655" s="633"/>
      <c r="F655" s="524"/>
      <c r="G655" s="524"/>
      <c r="H655" s="362"/>
      <c r="I655" s="230"/>
      <c r="J655" s="230"/>
      <c r="K655" s="363"/>
      <c r="L655" s="364"/>
      <c r="M655" s="365"/>
      <c r="N655" s="366"/>
      <c r="O655" s="634"/>
      <c r="P655" s="454"/>
      <c r="Q655" s="504"/>
      <c r="R655" s="639"/>
      <c r="S655" s="420"/>
      <c r="T655" s="421"/>
      <c r="U655" s="387"/>
      <c r="V655" s="648"/>
      <c r="W655" s="640"/>
      <c r="X655" s="404"/>
      <c r="Y655" s="372"/>
      <c r="Z655" s="381"/>
      <c r="AA655" s="225"/>
      <c r="AB655" s="361"/>
      <c r="AC655" s="533"/>
      <c r="AD655" s="225"/>
      <c r="AE655" s="361"/>
      <c r="AF655" s="533"/>
      <c r="AG655" s="225"/>
      <c r="AH655" s="361"/>
      <c r="AI655" s="533"/>
      <c r="AJ655" s="225"/>
      <c r="AK655" s="361"/>
      <c r="AL655" s="533"/>
      <c r="AM655" s="225"/>
      <c r="AN655" s="361"/>
      <c r="AO655" s="533"/>
      <c r="AP655" s="225"/>
      <c r="AQ655" s="361"/>
      <c r="AR655" s="533"/>
    </row>
    <row r="656" spans="1:44" ht="15.75" hidden="1" customHeight="1">
      <c r="A656" s="309"/>
      <c r="B656" s="656"/>
      <c r="C656" s="632"/>
      <c r="D656" s="632"/>
      <c r="E656" s="633"/>
      <c r="F656" s="524"/>
      <c r="G656" s="524"/>
      <c r="H656" s="362"/>
      <c r="I656" s="230"/>
      <c r="J656" s="230"/>
      <c r="K656" s="363"/>
      <c r="L656" s="364"/>
      <c r="M656" s="365"/>
      <c r="N656" s="366"/>
      <c r="O656" s="634"/>
      <c r="P656" s="429"/>
      <c r="Q656" s="442"/>
      <c r="R656" s="646"/>
      <c r="S656" s="433"/>
      <c r="T656" s="434"/>
      <c r="U656" s="376"/>
      <c r="V656" s="649"/>
      <c r="W656" s="636"/>
      <c r="X656" s="404"/>
      <c r="Y656" s="372"/>
      <c r="Z656" s="381"/>
      <c r="AA656" s="241"/>
      <c r="AB656" s="411"/>
      <c r="AC656" s="577"/>
      <c r="AD656" s="241"/>
      <c r="AE656" s="411"/>
      <c r="AF656" s="577"/>
      <c r="AG656" s="241"/>
      <c r="AH656" s="411"/>
      <c r="AI656" s="577"/>
      <c r="AJ656" s="241"/>
      <c r="AK656" s="411"/>
      <c r="AL656" s="577"/>
      <c r="AM656" s="241"/>
      <c r="AN656" s="411"/>
      <c r="AO656" s="577"/>
      <c r="AP656" s="241"/>
      <c r="AQ656" s="411"/>
      <c r="AR656" s="577"/>
    </row>
    <row r="657" spans="1:44" ht="15.75" hidden="1" customHeight="1">
      <c r="A657" s="309"/>
      <c r="B657" s="656" t="s">
        <v>2548</v>
      </c>
      <c r="C657" s="632">
        <v>15</v>
      </c>
      <c r="D657" s="632">
        <v>323</v>
      </c>
      <c r="E657" s="633"/>
      <c r="F657" s="524"/>
      <c r="G657" s="524"/>
      <c r="H657" s="362"/>
      <c r="I657" s="230"/>
      <c r="J657" s="230"/>
      <c r="K657" s="363"/>
      <c r="L657" s="364"/>
      <c r="M657" s="365"/>
      <c r="N657" s="366"/>
      <c r="O657" s="634"/>
      <c r="P657" s="454"/>
      <c r="Q657" s="504"/>
      <c r="R657" s="639"/>
      <c r="S657" s="420"/>
      <c r="T657" s="421"/>
      <c r="U657" s="387"/>
      <c r="V657" s="648"/>
      <c r="W657" s="640"/>
      <c r="X657" s="404"/>
      <c r="Y657" s="372"/>
      <c r="Z657" s="381"/>
      <c r="AA657" s="225"/>
      <c r="AB657" s="361"/>
      <c r="AC657" s="533"/>
      <c r="AD657" s="225"/>
      <c r="AE657" s="361"/>
      <c r="AF657" s="533"/>
      <c r="AG657" s="225"/>
      <c r="AH657" s="361"/>
      <c r="AI657" s="533"/>
      <c r="AJ657" s="225"/>
      <c r="AK657" s="361"/>
      <c r="AL657" s="533"/>
      <c r="AM657" s="225"/>
      <c r="AN657" s="361"/>
      <c r="AO657" s="533"/>
      <c r="AP657" s="225"/>
      <c r="AQ657" s="361"/>
      <c r="AR657" s="533"/>
    </row>
    <row r="658" spans="1:44" ht="15.75" hidden="1" customHeight="1">
      <c r="A658" s="309"/>
      <c r="B658" s="656"/>
      <c r="C658" s="632"/>
      <c r="D658" s="632"/>
      <c r="E658" s="633"/>
      <c r="F658" s="524"/>
      <c r="G658" s="524"/>
      <c r="H658" s="362"/>
      <c r="I658" s="230"/>
      <c r="J658" s="230"/>
      <c r="K658" s="363"/>
      <c r="L658" s="364"/>
      <c r="M658" s="365"/>
      <c r="N658" s="366"/>
      <c r="O658" s="634"/>
      <c r="P658" s="429"/>
      <c r="Q658" s="442"/>
      <c r="R658" s="646"/>
      <c r="S658" s="433"/>
      <c r="T658" s="434"/>
      <c r="U658" s="376"/>
      <c r="V658" s="649"/>
      <c r="W658" s="636"/>
      <c r="X658" s="404"/>
      <c r="Y658" s="372"/>
      <c r="Z658" s="381"/>
      <c r="AA658" s="241"/>
      <c r="AB658" s="411"/>
      <c r="AC658" s="577"/>
      <c r="AD658" s="241"/>
      <c r="AE658" s="411"/>
      <c r="AF658" s="577"/>
      <c r="AG658" s="241"/>
      <c r="AH658" s="411"/>
      <c r="AI658" s="577"/>
      <c r="AJ658" s="241"/>
      <c r="AK658" s="411"/>
      <c r="AL658" s="577"/>
      <c r="AM658" s="241"/>
      <c r="AN658" s="411"/>
      <c r="AO658" s="577"/>
      <c r="AP658" s="241"/>
      <c r="AQ658" s="411"/>
      <c r="AR658" s="577"/>
    </row>
    <row r="659" spans="1:44" ht="15.75" hidden="1" customHeight="1">
      <c r="A659" s="309"/>
      <c r="B659" s="656" t="s">
        <v>2548</v>
      </c>
      <c r="C659" s="632">
        <v>16</v>
      </c>
      <c r="D659" s="632">
        <v>325</v>
      </c>
      <c r="E659" s="633"/>
      <c r="F659" s="524"/>
      <c r="G659" s="524"/>
      <c r="H659" s="362"/>
      <c r="I659" s="230"/>
      <c r="J659" s="230"/>
      <c r="K659" s="363"/>
      <c r="L659" s="364"/>
      <c r="M659" s="365"/>
      <c r="N659" s="366"/>
      <c r="O659" s="634"/>
      <c r="P659" s="454"/>
      <c r="Q659" s="504"/>
      <c r="R659" s="639"/>
      <c r="S659" s="420"/>
      <c r="T659" s="421"/>
      <c r="U659" s="387"/>
      <c r="V659" s="648"/>
      <c r="W659" s="640"/>
      <c r="X659" s="404"/>
      <c r="Y659" s="372"/>
      <c r="Z659" s="381"/>
      <c r="AA659" s="225"/>
      <c r="AB659" s="361"/>
      <c r="AC659" s="533"/>
      <c r="AD659" s="225"/>
      <c r="AE659" s="361"/>
      <c r="AF659" s="533"/>
      <c r="AG659" s="225"/>
      <c r="AH659" s="361"/>
      <c r="AI659" s="533"/>
      <c r="AJ659" s="225"/>
      <c r="AK659" s="361"/>
      <c r="AL659" s="533"/>
      <c r="AM659" s="225"/>
      <c r="AN659" s="361"/>
      <c r="AO659" s="533"/>
      <c r="AP659" s="225"/>
      <c r="AQ659" s="361"/>
      <c r="AR659" s="533"/>
    </row>
    <row r="660" spans="1:44" ht="15.75" hidden="1" customHeight="1">
      <c r="A660" s="309"/>
      <c r="B660" s="656"/>
      <c r="C660" s="632"/>
      <c r="D660" s="632"/>
      <c r="E660" s="633"/>
      <c r="F660" s="524"/>
      <c r="G660" s="524"/>
      <c r="H660" s="362"/>
      <c r="I660" s="230"/>
      <c r="J660" s="230"/>
      <c r="K660" s="363"/>
      <c r="L660" s="364"/>
      <c r="M660" s="365"/>
      <c r="N660" s="366"/>
      <c r="O660" s="634"/>
      <c r="P660" s="429"/>
      <c r="Q660" s="442"/>
      <c r="R660" s="646"/>
      <c r="S660" s="433"/>
      <c r="T660" s="434"/>
      <c r="U660" s="376"/>
      <c r="V660" s="649"/>
      <c r="W660" s="636"/>
      <c r="X660" s="404"/>
      <c r="Y660" s="372"/>
      <c r="Z660" s="381"/>
      <c r="AA660" s="241"/>
      <c r="AB660" s="411"/>
      <c r="AC660" s="577"/>
      <c r="AD660" s="241"/>
      <c r="AE660" s="411"/>
      <c r="AF660" s="577"/>
      <c r="AG660" s="241"/>
      <c r="AH660" s="411"/>
      <c r="AI660" s="577"/>
      <c r="AJ660" s="241"/>
      <c r="AK660" s="411"/>
      <c r="AL660" s="577"/>
      <c r="AM660" s="241"/>
      <c r="AN660" s="411"/>
      <c r="AO660" s="577"/>
      <c r="AP660" s="241"/>
      <c r="AQ660" s="411"/>
      <c r="AR660" s="577"/>
    </row>
    <row r="661" spans="1:44" ht="15.75" hidden="1" customHeight="1">
      <c r="A661" s="309"/>
      <c r="B661" s="656" t="s">
        <v>2548</v>
      </c>
      <c r="C661" s="632">
        <v>17</v>
      </c>
      <c r="D661" s="632">
        <v>326</v>
      </c>
      <c r="E661" s="633"/>
      <c r="F661" s="524"/>
      <c r="G661" s="524"/>
      <c r="H661" s="362"/>
      <c r="I661" s="230"/>
      <c r="J661" s="230"/>
      <c r="K661" s="363"/>
      <c r="L661" s="364"/>
      <c r="M661" s="365"/>
      <c r="N661" s="366"/>
      <c r="O661" s="634"/>
      <c r="P661" s="454"/>
      <c r="Q661" s="504"/>
      <c r="R661" s="639"/>
      <c r="S661" s="420"/>
      <c r="T661" s="421"/>
      <c r="U661" s="387"/>
      <c r="V661" s="648"/>
      <c r="W661" s="640"/>
      <c r="X661" s="404"/>
      <c r="Y661" s="372"/>
      <c r="Z661" s="381"/>
      <c r="AA661" s="225"/>
      <c r="AB661" s="361"/>
      <c r="AC661" s="533"/>
      <c r="AD661" s="225"/>
      <c r="AE661" s="361"/>
      <c r="AF661" s="533"/>
      <c r="AG661" s="225"/>
      <c r="AH661" s="361"/>
      <c r="AI661" s="533"/>
      <c r="AJ661" s="225"/>
      <c r="AK661" s="361"/>
      <c r="AL661" s="533"/>
      <c r="AM661" s="225"/>
      <c r="AN661" s="361"/>
      <c r="AO661" s="533"/>
      <c r="AP661" s="225"/>
      <c r="AQ661" s="361"/>
      <c r="AR661" s="533"/>
    </row>
    <row r="662" spans="1:44" ht="15.75" hidden="1" customHeight="1">
      <c r="A662" s="309"/>
      <c r="B662" s="656"/>
      <c r="C662" s="632"/>
      <c r="D662" s="632"/>
      <c r="E662" s="633"/>
      <c r="F662" s="524"/>
      <c r="G662" s="524"/>
      <c r="H662" s="362"/>
      <c r="I662" s="230"/>
      <c r="J662" s="230"/>
      <c r="K662" s="363"/>
      <c r="L662" s="364"/>
      <c r="M662" s="365"/>
      <c r="N662" s="366"/>
      <c r="O662" s="634"/>
      <c r="P662" s="429"/>
      <c r="Q662" s="442"/>
      <c r="R662" s="646"/>
      <c r="S662" s="433"/>
      <c r="T662" s="434"/>
      <c r="U662" s="376"/>
      <c r="V662" s="649"/>
      <c r="W662" s="636"/>
      <c r="X662" s="404"/>
      <c r="Y662" s="372"/>
      <c r="Z662" s="381"/>
      <c r="AA662" s="241"/>
      <c r="AB662" s="411"/>
      <c r="AC662" s="577"/>
      <c r="AD662" s="241"/>
      <c r="AE662" s="411"/>
      <c r="AF662" s="577"/>
      <c r="AG662" s="241"/>
      <c r="AH662" s="411"/>
      <c r="AI662" s="577"/>
      <c r="AJ662" s="241"/>
      <c r="AK662" s="411"/>
      <c r="AL662" s="577"/>
      <c r="AM662" s="241"/>
      <c r="AN662" s="411"/>
      <c r="AO662" s="577"/>
      <c r="AP662" s="241"/>
      <c r="AQ662" s="411"/>
      <c r="AR662" s="577"/>
    </row>
    <row r="663" spans="1:44" ht="14.25" hidden="1" customHeight="1">
      <c r="A663" s="309"/>
      <c r="B663" s="656" t="s">
        <v>2548</v>
      </c>
      <c r="C663" s="632">
        <v>18</v>
      </c>
      <c r="D663" s="632">
        <v>327</v>
      </c>
      <c r="E663" s="633"/>
      <c r="F663" s="524"/>
      <c r="G663" s="524"/>
      <c r="H663" s="362"/>
      <c r="I663" s="230"/>
      <c r="J663" s="230"/>
      <c r="K663" s="363"/>
      <c r="L663" s="364"/>
      <c r="M663" s="365"/>
      <c r="N663" s="366"/>
      <c r="O663" s="634"/>
      <c r="P663" s="454"/>
      <c r="Q663" s="504"/>
      <c r="R663" s="639"/>
      <c r="S663" s="650"/>
      <c r="T663" s="421"/>
      <c r="U663" s="387"/>
      <c r="V663" s="648"/>
      <c r="W663" s="640"/>
      <c r="X663" s="404"/>
      <c r="Y663" s="372"/>
      <c r="Z663" s="381"/>
      <c r="AA663" s="225"/>
      <c r="AB663" s="361"/>
      <c r="AC663" s="533"/>
      <c r="AD663" s="225"/>
      <c r="AE663" s="361"/>
      <c r="AF663" s="533"/>
      <c r="AG663" s="225"/>
      <c r="AH663" s="361"/>
      <c r="AI663" s="533"/>
      <c r="AJ663" s="225"/>
      <c r="AK663" s="361"/>
      <c r="AL663" s="533"/>
      <c r="AM663" s="225"/>
      <c r="AN663" s="361"/>
      <c r="AO663" s="533"/>
      <c r="AP663" s="225"/>
      <c r="AQ663" s="361"/>
      <c r="AR663" s="533"/>
    </row>
    <row r="664" spans="1:44" ht="15.75" hidden="1" customHeight="1">
      <c r="A664" s="309"/>
      <c r="B664" s="656"/>
      <c r="C664" s="632"/>
      <c r="D664" s="632"/>
      <c r="E664" s="633"/>
      <c r="F664" s="524"/>
      <c r="G664" s="524"/>
      <c r="H664" s="362"/>
      <c r="I664" s="230"/>
      <c r="J664" s="230"/>
      <c r="K664" s="363"/>
      <c r="L664" s="364"/>
      <c r="M664" s="365"/>
      <c r="N664" s="366"/>
      <c r="O664" s="634"/>
      <c r="P664" s="429"/>
      <c r="Q664" s="442"/>
      <c r="R664" s="646"/>
      <c r="S664" s="433"/>
      <c r="T664" s="434"/>
      <c r="U664" s="376"/>
      <c r="V664" s="649"/>
      <c r="W664" s="636"/>
      <c r="X664" s="404"/>
      <c r="Y664" s="372"/>
      <c r="Z664" s="381"/>
      <c r="AA664" s="241"/>
      <c r="AB664" s="411"/>
      <c r="AC664" s="577"/>
      <c r="AD664" s="241"/>
      <c r="AE664" s="411"/>
      <c r="AF664" s="577"/>
      <c r="AG664" s="241"/>
      <c r="AH664" s="411"/>
      <c r="AI664" s="577"/>
      <c r="AJ664" s="241"/>
      <c r="AK664" s="411"/>
      <c r="AL664" s="577"/>
      <c r="AM664" s="241"/>
      <c r="AN664" s="411"/>
      <c r="AO664" s="577"/>
      <c r="AP664" s="241"/>
      <c r="AQ664" s="411"/>
      <c r="AR664" s="577"/>
    </row>
    <row r="665" spans="1:44" ht="15.75" hidden="1" customHeight="1">
      <c r="A665" s="309"/>
      <c r="B665" s="656" t="s">
        <v>2548</v>
      </c>
      <c r="C665" s="632">
        <v>19</v>
      </c>
      <c r="D665" s="632">
        <v>328</v>
      </c>
      <c r="E665" s="653"/>
      <c r="F665" s="524"/>
      <c r="G665" s="524"/>
      <c r="H665" s="362"/>
      <c r="I665" s="230"/>
      <c r="J665" s="230"/>
      <c r="K665" s="363"/>
      <c r="L665" s="364"/>
      <c r="M665" s="365"/>
      <c r="N665" s="366"/>
      <c r="O665" s="634"/>
      <c r="P665" s="454"/>
      <c r="Q665" s="504"/>
      <c r="R665" s="639"/>
      <c r="S665" s="650"/>
      <c r="T665" s="421"/>
      <c r="U665" s="387"/>
      <c r="V665" s="648"/>
      <c r="W665" s="640"/>
      <c r="X665" s="404"/>
      <c r="Y665" s="372"/>
      <c r="Z665" s="381"/>
      <c r="AA665" s="225"/>
      <c r="AB665" s="361"/>
      <c r="AC665" s="533"/>
      <c r="AD665" s="225"/>
      <c r="AE665" s="361"/>
      <c r="AF665" s="533"/>
      <c r="AG665" s="225"/>
      <c r="AH665" s="361"/>
      <c r="AI665" s="533"/>
      <c r="AJ665" s="225"/>
      <c r="AK665" s="361"/>
      <c r="AL665" s="533"/>
      <c r="AM665" s="225"/>
      <c r="AN665" s="361"/>
      <c r="AO665" s="533"/>
      <c r="AP665" s="225"/>
      <c r="AQ665" s="361"/>
      <c r="AR665" s="533"/>
    </row>
    <row r="666" spans="1:44" ht="15.75" hidden="1" customHeight="1">
      <c r="A666" s="309"/>
      <c r="B666" s="656"/>
      <c r="C666" s="632"/>
      <c r="D666" s="632"/>
      <c r="E666" s="653"/>
      <c r="F666" s="524"/>
      <c r="G666" s="524"/>
      <c r="H666" s="362"/>
      <c r="I666" s="230"/>
      <c r="J666" s="230"/>
      <c r="K666" s="363"/>
      <c r="L666" s="364"/>
      <c r="M666" s="365"/>
      <c r="N666" s="366"/>
      <c r="O666" s="634"/>
      <c r="P666" s="429"/>
      <c r="Q666" s="442"/>
      <c r="R666" s="646"/>
      <c r="S666" s="433"/>
      <c r="T666" s="434"/>
      <c r="U666" s="376"/>
      <c r="V666" s="649"/>
      <c r="W666" s="636"/>
      <c r="X666" s="404"/>
      <c r="Y666" s="372"/>
      <c r="Z666" s="381"/>
      <c r="AA666" s="241"/>
      <c r="AB666" s="411"/>
      <c r="AC666" s="577"/>
      <c r="AD666" s="241"/>
      <c r="AE666" s="411"/>
      <c r="AF666" s="577"/>
      <c r="AG666" s="241"/>
      <c r="AH666" s="411"/>
      <c r="AI666" s="577"/>
      <c r="AJ666" s="241"/>
      <c r="AK666" s="411"/>
      <c r="AL666" s="577"/>
      <c r="AM666" s="241"/>
      <c r="AN666" s="411"/>
      <c r="AO666" s="577"/>
      <c r="AP666" s="241"/>
      <c r="AQ666" s="411"/>
      <c r="AR666" s="577"/>
    </row>
    <row r="667" spans="1:44" ht="15.75" hidden="1" customHeight="1">
      <c r="A667" s="309"/>
      <c r="B667" s="656" t="s">
        <v>2548</v>
      </c>
      <c r="C667" s="632">
        <v>20</v>
      </c>
      <c r="D667" s="632">
        <v>329</v>
      </c>
      <c r="E667" s="633"/>
      <c r="F667" s="524"/>
      <c r="G667" s="524"/>
      <c r="H667" s="362"/>
      <c r="I667" s="230"/>
      <c r="J667" s="230"/>
      <c r="K667" s="363"/>
      <c r="L667" s="364"/>
      <c r="M667" s="365"/>
      <c r="N667" s="630"/>
      <c r="O667" s="634"/>
      <c r="P667" s="454"/>
      <c r="Q667" s="504"/>
      <c r="R667" s="639"/>
      <c r="S667" s="420"/>
      <c r="T667" s="421"/>
      <c r="U667" s="387"/>
      <c r="V667" s="648"/>
      <c r="W667" s="640"/>
      <c r="X667" s="404"/>
      <c r="Y667" s="372"/>
      <c r="Z667" s="381"/>
      <c r="AA667" s="225"/>
      <c r="AB667" s="361"/>
      <c r="AC667" s="533"/>
      <c r="AD667" s="225"/>
      <c r="AE667" s="361"/>
      <c r="AF667" s="533"/>
      <c r="AG667" s="225"/>
      <c r="AH667" s="361"/>
      <c r="AI667" s="533"/>
      <c r="AJ667" s="225"/>
      <c r="AK667" s="361"/>
      <c r="AL667" s="533"/>
      <c r="AM667" s="225"/>
      <c r="AN667" s="361"/>
      <c r="AO667" s="533"/>
      <c r="AP667" s="225"/>
      <c r="AQ667" s="361"/>
      <c r="AR667" s="533"/>
    </row>
    <row r="668" spans="1:44" ht="15.75" hidden="1" customHeight="1">
      <c r="A668" s="309"/>
      <c r="B668" s="656"/>
      <c r="C668" s="632"/>
      <c r="D668" s="632"/>
      <c r="E668" s="633"/>
      <c r="F668" s="524"/>
      <c r="G668" s="524"/>
      <c r="H668" s="362"/>
      <c r="I668" s="230"/>
      <c r="J668" s="230"/>
      <c r="K668" s="363"/>
      <c r="L668" s="364"/>
      <c r="M668" s="365"/>
      <c r="N668" s="630"/>
      <c r="O668" s="634"/>
      <c r="P668" s="429"/>
      <c r="Q668" s="442"/>
      <c r="R668" s="646"/>
      <c r="S668" s="433"/>
      <c r="T668" s="434"/>
      <c r="U668" s="376"/>
      <c r="V668" s="649"/>
      <c r="W668" s="636"/>
      <c r="X668" s="404"/>
      <c r="Y668" s="372"/>
      <c r="Z668" s="381"/>
      <c r="AA668" s="241"/>
      <c r="AB668" s="411"/>
      <c r="AC668" s="577"/>
      <c r="AD668" s="241"/>
      <c r="AE668" s="411"/>
      <c r="AF668" s="577"/>
      <c r="AG668" s="241"/>
      <c r="AH668" s="411"/>
      <c r="AI668" s="577"/>
      <c r="AJ668" s="241"/>
      <c r="AK668" s="411"/>
      <c r="AL668" s="577"/>
      <c r="AM668" s="241"/>
      <c r="AN668" s="411"/>
      <c r="AO668" s="577"/>
      <c r="AP668" s="241"/>
      <c r="AQ668" s="411"/>
      <c r="AR668" s="577"/>
    </row>
    <row r="669" spans="1:44" ht="15.75" hidden="1" customHeight="1">
      <c r="A669" s="309"/>
      <c r="B669" s="656" t="s">
        <v>2548</v>
      </c>
      <c r="C669" s="632">
        <v>21</v>
      </c>
      <c r="D669" s="632">
        <v>330</v>
      </c>
      <c r="E669" s="633"/>
      <c r="F669" s="524"/>
      <c r="G669" s="524"/>
      <c r="H669" s="362"/>
      <c r="I669" s="230"/>
      <c r="J669" s="230"/>
      <c r="K669" s="363"/>
      <c r="L669" s="364"/>
      <c r="M669" s="365"/>
      <c r="N669" s="366"/>
      <c r="O669" s="634"/>
      <c r="P669" s="454"/>
      <c r="Q669" s="504"/>
      <c r="R669" s="639"/>
      <c r="S669" s="420"/>
      <c r="T669" s="421"/>
      <c r="U669" s="387"/>
      <c r="V669" s="648"/>
      <c r="W669" s="640"/>
      <c r="X669" s="404"/>
      <c r="Y669" s="372"/>
      <c r="Z669" s="381"/>
      <c r="AA669" s="225"/>
      <c r="AB669" s="361"/>
      <c r="AC669" s="533"/>
      <c r="AD669" s="225"/>
      <c r="AE669" s="361"/>
      <c r="AF669" s="533"/>
      <c r="AG669" s="225"/>
      <c r="AH669" s="361"/>
      <c r="AI669" s="533"/>
      <c r="AJ669" s="225"/>
      <c r="AK669" s="361"/>
      <c r="AL669" s="533"/>
      <c r="AM669" s="225"/>
      <c r="AN669" s="361"/>
      <c r="AO669" s="533"/>
      <c r="AP669" s="225"/>
      <c r="AQ669" s="361"/>
      <c r="AR669" s="533"/>
    </row>
    <row r="670" spans="1:44" ht="15.75" hidden="1" customHeight="1">
      <c r="A670" s="309"/>
      <c r="B670" s="656"/>
      <c r="C670" s="632"/>
      <c r="D670" s="632"/>
      <c r="E670" s="633"/>
      <c r="F670" s="524"/>
      <c r="G670" s="524"/>
      <c r="H670" s="362"/>
      <c r="I670" s="230"/>
      <c r="J670" s="230"/>
      <c r="K670" s="363"/>
      <c r="L670" s="364"/>
      <c r="M670" s="365"/>
      <c r="N670" s="366"/>
      <c r="O670" s="634"/>
      <c r="P670" s="429"/>
      <c r="Q670" s="442"/>
      <c r="R670" s="646"/>
      <c r="S670" s="433"/>
      <c r="T670" s="434"/>
      <c r="U670" s="376"/>
      <c r="V670" s="649"/>
      <c r="W670" s="636"/>
      <c r="X670" s="404"/>
      <c r="Y670" s="372"/>
      <c r="Z670" s="381"/>
      <c r="AA670" s="241"/>
      <c r="AB670" s="411"/>
      <c r="AC670" s="577"/>
      <c r="AD670" s="241"/>
      <c r="AE670" s="411"/>
      <c r="AF670" s="577"/>
      <c r="AG670" s="241"/>
      <c r="AH670" s="411"/>
      <c r="AI670" s="577"/>
      <c r="AJ670" s="241"/>
      <c r="AK670" s="411"/>
      <c r="AL670" s="577"/>
      <c r="AM670" s="241"/>
      <c r="AN670" s="411"/>
      <c r="AO670" s="577"/>
      <c r="AP670" s="241"/>
      <c r="AQ670" s="411"/>
      <c r="AR670" s="577"/>
    </row>
    <row r="671" spans="1:44" ht="14.25" hidden="1" customHeight="1">
      <c r="A671" s="309"/>
      <c r="B671" s="656" t="s">
        <v>2548</v>
      </c>
      <c r="C671" s="632">
        <v>22</v>
      </c>
      <c r="D671" s="632">
        <v>331</v>
      </c>
      <c r="E671" s="633"/>
      <c r="F671" s="524"/>
      <c r="G671" s="524"/>
      <c r="H671" s="362"/>
      <c r="I671" s="230"/>
      <c r="J671" s="230"/>
      <c r="K671" s="363"/>
      <c r="L671" s="364"/>
      <c r="M671" s="365"/>
      <c r="N671" s="366"/>
      <c r="O671" s="634"/>
      <c r="P671" s="454"/>
      <c r="Q671" s="504"/>
      <c r="R671" s="639"/>
      <c r="S671" s="420"/>
      <c r="T671" s="421"/>
      <c r="U671" s="387"/>
      <c r="V671" s="648"/>
      <c r="W671" s="640"/>
      <c r="X671" s="404"/>
      <c r="Y671" s="372"/>
      <c r="Z671" s="381"/>
      <c r="AA671" s="225"/>
      <c r="AB671" s="361"/>
      <c r="AC671" s="533"/>
      <c r="AD671" s="225"/>
      <c r="AE671" s="361"/>
      <c r="AF671" s="533"/>
      <c r="AG671" s="225"/>
      <c r="AH671" s="361"/>
      <c r="AI671" s="533"/>
      <c r="AJ671" s="225"/>
      <c r="AK671" s="361"/>
      <c r="AL671" s="533"/>
      <c r="AM671" s="225"/>
      <c r="AN671" s="361"/>
      <c r="AO671" s="533"/>
      <c r="AP671" s="225"/>
      <c r="AQ671" s="361"/>
      <c r="AR671" s="533"/>
    </row>
    <row r="672" spans="1:44" ht="15.75" hidden="1" customHeight="1">
      <c r="A672" s="309"/>
      <c r="B672" s="656"/>
      <c r="C672" s="632"/>
      <c r="D672" s="632"/>
      <c r="E672" s="633"/>
      <c r="F672" s="524"/>
      <c r="G672" s="524"/>
      <c r="H672" s="362"/>
      <c r="I672" s="230"/>
      <c r="J672" s="230"/>
      <c r="K672" s="363"/>
      <c r="L672" s="364"/>
      <c r="M672" s="365"/>
      <c r="N672" s="366"/>
      <c r="O672" s="634"/>
      <c r="P672" s="429"/>
      <c r="Q672" s="442"/>
      <c r="R672" s="646"/>
      <c r="S672" s="433"/>
      <c r="T672" s="434"/>
      <c r="U672" s="376"/>
      <c r="V672" s="649"/>
      <c r="W672" s="636"/>
      <c r="X672" s="404"/>
      <c r="Y672" s="372"/>
      <c r="Z672" s="381"/>
      <c r="AA672" s="241"/>
      <c r="AB672" s="411"/>
      <c r="AC672" s="577"/>
      <c r="AD672" s="241"/>
      <c r="AE672" s="411"/>
      <c r="AF672" s="577"/>
      <c r="AG672" s="241"/>
      <c r="AH672" s="411"/>
      <c r="AI672" s="577"/>
      <c r="AJ672" s="241"/>
      <c r="AK672" s="411"/>
      <c r="AL672" s="577"/>
      <c r="AM672" s="241"/>
      <c r="AN672" s="411"/>
      <c r="AO672" s="577"/>
      <c r="AP672" s="241"/>
      <c r="AQ672" s="411"/>
      <c r="AR672" s="577"/>
    </row>
    <row r="673" spans="1:44" ht="15.75" hidden="1" customHeight="1">
      <c r="A673" s="309"/>
      <c r="B673" s="657" t="s">
        <v>2548</v>
      </c>
      <c r="C673" s="658">
        <v>23</v>
      </c>
      <c r="D673" s="659">
        <v>332</v>
      </c>
      <c r="E673" s="660"/>
      <c r="F673" s="546"/>
      <c r="G673" s="546"/>
      <c r="H673" s="562"/>
      <c r="I673" s="361"/>
      <c r="J673" s="361"/>
      <c r="K673" s="597"/>
      <c r="L673" s="451"/>
      <c r="M673" s="452"/>
      <c r="N673" s="409"/>
      <c r="O673" s="638"/>
      <c r="P673" s="454"/>
      <c r="Q673" s="504"/>
      <c r="R673" s="639"/>
      <c r="S673" s="650"/>
      <c r="T673" s="421"/>
      <c r="U673" s="387"/>
      <c r="V673" s="648"/>
      <c r="W673" s="640"/>
      <c r="X673" s="404"/>
      <c r="Y673" s="372"/>
      <c r="Z673" s="381"/>
      <c r="AA673" s="225"/>
      <c r="AB673" s="361"/>
      <c r="AC673" s="533"/>
      <c r="AD673" s="225"/>
      <c r="AE673" s="361"/>
      <c r="AF673" s="533"/>
      <c r="AG673" s="225"/>
      <c r="AH673" s="361"/>
      <c r="AI673" s="533"/>
      <c r="AJ673" s="225"/>
      <c r="AK673" s="361"/>
      <c r="AL673" s="533"/>
      <c r="AM673" s="225"/>
      <c r="AN673" s="361"/>
      <c r="AO673" s="533"/>
      <c r="AP673" s="225"/>
      <c r="AQ673" s="361"/>
      <c r="AR673" s="533"/>
    </row>
    <row r="674" spans="1:44" ht="15.75" hidden="1" customHeight="1">
      <c r="A674" s="309"/>
      <c r="B674" s="661"/>
      <c r="C674" s="662"/>
      <c r="D674" s="663"/>
      <c r="E674" s="664"/>
      <c r="F674" s="551"/>
      <c r="G674" s="551"/>
      <c r="H674" s="426"/>
      <c r="I674" s="378"/>
      <c r="J674" s="378"/>
      <c r="K674" s="438"/>
      <c r="L674" s="427"/>
      <c r="M674" s="439"/>
      <c r="N674" s="425"/>
      <c r="O674" s="645"/>
      <c r="P674" s="429"/>
      <c r="Q674" s="442"/>
      <c r="R674" s="646"/>
      <c r="S674" s="433"/>
      <c r="T674" s="434"/>
      <c r="U674" s="376"/>
      <c r="V674" s="649"/>
      <c r="W674" s="636"/>
      <c r="X674" s="404"/>
      <c r="Y674" s="372"/>
      <c r="Z674" s="381"/>
      <c r="AA674" s="241"/>
      <c r="AB674" s="411"/>
      <c r="AC674" s="577"/>
      <c r="AD674" s="241"/>
      <c r="AE674" s="411"/>
      <c r="AF674" s="577"/>
      <c r="AG674" s="241"/>
      <c r="AH674" s="411"/>
      <c r="AI674" s="577"/>
      <c r="AJ674" s="241"/>
      <c r="AK674" s="411"/>
      <c r="AL674" s="577"/>
      <c r="AM674" s="241"/>
      <c r="AN674" s="411"/>
      <c r="AO674" s="577"/>
      <c r="AP674" s="241"/>
      <c r="AQ674" s="411"/>
      <c r="AR674" s="577"/>
    </row>
    <row r="675" spans="1:44" ht="15.75" hidden="1" customHeight="1">
      <c r="A675" s="309"/>
      <c r="B675" s="656" t="s">
        <v>2548</v>
      </c>
      <c r="C675" s="632">
        <v>24</v>
      </c>
      <c r="D675" s="632">
        <v>333</v>
      </c>
      <c r="E675" s="633"/>
      <c r="F675" s="524"/>
      <c r="G675" s="524"/>
      <c r="H675" s="362"/>
      <c r="I675" s="230"/>
      <c r="J675" s="230"/>
      <c r="K675" s="363"/>
      <c r="L675" s="364"/>
      <c r="M675" s="452"/>
      <c r="N675" s="409"/>
      <c r="O675" s="638"/>
      <c r="P675" s="454"/>
      <c r="Q675" s="675"/>
      <c r="R675" s="639"/>
      <c r="S675" s="420"/>
      <c r="T675" s="421"/>
      <c r="U675" s="387"/>
      <c r="V675" s="648"/>
      <c r="W675" s="640"/>
      <c r="X675" s="404"/>
      <c r="Y675" s="372"/>
      <c r="Z675" s="381"/>
      <c r="AA675" s="225"/>
      <c r="AB675" s="361"/>
      <c r="AC675" s="533"/>
      <c r="AD675" s="225"/>
      <c r="AE675" s="361"/>
      <c r="AF675" s="533"/>
      <c r="AG675" s="225"/>
      <c r="AH675" s="361"/>
      <c r="AI675" s="533"/>
      <c r="AJ675" s="225"/>
      <c r="AK675" s="361"/>
      <c r="AL675" s="533"/>
      <c r="AM675" s="225"/>
      <c r="AN675" s="361"/>
      <c r="AO675" s="533"/>
      <c r="AP675" s="225"/>
      <c r="AQ675" s="361"/>
      <c r="AR675" s="533"/>
    </row>
    <row r="676" spans="1:44" ht="15.75" hidden="1" customHeight="1">
      <c r="A676" s="309"/>
      <c r="B676" s="656"/>
      <c r="C676" s="632"/>
      <c r="D676" s="632"/>
      <c r="E676" s="633"/>
      <c r="F676" s="524"/>
      <c r="G676" s="524"/>
      <c r="H676" s="362"/>
      <c r="I676" s="230"/>
      <c r="J676" s="230"/>
      <c r="K676" s="363"/>
      <c r="L676" s="364"/>
      <c r="M676" s="604"/>
      <c r="N676" s="415"/>
      <c r="O676" s="642"/>
      <c r="P676" s="581"/>
      <c r="Q676" s="677"/>
      <c r="R676" s="646"/>
      <c r="S676" s="433"/>
      <c r="T676" s="434"/>
      <c r="U676" s="376"/>
      <c r="V676" s="649"/>
      <c r="W676" s="636"/>
      <c r="X676" s="404"/>
      <c r="Y676" s="372"/>
      <c r="Z676" s="381"/>
      <c r="AA676" s="241"/>
      <c r="AB676" s="411"/>
      <c r="AC676" s="577"/>
      <c r="AD676" s="241"/>
      <c r="AE676" s="411"/>
      <c r="AF676" s="577"/>
      <c r="AG676" s="241"/>
      <c r="AH676" s="411"/>
      <c r="AI676" s="577"/>
      <c r="AJ676" s="241"/>
      <c r="AK676" s="411"/>
      <c r="AL676" s="577"/>
      <c r="AM676" s="241"/>
      <c r="AN676" s="411"/>
      <c r="AO676" s="577"/>
      <c r="AP676" s="241"/>
      <c r="AQ676" s="411"/>
      <c r="AR676" s="577"/>
    </row>
    <row r="677" spans="1:44" ht="15.75" hidden="1" customHeight="1">
      <c r="A677" s="309"/>
      <c r="B677" s="656" t="s">
        <v>2548</v>
      </c>
      <c r="C677" s="632">
        <v>25</v>
      </c>
      <c r="D677" s="632">
        <v>334</v>
      </c>
      <c r="E677" s="633"/>
      <c r="F677" s="524"/>
      <c r="G677" s="524"/>
      <c r="H677" s="362"/>
      <c r="I677" s="230"/>
      <c r="J677" s="230"/>
      <c r="K677" s="363"/>
      <c r="L677" s="364"/>
      <c r="M677" s="604"/>
      <c r="N677" s="415"/>
      <c r="O677" s="642"/>
      <c r="P677" s="581"/>
      <c r="Q677" s="677"/>
      <c r="R677" s="639"/>
      <c r="S677" s="420"/>
      <c r="T677" s="421"/>
      <c r="U677" s="387"/>
      <c r="V677" s="648"/>
      <c r="W677" s="640"/>
      <c r="X677" s="404"/>
      <c r="Y677" s="372"/>
      <c r="Z677" s="381"/>
      <c r="AA677" s="225"/>
      <c r="AB677" s="361"/>
      <c r="AC677" s="533"/>
      <c r="AD677" s="225"/>
      <c r="AE677" s="361"/>
      <c r="AF677" s="533"/>
      <c r="AG677" s="225"/>
      <c r="AH677" s="361"/>
      <c r="AI677" s="533"/>
      <c r="AJ677" s="225"/>
      <c r="AK677" s="361"/>
      <c r="AL677" s="533"/>
      <c r="AM677" s="225"/>
      <c r="AN677" s="361"/>
      <c r="AO677" s="533"/>
      <c r="AP677" s="225"/>
      <c r="AQ677" s="361"/>
      <c r="AR677" s="533"/>
    </row>
    <row r="678" spans="1:44" ht="15.75" hidden="1" customHeight="1">
      <c r="A678" s="309"/>
      <c r="B678" s="656"/>
      <c r="C678" s="632"/>
      <c r="D678" s="632"/>
      <c r="E678" s="633"/>
      <c r="F678" s="524"/>
      <c r="G678" s="524"/>
      <c r="H678" s="362"/>
      <c r="I678" s="230"/>
      <c r="J678" s="230"/>
      <c r="K678" s="363"/>
      <c r="L678" s="364"/>
      <c r="M678" s="439"/>
      <c r="N678" s="425"/>
      <c r="O678" s="645"/>
      <c r="P678" s="429"/>
      <c r="Q678" s="676"/>
      <c r="R678" s="646"/>
      <c r="S678" s="433"/>
      <c r="T678" s="434"/>
      <c r="U678" s="376"/>
      <c r="V678" s="649"/>
      <c r="W678" s="636"/>
      <c r="X678" s="404"/>
      <c r="Y678" s="372"/>
      <c r="Z678" s="381"/>
      <c r="AA678" s="241"/>
      <c r="AB678" s="411"/>
      <c r="AC678" s="577"/>
      <c r="AD678" s="241"/>
      <c r="AE678" s="411"/>
      <c r="AF678" s="577"/>
      <c r="AG678" s="241"/>
      <c r="AH678" s="411"/>
      <c r="AI678" s="577"/>
      <c r="AJ678" s="241"/>
      <c r="AK678" s="411"/>
      <c r="AL678" s="577"/>
      <c r="AM678" s="241"/>
      <c r="AN678" s="411"/>
      <c r="AO678" s="577"/>
      <c r="AP678" s="241"/>
      <c r="AQ678" s="411"/>
      <c r="AR678" s="577"/>
    </row>
    <row r="679" spans="1:44" ht="14.25" hidden="1" customHeight="1">
      <c r="A679" s="309"/>
      <c r="B679" s="656" t="s">
        <v>2548</v>
      </c>
      <c r="C679" s="632">
        <v>26</v>
      </c>
      <c r="D679" s="632">
        <v>335</v>
      </c>
      <c r="E679" s="633"/>
      <c r="F679" s="524"/>
      <c r="G679" s="524"/>
      <c r="H679" s="362"/>
      <c r="I679" s="230"/>
      <c r="J679" s="230"/>
      <c r="K679" s="363"/>
      <c r="L679" s="364"/>
      <c r="M679" s="365"/>
      <c r="N679" s="366"/>
      <c r="O679" s="634"/>
      <c r="P679" s="454"/>
      <c r="Q679" s="504"/>
      <c r="R679" s="639"/>
      <c r="S679" s="420"/>
      <c r="T679" s="421"/>
      <c r="U679" s="387"/>
      <c r="V679" s="648"/>
      <c r="W679" s="640"/>
      <c r="X679" s="404"/>
      <c r="Y679" s="372"/>
      <c r="Z679" s="381"/>
      <c r="AA679" s="225"/>
      <c r="AB679" s="361"/>
      <c r="AC679" s="533"/>
      <c r="AD679" s="225"/>
      <c r="AE679" s="361"/>
      <c r="AF679" s="533"/>
      <c r="AG679" s="225"/>
      <c r="AH679" s="361"/>
      <c r="AI679" s="533"/>
      <c r="AJ679" s="225"/>
      <c r="AK679" s="361"/>
      <c r="AL679" s="533"/>
      <c r="AM679" s="225"/>
      <c r="AN679" s="361"/>
      <c r="AO679" s="533"/>
      <c r="AP679" s="225"/>
      <c r="AQ679" s="361"/>
      <c r="AR679" s="533"/>
    </row>
    <row r="680" spans="1:44" ht="15.75" hidden="1" customHeight="1">
      <c r="A680" s="309"/>
      <c r="B680" s="656"/>
      <c r="C680" s="632"/>
      <c r="D680" s="632"/>
      <c r="E680" s="633"/>
      <c r="F680" s="524"/>
      <c r="G680" s="524"/>
      <c r="H680" s="362"/>
      <c r="I680" s="230"/>
      <c r="J680" s="230"/>
      <c r="K680" s="363"/>
      <c r="L680" s="364"/>
      <c r="M680" s="365"/>
      <c r="N680" s="366"/>
      <c r="O680" s="634"/>
      <c r="P680" s="429"/>
      <c r="Q680" s="442"/>
      <c r="R680" s="646"/>
      <c r="S680" s="433"/>
      <c r="T680" s="434"/>
      <c r="U680" s="376"/>
      <c r="V680" s="649"/>
      <c r="W680" s="636"/>
      <c r="X680" s="404"/>
      <c r="Y680" s="372"/>
      <c r="Z680" s="381"/>
      <c r="AA680" s="241"/>
      <c r="AB680" s="411"/>
      <c r="AC680" s="577"/>
      <c r="AD680" s="241"/>
      <c r="AE680" s="411"/>
      <c r="AF680" s="577"/>
      <c r="AG680" s="241"/>
      <c r="AH680" s="411"/>
      <c r="AI680" s="577"/>
      <c r="AJ680" s="241"/>
      <c r="AK680" s="411"/>
      <c r="AL680" s="577"/>
      <c r="AM680" s="241"/>
      <c r="AN680" s="411"/>
      <c r="AO680" s="577"/>
      <c r="AP680" s="241"/>
      <c r="AQ680" s="411"/>
      <c r="AR680" s="577"/>
    </row>
    <row r="681" spans="1:44" ht="15.75" hidden="1" customHeight="1">
      <c r="A681" s="309"/>
      <c r="B681" s="656" t="s">
        <v>2548</v>
      </c>
      <c r="C681" s="632">
        <v>27</v>
      </c>
      <c r="D681" s="632">
        <v>336</v>
      </c>
      <c r="E681" s="633"/>
      <c r="F681" s="524"/>
      <c r="G681" s="524"/>
      <c r="H681" s="362"/>
      <c r="I681" s="230"/>
      <c r="J681" s="230"/>
      <c r="K681" s="363"/>
      <c r="L681" s="364"/>
      <c r="M681" s="365"/>
      <c r="N681" s="366"/>
      <c r="O681" s="634"/>
      <c r="P681" s="454"/>
      <c r="Q681" s="504"/>
      <c r="R681" s="639"/>
      <c r="S681" s="420"/>
      <c r="T681" s="421"/>
      <c r="U681" s="387"/>
      <c r="V681" s="648"/>
      <c r="W681" s="640"/>
      <c r="X681" s="404"/>
      <c r="Y681" s="372"/>
      <c r="Z681" s="381"/>
      <c r="AA681" s="225"/>
      <c r="AB681" s="361"/>
      <c r="AC681" s="533"/>
      <c r="AD681" s="225"/>
      <c r="AE681" s="361"/>
      <c r="AF681" s="533"/>
      <c r="AG681" s="225"/>
      <c r="AH681" s="361"/>
      <c r="AI681" s="533"/>
      <c r="AJ681" s="225"/>
      <c r="AK681" s="361"/>
      <c r="AL681" s="533"/>
      <c r="AM681" s="225"/>
      <c r="AN681" s="361"/>
      <c r="AO681" s="533"/>
      <c r="AP681" s="225"/>
      <c r="AQ681" s="361"/>
      <c r="AR681" s="533"/>
    </row>
    <row r="682" spans="1:44" ht="15.75" hidden="1" customHeight="1">
      <c r="A682" s="309"/>
      <c r="B682" s="656"/>
      <c r="C682" s="632"/>
      <c r="D682" s="632"/>
      <c r="E682" s="633"/>
      <c r="F682" s="524"/>
      <c r="G682" s="524"/>
      <c r="H682" s="362"/>
      <c r="I682" s="230"/>
      <c r="J682" s="230"/>
      <c r="K682" s="363"/>
      <c r="L682" s="364"/>
      <c r="M682" s="365"/>
      <c r="N682" s="366"/>
      <c r="O682" s="634"/>
      <c r="P682" s="429"/>
      <c r="Q682" s="442"/>
      <c r="R682" s="646"/>
      <c r="S682" s="433"/>
      <c r="T682" s="434"/>
      <c r="U682" s="376"/>
      <c r="V682" s="649"/>
      <c r="W682" s="636"/>
      <c r="X682" s="404"/>
      <c r="Y682" s="372"/>
      <c r="Z682" s="381"/>
      <c r="AA682" s="241"/>
      <c r="AB682" s="411"/>
      <c r="AC682" s="577"/>
      <c r="AD682" s="241"/>
      <c r="AE682" s="411"/>
      <c r="AF682" s="577"/>
      <c r="AG682" s="241"/>
      <c r="AH682" s="411"/>
      <c r="AI682" s="577"/>
      <c r="AJ682" s="241"/>
      <c r="AK682" s="411"/>
      <c r="AL682" s="577"/>
      <c r="AM682" s="241"/>
      <c r="AN682" s="411"/>
      <c r="AO682" s="577"/>
      <c r="AP682" s="241"/>
      <c r="AQ682" s="411"/>
      <c r="AR682" s="577"/>
    </row>
    <row r="683" spans="1:44" ht="15.75" hidden="1" customHeight="1">
      <c r="A683" s="309"/>
      <c r="B683" s="656" t="s">
        <v>2548</v>
      </c>
      <c r="C683" s="632">
        <v>28</v>
      </c>
      <c r="D683" s="632">
        <v>337</v>
      </c>
      <c r="E683" s="633"/>
      <c r="F683" s="524"/>
      <c r="G683" s="524"/>
      <c r="H683" s="362"/>
      <c r="I683" s="230"/>
      <c r="J683" s="230"/>
      <c r="K683" s="363"/>
      <c r="L683" s="364"/>
      <c r="M683" s="365"/>
      <c r="N683" s="366"/>
      <c r="O683" s="634"/>
      <c r="P683" s="454"/>
      <c r="Q683" s="504"/>
      <c r="R683" s="639"/>
      <c r="S683" s="420"/>
      <c r="T683" s="421"/>
      <c r="U683" s="387"/>
      <c r="V683" s="648"/>
      <c r="W683" s="640"/>
      <c r="X683" s="404"/>
      <c r="Y683" s="372"/>
      <c r="Z683" s="381"/>
      <c r="AA683" s="225"/>
      <c r="AB683" s="361"/>
      <c r="AC683" s="533"/>
      <c r="AD683" s="225"/>
      <c r="AE683" s="361"/>
      <c r="AF683" s="533"/>
      <c r="AG683" s="225"/>
      <c r="AH683" s="361"/>
      <c r="AI683" s="533"/>
      <c r="AJ683" s="225"/>
      <c r="AK683" s="361"/>
      <c r="AL683" s="533"/>
      <c r="AM683" s="225"/>
      <c r="AN683" s="361"/>
      <c r="AO683" s="533"/>
      <c r="AP683" s="225"/>
      <c r="AQ683" s="361"/>
      <c r="AR683" s="533"/>
    </row>
    <row r="684" spans="1:44" ht="15.75" hidden="1" customHeight="1">
      <c r="A684" s="309"/>
      <c r="B684" s="656"/>
      <c r="C684" s="632"/>
      <c r="D684" s="632"/>
      <c r="E684" s="633"/>
      <c r="F684" s="524"/>
      <c r="G684" s="524"/>
      <c r="H684" s="362"/>
      <c r="I684" s="230"/>
      <c r="J684" s="230"/>
      <c r="K684" s="363"/>
      <c r="L684" s="364"/>
      <c r="M684" s="365"/>
      <c r="N684" s="366"/>
      <c r="O684" s="634"/>
      <c r="P684" s="429"/>
      <c r="Q684" s="442"/>
      <c r="R684" s="646"/>
      <c r="S684" s="433"/>
      <c r="T684" s="434"/>
      <c r="U684" s="376"/>
      <c r="V684" s="649"/>
      <c r="W684" s="636"/>
      <c r="X684" s="404"/>
      <c r="Y684" s="372"/>
      <c r="Z684" s="381"/>
      <c r="AA684" s="241"/>
      <c r="AB684" s="411"/>
      <c r="AC684" s="577"/>
      <c r="AD684" s="241"/>
      <c r="AE684" s="411"/>
      <c r="AF684" s="577"/>
      <c r="AG684" s="241"/>
      <c r="AH684" s="411"/>
      <c r="AI684" s="577"/>
      <c r="AJ684" s="241"/>
      <c r="AK684" s="411"/>
      <c r="AL684" s="577"/>
      <c r="AM684" s="241"/>
      <c r="AN684" s="411"/>
      <c r="AO684" s="577"/>
      <c r="AP684" s="241"/>
      <c r="AQ684" s="411"/>
      <c r="AR684" s="577"/>
    </row>
    <row r="685" spans="1:44" ht="15.75" hidden="1" customHeight="1">
      <c r="A685" s="309"/>
      <c r="B685" s="656" t="s">
        <v>2548</v>
      </c>
      <c r="C685" s="632">
        <v>29</v>
      </c>
      <c r="D685" s="632">
        <v>338</v>
      </c>
      <c r="E685" s="633"/>
      <c r="F685" s="524"/>
      <c r="G685" s="524"/>
      <c r="H685" s="362"/>
      <c r="I685" s="230"/>
      <c r="J685" s="230"/>
      <c r="K685" s="363"/>
      <c r="L685" s="364"/>
      <c r="M685" s="365"/>
      <c r="N685" s="366"/>
      <c r="O685" s="634"/>
      <c r="P685" s="454"/>
      <c r="Q685" s="504"/>
      <c r="R685" s="639"/>
      <c r="S685" s="420"/>
      <c r="T685" s="421"/>
      <c r="U685" s="387"/>
      <c r="V685" s="648"/>
      <c r="W685" s="640"/>
      <c r="X685" s="404"/>
      <c r="Y685" s="372"/>
      <c r="Z685" s="381"/>
      <c r="AA685" s="225"/>
      <c r="AB685" s="361"/>
      <c r="AC685" s="533"/>
      <c r="AD685" s="225"/>
      <c r="AE685" s="361"/>
      <c r="AF685" s="533"/>
      <c r="AG685" s="225"/>
      <c r="AH685" s="361"/>
      <c r="AI685" s="533"/>
      <c r="AJ685" s="225"/>
      <c r="AK685" s="361"/>
      <c r="AL685" s="533"/>
      <c r="AM685" s="225"/>
      <c r="AN685" s="361"/>
      <c r="AO685" s="533"/>
      <c r="AP685" s="225"/>
      <c r="AQ685" s="361"/>
      <c r="AR685" s="533"/>
    </row>
    <row r="686" spans="1:44" ht="15.75" hidden="1" customHeight="1">
      <c r="A686" s="309"/>
      <c r="B686" s="656"/>
      <c r="C686" s="632"/>
      <c r="D686" s="632"/>
      <c r="E686" s="633"/>
      <c r="F686" s="524"/>
      <c r="G686" s="524"/>
      <c r="H686" s="362"/>
      <c r="I686" s="230"/>
      <c r="J686" s="230"/>
      <c r="K686" s="363"/>
      <c r="L686" s="364"/>
      <c r="M686" s="365"/>
      <c r="N686" s="366"/>
      <c r="O686" s="634"/>
      <c r="P686" s="429"/>
      <c r="Q686" s="442"/>
      <c r="R686" s="646"/>
      <c r="S686" s="433"/>
      <c r="T686" s="434"/>
      <c r="U686" s="376"/>
      <c r="V686" s="649"/>
      <c r="W686" s="636"/>
      <c r="X686" s="404"/>
      <c r="Y686" s="372"/>
      <c r="Z686" s="381"/>
      <c r="AA686" s="241"/>
      <c r="AB686" s="411"/>
      <c r="AC686" s="577"/>
      <c r="AD686" s="241"/>
      <c r="AE686" s="411"/>
      <c r="AF686" s="577"/>
      <c r="AG686" s="241"/>
      <c r="AH686" s="411"/>
      <c r="AI686" s="577"/>
      <c r="AJ686" s="241"/>
      <c r="AK686" s="411"/>
      <c r="AL686" s="577"/>
      <c r="AM686" s="241"/>
      <c r="AN686" s="411"/>
      <c r="AO686" s="577"/>
      <c r="AP686" s="241"/>
      <c r="AQ686" s="411"/>
      <c r="AR686" s="577"/>
    </row>
    <row r="687" spans="1:44" ht="15.75" hidden="1" customHeight="1">
      <c r="A687" s="309"/>
      <c r="B687" s="656" t="s">
        <v>2548</v>
      </c>
      <c r="C687" s="632">
        <v>30</v>
      </c>
      <c r="D687" s="632">
        <v>339</v>
      </c>
      <c r="E687" s="633"/>
      <c r="F687" s="524"/>
      <c r="G687" s="524"/>
      <c r="H687" s="362"/>
      <c r="I687" s="230"/>
      <c r="J687" s="230"/>
      <c r="K687" s="363"/>
      <c r="L687" s="364"/>
      <c r="M687" s="365"/>
      <c r="N687" s="366"/>
      <c r="O687" s="634"/>
      <c r="P687" s="454"/>
      <c r="Q687" s="504"/>
      <c r="R687" s="639"/>
      <c r="S687" s="420"/>
      <c r="T687" s="421"/>
      <c r="U687" s="387"/>
      <c r="V687" s="648"/>
      <c r="W687" s="640"/>
      <c r="X687" s="404"/>
      <c r="Y687" s="372"/>
      <c r="Z687" s="381"/>
      <c r="AA687" s="225"/>
      <c r="AB687" s="361"/>
      <c r="AC687" s="533"/>
      <c r="AD687" s="225"/>
      <c r="AE687" s="361"/>
      <c r="AF687" s="533"/>
      <c r="AG687" s="225"/>
      <c r="AH687" s="361"/>
      <c r="AI687" s="533"/>
      <c r="AJ687" s="225"/>
      <c r="AK687" s="361"/>
      <c r="AL687" s="533"/>
      <c r="AM687" s="225"/>
      <c r="AN687" s="361"/>
      <c r="AO687" s="533"/>
      <c r="AP687" s="225"/>
      <c r="AQ687" s="361"/>
      <c r="AR687" s="533"/>
    </row>
    <row r="688" spans="1:44" ht="15.75" hidden="1" customHeight="1">
      <c r="A688" s="309"/>
      <c r="B688" s="656"/>
      <c r="C688" s="632"/>
      <c r="D688" s="632"/>
      <c r="E688" s="633"/>
      <c r="F688" s="524"/>
      <c r="G688" s="524"/>
      <c r="H688" s="362"/>
      <c r="I688" s="230"/>
      <c r="J688" s="230"/>
      <c r="K688" s="363"/>
      <c r="L688" s="364"/>
      <c r="M688" s="365"/>
      <c r="N688" s="366"/>
      <c r="O688" s="634"/>
      <c r="P688" s="429"/>
      <c r="Q688" s="442"/>
      <c r="R688" s="646"/>
      <c r="S688" s="433"/>
      <c r="T688" s="434"/>
      <c r="U688" s="376"/>
      <c r="V688" s="649"/>
      <c r="W688" s="636"/>
      <c r="X688" s="404"/>
      <c r="Y688" s="372"/>
      <c r="Z688" s="381"/>
      <c r="AA688" s="241"/>
      <c r="AB688" s="411"/>
      <c r="AC688" s="577"/>
      <c r="AD688" s="241"/>
      <c r="AE688" s="411"/>
      <c r="AF688" s="577"/>
      <c r="AG688" s="241"/>
      <c r="AH688" s="411"/>
      <c r="AI688" s="577"/>
      <c r="AJ688" s="241"/>
      <c r="AK688" s="411"/>
      <c r="AL688" s="577"/>
      <c r="AM688" s="241"/>
      <c r="AN688" s="411"/>
      <c r="AO688" s="577"/>
      <c r="AP688" s="241"/>
      <c r="AQ688" s="411"/>
      <c r="AR688" s="577"/>
    </row>
    <row r="689" spans="1:44" ht="15.75" hidden="1" customHeight="1">
      <c r="A689" s="309"/>
      <c r="B689" s="666" t="s">
        <v>2549</v>
      </c>
      <c r="C689" s="632">
        <v>1</v>
      </c>
      <c r="D689" s="632">
        <v>340</v>
      </c>
      <c r="E689" s="633"/>
      <c r="F689" s="524"/>
      <c r="G689" s="524"/>
      <c r="H689" s="362"/>
      <c r="I689" s="230"/>
      <c r="J689" s="230"/>
      <c r="K689" s="363"/>
      <c r="L689" s="364"/>
      <c r="M689" s="365"/>
      <c r="N689" s="366"/>
      <c r="O689" s="634"/>
      <c r="P689" s="454"/>
      <c r="Q689" s="504"/>
      <c r="R689" s="639"/>
      <c r="S689" s="420"/>
      <c r="T689" s="421"/>
      <c r="U689" s="387"/>
      <c r="V689" s="648"/>
      <c r="W689" s="640"/>
      <c r="X689" s="404"/>
      <c r="Y689" s="372"/>
      <c r="Z689" s="381"/>
      <c r="AA689" s="225"/>
      <c r="AB689" s="361"/>
      <c r="AC689" s="533"/>
      <c r="AD689" s="225"/>
      <c r="AE689" s="361"/>
      <c r="AF689" s="533"/>
      <c r="AG689" s="225"/>
      <c r="AH689" s="361"/>
      <c r="AI689" s="533"/>
      <c r="AJ689" s="225"/>
      <c r="AK689" s="361"/>
      <c r="AL689" s="533"/>
      <c r="AM689" s="225"/>
      <c r="AN689" s="361"/>
      <c r="AO689" s="533"/>
      <c r="AP689" s="225"/>
      <c r="AQ689" s="361"/>
      <c r="AR689" s="533"/>
    </row>
    <row r="690" spans="1:44" ht="15.75" hidden="1" customHeight="1">
      <c r="A690" s="309"/>
      <c r="B690" s="666"/>
      <c r="C690" s="632"/>
      <c r="D690" s="632"/>
      <c r="E690" s="633"/>
      <c r="F690" s="524"/>
      <c r="G690" s="524"/>
      <c r="H690" s="362"/>
      <c r="I690" s="230"/>
      <c r="J690" s="230"/>
      <c r="K690" s="363"/>
      <c r="L690" s="364"/>
      <c r="M690" s="365"/>
      <c r="N690" s="366"/>
      <c r="O690" s="634"/>
      <c r="P690" s="429"/>
      <c r="Q690" s="442"/>
      <c r="R690" s="646"/>
      <c r="S690" s="433"/>
      <c r="T690" s="434"/>
      <c r="U690" s="376"/>
      <c r="V690" s="649"/>
      <c r="W690" s="636"/>
      <c r="X690" s="404"/>
      <c r="Y690" s="372"/>
      <c r="Z690" s="381"/>
      <c r="AA690" s="241"/>
      <c r="AB690" s="411"/>
      <c r="AC690" s="577"/>
      <c r="AD690" s="241"/>
      <c r="AE690" s="411"/>
      <c r="AF690" s="577"/>
      <c r="AG690" s="241"/>
      <c r="AH690" s="411"/>
      <c r="AI690" s="577"/>
      <c r="AJ690" s="241"/>
      <c r="AK690" s="411"/>
      <c r="AL690" s="577"/>
      <c r="AM690" s="241"/>
      <c r="AN690" s="411"/>
      <c r="AO690" s="577"/>
      <c r="AP690" s="241"/>
      <c r="AQ690" s="411"/>
      <c r="AR690" s="577"/>
    </row>
    <row r="691" spans="1:44" ht="14.25" hidden="1" customHeight="1">
      <c r="A691" s="309"/>
      <c r="B691" s="666" t="s">
        <v>2549</v>
      </c>
      <c r="C691" s="632">
        <v>2</v>
      </c>
      <c r="D691" s="632">
        <v>341</v>
      </c>
      <c r="E691" s="633"/>
      <c r="F691" s="524"/>
      <c r="G691" s="524"/>
      <c r="H691" s="362"/>
      <c r="I691" s="230"/>
      <c r="J691" s="230"/>
      <c r="K691" s="363"/>
      <c r="L691" s="364"/>
      <c r="M691" s="365"/>
      <c r="N691" s="366"/>
      <c r="O691" s="634"/>
      <c r="P691" s="454"/>
      <c r="Q691" s="504"/>
      <c r="R691" s="639"/>
      <c r="S691" s="420"/>
      <c r="T691" s="421"/>
      <c r="U691" s="387"/>
      <c r="V691" s="648"/>
      <c r="W691" s="640"/>
      <c r="X691" s="404"/>
      <c r="Y691" s="372"/>
      <c r="Z691" s="381"/>
      <c r="AA691" s="225"/>
      <c r="AB691" s="361"/>
      <c r="AC691" s="533"/>
      <c r="AD691" s="225"/>
      <c r="AE691" s="361"/>
      <c r="AF691" s="533"/>
      <c r="AG691" s="225"/>
      <c r="AH691" s="361"/>
      <c r="AI691" s="533"/>
      <c r="AJ691" s="225"/>
      <c r="AK691" s="361"/>
      <c r="AL691" s="533"/>
      <c r="AM691" s="225"/>
      <c r="AN691" s="361"/>
      <c r="AO691" s="533"/>
      <c r="AP691" s="225"/>
      <c r="AQ691" s="361"/>
      <c r="AR691" s="533"/>
    </row>
    <row r="692" spans="1:44" ht="15.75" hidden="1" customHeight="1">
      <c r="A692" s="309"/>
      <c r="B692" s="666"/>
      <c r="C692" s="632"/>
      <c r="D692" s="632"/>
      <c r="E692" s="633"/>
      <c r="F692" s="524"/>
      <c r="G692" s="524"/>
      <c r="H692" s="362"/>
      <c r="I692" s="230"/>
      <c r="J692" s="230"/>
      <c r="K692" s="363"/>
      <c r="L692" s="364"/>
      <c r="M692" s="365"/>
      <c r="N692" s="366"/>
      <c r="O692" s="634"/>
      <c r="P692" s="429"/>
      <c r="Q692" s="442"/>
      <c r="R692" s="646"/>
      <c r="S692" s="433"/>
      <c r="T692" s="434"/>
      <c r="U692" s="376"/>
      <c r="V692" s="649"/>
      <c r="W692" s="636"/>
      <c r="X692" s="404"/>
      <c r="Y692" s="372"/>
      <c r="Z692" s="381"/>
      <c r="AA692" s="241"/>
      <c r="AB692" s="411"/>
      <c r="AC692" s="577"/>
      <c r="AD692" s="241"/>
      <c r="AE692" s="411"/>
      <c r="AF692" s="577"/>
      <c r="AG692" s="241"/>
      <c r="AH692" s="411"/>
      <c r="AI692" s="577"/>
      <c r="AJ692" s="241"/>
      <c r="AK692" s="411"/>
      <c r="AL692" s="577"/>
      <c r="AM692" s="241"/>
      <c r="AN692" s="411"/>
      <c r="AO692" s="577"/>
      <c r="AP692" s="241"/>
      <c r="AQ692" s="411"/>
      <c r="AR692" s="577"/>
    </row>
    <row r="693" spans="1:44" ht="15.75" hidden="1" customHeight="1">
      <c r="A693" s="309"/>
      <c r="B693" s="666" t="s">
        <v>2549</v>
      </c>
      <c r="C693" s="632">
        <v>3</v>
      </c>
      <c r="D693" s="632">
        <v>342</v>
      </c>
      <c r="E693" s="633"/>
      <c r="F693" s="524"/>
      <c r="G693" s="524"/>
      <c r="H693" s="362"/>
      <c r="I693" s="230"/>
      <c r="J693" s="230"/>
      <c r="K693" s="363"/>
      <c r="L693" s="364"/>
      <c r="M693" s="365"/>
      <c r="N693" s="366"/>
      <c r="O693" s="634"/>
      <c r="P693" s="454"/>
      <c r="Q693" s="504"/>
      <c r="R693" s="639"/>
      <c r="S693" s="420"/>
      <c r="T693" s="421"/>
      <c r="U693" s="387"/>
      <c r="V693" s="648"/>
      <c r="W693" s="640"/>
      <c r="X693" s="404"/>
      <c r="Y693" s="372"/>
      <c r="Z693" s="381"/>
      <c r="AA693" s="225"/>
      <c r="AB693" s="361"/>
      <c r="AC693" s="533"/>
      <c r="AD693" s="225"/>
      <c r="AE693" s="361"/>
      <c r="AF693" s="533"/>
      <c r="AG693" s="225"/>
      <c r="AH693" s="361"/>
      <c r="AI693" s="533"/>
      <c r="AJ693" s="225"/>
      <c r="AK693" s="361"/>
      <c r="AL693" s="533"/>
      <c r="AM693" s="225"/>
      <c r="AN693" s="361"/>
      <c r="AO693" s="533"/>
      <c r="AP693" s="225"/>
      <c r="AQ693" s="361"/>
      <c r="AR693" s="533"/>
    </row>
    <row r="694" spans="1:44" ht="15.75" hidden="1" customHeight="1">
      <c r="A694" s="309"/>
      <c r="B694" s="666"/>
      <c r="C694" s="632"/>
      <c r="D694" s="632"/>
      <c r="E694" s="633"/>
      <c r="F694" s="524"/>
      <c r="G694" s="524"/>
      <c r="H694" s="362"/>
      <c r="I694" s="230"/>
      <c r="J694" s="230"/>
      <c r="K694" s="363"/>
      <c r="L694" s="364"/>
      <c r="M694" s="365"/>
      <c r="N694" s="366"/>
      <c r="O694" s="634"/>
      <c r="P694" s="429"/>
      <c r="Q694" s="442"/>
      <c r="R694" s="646"/>
      <c r="S694" s="433"/>
      <c r="T694" s="434"/>
      <c r="U694" s="376"/>
      <c r="V694" s="649"/>
      <c r="W694" s="636"/>
      <c r="X694" s="404"/>
      <c r="Y694" s="372"/>
      <c r="Z694" s="381"/>
      <c r="AA694" s="241"/>
      <c r="AB694" s="411"/>
      <c r="AC694" s="577"/>
      <c r="AD694" s="241"/>
      <c r="AE694" s="411"/>
      <c r="AF694" s="577"/>
      <c r="AG694" s="241"/>
      <c r="AH694" s="411"/>
      <c r="AI694" s="577"/>
      <c r="AJ694" s="241"/>
      <c r="AK694" s="411"/>
      <c r="AL694" s="577"/>
      <c r="AM694" s="241"/>
      <c r="AN694" s="411"/>
      <c r="AO694" s="577"/>
      <c r="AP694" s="241"/>
      <c r="AQ694" s="411"/>
      <c r="AR694" s="577"/>
    </row>
    <row r="695" spans="1:44" ht="15.75" hidden="1" customHeight="1">
      <c r="A695" s="309"/>
      <c r="B695" s="666" t="s">
        <v>2549</v>
      </c>
      <c r="C695" s="632">
        <v>4</v>
      </c>
      <c r="D695" s="632">
        <v>343</v>
      </c>
      <c r="E695" s="633"/>
      <c r="F695" s="524"/>
      <c r="G695" s="524"/>
      <c r="H695" s="362"/>
      <c r="I695" s="230"/>
      <c r="J695" s="230"/>
      <c r="K695" s="363"/>
      <c r="L695" s="364"/>
      <c r="M695" s="365"/>
      <c r="N695" s="366"/>
      <c r="O695" s="634"/>
      <c r="P695" s="454"/>
      <c r="Q695" s="363"/>
      <c r="R695" s="639"/>
      <c r="S695" s="420"/>
      <c r="T695" s="421"/>
      <c r="U695" s="387"/>
      <c r="V695" s="648"/>
      <c r="W695" s="640"/>
      <c r="X695" s="404"/>
      <c r="Y695" s="372"/>
      <c r="Z695" s="381"/>
      <c r="AA695" s="225"/>
      <c r="AB695" s="361"/>
      <c r="AC695" s="533"/>
      <c r="AD695" s="225"/>
      <c r="AE695" s="361"/>
      <c r="AF695" s="533"/>
      <c r="AG695" s="225"/>
      <c r="AH695" s="361"/>
      <c r="AI695" s="533"/>
      <c r="AJ695" s="225"/>
      <c r="AK695" s="361"/>
      <c r="AL695" s="533"/>
      <c r="AM695" s="225"/>
      <c r="AN695" s="361"/>
      <c r="AO695" s="533"/>
      <c r="AP695" s="225"/>
      <c r="AQ695" s="361"/>
      <c r="AR695" s="533"/>
    </row>
    <row r="696" spans="1:44" ht="15.75" hidden="1" customHeight="1">
      <c r="A696" s="309"/>
      <c r="B696" s="666"/>
      <c r="C696" s="632"/>
      <c r="D696" s="632"/>
      <c r="E696" s="633"/>
      <c r="F696" s="524"/>
      <c r="G696" s="524"/>
      <c r="H696" s="362"/>
      <c r="I696" s="230"/>
      <c r="J696" s="230"/>
      <c r="K696" s="363"/>
      <c r="L696" s="364"/>
      <c r="M696" s="365"/>
      <c r="N696" s="366"/>
      <c r="O696" s="634"/>
      <c r="P696" s="429"/>
      <c r="Q696" s="363"/>
      <c r="R696" s="646"/>
      <c r="S696" s="433"/>
      <c r="T696" s="434"/>
      <c r="U696" s="376"/>
      <c r="V696" s="649"/>
      <c r="W696" s="636"/>
      <c r="X696" s="404"/>
      <c r="Y696" s="372"/>
      <c r="Z696" s="381"/>
      <c r="AA696" s="241"/>
      <c r="AB696" s="411"/>
      <c r="AC696" s="577"/>
      <c r="AD696" s="241"/>
      <c r="AE696" s="411"/>
      <c r="AF696" s="577"/>
      <c r="AG696" s="241"/>
      <c r="AH696" s="411"/>
      <c r="AI696" s="577"/>
      <c r="AJ696" s="241"/>
      <c r="AK696" s="411"/>
      <c r="AL696" s="577"/>
      <c r="AM696" s="241"/>
      <c r="AN696" s="411"/>
      <c r="AO696" s="577"/>
      <c r="AP696" s="241"/>
      <c r="AQ696" s="411"/>
      <c r="AR696" s="577"/>
    </row>
    <row r="697" spans="1:44" ht="15.75" hidden="1" customHeight="1">
      <c r="A697" s="309"/>
      <c r="B697" s="666" t="s">
        <v>2549</v>
      </c>
      <c r="C697" s="632">
        <v>5</v>
      </c>
      <c r="D697" s="632">
        <v>344</v>
      </c>
      <c r="E697" s="633"/>
      <c r="F697" s="524"/>
      <c r="G697" s="524"/>
      <c r="H697" s="362"/>
      <c r="I697" s="230"/>
      <c r="J697" s="230"/>
      <c r="K697" s="363"/>
      <c r="L697" s="364"/>
      <c r="M697" s="365"/>
      <c r="N697" s="366"/>
      <c r="O697" s="634"/>
      <c r="P697" s="454"/>
      <c r="Q697" s="504"/>
      <c r="R697" s="639"/>
      <c r="S697" s="420"/>
      <c r="T697" s="421"/>
      <c r="U697" s="387"/>
      <c r="V697" s="648"/>
      <c r="W697" s="640"/>
      <c r="X697" s="404"/>
      <c r="Y697" s="372"/>
      <c r="Z697" s="381"/>
      <c r="AA697" s="225"/>
      <c r="AB697" s="361"/>
      <c r="AC697" s="533"/>
      <c r="AD697" s="225"/>
      <c r="AE697" s="361"/>
      <c r="AF697" s="533"/>
      <c r="AG697" s="225"/>
      <c r="AH697" s="361"/>
      <c r="AI697" s="533"/>
      <c r="AJ697" s="225"/>
      <c r="AK697" s="361"/>
      <c r="AL697" s="533"/>
      <c r="AM697" s="225"/>
      <c r="AN697" s="361"/>
      <c r="AO697" s="533"/>
      <c r="AP697" s="225"/>
      <c r="AQ697" s="361"/>
      <c r="AR697" s="533"/>
    </row>
    <row r="698" spans="1:44" ht="15.75" hidden="1" customHeight="1">
      <c r="A698" s="309"/>
      <c r="B698" s="666"/>
      <c r="C698" s="632"/>
      <c r="D698" s="632"/>
      <c r="E698" s="633"/>
      <c r="F698" s="524"/>
      <c r="G698" s="524"/>
      <c r="H698" s="362"/>
      <c r="I698" s="230"/>
      <c r="J698" s="230"/>
      <c r="K698" s="363"/>
      <c r="L698" s="364"/>
      <c r="M698" s="365"/>
      <c r="N698" s="366"/>
      <c r="O698" s="634"/>
      <c r="P698" s="429"/>
      <c r="Q698" s="442"/>
      <c r="R698" s="646"/>
      <c r="S698" s="433"/>
      <c r="T698" s="434"/>
      <c r="U698" s="376"/>
      <c r="V698" s="649"/>
      <c r="W698" s="636"/>
      <c r="X698" s="404"/>
      <c r="Y698" s="372"/>
      <c r="Z698" s="381"/>
      <c r="AA698" s="241"/>
      <c r="AB698" s="411"/>
      <c r="AC698" s="577"/>
      <c r="AD698" s="241"/>
      <c r="AE698" s="411"/>
      <c r="AF698" s="577"/>
      <c r="AG698" s="241"/>
      <c r="AH698" s="411"/>
      <c r="AI698" s="577"/>
      <c r="AJ698" s="241"/>
      <c r="AK698" s="411"/>
      <c r="AL698" s="577"/>
      <c r="AM698" s="241"/>
      <c r="AN698" s="411"/>
      <c r="AO698" s="577"/>
      <c r="AP698" s="241"/>
      <c r="AQ698" s="411"/>
      <c r="AR698" s="577"/>
    </row>
    <row r="699" spans="1:44" ht="15.75" hidden="1" customHeight="1">
      <c r="A699" s="309"/>
      <c r="B699" s="666" t="s">
        <v>2549</v>
      </c>
      <c r="C699" s="632">
        <v>6</v>
      </c>
      <c r="D699" s="632">
        <v>345</v>
      </c>
      <c r="E699" s="633"/>
      <c r="F699" s="524"/>
      <c r="G699" s="524"/>
      <c r="H699" s="362"/>
      <c r="I699" s="230"/>
      <c r="J699" s="230"/>
      <c r="K699" s="363"/>
      <c r="L699" s="364"/>
      <c r="M699" s="365"/>
      <c r="N699" s="366"/>
      <c r="O699" s="634"/>
      <c r="P699" s="454"/>
      <c r="Q699" s="504"/>
      <c r="R699" s="639"/>
      <c r="S699" s="650"/>
      <c r="T699" s="421"/>
      <c r="U699" s="387"/>
      <c r="V699" s="648"/>
      <c r="W699" s="640"/>
      <c r="X699" s="404"/>
      <c r="Y699" s="372"/>
      <c r="Z699" s="381"/>
      <c r="AA699" s="225"/>
      <c r="AB699" s="361"/>
      <c r="AC699" s="533"/>
      <c r="AD699" s="225"/>
      <c r="AE699" s="361"/>
      <c r="AF699" s="533"/>
      <c r="AG699" s="225"/>
      <c r="AH699" s="361"/>
      <c r="AI699" s="533"/>
      <c r="AJ699" s="225"/>
      <c r="AK699" s="361"/>
      <c r="AL699" s="533"/>
      <c r="AM699" s="225"/>
      <c r="AN699" s="361"/>
      <c r="AO699" s="533"/>
      <c r="AP699" s="225"/>
      <c r="AQ699" s="361"/>
      <c r="AR699" s="533"/>
    </row>
    <row r="700" spans="1:44" ht="15.75" hidden="1" customHeight="1">
      <c r="A700" s="309"/>
      <c r="B700" s="666"/>
      <c r="C700" s="632"/>
      <c r="D700" s="632"/>
      <c r="E700" s="633"/>
      <c r="F700" s="524"/>
      <c r="G700" s="524"/>
      <c r="H700" s="362"/>
      <c r="I700" s="230"/>
      <c r="J700" s="230"/>
      <c r="K700" s="363"/>
      <c r="L700" s="364"/>
      <c r="M700" s="365"/>
      <c r="N700" s="366"/>
      <c r="O700" s="634"/>
      <c r="P700" s="429"/>
      <c r="Q700" s="442"/>
      <c r="R700" s="646"/>
      <c r="S700" s="433"/>
      <c r="T700" s="434"/>
      <c r="U700" s="376"/>
      <c r="V700" s="649"/>
      <c r="W700" s="636"/>
      <c r="X700" s="404"/>
      <c r="Y700" s="372"/>
      <c r="Z700" s="381"/>
      <c r="AA700" s="241"/>
      <c r="AB700" s="411"/>
      <c r="AC700" s="577"/>
      <c r="AD700" s="241"/>
      <c r="AE700" s="411"/>
      <c r="AF700" s="577"/>
      <c r="AG700" s="241"/>
      <c r="AH700" s="411"/>
      <c r="AI700" s="577"/>
      <c r="AJ700" s="241"/>
      <c r="AK700" s="411"/>
      <c r="AL700" s="577"/>
      <c r="AM700" s="241"/>
      <c r="AN700" s="411"/>
      <c r="AO700" s="577"/>
      <c r="AP700" s="241"/>
      <c r="AQ700" s="411"/>
      <c r="AR700" s="577"/>
    </row>
    <row r="701" spans="1:44" ht="15.75" hidden="1" customHeight="1">
      <c r="A701" s="309"/>
      <c r="B701" s="666" t="s">
        <v>2549</v>
      </c>
      <c r="C701" s="632">
        <v>7</v>
      </c>
      <c r="D701" s="632">
        <v>346</v>
      </c>
      <c r="E701" s="653"/>
      <c r="F701" s="524"/>
      <c r="G701" s="524"/>
      <c r="H701" s="362"/>
      <c r="I701" s="230"/>
      <c r="J701" s="230"/>
      <c r="K701" s="363"/>
      <c r="L701" s="364"/>
      <c r="M701" s="365"/>
      <c r="N701" s="366"/>
      <c r="O701" s="634"/>
      <c r="P701" s="454"/>
      <c r="Q701" s="678"/>
      <c r="R701" s="639"/>
      <c r="S701" s="420"/>
      <c r="T701" s="421"/>
      <c r="U701" s="387"/>
      <c r="V701" s="648"/>
      <c r="W701" s="640"/>
      <c r="X701" s="404"/>
      <c r="Y701" s="372"/>
      <c r="Z701" s="381"/>
      <c r="AA701" s="225"/>
      <c r="AB701" s="361"/>
      <c r="AC701" s="533"/>
      <c r="AD701" s="225"/>
      <c r="AE701" s="361"/>
      <c r="AF701" s="533"/>
      <c r="AG701" s="225"/>
      <c r="AH701" s="361"/>
      <c r="AI701" s="533"/>
      <c r="AJ701" s="225"/>
      <c r="AK701" s="361"/>
      <c r="AL701" s="533"/>
      <c r="AM701" s="225"/>
      <c r="AN701" s="361"/>
      <c r="AO701" s="533"/>
      <c r="AP701" s="225"/>
      <c r="AQ701" s="361"/>
      <c r="AR701" s="533"/>
    </row>
    <row r="702" spans="1:44" ht="15.75" hidden="1" customHeight="1">
      <c r="A702" s="309"/>
      <c r="B702" s="666"/>
      <c r="C702" s="632"/>
      <c r="D702" s="632"/>
      <c r="E702" s="653"/>
      <c r="F702" s="524"/>
      <c r="G702" s="524"/>
      <c r="H702" s="362"/>
      <c r="I702" s="230"/>
      <c r="J702" s="230"/>
      <c r="K702" s="363"/>
      <c r="L702" s="364"/>
      <c r="M702" s="365"/>
      <c r="N702" s="366"/>
      <c r="O702" s="634"/>
      <c r="P702" s="429"/>
      <c r="Q702" s="679"/>
      <c r="R702" s="646"/>
      <c r="S702" s="433"/>
      <c r="T702" s="434"/>
      <c r="U702" s="376"/>
      <c r="V702" s="649"/>
      <c r="W702" s="636"/>
      <c r="X702" s="404"/>
      <c r="Y702" s="372"/>
      <c r="Z702" s="381"/>
      <c r="AA702" s="241"/>
      <c r="AB702" s="411"/>
      <c r="AC702" s="577"/>
      <c r="AD702" s="241"/>
      <c r="AE702" s="411"/>
      <c r="AF702" s="577"/>
      <c r="AG702" s="241"/>
      <c r="AH702" s="411"/>
      <c r="AI702" s="577"/>
      <c r="AJ702" s="241"/>
      <c r="AK702" s="411"/>
      <c r="AL702" s="577"/>
      <c r="AM702" s="241"/>
      <c r="AN702" s="411"/>
      <c r="AO702" s="577"/>
      <c r="AP702" s="241"/>
      <c r="AQ702" s="411"/>
      <c r="AR702" s="577"/>
    </row>
    <row r="703" spans="1:44" ht="15.75" hidden="1" customHeight="1">
      <c r="A703" s="309"/>
      <c r="B703" s="666" t="s">
        <v>2549</v>
      </c>
      <c r="C703" s="632">
        <v>8</v>
      </c>
      <c r="D703" s="632">
        <v>347</v>
      </c>
      <c r="E703" s="653"/>
      <c r="F703" s="524"/>
      <c r="G703" s="524"/>
      <c r="H703" s="362"/>
      <c r="I703" s="230"/>
      <c r="J703" s="230"/>
      <c r="K703" s="597"/>
      <c r="L703" s="451"/>
      <c r="M703" s="452"/>
      <c r="N703" s="409"/>
      <c r="O703" s="638"/>
      <c r="P703" s="454"/>
      <c r="Q703" s="504"/>
      <c r="R703" s="639"/>
      <c r="S703" s="420"/>
      <c r="T703" s="421"/>
      <c r="U703" s="387"/>
      <c r="V703" s="648"/>
      <c r="W703" s="640"/>
      <c r="X703" s="404"/>
      <c r="Y703" s="372"/>
      <c r="Z703" s="381"/>
      <c r="AA703" s="225"/>
      <c r="AB703" s="361"/>
      <c r="AC703" s="533"/>
      <c r="AD703" s="225"/>
      <c r="AE703" s="361"/>
      <c r="AF703" s="533"/>
      <c r="AG703" s="225"/>
      <c r="AH703" s="361"/>
      <c r="AI703" s="533"/>
      <c r="AJ703" s="225"/>
      <c r="AK703" s="361"/>
      <c r="AL703" s="533"/>
      <c r="AM703" s="225"/>
      <c r="AN703" s="361"/>
      <c r="AO703" s="533"/>
      <c r="AP703" s="225"/>
      <c r="AQ703" s="361"/>
      <c r="AR703" s="533"/>
    </row>
    <row r="704" spans="1:44" ht="15.75" hidden="1" customHeight="1">
      <c r="A704" s="309"/>
      <c r="B704" s="666"/>
      <c r="C704" s="632"/>
      <c r="D704" s="632"/>
      <c r="E704" s="653"/>
      <c r="F704" s="524"/>
      <c r="G704" s="524"/>
      <c r="H704" s="362"/>
      <c r="I704" s="230"/>
      <c r="J704" s="230"/>
      <c r="K704" s="412"/>
      <c r="L704" s="413"/>
      <c r="M704" s="604"/>
      <c r="N704" s="415"/>
      <c r="O704" s="642"/>
      <c r="P704" s="581"/>
      <c r="Q704" s="563"/>
      <c r="R704" s="643"/>
      <c r="S704" s="582"/>
      <c r="T704" s="606"/>
      <c r="U704" s="376"/>
      <c r="V704" s="649"/>
      <c r="W704" s="636"/>
      <c r="X704" s="404"/>
      <c r="Y704" s="372"/>
      <c r="Z704" s="381"/>
      <c r="AA704" s="241"/>
      <c r="AB704" s="411"/>
      <c r="AC704" s="577"/>
      <c r="AD704" s="241"/>
      <c r="AE704" s="411"/>
      <c r="AF704" s="577"/>
      <c r="AG704" s="241"/>
      <c r="AH704" s="411"/>
      <c r="AI704" s="577"/>
      <c r="AJ704" s="241"/>
      <c r="AK704" s="411"/>
      <c r="AL704" s="577"/>
      <c r="AM704" s="241"/>
      <c r="AN704" s="411"/>
      <c r="AO704" s="577"/>
      <c r="AP704" s="241"/>
      <c r="AQ704" s="411"/>
      <c r="AR704" s="577"/>
    </row>
    <row r="705" spans="1:44" ht="15.75" hidden="1" customHeight="1">
      <c r="A705" s="309"/>
      <c r="B705" s="666" t="s">
        <v>2549</v>
      </c>
      <c r="C705" s="632">
        <v>9</v>
      </c>
      <c r="D705" s="632">
        <v>348</v>
      </c>
      <c r="E705" s="653"/>
      <c r="F705" s="524"/>
      <c r="G705" s="524"/>
      <c r="H705" s="362"/>
      <c r="I705" s="230"/>
      <c r="J705" s="230"/>
      <c r="K705" s="412"/>
      <c r="L705" s="413"/>
      <c r="M705" s="604"/>
      <c r="N705" s="415"/>
      <c r="O705" s="642"/>
      <c r="P705" s="581"/>
      <c r="Q705" s="563"/>
      <c r="R705" s="643"/>
      <c r="S705" s="582"/>
      <c r="T705" s="606"/>
      <c r="U705" s="387"/>
      <c r="V705" s="648"/>
      <c r="W705" s="640"/>
      <c r="X705" s="404"/>
      <c r="Y705" s="372"/>
      <c r="Z705" s="381"/>
      <c r="AA705" s="225"/>
      <c r="AB705" s="361"/>
      <c r="AC705" s="533"/>
      <c r="AD705" s="225"/>
      <c r="AE705" s="361"/>
      <c r="AF705" s="533"/>
      <c r="AG705" s="225"/>
      <c r="AH705" s="361"/>
      <c r="AI705" s="533"/>
      <c r="AJ705" s="225"/>
      <c r="AK705" s="361"/>
      <c r="AL705" s="533"/>
      <c r="AM705" s="225"/>
      <c r="AN705" s="361"/>
      <c r="AO705" s="533"/>
      <c r="AP705" s="225"/>
      <c r="AQ705" s="361"/>
      <c r="AR705" s="533"/>
    </row>
    <row r="706" spans="1:44" ht="15.75" hidden="1" customHeight="1">
      <c r="A706" s="309"/>
      <c r="B706" s="666"/>
      <c r="C706" s="632"/>
      <c r="D706" s="632"/>
      <c r="E706" s="653"/>
      <c r="F706" s="524"/>
      <c r="G706" s="524"/>
      <c r="H706" s="362"/>
      <c r="I706" s="230"/>
      <c r="J706" s="230"/>
      <c r="K706" s="438"/>
      <c r="L706" s="427"/>
      <c r="M706" s="439"/>
      <c r="N706" s="425"/>
      <c r="O706" s="645"/>
      <c r="P706" s="429"/>
      <c r="Q706" s="442"/>
      <c r="R706" s="646"/>
      <c r="S706" s="433"/>
      <c r="T706" s="434"/>
      <c r="U706" s="376"/>
      <c r="V706" s="649"/>
      <c r="W706" s="636"/>
      <c r="X706" s="404"/>
      <c r="Y706" s="372"/>
      <c r="Z706" s="381"/>
      <c r="AA706" s="241"/>
      <c r="AB706" s="411"/>
      <c r="AC706" s="577"/>
      <c r="AD706" s="241"/>
      <c r="AE706" s="411"/>
      <c r="AF706" s="577"/>
      <c r="AG706" s="241"/>
      <c r="AH706" s="411"/>
      <c r="AI706" s="577"/>
      <c r="AJ706" s="241"/>
      <c r="AK706" s="411"/>
      <c r="AL706" s="577"/>
      <c r="AM706" s="241"/>
      <c r="AN706" s="411"/>
      <c r="AO706" s="577"/>
      <c r="AP706" s="241"/>
      <c r="AQ706" s="411"/>
      <c r="AR706" s="577"/>
    </row>
    <row r="707" spans="1:44" ht="15.75" hidden="1" customHeight="1">
      <c r="A707" s="309"/>
      <c r="B707" s="666" t="s">
        <v>2549</v>
      </c>
      <c r="C707" s="632">
        <v>10</v>
      </c>
      <c r="D707" s="632">
        <v>349</v>
      </c>
      <c r="E707" s="653"/>
      <c r="F707" s="524"/>
      <c r="G707" s="524"/>
      <c r="H707" s="362"/>
      <c r="I707" s="230"/>
      <c r="J707" s="230"/>
      <c r="K707" s="363"/>
      <c r="L707" s="364"/>
      <c r="M707" s="452"/>
      <c r="N707" s="409"/>
      <c r="O707" s="638"/>
      <c r="P707" s="454"/>
      <c r="Q707" s="504"/>
      <c r="R707" s="639"/>
      <c r="S707" s="420"/>
      <c r="T707" s="421"/>
      <c r="U707" s="387"/>
      <c r="V707" s="648"/>
      <c r="W707" s="640"/>
      <c r="X707" s="404"/>
      <c r="Y707" s="372"/>
      <c r="Z707" s="381"/>
      <c r="AA707" s="225"/>
      <c r="AB707" s="361"/>
      <c r="AC707" s="533"/>
      <c r="AD707" s="225"/>
      <c r="AE707" s="361"/>
      <c r="AF707" s="533"/>
      <c r="AG707" s="225"/>
      <c r="AH707" s="361"/>
      <c r="AI707" s="533"/>
      <c r="AJ707" s="225"/>
      <c r="AK707" s="361"/>
      <c r="AL707" s="533"/>
      <c r="AM707" s="225"/>
      <c r="AN707" s="361"/>
      <c r="AO707" s="533"/>
      <c r="AP707" s="225"/>
      <c r="AQ707" s="361"/>
      <c r="AR707" s="533"/>
    </row>
    <row r="708" spans="1:44" ht="15.75" hidden="1" customHeight="1">
      <c r="A708" s="309"/>
      <c r="B708" s="666"/>
      <c r="C708" s="632"/>
      <c r="D708" s="632"/>
      <c r="E708" s="653"/>
      <c r="F708" s="524"/>
      <c r="G708" s="524"/>
      <c r="H708" s="362"/>
      <c r="I708" s="230"/>
      <c r="J708" s="230"/>
      <c r="K708" s="363"/>
      <c r="L708" s="364"/>
      <c r="M708" s="604"/>
      <c r="N708" s="415"/>
      <c r="O708" s="642"/>
      <c r="P708" s="581"/>
      <c r="Q708" s="563"/>
      <c r="R708" s="646"/>
      <c r="S708" s="433"/>
      <c r="T708" s="606"/>
      <c r="U708" s="376"/>
      <c r="V708" s="649"/>
      <c r="W708" s="636"/>
      <c r="X708" s="404"/>
      <c r="Y708" s="372"/>
      <c r="Z708" s="381"/>
      <c r="AA708" s="241"/>
      <c r="AB708" s="411"/>
      <c r="AC708" s="577"/>
      <c r="AD708" s="241"/>
      <c r="AE708" s="411"/>
      <c r="AF708" s="577"/>
      <c r="AG708" s="241"/>
      <c r="AH708" s="411"/>
      <c r="AI708" s="577"/>
      <c r="AJ708" s="241"/>
      <c r="AK708" s="411"/>
      <c r="AL708" s="577"/>
      <c r="AM708" s="241"/>
      <c r="AN708" s="411"/>
      <c r="AO708" s="577"/>
      <c r="AP708" s="241"/>
      <c r="AQ708" s="411"/>
      <c r="AR708" s="577"/>
    </row>
    <row r="709" spans="1:44" ht="15.75" hidden="1" customHeight="1">
      <c r="A709" s="309"/>
      <c r="B709" s="666" t="s">
        <v>2549</v>
      </c>
      <c r="C709" s="632">
        <v>11</v>
      </c>
      <c r="D709" s="632">
        <v>350</v>
      </c>
      <c r="E709" s="653"/>
      <c r="F709" s="524"/>
      <c r="G709" s="524"/>
      <c r="H709" s="362"/>
      <c r="I709" s="230"/>
      <c r="J709" s="230"/>
      <c r="K709" s="363"/>
      <c r="L709" s="364"/>
      <c r="M709" s="604"/>
      <c r="N709" s="415"/>
      <c r="O709" s="642"/>
      <c r="P709" s="581"/>
      <c r="Q709" s="563"/>
      <c r="R709" s="639"/>
      <c r="S709" s="420"/>
      <c r="T709" s="606"/>
      <c r="U709" s="387"/>
      <c r="V709" s="648"/>
      <c r="W709" s="640"/>
      <c r="X709" s="404"/>
      <c r="Y709" s="372"/>
      <c r="Z709" s="381"/>
      <c r="AA709" s="225"/>
      <c r="AB709" s="361"/>
      <c r="AC709" s="533"/>
      <c r="AD709" s="225"/>
      <c r="AE709" s="361"/>
      <c r="AF709" s="533"/>
      <c r="AG709" s="225"/>
      <c r="AH709" s="361"/>
      <c r="AI709" s="533"/>
      <c r="AJ709" s="225"/>
      <c r="AK709" s="361"/>
      <c r="AL709" s="533"/>
      <c r="AM709" s="225"/>
      <c r="AN709" s="361"/>
      <c r="AO709" s="533"/>
      <c r="AP709" s="225"/>
      <c r="AQ709" s="361"/>
      <c r="AR709" s="533"/>
    </row>
    <row r="710" spans="1:44" ht="15.75" hidden="1" customHeight="1">
      <c r="A710" s="309"/>
      <c r="B710" s="666"/>
      <c r="C710" s="632"/>
      <c r="D710" s="632"/>
      <c r="E710" s="653"/>
      <c r="F710" s="524"/>
      <c r="G710" s="524"/>
      <c r="H710" s="362"/>
      <c r="I710" s="230"/>
      <c r="J710" s="230"/>
      <c r="K710" s="363"/>
      <c r="L710" s="364"/>
      <c r="M710" s="439"/>
      <c r="N710" s="425"/>
      <c r="O710" s="645"/>
      <c r="P710" s="429"/>
      <c r="Q710" s="442"/>
      <c r="R710" s="646"/>
      <c r="S710" s="433"/>
      <c r="T710" s="434"/>
      <c r="U710" s="376"/>
      <c r="V710" s="649"/>
      <c r="W710" s="636"/>
      <c r="X710" s="404"/>
      <c r="Y710" s="372"/>
      <c r="Z710" s="381"/>
      <c r="AA710" s="241"/>
      <c r="AB710" s="411"/>
      <c r="AC710" s="577"/>
      <c r="AD710" s="241"/>
      <c r="AE710" s="411"/>
      <c r="AF710" s="577"/>
      <c r="AG710" s="241"/>
      <c r="AH710" s="411"/>
      <c r="AI710" s="577"/>
      <c r="AJ710" s="241"/>
      <c r="AK710" s="411"/>
      <c r="AL710" s="577"/>
      <c r="AM710" s="241"/>
      <c r="AN710" s="411"/>
      <c r="AO710" s="577"/>
      <c r="AP710" s="241"/>
      <c r="AQ710" s="411"/>
      <c r="AR710" s="577"/>
    </row>
    <row r="711" spans="1:44" ht="15.75" hidden="1" customHeight="1">
      <c r="A711" s="309"/>
      <c r="B711" s="666" t="s">
        <v>2549</v>
      </c>
      <c r="C711" s="632">
        <v>12</v>
      </c>
      <c r="D711" s="632">
        <v>351</v>
      </c>
      <c r="E711" s="653"/>
      <c r="F711" s="524"/>
      <c r="G711" s="524"/>
      <c r="H711" s="362"/>
      <c r="I711" s="230"/>
      <c r="J711" s="230"/>
      <c r="K711" s="363"/>
      <c r="L711" s="364"/>
      <c r="M711" s="365"/>
      <c r="N711" s="366"/>
      <c r="O711" s="634"/>
      <c r="P711" s="454"/>
      <c r="Q711" s="504"/>
      <c r="R711" s="639"/>
      <c r="S711" s="420"/>
      <c r="T711" s="421"/>
      <c r="U711" s="387"/>
      <c r="V711" s="648"/>
      <c r="W711" s="640"/>
      <c r="X711" s="404"/>
      <c r="Y711" s="372"/>
      <c r="Z711" s="381"/>
      <c r="AA711" s="225"/>
      <c r="AB711" s="361"/>
      <c r="AC711" s="533"/>
      <c r="AD711" s="225"/>
      <c r="AE711" s="361"/>
      <c r="AF711" s="533"/>
      <c r="AG711" s="225"/>
      <c r="AH711" s="361"/>
      <c r="AI711" s="533"/>
      <c r="AJ711" s="225"/>
      <c r="AK711" s="361"/>
      <c r="AL711" s="533"/>
      <c r="AM711" s="225"/>
      <c r="AN711" s="361"/>
      <c r="AO711" s="533"/>
      <c r="AP711" s="225"/>
      <c r="AQ711" s="361"/>
      <c r="AR711" s="533"/>
    </row>
    <row r="712" spans="1:44" ht="15.75" hidden="1" customHeight="1">
      <c r="A712" s="309"/>
      <c r="B712" s="666"/>
      <c r="C712" s="632"/>
      <c r="D712" s="632"/>
      <c r="E712" s="653"/>
      <c r="F712" s="524"/>
      <c r="G712" s="524"/>
      <c r="H712" s="362"/>
      <c r="I712" s="230"/>
      <c r="J712" s="230"/>
      <c r="K712" s="363"/>
      <c r="L712" s="364"/>
      <c r="M712" s="365"/>
      <c r="N712" s="366"/>
      <c r="O712" s="634"/>
      <c r="P712" s="429"/>
      <c r="Q712" s="442"/>
      <c r="R712" s="646"/>
      <c r="S712" s="433"/>
      <c r="T712" s="434"/>
      <c r="U712" s="376"/>
      <c r="V712" s="649"/>
      <c r="W712" s="636"/>
      <c r="X712" s="404"/>
      <c r="Y712" s="372"/>
      <c r="Z712" s="381"/>
      <c r="AA712" s="241"/>
      <c r="AB712" s="411"/>
      <c r="AC712" s="577"/>
      <c r="AD712" s="241"/>
      <c r="AE712" s="411"/>
      <c r="AF712" s="577"/>
      <c r="AG712" s="241"/>
      <c r="AH712" s="411"/>
      <c r="AI712" s="577"/>
      <c r="AJ712" s="241"/>
      <c r="AK712" s="411"/>
      <c r="AL712" s="577"/>
      <c r="AM712" s="241"/>
      <c r="AN712" s="411"/>
      <c r="AO712" s="577"/>
      <c r="AP712" s="241"/>
      <c r="AQ712" s="411"/>
      <c r="AR712" s="577"/>
    </row>
    <row r="713" spans="1:44" ht="15.75" hidden="1" customHeight="1">
      <c r="A713" s="309"/>
      <c r="B713" s="666" t="s">
        <v>2549</v>
      </c>
      <c r="C713" s="632">
        <v>13</v>
      </c>
      <c r="D713" s="632">
        <v>352</v>
      </c>
      <c r="E713" s="653"/>
      <c r="F713" s="524"/>
      <c r="G713" s="524"/>
      <c r="H713" s="362"/>
      <c r="I713" s="230"/>
      <c r="J713" s="230"/>
      <c r="K713" s="363"/>
      <c r="L713" s="364"/>
      <c r="M713" s="365"/>
      <c r="N713" s="366"/>
      <c r="O713" s="634"/>
      <c r="P713" s="454"/>
      <c r="Q713" s="504"/>
      <c r="R713" s="639"/>
      <c r="S713" s="420"/>
      <c r="T713" s="421"/>
      <c r="U713" s="387"/>
      <c r="V713" s="648"/>
      <c r="W713" s="640"/>
      <c r="X713" s="404"/>
      <c r="Y713" s="372"/>
      <c r="Z713" s="381"/>
      <c r="AA713" s="225"/>
      <c r="AB713" s="361"/>
      <c r="AC713" s="533"/>
      <c r="AD713" s="225"/>
      <c r="AE713" s="361"/>
      <c r="AF713" s="533"/>
      <c r="AG713" s="225"/>
      <c r="AH713" s="361"/>
      <c r="AI713" s="533"/>
      <c r="AJ713" s="225"/>
      <c r="AK713" s="361"/>
      <c r="AL713" s="533"/>
      <c r="AM713" s="225"/>
      <c r="AN713" s="361"/>
      <c r="AO713" s="533"/>
      <c r="AP713" s="225"/>
      <c r="AQ713" s="361"/>
      <c r="AR713" s="533"/>
    </row>
    <row r="714" spans="1:44" ht="15.75" hidden="1" customHeight="1">
      <c r="A714" s="309"/>
      <c r="B714" s="666"/>
      <c r="C714" s="632"/>
      <c r="D714" s="632"/>
      <c r="E714" s="653"/>
      <c r="F714" s="524"/>
      <c r="G714" s="524"/>
      <c r="H714" s="362"/>
      <c r="I714" s="230"/>
      <c r="J714" s="230"/>
      <c r="K714" s="363"/>
      <c r="L714" s="364"/>
      <c r="M714" s="365"/>
      <c r="N714" s="366"/>
      <c r="O714" s="634"/>
      <c r="P714" s="429"/>
      <c r="Q714" s="442"/>
      <c r="R714" s="646"/>
      <c r="S714" s="433"/>
      <c r="T714" s="434"/>
      <c r="U714" s="376"/>
      <c r="V714" s="649"/>
      <c r="W714" s="636"/>
      <c r="X714" s="404"/>
      <c r="Y714" s="372"/>
      <c r="Z714" s="381"/>
      <c r="AA714" s="241"/>
      <c r="AB714" s="411"/>
      <c r="AC714" s="577"/>
      <c r="AD714" s="241"/>
      <c r="AE714" s="411"/>
      <c r="AF714" s="577"/>
      <c r="AG714" s="241"/>
      <c r="AH714" s="411"/>
      <c r="AI714" s="577"/>
      <c r="AJ714" s="241"/>
      <c r="AK714" s="411"/>
      <c r="AL714" s="577"/>
      <c r="AM714" s="241"/>
      <c r="AN714" s="411"/>
      <c r="AO714" s="577"/>
      <c r="AP714" s="241"/>
      <c r="AQ714" s="411"/>
      <c r="AR714" s="577"/>
    </row>
    <row r="715" spans="1:44" ht="15.75" hidden="1" customHeight="1">
      <c r="A715" s="309"/>
      <c r="B715" s="666" t="s">
        <v>2549</v>
      </c>
      <c r="C715" s="632">
        <v>14</v>
      </c>
      <c r="D715" s="632">
        <v>353</v>
      </c>
      <c r="E715" s="653"/>
      <c r="F715" s="524"/>
      <c r="G715" s="524"/>
      <c r="H715" s="362"/>
      <c r="I715" s="230"/>
      <c r="J715" s="230"/>
      <c r="K715" s="597"/>
      <c r="L715" s="451"/>
      <c r="M715" s="452"/>
      <c r="N715" s="409"/>
      <c r="O715" s="638"/>
      <c r="P715" s="454"/>
      <c r="Q715" s="504"/>
      <c r="R715" s="639"/>
      <c r="S715" s="420"/>
      <c r="T715" s="421"/>
      <c r="U715" s="421"/>
      <c r="V715" s="648"/>
      <c r="W715" s="640"/>
      <c r="X715" s="404"/>
      <c r="Y715" s="372"/>
      <c r="Z715" s="381"/>
      <c r="AA715" s="225"/>
      <c r="AB715" s="361"/>
      <c r="AC715" s="533"/>
      <c r="AD715" s="225"/>
      <c r="AE715" s="361"/>
      <c r="AF715" s="533"/>
      <c r="AG715" s="225"/>
      <c r="AH715" s="361"/>
      <c r="AI715" s="533"/>
      <c r="AJ715" s="225"/>
      <c r="AK715" s="361"/>
      <c r="AL715" s="533"/>
      <c r="AM715" s="225"/>
      <c r="AN715" s="361"/>
      <c r="AO715" s="533"/>
      <c r="AP715" s="225"/>
      <c r="AQ715" s="361"/>
      <c r="AR715" s="533"/>
    </row>
    <row r="716" spans="1:44" ht="15.75" hidden="1" customHeight="1">
      <c r="A716" s="309"/>
      <c r="B716" s="666"/>
      <c r="C716" s="632"/>
      <c r="D716" s="632"/>
      <c r="E716" s="653"/>
      <c r="F716" s="524"/>
      <c r="G716" s="524"/>
      <c r="H716" s="362"/>
      <c r="I716" s="230"/>
      <c r="J716" s="230"/>
      <c r="K716" s="412"/>
      <c r="L716" s="413"/>
      <c r="M716" s="604"/>
      <c r="N716" s="415"/>
      <c r="O716" s="642"/>
      <c r="P716" s="581"/>
      <c r="Q716" s="563"/>
      <c r="R716" s="646"/>
      <c r="S716" s="433"/>
      <c r="T716" s="434"/>
      <c r="U716" s="434"/>
      <c r="V716" s="649"/>
      <c r="W716" s="636"/>
      <c r="X716" s="404"/>
      <c r="Y716" s="372"/>
      <c r="Z716" s="381"/>
      <c r="AA716" s="241"/>
      <c r="AB716" s="411"/>
      <c r="AC716" s="577"/>
      <c r="AD716" s="241"/>
      <c r="AE716" s="411"/>
      <c r="AF716" s="577"/>
      <c r="AG716" s="241"/>
      <c r="AH716" s="411"/>
      <c r="AI716" s="577"/>
      <c r="AJ716" s="241"/>
      <c r="AK716" s="411"/>
      <c r="AL716" s="577"/>
      <c r="AM716" s="241"/>
      <c r="AN716" s="411"/>
      <c r="AO716" s="577"/>
      <c r="AP716" s="241"/>
      <c r="AQ716" s="411"/>
      <c r="AR716" s="577"/>
    </row>
    <row r="717" spans="1:44" ht="15.75" hidden="1" customHeight="1">
      <c r="A717" s="309"/>
      <c r="B717" s="666" t="s">
        <v>2549</v>
      </c>
      <c r="C717" s="632">
        <v>15</v>
      </c>
      <c r="D717" s="632">
        <v>354</v>
      </c>
      <c r="E717" s="653"/>
      <c r="F717" s="524"/>
      <c r="G717" s="524"/>
      <c r="H717" s="362"/>
      <c r="I717" s="230"/>
      <c r="J717" s="230"/>
      <c r="K717" s="412"/>
      <c r="L717" s="413"/>
      <c r="M717" s="604"/>
      <c r="N717" s="415"/>
      <c r="O717" s="642"/>
      <c r="P717" s="581"/>
      <c r="Q717" s="563"/>
      <c r="R717" s="639"/>
      <c r="S717" s="420"/>
      <c r="T717" s="421"/>
      <c r="U717" s="421"/>
      <c r="V717" s="648"/>
      <c r="W717" s="640"/>
      <c r="X717" s="404"/>
      <c r="Y717" s="372"/>
      <c r="Z717" s="381"/>
      <c r="AA717" s="225"/>
      <c r="AB717" s="361"/>
      <c r="AC717" s="533"/>
      <c r="AD717" s="225"/>
      <c r="AE717" s="361"/>
      <c r="AF717" s="533"/>
      <c r="AG717" s="225"/>
      <c r="AH717" s="361"/>
      <c r="AI717" s="533"/>
      <c r="AJ717" s="225"/>
      <c r="AK717" s="361"/>
      <c r="AL717" s="533"/>
      <c r="AM717" s="225"/>
      <c r="AN717" s="361"/>
      <c r="AO717" s="533"/>
      <c r="AP717" s="225"/>
      <c r="AQ717" s="361"/>
      <c r="AR717" s="533"/>
    </row>
    <row r="718" spans="1:44" ht="15.75" hidden="1" customHeight="1">
      <c r="A718" s="309"/>
      <c r="B718" s="666"/>
      <c r="C718" s="632"/>
      <c r="D718" s="632"/>
      <c r="E718" s="653"/>
      <c r="F718" s="524"/>
      <c r="G718" s="524"/>
      <c r="H718" s="362"/>
      <c r="I718" s="230"/>
      <c r="J718" s="230"/>
      <c r="K718" s="438"/>
      <c r="L718" s="427"/>
      <c r="M718" s="439"/>
      <c r="N718" s="425"/>
      <c r="O718" s="645"/>
      <c r="P718" s="429"/>
      <c r="Q718" s="442"/>
      <c r="R718" s="646"/>
      <c r="S718" s="433"/>
      <c r="T718" s="434"/>
      <c r="U718" s="434"/>
      <c r="V718" s="649"/>
      <c r="W718" s="636"/>
      <c r="X718" s="404"/>
      <c r="Y718" s="372"/>
      <c r="Z718" s="381"/>
      <c r="AA718" s="241"/>
      <c r="AB718" s="411"/>
      <c r="AC718" s="577"/>
      <c r="AD718" s="241"/>
      <c r="AE718" s="411"/>
      <c r="AF718" s="577"/>
      <c r="AG718" s="241"/>
      <c r="AH718" s="411"/>
      <c r="AI718" s="577"/>
      <c r="AJ718" s="241"/>
      <c r="AK718" s="411"/>
      <c r="AL718" s="577"/>
      <c r="AM718" s="241"/>
      <c r="AN718" s="411"/>
      <c r="AO718" s="577"/>
      <c r="AP718" s="241"/>
      <c r="AQ718" s="411"/>
      <c r="AR718" s="577"/>
    </row>
    <row r="719" spans="1:44" ht="15.75" hidden="1" customHeight="1">
      <c r="A719" s="309"/>
      <c r="B719" s="666" t="s">
        <v>2549</v>
      </c>
      <c r="C719" s="632">
        <v>16</v>
      </c>
      <c r="D719" s="632">
        <v>355</v>
      </c>
      <c r="E719" s="633"/>
      <c r="F719" s="524"/>
      <c r="G719" s="524"/>
      <c r="H719" s="362"/>
      <c r="I719" s="230"/>
      <c r="J719" s="230"/>
      <c r="K719" s="363"/>
      <c r="L719" s="364"/>
      <c r="M719" s="365"/>
      <c r="N719" s="366"/>
      <c r="O719" s="634"/>
      <c r="P719" s="454"/>
      <c r="Q719" s="504"/>
      <c r="R719" s="639"/>
      <c r="S719" s="420"/>
      <c r="T719" s="421"/>
      <c r="U719" s="387"/>
      <c r="V719" s="648"/>
      <c r="W719" s="640"/>
      <c r="X719" s="404"/>
      <c r="Y719" s="372"/>
      <c r="Z719" s="381"/>
      <c r="AA719" s="225"/>
      <c r="AB719" s="361"/>
      <c r="AC719" s="533"/>
      <c r="AD719" s="225"/>
      <c r="AE719" s="361"/>
      <c r="AF719" s="533"/>
      <c r="AG719" s="225"/>
      <c r="AH719" s="361"/>
      <c r="AI719" s="533"/>
      <c r="AJ719" s="225"/>
      <c r="AK719" s="361"/>
      <c r="AL719" s="533"/>
      <c r="AM719" s="225"/>
      <c r="AN719" s="361"/>
      <c r="AO719" s="533"/>
      <c r="AP719" s="225"/>
      <c r="AQ719" s="361"/>
      <c r="AR719" s="533"/>
    </row>
    <row r="720" spans="1:44" ht="15.75" hidden="1" customHeight="1">
      <c r="A720" s="309"/>
      <c r="B720" s="666"/>
      <c r="C720" s="632"/>
      <c r="D720" s="632"/>
      <c r="E720" s="633"/>
      <c r="F720" s="524"/>
      <c r="G720" s="524"/>
      <c r="H720" s="362"/>
      <c r="I720" s="230"/>
      <c r="J720" s="230"/>
      <c r="K720" s="363"/>
      <c r="L720" s="364"/>
      <c r="M720" s="365"/>
      <c r="N720" s="366"/>
      <c r="O720" s="634"/>
      <c r="P720" s="429"/>
      <c r="Q720" s="442"/>
      <c r="R720" s="646"/>
      <c r="S720" s="433"/>
      <c r="T720" s="434"/>
      <c r="U720" s="376"/>
      <c r="V720" s="649"/>
      <c r="W720" s="636"/>
      <c r="X720" s="404"/>
      <c r="Y720" s="372"/>
      <c r="Z720" s="381"/>
      <c r="AA720" s="241"/>
      <c r="AB720" s="411"/>
      <c r="AC720" s="577"/>
      <c r="AD720" s="241"/>
      <c r="AE720" s="411"/>
      <c r="AF720" s="577"/>
      <c r="AG720" s="241"/>
      <c r="AH720" s="411"/>
      <c r="AI720" s="577"/>
      <c r="AJ720" s="241"/>
      <c r="AK720" s="411"/>
      <c r="AL720" s="577"/>
      <c r="AM720" s="241"/>
      <c r="AN720" s="411"/>
      <c r="AO720" s="577"/>
      <c r="AP720" s="241"/>
      <c r="AQ720" s="411"/>
      <c r="AR720" s="577"/>
    </row>
    <row r="721" spans="1:44" ht="15.75" hidden="1" customHeight="1">
      <c r="A721" s="309"/>
      <c r="B721" s="666" t="s">
        <v>2549</v>
      </c>
      <c r="C721" s="632">
        <v>17</v>
      </c>
      <c r="D721" s="632">
        <v>356</v>
      </c>
      <c r="E721" s="653"/>
      <c r="F721" s="524"/>
      <c r="G721" s="524"/>
      <c r="H721" s="362"/>
      <c r="I721" s="230"/>
      <c r="J721" s="230"/>
      <c r="K721" s="363"/>
      <c r="L721" s="364"/>
      <c r="M721" s="365"/>
      <c r="N721" s="366"/>
      <c r="O721" s="634"/>
      <c r="P721" s="454"/>
      <c r="Q721" s="504"/>
      <c r="R721" s="639"/>
      <c r="S721" s="420"/>
      <c r="T721" s="421"/>
      <c r="U721" s="387"/>
      <c r="V721" s="648"/>
      <c r="W721" s="640"/>
      <c r="X721" s="404"/>
      <c r="Y721" s="372"/>
      <c r="Z721" s="381"/>
      <c r="AA721" s="225"/>
      <c r="AB721" s="361"/>
      <c r="AC721" s="533"/>
      <c r="AD721" s="225"/>
      <c r="AE721" s="361"/>
      <c r="AF721" s="533"/>
      <c r="AG721" s="225"/>
      <c r="AH721" s="361"/>
      <c r="AI721" s="533"/>
      <c r="AJ721" s="225"/>
      <c r="AK721" s="361"/>
      <c r="AL721" s="533"/>
      <c r="AM721" s="225"/>
      <c r="AN721" s="361"/>
      <c r="AO721" s="533"/>
      <c r="AP721" s="225"/>
      <c r="AQ721" s="361"/>
      <c r="AR721" s="533"/>
    </row>
    <row r="722" spans="1:44" ht="9.75" hidden="1" customHeight="1">
      <c r="A722" s="309"/>
      <c r="B722" s="666"/>
      <c r="C722" s="632"/>
      <c r="D722" s="632"/>
      <c r="E722" s="653"/>
      <c r="F722" s="524"/>
      <c r="G722" s="524"/>
      <c r="H722" s="362"/>
      <c r="I722" s="230"/>
      <c r="J722" s="230"/>
      <c r="K722" s="363"/>
      <c r="L722" s="364"/>
      <c r="M722" s="365"/>
      <c r="N722" s="366"/>
      <c r="O722" s="634"/>
      <c r="P722" s="429"/>
      <c r="Q722" s="442"/>
      <c r="R722" s="646"/>
      <c r="S722" s="433"/>
      <c r="T722" s="434"/>
      <c r="U722" s="376"/>
      <c r="V722" s="649"/>
      <c r="W722" s="636"/>
      <c r="X722" s="404"/>
      <c r="Y722" s="372"/>
      <c r="Z722" s="381"/>
      <c r="AA722" s="241"/>
      <c r="AB722" s="411"/>
      <c r="AC722" s="577"/>
      <c r="AD722" s="241"/>
      <c r="AE722" s="411"/>
      <c r="AF722" s="577"/>
      <c r="AG722" s="241"/>
      <c r="AH722" s="411"/>
      <c r="AI722" s="577"/>
      <c r="AJ722" s="241"/>
      <c r="AK722" s="411"/>
      <c r="AL722" s="577"/>
      <c r="AM722" s="241"/>
      <c r="AN722" s="411"/>
      <c r="AO722" s="577"/>
      <c r="AP722" s="241"/>
      <c r="AQ722" s="411"/>
      <c r="AR722" s="577"/>
    </row>
    <row r="723" spans="1:44" ht="15.75" hidden="1" customHeight="1">
      <c r="A723" s="309"/>
      <c r="B723" s="666" t="s">
        <v>2549</v>
      </c>
      <c r="C723" s="632">
        <v>18</v>
      </c>
      <c r="D723" s="632">
        <v>357</v>
      </c>
      <c r="E723" s="653"/>
      <c r="F723" s="524"/>
      <c r="G723" s="524"/>
      <c r="H723" s="362"/>
      <c r="I723" s="230"/>
      <c r="J723" s="230"/>
      <c r="K723" s="363"/>
      <c r="L723" s="364"/>
      <c r="M723" s="365"/>
      <c r="N723" s="366"/>
      <c r="O723" s="634"/>
      <c r="P723" s="454"/>
      <c r="Q723" s="504"/>
      <c r="R723" s="639"/>
      <c r="S723" s="650"/>
      <c r="T723" s="421"/>
      <c r="U723" s="387"/>
      <c r="V723" s="648"/>
      <c r="W723" s="640"/>
      <c r="X723" s="404"/>
      <c r="Y723" s="372"/>
      <c r="Z723" s="381"/>
      <c r="AA723" s="225"/>
      <c r="AB723" s="361"/>
      <c r="AC723" s="533"/>
      <c r="AD723" s="225"/>
      <c r="AE723" s="361"/>
      <c r="AF723" s="533"/>
      <c r="AG723" s="225"/>
      <c r="AH723" s="361"/>
      <c r="AI723" s="533"/>
      <c r="AJ723" s="225"/>
      <c r="AK723" s="361"/>
      <c r="AL723" s="533"/>
      <c r="AM723" s="225"/>
      <c r="AN723" s="361"/>
      <c r="AO723" s="533"/>
      <c r="AP723" s="225"/>
      <c r="AQ723" s="361"/>
      <c r="AR723" s="533"/>
    </row>
    <row r="724" spans="1:44" ht="15.75" hidden="1" customHeight="1">
      <c r="A724" s="309"/>
      <c r="B724" s="666"/>
      <c r="C724" s="632"/>
      <c r="D724" s="632"/>
      <c r="E724" s="653"/>
      <c r="F724" s="524"/>
      <c r="G724" s="524"/>
      <c r="H724" s="362"/>
      <c r="I724" s="230"/>
      <c r="J724" s="230"/>
      <c r="K724" s="363"/>
      <c r="L724" s="364"/>
      <c r="M724" s="365"/>
      <c r="N724" s="366"/>
      <c r="O724" s="634"/>
      <c r="P724" s="429"/>
      <c r="Q724" s="442"/>
      <c r="R724" s="646"/>
      <c r="S724" s="433"/>
      <c r="T724" s="434"/>
      <c r="U724" s="376"/>
      <c r="V724" s="649"/>
      <c r="W724" s="636"/>
      <c r="X724" s="404"/>
      <c r="Y724" s="372"/>
      <c r="Z724" s="381"/>
      <c r="AA724" s="241"/>
      <c r="AB724" s="411"/>
      <c r="AC724" s="577"/>
      <c r="AD724" s="241"/>
      <c r="AE724" s="411"/>
      <c r="AF724" s="577"/>
      <c r="AG724" s="241"/>
      <c r="AH724" s="411"/>
      <c r="AI724" s="577"/>
      <c r="AJ724" s="241"/>
      <c r="AK724" s="411"/>
      <c r="AL724" s="577"/>
      <c r="AM724" s="241"/>
      <c r="AN724" s="411"/>
      <c r="AO724" s="577"/>
      <c r="AP724" s="241"/>
      <c r="AQ724" s="411"/>
      <c r="AR724" s="577"/>
    </row>
    <row r="725" spans="1:44" ht="15.75" hidden="1" customHeight="1">
      <c r="A725" s="309"/>
      <c r="B725" s="666" t="s">
        <v>2549</v>
      </c>
      <c r="C725" s="632">
        <v>19</v>
      </c>
      <c r="D725" s="632">
        <v>358</v>
      </c>
      <c r="E725" s="653"/>
      <c r="F725" s="524"/>
      <c r="G725" s="524"/>
      <c r="H725" s="362"/>
      <c r="I725" s="230"/>
      <c r="J725" s="230"/>
      <c r="K725" s="363"/>
      <c r="L725" s="364"/>
      <c r="M725" s="365"/>
      <c r="N725" s="366"/>
      <c r="O725" s="634"/>
      <c r="P725" s="454"/>
      <c r="Q725" s="504"/>
      <c r="R725" s="639"/>
      <c r="S725" s="420"/>
      <c r="T725" s="421"/>
      <c r="U725" s="387"/>
      <c r="V725" s="648"/>
      <c r="W725" s="640"/>
      <c r="X725" s="404"/>
      <c r="Y725" s="372"/>
      <c r="Z725" s="381"/>
      <c r="AA725" s="225"/>
      <c r="AB725" s="361"/>
      <c r="AC725" s="533"/>
      <c r="AD725" s="225"/>
      <c r="AE725" s="361"/>
      <c r="AF725" s="533"/>
      <c r="AG725" s="225"/>
      <c r="AH725" s="361"/>
      <c r="AI725" s="533"/>
      <c r="AJ725" s="225"/>
      <c r="AK725" s="361"/>
      <c r="AL725" s="533"/>
      <c r="AM725" s="225"/>
      <c r="AN725" s="361"/>
      <c r="AO725" s="533"/>
      <c r="AP725" s="225"/>
      <c r="AQ725" s="361"/>
      <c r="AR725" s="533"/>
    </row>
    <row r="726" spans="1:44" ht="15.75" hidden="1" customHeight="1">
      <c r="A726" s="309"/>
      <c r="B726" s="666"/>
      <c r="C726" s="632"/>
      <c r="D726" s="632"/>
      <c r="E726" s="653"/>
      <c r="F726" s="524"/>
      <c r="G726" s="524"/>
      <c r="H726" s="362"/>
      <c r="I726" s="230"/>
      <c r="J726" s="230"/>
      <c r="K726" s="363"/>
      <c r="L726" s="364"/>
      <c r="M726" s="365"/>
      <c r="N726" s="366"/>
      <c r="O726" s="634"/>
      <c r="P726" s="429"/>
      <c r="Q726" s="442"/>
      <c r="R726" s="646"/>
      <c r="S726" s="433"/>
      <c r="T726" s="434"/>
      <c r="U726" s="376"/>
      <c r="V726" s="649"/>
      <c r="W726" s="636"/>
      <c r="X726" s="404"/>
      <c r="Y726" s="372"/>
      <c r="Z726" s="381"/>
      <c r="AA726" s="241"/>
      <c r="AB726" s="411"/>
      <c r="AC726" s="577"/>
      <c r="AD726" s="241"/>
      <c r="AE726" s="411"/>
      <c r="AF726" s="577"/>
      <c r="AG726" s="241"/>
      <c r="AH726" s="411"/>
      <c r="AI726" s="577"/>
      <c r="AJ726" s="241"/>
      <c r="AK726" s="411"/>
      <c r="AL726" s="577"/>
      <c r="AM726" s="241"/>
      <c r="AN726" s="411"/>
      <c r="AO726" s="577"/>
      <c r="AP726" s="241"/>
      <c r="AQ726" s="411"/>
      <c r="AR726" s="577"/>
    </row>
    <row r="727" spans="1:44" ht="15.75" hidden="1" customHeight="1">
      <c r="A727" s="309"/>
      <c r="B727" s="666" t="s">
        <v>2549</v>
      </c>
      <c r="C727" s="632">
        <v>20</v>
      </c>
      <c r="D727" s="632">
        <v>359</v>
      </c>
      <c r="E727" s="653"/>
      <c r="F727" s="524"/>
      <c r="G727" s="524"/>
      <c r="H727" s="362"/>
      <c r="I727" s="230"/>
      <c r="J727" s="230"/>
      <c r="K727" s="363"/>
      <c r="L727" s="364"/>
      <c r="M727" s="365"/>
      <c r="N727" s="366"/>
      <c r="O727" s="634"/>
      <c r="P727" s="454"/>
      <c r="Q727" s="504"/>
      <c r="R727" s="639"/>
      <c r="S727" s="650"/>
      <c r="T727" s="421"/>
      <c r="U727" s="387"/>
      <c r="V727" s="648"/>
      <c r="W727" s="640"/>
      <c r="X727" s="404"/>
      <c r="Y727" s="372"/>
      <c r="Z727" s="381"/>
      <c r="AA727" s="225"/>
      <c r="AB727" s="361"/>
      <c r="AC727" s="533"/>
      <c r="AD727" s="225"/>
      <c r="AE727" s="361"/>
      <c r="AF727" s="533"/>
      <c r="AG727" s="225"/>
      <c r="AH727" s="361"/>
      <c r="AI727" s="533"/>
      <c r="AJ727" s="225"/>
      <c r="AK727" s="361"/>
      <c r="AL727" s="533"/>
      <c r="AM727" s="225"/>
      <c r="AN727" s="361"/>
      <c r="AO727" s="533"/>
      <c r="AP727" s="225"/>
      <c r="AQ727" s="361"/>
      <c r="AR727" s="533"/>
    </row>
    <row r="728" spans="1:44" ht="15.75" hidden="1" customHeight="1">
      <c r="A728" s="309"/>
      <c r="B728" s="666"/>
      <c r="C728" s="632"/>
      <c r="D728" s="632"/>
      <c r="E728" s="653"/>
      <c r="F728" s="524"/>
      <c r="G728" s="524"/>
      <c r="H728" s="362"/>
      <c r="I728" s="230"/>
      <c r="J728" s="230"/>
      <c r="K728" s="363"/>
      <c r="L728" s="364"/>
      <c r="M728" s="365"/>
      <c r="N728" s="366"/>
      <c r="O728" s="634"/>
      <c r="P728" s="429"/>
      <c r="Q728" s="442"/>
      <c r="R728" s="646"/>
      <c r="S728" s="433"/>
      <c r="T728" s="434"/>
      <c r="U728" s="376"/>
      <c r="V728" s="649"/>
      <c r="W728" s="636"/>
      <c r="X728" s="404"/>
      <c r="Y728" s="372"/>
      <c r="Z728" s="381"/>
      <c r="AA728" s="241"/>
      <c r="AB728" s="411"/>
      <c r="AC728" s="577"/>
      <c r="AD728" s="241"/>
      <c r="AE728" s="411"/>
      <c r="AF728" s="577"/>
      <c r="AG728" s="241"/>
      <c r="AH728" s="411"/>
      <c r="AI728" s="577"/>
      <c r="AJ728" s="241"/>
      <c r="AK728" s="411"/>
      <c r="AL728" s="577"/>
      <c r="AM728" s="241"/>
      <c r="AN728" s="411"/>
      <c r="AO728" s="577"/>
      <c r="AP728" s="241"/>
      <c r="AQ728" s="411"/>
      <c r="AR728" s="577"/>
    </row>
    <row r="729" spans="1:44" ht="15.75" hidden="1" customHeight="1">
      <c r="A729" s="309"/>
      <c r="B729" s="666" t="s">
        <v>2549</v>
      </c>
      <c r="C729" s="632">
        <v>21</v>
      </c>
      <c r="D729" s="632">
        <v>360</v>
      </c>
      <c r="E729" s="653"/>
      <c r="F729" s="524"/>
      <c r="G729" s="524"/>
      <c r="H729" s="362"/>
      <c r="I729" s="230"/>
      <c r="J729" s="230"/>
      <c r="K729" s="363"/>
      <c r="L729" s="364"/>
      <c r="M729" s="365"/>
      <c r="N729" s="366"/>
      <c r="O729" s="634"/>
      <c r="P729" s="454"/>
      <c r="Q729" s="504"/>
      <c r="R729" s="639"/>
      <c r="S729" s="420"/>
      <c r="T729" s="421"/>
      <c r="U729" s="387"/>
      <c r="V729" s="648"/>
      <c r="W729" s="640"/>
      <c r="X729" s="404"/>
      <c r="Y729" s="372"/>
      <c r="Z729" s="381"/>
      <c r="AA729" s="225"/>
      <c r="AB729" s="361"/>
      <c r="AC729" s="533"/>
      <c r="AD729" s="225"/>
      <c r="AE729" s="361"/>
      <c r="AF729" s="533"/>
      <c r="AG729" s="225"/>
      <c r="AH729" s="361"/>
      <c r="AI729" s="533"/>
      <c r="AJ729" s="225"/>
      <c r="AK729" s="361"/>
      <c r="AL729" s="533"/>
      <c r="AM729" s="225"/>
      <c r="AN729" s="361"/>
      <c r="AO729" s="533"/>
      <c r="AP729" s="225"/>
      <c r="AQ729" s="361"/>
      <c r="AR729" s="533"/>
    </row>
    <row r="730" spans="1:44" ht="15.75" hidden="1" customHeight="1">
      <c r="A730" s="309"/>
      <c r="B730" s="666"/>
      <c r="C730" s="632"/>
      <c r="D730" s="632"/>
      <c r="E730" s="653"/>
      <c r="F730" s="524"/>
      <c r="G730" s="524"/>
      <c r="H730" s="362"/>
      <c r="I730" s="230"/>
      <c r="J730" s="230"/>
      <c r="K730" s="363"/>
      <c r="L730" s="364"/>
      <c r="M730" s="365"/>
      <c r="N730" s="366"/>
      <c r="O730" s="634"/>
      <c r="P730" s="429"/>
      <c r="Q730" s="442"/>
      <c r="R730" s="646"/>
      <c r="S730" s="433"/>
      <c r="T730" s="434"/>
      <c r="U730" s="376"/>
      <c r="V730" s="649"/>
      <c r="W730" s="636"/>
      <c r="X730" s="404"/>
      <c r="Y730" s="372"/>
      <c r="Z730" s="381"/>
      <c r="AA730" s="241"/>
      <c r="AB730" s="411"/>
      <c r="AC730" s="577"/>
      <c r="AD730" s="241"/>
      <c r="AE730" s="411"/>
      <c r="AF730" s="577"/>
      <c r="AG730" s="241"/>
      <c r="AH730" s="411"/>
      <c r="AI730" s="577"/>
      <c r="AJ730" s="241"/>
      <c r="AK730" s="411"/>
      <c r="AL730" s="577"/>
      <c r="AM730" s="241"/>
      <c r="AN730" s="411"/>
      <c r="AO730" s="577"/>
      <c r="AP730" s="241"/>
      <c r="AQ730" s="411"/>
      <c r="AR730" s="577"/>
    </row>
    <row r="731" spans="1:44" ht="15.75" hidden="1" customHeight="1">
      <c r="A731" s="309"/>
      <c r="B731" s="666" t="s">
        <v>2549</v>
      </c>
      <c r="C731" s="632">
        <v>22</v>
      </c>
      <c r="D731" s="632">
        <v>361</v>
      </c>
      <c r="E731" s="653"/>
      <c r="F731" s="524"/>
      <c r="G731" s="524"/>
      <c r="H731" s="362"/>
      <c r="I731" s="230"/>
      <c r="J731" s="230"/>
      <c r="K731" s="363"/>
      <c r="L731" s="364"/>
      <c r="M731" s="365"/>
      <c r="N731" s="366"/>
      <c r="O731" s="634"/>
      <c r="P731" s="454"/>
      <c r="Q731" s="504"/>
      <c r="R731" s="639"/>
      <c r="S731" s="420"/>
      <c r="T731" s="421"/>
      <c r="U731" s="387"/>
      <c r="V731" s="648"/>
      <c r="W731" s="640"/>
      <c r="X731" s="404"/>
      <c r="Y731" s="372"/>
      <c r="Z731" s="381"/>
      <c r="AA731" s="225"/>
      <c r="AB731" s="361"/>
      <c r="AC731" s="533"/>
      <c r="AD731" s="225"/>
      <c r="AE731" s="361"/>
      <c r="AF731" s="533"/>
      <c r="AG731" s="225"/>
      <c r="AH731" s="361"/>
      <c r="AI731" s="533"/>
      <c r="AJ731" s="225"/>
      <c r="AK731" s="361"/>
      <c r="AL731" s="533"/>
      <c r="AM731" s="225"/>
      <c r="AN731" s="361"/>
      <c r="AO731" s="533"/>
      <c r="AP731" s="225"/>
      <c r="AQ731" s="361"/>
      <c r="AR731" s="533"/>
    </row>
    <row r="732" spans="1:44" ht="15.75" hidden="1" customHeight="1">
      <c r="A732" s="309"/>
      <c r="B732" s="666"/>
      <c r="C732" s="632"/>
      <c r="D732" s="632"/>
      <c r="E732" s="653"/>
      <c r="F732" s="524"/>
      <c r="G732" s="524"/>
      <c r="H732" s="362"/>
      <c r="I732" s="230"/>
      <c r="J732" s="230"/>
      <c r="K732" s="363"/>
      <c r="L732" s="364"/>
      <c r="M732" s="365"/>
      <c r="N732" s="366"/>
      <c r="O732" s="634"/>
      <c r="P732" s="429"/>
      <c r="Q732" s="442"/>
      <c r="R732" s="646"/>
      <c r="S732" s="433"/>
      <c r="T732" s="434"/>
      <c r="U732" s="376"/>
      <c r="V732" s="649"/>
      <c r="W732" s="636"/>
      <c r="X732" s="404"/>
      <c r="Y732" s="372"/>
      <c r="Z732" s="381"/>
      <c r="AA732" s="241"/>
      <c r="AB732" s="411"/>
      <c r="AC732" s="577"/>
      <c r="AD732" s="241"/>
      <c r="AE732" s="411"/>
      <c r="AF732" s="577"/>
      <c r="AG732" s="241"/>
      <c r="AH732" s="411"/>
      <c r="AI732" s="577"/>
      <c r="AJ732" s="241"/>
      <c r="AK732" s="411"/>
      <c r="AL732" s="577"/>
      <c r="AM732" s="241"/>
      <c r="AN732" s="411"/>
      <c r="AO732" s="577"/>
      <c r="AP732" s="241"/>
      <c r="AQ732" s="411"/>
      <c r="AR732" s="577"/>
    </row>
    <row r="733" spans="1:44" ht="15.75" hidden="1" customHeight="1">
      <c r="A733" s="309"/>
      <c r="B733" s="666" t="s">
        <v>2549</v>
      </c>
      <c r="C733" s="632">
        <v>23</v>
      </c>
      <c r="D733" s="632">
        <v>362</v>
      </c>
      <c r="E733" s="653"/>
      <c r="F733" s="524"/>
      <c r="G733" s="524"/>
      <c r="H733" s="362"/>
      <c r="I733" s="230"/>
      <c r="J733" s="230"/>
      <c r="K733" s="597"/>
      <c r="L733" s="451"/>
      <c r="M733" s="452"/>
      <c r="N733" s="409"/>
      <c r="O733" s="638"/>
      <c r="P733" s="454"/>
      <c r="Q733" s="504"/>
      <c r="R733" s="639"/>
      <c r="S733" s="420"/>
      <c r="T733" s="421"/>
      <c r="U733" s="387"/>
      <c r="V733" s="648"/>
      <c r="W733" s="640"/>
      <c r="X733" s="404"/>
      <c r="Y733" s="372"/>
      <c r="Z733" s="381"/>
      <c r="AA733" s="225"/>
      <c r="AB733" s="361"/>
      <c r="AC733" s="533"/>
      <c r="AD733" s="225"/>
      <c r="AE733" s="361"/>
      <c r="AF733" s="533"/>
      <c r="AG733" s="225"/>
      <c r="AH733" s="361"/>
      <c r="AI733" s="533"/>
      <c r="AJ733" s="225"/>
      <c r="AK733" s="361"/>
      <c r="AL733" s="533"/>
      <c r="AM733" s="225"/>
      <c r="AN733" s="361"/>
      <c r="AO733" s="533"/>
      <c r="AP733" s="225"/>
      <c r="AQ733" s="361"/>
      <c r="AR733" s="533"/>
    </row>
    <row r="734" spans="1:44" ht="15.75" hidden="1" customHeight="1">
      <c r="A734" s="309"/>
      <c r="B734" s="666"/>
      <c r="C734" s="632"/>
      <c r="D734" s="632"/>
      <c r="E734" s="653"/>
      <c r="F734" s="524"/>
      <c r="G734" s="524"/>
      <c r="H734" s="362"/>
      <c r="I734" s="230"/>
      <c r="J734" s="230"/>
      <c r="K734" s="412"/>
      <c r="L734" s="413"/>
      <c r="M734" s="604"/>
      <c r="N734" s="415"/>
      <c r="O734" s="642"/>
      <c r="P734" s="581"/>
      <c r="Q734" s="563"/>
      <c r="R734" s="646"/>
      <c r="S734" s="433"/>
      <c r="T734" s="434"/>
      <c r="U734" s="376"/>
      <c r="V734" s="649"/>
      <c r="W734" s="636"/>
      <c r="X734" s="404"/>
      <c r="Y734" s="372"/>
      <c r="Z734" s="381"/>
      <c r="AA734" s="241"/>
      <c r="AB734" s="411"/>
      <c r="AC734" s="577"/>
      <c r="AD734" s="241"/>
      <c r="AE734" s="411"/>
      <c r="AF734" s="577"/>
      <c r="AG734" s="241"/>
      <c r="AH734" s="411"/>
      <c r="AI734" s="577"/>
      <c r="AJ734" s="241"/>
      <c r="AK734" s="411"/>
      <c r="AL734" s="577"/>
      <c r="AM734" s="241"/>
      <c r="AN734" s="411"/>
      <c r="AO734" s="577"/>
      <c r="AP734" s="241"/>
      <c r="AQ734" s="411"/>
      <c r="AR734" s="577"/>
    </row>
    <row r="735" spans="1:44" ht="15.75" hidden="1" customHeight="1">
      <c r="A735" s="309"/>
      <c r="B735" s="666" t="s">
        <v>2549</v>
      </c>
      <c r="C735" s="632">
        <v>24</v>
      </c>
      <c r="D735" s="632">
        <v>363</v>
      </c>
      <c r="E735" s="653"/>
      <c r="F735" s="524"/>
      <c r="G735" s="524"/>
      <c r="H735" s="362"/>
      <c r="I735" s="230"/>
      <c r="J735" s="230"/>
      <c r="K735" s="412"/>
      <c r="L735" s="413"/>
      <c r="M735" s="604"/>
      <c r="N735" s="415"/>
      <c r="O735" s="642"/>
      <c r="P735" s="581"/>
      <c r="Q735" s="563"/>
      <c r="R735" s="639"/>
      <c r="S735" s="420"/>
      <c r="T735" s="421"/>
      <c r="U735" s="387"/>
      <c r="V735" s="648"/>
      <c r="W735" s="640"/>
      <c r="X735" s="404"/>
      <c r="Y735" s="372"/>
      <c r="Z735" s="381"/>
      <c r="AA735" s="225"/>
      <c r="AB735" s="361"/>
      <c r="AC735" s="533"/>
      <c r="AD735" s="225"/>
      <c r="AE735" s="361"/>
      <c r="AF735" s="533"/>
      <c r="AG735" s="225"/>
      <c r="AH735" s="361"/>
      <c r="AI735" s="533"/>
      <c r="AJ735" s="225"/>
      <c r="AK735" s="361"/>
      <c r="AL735" s="533"/>
      <c r="AM735" s="225"/>
      <c r="AN735" s="361"/>
      <c r="AO735" s="533"/>
      <c r="AP735" s="225"/>
      <c r="AQ735" s="361"/>
      <c r="AR735" s="533"/>
    </row>
    <row r="736" spans="1:44" ht="15.75" hidden="1" customHeight="1">
      <c r="A736" s="309"/>
      <c r="B736" s="666"/>
      <c r="C736" s="632"/>
      <c r="D736" s="632"/>
      <c r="E736" s="653"/>
      <c r="F736" s="524"/>
      <c r="G736" s="524"/>
      <c r="H736" s="362"/>
      <c r="I736" s="230"/>
      <c r="J736" s="230"/>
      <c r="K736" s="438"/>
      <c r="L736" s="427"/>
      <c r="M736" s="439"/>
      <c r="N736" s="425"/>
      <c r="O736" s="645"/>
      <c r="P736" s="429"/>
      <c r="Q736" s="442"/>
      <c r="R736" s="646"/>
      <c r="S736" s="433"/>
      <c r="T736" s="434"/>
      <c r="U736" s="376"/>
      <c r="V736" s="649"/>
      <c r="W736" s="636"/>
      <c r="X736" s="404"/>
      <c r="Y736" s="372"/>
      <c r="Z736" s="381"/>
      <c r="AA736" s="241"/>
      <c r="AB736" s="411"/>
      <c r="AC736" s="577"/>
      <c r="AD736" s="241"/>
      <c r="AE736" s="411"/>
      <c r="AF736" s="577"/>
      <c r="AG736" s="241"/>
      <c r="AH736" s="411"/>
      <c r="AI736" s="577"/>
      <c r="AJ736" s="241"/>
      <c r="AK736" s="411"/>
      <c r="AL736" s="577"/>
      <c r="AM736" s="241"/>
      <c r="AN736" s="411"/>
      <c r="AO736" s="577"/>
      <c r="AP736" s="241"/>
      <c r="AQ736" s="411"/>
      <c r="AR736" s="577"/>
    </row>
    <row r="737" spans="1:44" ht="15.75" hidden="1" customHeight="1">
      <c r="A737" s="309"/>
      <c r="B737" s="666" t="s">
        <v>2549</v>
      </c>
      <c r="C737" s="632">
        <v>25</v>
      </c>
      <c r="D737" s="632">
        <v>364</v>
      </c>
      <c r="E737" s="653"/>
      <c r="F737" s="524"/>
      <c r="G737" s="524"/>
      <c r="H737" s="362"/>
      <c r="I737" s="230"/>
      <c r="J737" s="230"/>
      <c r="K737" s="363"/>
      <c r="L737" s="364"/>
      <c r="M737" s="365"/>
      <c r="N737" s="366"/>
      <c r="O737" s="634"/>
      <c r="P737" s="454"/>
      <c r="Q737" s="504"/>
      <c r="R737" s="639"/>
      <c r="S737" s="420"/>
      <c r="T737" s="421"/>
      <c r="U737" s="387"/>
      <c r="V737" s="648"/>
      <c r="W737" s="640"/>
      <c r="X737" s="404"/>
      <c r="Y737" s="372"/>
      <c r="Z737" s="381"/>
      <c r="AA737" s="225"/>
      <c r="AB737" s="361"/>
      <c r="AC737" s="533"/>
      <c r="AD737" s="225"/>
      <c r="AE737" s="361"/>
      <c r="AF737" s="533"/>
      <c r="AG737" s="225"/>
      <c r="AH737" s="361"/>
      <c r="AI737" s="533"/>
      <c r="AJ737" s="225"/>
      <c r="AK737" s="361"/>
      <c r="AL737" s="533"/>
      <c r="AM737" s="225"/>
      <c r="AN737" s="361"/>
      <c r="AO737" s="533"/>
      <c r="AP737" s="225"/>
      <c r="AQ737" s="361"/>
      <c r="AR737" s="533"/>
    </row>
    <row r="738" spans="1:44" ht="15.75" hidden="1" customHeight="1">
      <c r="A738" s="309"/>
      <c r="B738" s="666"/>
      <c r="C738" s="632"/>
      <c r="D738" s="632"/>
      <c r="E738" s="653"/>
      <c r="F738" s="524"/>
      <c r="G738" s="524"/>
      <c r="H738" s="362"/>
      <c r="I738" s="230"/>
      <c r="J738" s="230"/>
      <c r="K738" s="363"/>
      <c r="L738" s="364"/>
      <c r="M738" s="365"/>
      <c r="N738" s="366"/>
      <c r="O738" s="634"/>
      <c r="P738" s="429"/>
      <c r="Q738" s="442"/>
      <c r="R738" s="646"/>
      <c r="S738" s="433"/>
      <c r="T738" s="434"/>
      <c r="U738" s="376"/>
      <c r="V738" s="649"/>
      <c r="W738" s="636"/>
      <c r="X738" s="404"/>
      <c r="Y738" s="372"/>
      <c r="Z738" s="381"/>
      <c r="AA738" s="241"/>
      <c r="AB738" s="411"/>
      <c r="AC738" s="577"/>
      <c r="AD738" s="241"/>
      <c r="AE738" s="411"/>
      <c r="AF738" s="577"/>
      <c r="AG738" s="241"/>
      <c r="AH738" s="411"/>
      <c r="AI738" s="577"/>
      <c r="AJ738" s="241"/>
      <c r="AK738" s="411"/>
      <c r="AL738" s="577"/>
      <c r="AM738" s="241"/>
      <c r="AN738" s="411"/>
      <c r="AO738" s="577"/>
      <c r="AP738" s="241"/>
      <c r="AQ738" s="411"/>
      <c r="AR738" s="577"/>
    </row>
    <row r="739" spans="1:44" ht="15.75" hidden="1" customHeight="1">
      <c r="A739" s="309"/>
      <c r="B739" s="666" t="s">
        <v>2549</v>
      </c>
      <c r="C739" s="632">
        <v>26</v>
      </c>
      <c r="D739" s="632">
        <v>365</v>
      </c>
      <c r="E739" s="653"/>
      <c r="F739" s="524"/>
      <c r="G739" s="524"/>
      <c r="H739" s="362"/>
      <c r="I739" s="230"/>
      <c r="J739" s="230"/>
      <c r="K739" s="363"/>
      <c r="L739" s="364"/>
      <c r="M739" s="365"/>
      <c r="N739" s="409"/>
      <c r="O739" s="638"/>
      <c r="P739" s="454"/>
      <c r="Q739" s="504"/>
      <c r="R739" s="639"/>
      <c r="S739" s="420"/>
      <c r="T739" s="421"/>
      <c r="U739" s="387"/>
      <c r="V739" s="648"/>
      <c r="W739" s="640"/>
      <c r="X739" s="404"/>
      <c r="Y739" s="372"/>
      <c r="Z739" s="381"/>
      <c r="AA739" s="225"/>
      <c r="AB739" s="361"/>
      <c r="AC739" s="533"/>
      <c r="AD739" s="225"/>
      <c r="AE739" s="361"/>
      <c r="AF739" s="533"/>
      <c r="AG739" s="225"/>
      <c r="AH739" s="361"/>
      <c r="AI739" s="533"/>
      <c r="AJ739" s="225"/>
      <c r="AK739" s="361"/>
      <c r="AL739" s="533"/>
      <c r="AM739" s="225"/>
      <c r="AN739" s="361"/>
      <c r="AO739" s="533"/>
      <c r="AP739" s="225"/>
      <c r="AQ739" s="361"/>
      <c r="AR739" s="533"/>
    </row>
    <row r="740" spans="1:44" ht="15.75" hidden="1" customHeight="1">
      <c r="A740" s="309"/>
      <c r="B740" s="666"/>
      <c r="C740" s="632"/>
      <c r="D740" s="632"/>
      <c r="E740" s="653"/>
      <c r="F740" s="524"/>
      <c r="G740" s="524"/>
      <c r="H740" s="362"/>
      <c r="I740" s="230"/>
      <c r="J740" s="230"/>
      <c r="K740" s="363"/>
      <c r="L740" s="364"/>
      <c r="M740" s="365"/>
      <c r="N740" s="415"/>
      <c r="O740" s="642"/>
      <c r="P740" s="581"/>
      <c r="Q740" s="442"/>
      <c r="R740" s="646"/>
      <c r="S740" s="433"/>
      <c r="T740" s="434"/>
      <c r="U740" s="376"/>
      <c r="V740" s="649"/>
      <c r="W740" s="636"/>
      <c r="X740" s="404"/>
      <c r="Y740" s="372"/>
      <c r="Z740" s="381"/>
      <c r="AA740" s="241"/>
      <c r="AB740" s="411"/>
      <c r="AC740" s="577"/>
      <c r="AD740" s="241"/>
      <c r="AE740" s="411"/>
      <c r="AF740" s="577"/>
      <c r="AG740" s="241"/>
      <c r="AH740" s="411"/>
      <c r="AI740" s="577"/>
      <c r="AJ740" s="241"/>
      <c r="AK740" s="411"/>
      <c r="AL740" s="577"/>
      <c r="AM740" s="241"/>
      <c r="AN740" s="411"/>
      <c r="AO740" s="577"/>
      <c r="AP740" s="241"/>
      <c r="AQ740" s="411"/>
      <c r="AR740" s="577"/>
    </row>
    <row r="741" spans="1:44" ht="15.75" hidden="1" customHeight="1">
      <c r="A741" s="309"/>
      <c r="B741" s="666" t="s">
        <v>2549</v>
      </c>
      <c r="C741" s="632">
        <v>27</v>
      </c>
      <c r="D741" s="632">
        <v>366</v>
      </c>
      <c r="E741" s="653"/>
      <c r="F741" s="524"/>
      <c r="G741" s="524"/>
      <c r="H741" s="362"/>
      <c r="I741" s="230"/>
      <c r="J741" s="230"/>
      <c r="K741" s="363"/>
      <c r="L741" s="364"/>
      <c r="M741" s="365"/>
      <c r="N741" s="415"/>
      <c r="O741" s="642"/>
      <c r="P741" s="581"/>
      <c r="Q741" s="504"/>
      <c r="R741" s="639"/>
      <c r="S741" s="420"/>
      <c r="T741" s="421"/>
      <c r="U741" s="387"/>
      <c r="V741" s="648"/>
      <c r="W741" s="640"/>
      <c r="X741" s="404"/>
      <c r="Y741" s="372"/>
      <c r="Z741" s="381"/>
      <c r="AA741" s="225"/>
      <c r="AB741" s="361"/>
      <c r="AC741" s="533"/>
      <c r="AD741" s="225"/>
      <c r="AE741" s="361"/>
      <c r="AF741" s="533"/>
      <c r="AG741" s="225"/>
      <c r="AH741" s="361"/>
      <c r="AI741" s="533"/>
      <c r="AJ741" s="225"/>
      <c r="AK741" s="361"/>
      <c r="AL741" s="533"/>
      <c r="AM741" s="225"/>
      <c r="AN741" s="361"/>
      <c r="AO741" s="533"/>
      <c r="AP741" s="225"/>
      <c r="AQ741" s="361"/>
      <c r="AR741" s="533"/>
    </row>
    <row r="742" spans="1:44" ht="15.75" hidden="1" customHeight="1">
      <c r="A742" s="309"/>
      <c r="B742" s="666"/>
      <c r="C742" s="632"/>
      <c r="D742" s="632"/>
      <c r="E742" s="653"/>
      <c r="F742" s="524"/>
      <c r="G742" s="524"/>
      <c r="H742" s="362"/>
      <c r="I742" s="230"/>
      <c r="J742" s="230"/>
      <c r="K742" s="363"/>
      <c r="L742" s="364"/>
      <c r="M742" s="365"/>
      <c r="N742" s="425"/>
      <c r="O742" s="645"/>
      <c r="P742" s="429"/>
      <c r="Q742" s="442"/>
      <c r="R742" s="646"/>
      <c r="S742" s="433"/>
      <c r="T742" s="434"/>
      <c r="U742" s="376"/>
      <c r="V742" s="649"/>
      <c r="W742" s="636"/>
      <c r="X742" s="404"/>
      <c r="Y742" s="372"/>
      <c r="Z742" s="381"/>
      <c r="AA742" s="241"/>
      <c r="AB742" s="411"/>
      <c r="AC742" s="577"/>
      <c r="AD742" s="241"/>
      <c r="AE742" s="411"/>
      <c r="AF742" s="577"/>
      <c r="AG742" s="241"/>
      <c r="AH742" s="411"/>
      <c r="AI742" s="577"/>
      <c r="AJ742" s="241"/>
      <c r="AK742" s="411"/>
      <c r="AL742" s="577"/>
      <c r="AM742" s="241"/>
      <c r="AN742" s="411"/>
      <c r="AO742" s="577"/>
      <c r="AP742" s="241"/>
      <c r="AQ742" s="411"/>
      <c r="AR742" s="577"/>
    </row>
    <row r="743" spans="1:44" ht="15.75" hidden="1" customHeight="1">
      <c r="A743" s="309"/>
      <c r="B743" s="666" t="s">
        <v>2549</v>
      </c>
      <c r="C743" s="632">
        <v>28</v>
      </c>
      <c r="D743" s="632">
        <v>367</v>
      </c>
      <c r="E743" s="653"/>
      <c r="F743" s="524"/>
      <c r="G743" s="524"/>
      <c r="H743" s="362"/>
      <c r="I743" s="230"/>
      <c r="J743" s="230"/>
      <c r="K743" s="363"/>
      <c r="L743" s="364"/>
      <c r="M743" s="365"/>
      <c r="N743" s="366"/>
      <c r="O743" s="634"/>
      <c r="P743" s="454"/>
      <c r="Q743" s="504"/>
      <c r="R743" s="639"/>
      <c r="S743" s="420"/>
      <c r="T743" s="421"/>
      <c r="U743" s="387"/>
      <c r="V743" s="648"/>
      <c r="W743" s="640"/>
      <c r="X743" s="404"/>
      <c r="Y743" s="372"/>
      <c r="Z743" s="381"/>
      <c r="AA743" s="225"/>
      <c r="AB743" s="361"/>
      <c r="AC743" s="533"/>
      <c r="AD743" s="225"/>
      <c r="AE743" s="361"/>
      <c r="AF743" s="533"/>
      <c r="AG743" s="225"/>
      <c r="AH743" s="361"/>
      <c r="AI743" s="533"/>
      <c r="AJ743" s="225"/>
      <c r="AK743" s="361"/>
      <c r="AL743" s="533"/>
      <c r="AM743" s="225"/>
      <c r="AN743" s="361"/>
      <c r="AO743" s="533"/>
      <c r="AP743" s="225"/>
      <c r="AQ743" s="361"/>
      <c r="AR743" s="533"/>
    </row>
    <row r="744" spans="1:44" ht="15.75" hidden="1" customHeight="1">
      <c r="A744" s="309"/>
      <c r="B744" s="666"/>
      <c r="C744" s="632"/>
      <c r="D744" s="632"/>
      <c r="E744" s="653"/>
      <c r="F744" s="524"/>
      <c r="G744" s="524"/>
      <c r="H744" s="362"/>
      <c r="I744" s="230"/>
      <c r="J744" s="230"/>
      <c r="K744" s="363"/>
      <c r="L744" s="364"/>
      <c r="M744" s="365"/>
      <c r="N744" s="366"/>
      <c r="O744" s="634"/>
      <c r="P744" s="429"/>
      <c r="Q744" s="442"/>
      <c r="R744" s="646"/>
      <c r="S744" s="433"/>
      <c r="T744" s="434"/>
      <c r="U744" s="376"/>
      <c r="V744" s="649"/>
      <c r="W744" s="636"/>
      <c r="X744" s="404"/>
      <c r="Y744" s="372"/>
      <c r="Z744" s="381"/>
      <c r="AA744" s="241"/>
      <c r="AB744" s="411"/>
      <c r="AC744" s="577"/>
      <c r="AD744" s="241"/>
      <c r="AE744" s="411"/>
      <c r="AF744" s="577"/>
      <c r="AG744" s="241"/>
      <c r="AH744" s="411"/>
      <c r="AI744" s="577"/>
      <c r="AJ744" s="241"/>
      <c r="AK744" s="411"/>
      <c r="AL744" s="577"/>
      <c r="AM744" s="241"/>
      <c r="AN744" s="411"/>
      <c r="AO744" s="577"/>
      <c r="AP744" s="241"/>
      <c r="AQ744" s="411"/>
      <c r="AR744" s="577"/>
    </row>
    <row r="745" spans="1:44" ht="15.75" hidden="1" customHeight="1">
      <c r="A745" s="309"/>
      <c r="B745" s="666" t="s">
        <v>2549</v>
      </c>
      <c r="C745" s="632">
        <v>29</v>
      </c>
      <c r="D745" s="632">
        <v>368</v>
      </c>
      <c r="E745" s="653"/>
      <c r="F745" s="524"/>
      <c r="G745" s="524"/>
      <c r="H745" s="362"/>
      <c r="I745" s="230"/>
      <c r="J745" s="230"/>
      <c r="K745" s="363"/>
      <c r="L745" s="364"/>
      <c r="M745" s="365"/>
      <c r="N745" s="366"/>
      <c r="O745" s="634"/>
      <c r="P745" s="454"/>
      <c r="Q745" s="504"/>
      <c r="R745" s="639"/>
      <c r="S745" s="420"/>
      <c r="T745" s="421"/>
      <c r="U745" s="387"/>
      <c r="V745" s="648"/>
      <c r="W745" s="640"/>
      <c r="X745" s="404"/>
      <c r="Y745" s="372"/>
      <c r="Z745" s="381"/>
      <c r="AA745" s="225"/>
      <c r="AB745" s="361"/>
      <c r="AC745" s="533"/>
      <c r="AD745" s="225"/>
      <c r="AE745" s="361"/>
      <c r="AF745" s="533"/>
      <c r="AG745" s="225"/>
      <c r="AH745" s="361"/>
      <c r="AI745" s="533"/>
      <c r="AJ745" s="225"/>
      <c r="AK745" s="361"/>
      <c r="AL745" s="533"/>
      <c r="AM745" s="225"/>
      <c r="AN745" s="361"/>
      <c r="AO745" s="533"/>
      <c r="AP745" s="225"/>
      <c r="AQ745" s="361"/>
      <c r="AR745" s="533"/>
    </row>
    <row r="746" spans="1:44" ht="15.75" hidden="1" customHeight="1">
      <c r="A746" s="309"/>
      <c r="B746" s="666"/>
      <c r="C746" s="632"/>
      <c r="D746" s="632"/>
      <c r="E746" s="653"/>
      <c r="F746" s="524"/>
      <c r="G746" s="524"/>
      <c r="H746" s="362"/>
      <c r="I746" s="230"/>
      <c r="J746" s="230"/>
      <c r="K746" s="363"/>
      <c r="L746" s="364"/>
      <c r="M746" s="365"/>
      <c r="N746" s="366"/>
      <c r="O746" s="634"/>
      <c r="P746" s="429"/>
      <c r="Q746" s="442"/>
      <c r="R746" s="646"/>
      <c r="S746" s="433"/>
      <c r="T746" s="434"/>
      <c r="U746" s="376"/>
      <c r="V746" s="649"/>
      <c r="W746" s="636"/>
      <c r="X746" s="404"/>
      <c r="Y746" s="372"/>
      <c r="Z746" s="381"/>
      <c r="AA746" s="241"/>
      <c r="AB746" s="411"/>
      <c r="AC746" s="577"/>
      <c r="AD746" s="241"/>
      <c r="AE746" s="411"/>
      <c r="AF746" s="577"/>
      <c r="AG746" s="241"/>
      <c r="AH746" s="411"/>
      <c r="AI746" s="577"/>
      <c r="AJ746" s="241"/>
      <c r="AK746" s="411"/>
      <c r="AL746" s="577"/>
      <c r="AM746" s="241"/>
      <c r="AN746" s="411"/>
      <c r="AO746" s="577"/>
      <c r="AP746" s="241"/>
      <c r="AQ746" s="411"/>
      <c r="AR746" s="577"/>
    </row>
    <row r="747" spans="1:44" ht="15.75" hidden="1" customHeight="1">
      <c r="A747" s="309"/>
      <c r="B747" s="666" t="s">
        <v>2549</v>
      </c>
      <c r="C747" s="632">
        <v>30</v>
      </c>
      <c r="D747" s="632">
        <v>369</v>
      </c>
      <c r="E747" s="653"/>
      <c r="F747" s="524"/>
      <c r="G747" s="524"/>
      <c r="H747" s="362"/>
      <c r="I747" s="230"/>
      <c r="J747" s="230"/>
      <c r="K747" s="363"/>
      <c r="L747" s="364"/>
      <c r="M747" s="365"/>
      <c r="N747" s="366"/>
      <c r="O747" s="634"/>
      <c r="P747" s="454"/>
      <c r="Q747" s="504"/>
      <c r="R747" s="639"/>
      <c r="S747" s="420"/>
      <c r="T747" s="421"/>
      <c r="U747" s="387"/>
      <c r="V747" s="648"/>
      <c r="W747" s="640"/>
      <c r="X747" s="404"/>
      <c r="Y747" s="372"/>
      <c r="Z747" s="381"/>
      <c r="AA747" s="225"/>
      <c r="AB747" s="361"/>
      <c r="AC747" s="533"/>
      <c r="AD747" s="225"/>
      <c r="AE747" s="361"/>
      <c r="AF747" s="533"/>
      <c r="AG747" s="225"/>
      <c r="AH747" s="361"/>
      <c r="AI747" s="533"/>
      <c r="AJ747" s="225"/>
      <c r="AK747" s="361"/>
      <c r="AL747" s="533"/>
      <c r="AM747" s="225"/>
      <c r="AN747" s="361"/>
      <c r="AO747" s="533"/>
      <c r="AP747" s="225"/>
      <c r="AQ747" s="361"/>
      <c r="AR747" s="533"/>
    </row>
    <row r="748" spans="1:44" ht="15.75" hidden="1" customHeight="1">
      <c r="A748" s="309"/>
      <c r="B748" s="666"/>
      <c r="C748" s="632"/>
      <c r="D748" s="632"/>
      <c r="E748" s="653"/>
      <c r="F748" s="524"/>
      <c r="G748" s="524"/>
      <c r="H748" s="362"/>
      <c r="I748" s="230"/>
      <c r="J748" s="230"/>
      <c r="K748" s="363"/>
      <c r="L748" s="364"/>
      <c r="M748" s="365"/>
      <c r="N748" s="366"/>
      <c r="O748" s="634"/>
      <c r="P748" s="429"/>
      <c r="Q748" s="442"/>
      <c r="R748" s="646"/>
      <c r="S748" s="433"/>
      <c r="T748" s="434"/>
      <c r="U748" s="376"/>
      <c r="V748" s="649"/>
      <c r="W748" s="636"/>
      <c r="X748" s="404"/>
      <c r="Y748" s="372"/>
      <c r="Z748" s="381"/>
      <c r="AA748" s="241"/>
      <c r="AB748" s="411"/>
      <c r="AC748" s="577"/>
      <c r="AD748" s="241"/>
      <c r="AE748" s="411"/>
      <c r="AF748" s="577"/>
      <c r="AG748" s="241"/>
      <c r="AH748" s="411"/>
      <c r="AI748" s="577"/>
      <c r="AJ748" s="241"/>
      <c r="AK748" s="411"/>
      <c r="AL748" s="577"/>
      <c r="AM748" s="241"/>
      <c r="AN748" s="411"/>
      <c r="AO748" s="577"/>
      <c r="AP748" s="241"/>
      <c r="AQ748" s="411"/>
      <c r="AR748" s="577"/>
    </row>
    <row r="749" spans="1:44" ht="15.75" hidden="1" customHeight="1">
      <c r="A749" s="309"/>
      <c r="B749" s="669" t="s">
        <v>2550</v>
      </c>
      <c r="C749" s="632">
        <v>1</v>
      </c>
      <c r="D749" s="632">
        <v>370</v>
      </c>
      <c r="E749" s="633"/>
      <c r="F749" s="524"/>
      <c r="G749" s="524"/>
      <c r="H749" s="362"/>
      <c r="I749" s="230"/>
      <c r="J749" s="230"/>
      <c r="K749" s="363"/>
      <c r="L749" s="364"/>
      <c r="M749" s="365"/>
      <c r="N749" s="366"/>
      <c r="O749" s="634"/>
      <c r="P749" s="454"/>
      <c r="Q749" s="504"/>
      <c r="R749" s="639"/>
      <c r="S749" s="420"/>
      <c r="T749" s="421"/>
      <c r="U749" s="387"/>
      <c r="V749" s="648"/>
      <c r="W749" s="640"/>
      <c r="X749" s="404"/>
      <c r="Y749" s="372"/>
      <c r="Z749" s="381"/>
      <c r="AA749" s="225"/>
      <c r="AB749" s="361"/>
      <c r="AC749" s="533"/>
      <c r="AD749" s="225"/>
      <c r="AE749" s="361"/>
      <c r="AF749" s="533"/>
      <c r="AG749" s="225"/>
      <c r="AH749" s="361"/>
      <c r="AI749" s="533"/>
      <c r="AJ749" s="225"/>
      <c r="AK749" s="361"/>
      <c r="AL749" s="533"/>
      <c r="AM749" s="225"/>
      <c r="AN749" s="361"/>
      <c r="AO749" s="533"/>
      <c r="AP749" s="225"/>
      <c r="AQ749" s="361"/>
      <c r="AR749" s="533"/>
    </row>
    <row r="750" spans="1:44" ht="15.75" hidden="1" customHeight="1">
      <c r="A750" s="309"/>
      <c r="B750" s="669"/>
      <c r="C750" s="632"/>
      <c r="D750" s="632"/>
      <c r="E750" s="633"/>
      <c r="F750" s="524"/>
      <c r="G750" s="524"/>
      <c r="H750" s="362"/>
      <c r="I750" s="230"/>
      <c r="J750" s="230"/>
      <c r="K750" s="363"/>
      <c r="L750" s="364"/>
      <c r="M750" s="365"/>
      <c r="N750" s="366"/>
      <c r="O750" s="634"/>
      <c r="P750" s="429"/>
      <c r="Q750" s="442"/>
      <c r="R750" s="646"/>
      <c r="S750" s="433"/>
      <c r="T750" s="434"/>
      <c r="U750" s="376"/>
      <c r="V750" s="649"/>
      <c r="W750" s="636"/>
      <c r="X750" s="404"/>
      <c r="Y750" s="372"/>
      <c r="Z750" s="381"/>
      <c r="AA750" s="241"/>
      <c r="AB750" s="411"/>
      <c r="AC750" s="577"/>
      <c r="AD750" s="241"/>
      <c r="AE750" s="411"/>
      <c r="AF750" s="577"/>
      <c r="AG750" s="241"/>
      <c r="AH750" s="411"/>
      <c r="AI750" s="577"/>
      <c r="AJ750" s="241"/>
      <c r="AK750" s="411"/>
      <c r="AL750" s="577"/>
      <c r="AM750" s="241"/>
      <c r="AN750" s="411"/>
      <c r="AO750" s="577"/>
      <c r="AP750" s="241"/>
      <c r="AQ750" s="411"/>
      <c r="AR750" s="577"/>
    </row>
    <row r="751" spans="1:44" ht="15.75" hidden="1" customHeight="1">
      <c r="A751" s="309"/>
      <c r="B751" s="669" t="s">
        <v>2550</v>
      </c>
      <c r="C751" s="632">
        <v>2</v>
      </c>
      <c r="D751" s="632">
        <v>371</v>
      </c>
      <c r="E751" s="633"/>
      <c r="F751" s="524"/>
      <c r="G751" s="524"/>
      <c r="H751" s="362"/>
      <c r="I751" s="230"/>
      <c r="J751" s="230"/>
      <c r="K751" s="363"/>
      <c r="L751" s="364"/>
      <c r="M751" s="365"/>
      <c r="N751" s="366"/>
      <c r="O751" s="634"/>
      <c r="P751" s="454"/>
      <c r="Q751" s="504"/>
      <c r="R751" s="639"/>
      <c r="S751" s="420"/>
      <c r="T751" s="421"/>
      <c r="U751" s="387"/>
      <c r="V751" s="648"/>
      <c r="W751" s="640"/>
      <c r="X751" s="424"/>
      <c r="Y751" s="372"/>
      <c r="Z751" s="381"/>
      <c r="AA751" s="225"/>
      <c r="AB751" s="361"/>
      <c r="AC751" s="533"/>
      <c r="AD751" s="225"/>
      <c r="AE751" s="361"/>
      <c r="AF751" s="533"/>
      <c r="AG751" s="225"/>
      <c r="AH751" s="361"/>
      <c r="AI751" s="533"/>
      <c r="AJ751" s="225"/>
      <c r="AK751" s="361"/>
      <c r="AL751" s="533"/>
      <c r="AM751" s="225"/>
      <c r="AN751" s="361"/>
      <c r="AO751" s="533"/>
      <c r="AP751" s="225"/>
      <c r="AQ751" s="361"/>
      <c r="AR751" s="533"/>
    </row>
    <row r="752" spans="1:44" ht="15.75" hidden="1" customHeight="1">
      <c r="A752" s="309"/>
      <c r="B752" s="669"/>
      <c r="C752" s="632"/>
      <c r="D752" s="632"/>
      <c r="E752" s="633"/>
      <c r="F752" s="524"/>
      <c r="G752" s="524"/>
      <c r="H752" s="362"/>
      <c r="I752" s="230"/>
      <c r="J752" s="230"/>
      <c r="K752" s="363"/>
      <c r="L752" s="364"/>
      <c r="M752" s="365"/>
      <c r="N752" s="366"/>
      <c r="O752" s="634"/>
      <c r="P752" s="429"/>
      <c r="Q752" s="442"/>
      <c r="R752" s="646"/>
      <c r="S752" s="433"/>
      <c r="T752" s="434"/>
      <c r="U752" s="376"/>
      <c r="V752" s="649"/>
      <c r="W752" s="636"/>
      <c r="X752" s="375"/>
      <c r="Y752" s="372"/>
      <c r="Z752" s="381"/>
      <c r="AA752" s="325"/>
      <c r="AB752" s="378"/>
      <c r="AC752" s="377"/>
      <c r="AD752" s="325"/>
      <c r="AE752" s="378"/>
      <c r="AF752" s="377"/>
      <c r="AG752" s="241"/>
      <c r="AH752" s="411"/>
      <c r="AI752" s="577"/>
      <c r="AJ752" s="241"/>
      <c r="AK752" s="411"/>
      <c r="AL752" s="577"/>
      <c r="AM752" s="241"/>
      <c r="AN752" s="411"/>
      <c r="AO752" s="577"/>
      <c r="AP752" s="241"/>
      <c r="AQ752" s="411"/>
      <c r="AR752" s="577"/>
    </row>
    <row r="753" spans="1:44" ht="15.75" hidden="1" customHeight="1">
      <c r="A753" s="309"/>
      <c r="B753" s="669" t="s">
        <v>2550</v>
      </c>
      <c r="C753" s="632">
        <v>3</v>
      </c>
      <c r="D753" s="632">
        <v>372</v>
      </c>
      <c r="E753" s="633"/>
      <c r="F753" s="524"/>
      <c r="G753" s="524"/>
      <c r="H753" s="362"/>
      <c r="I753" s="230"/>
      <c r="J753" s="230"/>
      <c r="K753" s="363"/>
      <c r="L753" s="364"/>
      <c r="M753" s="365"/>
      <c r="N753" s="366"/>
      <c r="O753" s="634"/>
      <c r="P753" s="454"/>
      <c r="Q753" s="504"/>
      <c r="R753" s="639"/>
      <c r="S753" s="420"/>
      <c r="T753" s="421"/>
      <c r="U753" s="387"/>
      <c r="V753" s="648"/>
      <c r="W753" s="640"/>
      <c r="X753" s="404"/>
      <c r="Y753" s="372"/>
      <c r="Z753" s="381"/>
      <c r="AA753" s="225"/>
      <c r="AB753" s="361"/>
      <c r="AC753" s="533"/>
      <c r="AD753" s="225"/>
      <c r="AE753" s="361"/>
      <c r="AF753" s="533"/>
      <c r="AG753" s="225"/>
      <c r="AH753" s="361"/>
      <c r="AI753" s="533"/>
      <c r="AJ753" s="225"/>
      <c r="AK753" s="361"/>
      <c r="AL753" s="533"/>
      <c r="AM753" s="225"/>
      <c r="AN753" s="361"/>
      <c r="AO753" s="533"/>
      <c r="AP753" s="225"/>
      <c r="AQ753" s="361"/>
      <c r="AR753" s="533"/>
    </row>
    <row r="754" spans="1:44" ht="15.75" hidden="1" customHeight="1">
      <c r="A754" s="309"/>
      <c r="B754" s="669"/>
      <c r="C754" s="632"/>
      <c r="D754" s="632"/>
      <c r="E754" s="633"/>
      <c r="F754" s="524"/>
      <c r="G754" s="524"/>
      <c r="H754" s="362"/>
      <c r="I754" s="230"/>
      <c r="J754" s="230"/>
      <c r="K754" s="363"/>
      <c r="L754" s="364"/>
      <c r="M754" s="365"/>
      <c r="N754" s="366"/>
      <c r="O754" s="634"/>
      <c r="P754" s="429"/>
      <c r="Q754" s="442"/>
      <c r="R754" s="646"/>
      <c r="S754" s="433"/>
      <c r="T754" s="434"/>
      <c r="U754" s="376"/>
      <c r="V754" s="649"/>
      <c r="W754" s="636"/>
      <c r="X754" s="404"/>
      <c r="Y754" s="372"/>
      <c r="Z754" s="381"/>
      <c r="AA754" s="241"/>
      <c r="AB754" s="411"/>
      <c r="AC754" s="577"/>
      <c r="AD754" s="325"/>
      <c r="AE754" s="411"/>
      <c r="AF754" s="577"/>
      <c r="AG754" s="241"/>
      <c r="AH754" s="411"/>
      <c r="AI754" s="577"/>
      <c r="AJ754" s="241"/>
      <c r="AK754" s="411"/>
      <c r="AL754" s="577"/>
      <c r="AM754" s="241"/>
      <c r="AN754" s="411"/>
      <c r="AO754" s="577"/>
      <c r="AP754" s="241"/>
      <c r="AQ754" s="411"/>
      <c r="AR754" s="577"/>
    </row>
    <row r="755" spans="1:44" ht="15.75" hidden="1" customHeight="1">
      <c r="A755" s="309"/>
      <c r="B755" s="669" t="s">
        <v>2550</v>
      </c>
      <c r="C755" s="632">
        <v>4</v>
      </c>
      <c r="D755" s="632">
        <v>373</v>
      </c>
      <c r="E755" s="633"/>
      <c r="F755" s="524"/>
      <c r="G755" s="524"/>
      <c r="H755" s="362"/>
      <c r="I755" s="230"/>
      <c r="J755" s="230"/>
      <c r="K755" s="363"/>
      <c r="L755" s="364"/>
      <c r="M755" s="365"/>
      <c r="N755" s="366"/>
      <c r="O755" s="634"/>
      <c r="P755" s="454"/>
      <c r="Q755" s="504"/>
      <c r="R755" s="639"/>
      <c r="S755" s="420"/>
      <c r="T755" s="421"/>
      <c r="U755" s="387"/>
      <c r="V755" s="648"/>
      <c r="W755" s="640"/>
      <c r="X755" s="404"/>
      <c r="Y755" s="372"/>
      <c r="Z755" s="381"/>
      <c r="AA755" s="359"/>
      <c r="AB755" s="361"/>
      <c r="AC755" s="533"/>
      <c r="AD755" s="225"/>
      <c r="AE755" s="361"/>
      <c r="AF755" s="533"/>
      <c r="AG755" s="225"/>
      <c r="AH755" s="361"/>
      <c r="AI755" s="533"/>
      <c r="AJ755" s="225"/>
      <c r="AK755" s="361"/>
      <c r="AL755" s="533"/>
      <c r="AM755" s="225"/>
      <c r="AN755" s="361"/>
      <c r="AO755" s="533"/>
      <c r="AP755" s="225"/>
      <c r="AQ755" s="361"/>
      <c r="AR755" s="533"/>
    </row>
    <row r="756" spans="1:44" ht="15.75" hidden="1" customHeight="1">
      <c r="A756" s="309"/>
      <c r="B756" s="669"/>
      <c r="C756" s="632"/>
      <c r="D756" s="632"/>
      <c r="E756" s="633"/>
      <c r="F756" s="524"/>
      <c r="G756" s="524"/>
      <c r="H756" s="362"/>
      <c r="I756" s="230"/>
      <c r="J756" s="230"/>
      <c r="K756" s="363"/>
      <c r="L756" s="364"/>
      <c r="M756" s="365"/>
      <c r="N756" s="366"/>
      <c r="O756" s="634"/>
      <c r="P756" s="429"/>
      <c r="Q756" s="442"/>
      <c r="R756" s="646"/>
      <c r="S756" s="433"/>
      <c r="T756" s="434"/>
      <c r="U756" s="376"/>
      <c r="V756" s="649"/>
      <c r="W756" s="636"/>
      <c r="X756" s="404"/>
      <c r="Y756" s="372"/>
      <c r="Z756" s="381"/>
      <c r="AA756" s="359"/>
      <c r="AB756" s="378"/>
      <c r="AC756" s="377"/>
      <c r="AD756" s="241"/>
      <c r="AE756" s="411"/>
      <c r="AF756" s="577"/>
      <c r="AG756" s="241"/>
      <c r="AH756" s="411"/>
      <c r="AI756" s="577"/>
      <c r="AJ756" s="241"/>
      <c r="AK756" s="411"/>
      <c r="AL756" s="577"/>
      <c r="AM756" s="241"/>
      <c r="AN756" s="411"/>
      <c r="AO756" s="577"/>
      <c r="AP756" s="241"/>
      <c r="AQ756" s="411"/>
      <c r="AR756" s="577"/>
    </row>
    <row r="757" spans="1:44" ht="15.75" hidden="1" customHeight="1">
      <c r="A757" s="309"/>
      <c r="B757" s="669" t="s">
        <v>2550</v>
      </c>
      <c r="C757" s="632">
        <v>5</v>
      </c>
      <c r="D757" s="632">
        <v>374</v>
      </c>
      <c r="E757" s="633"/>
      <c r="F757" s="524"/>
      <c r="G757" s="524"/>
      <c r="H757" s="362"/>
      <c r="I757" s="230"/>
      <c r="J757" s="230"/>
      <c r="K757" s="363"/>
      <c r="L757" s="364"/>
      <c r="M757" s="365"/>
      <c r="N757" s="366"/>
      <c r="O757" s="634"/>
      <c r="P757" s="454"/>
      <c r="Q757" s="504"/>
      <c r="R757" s="639"/>
      <c r="S757" s="420"/>
      <c r="T757" s="421"/>
      <c r="U757" s="387"/>
      <c r="V757" s="648"/>
      <c r="W757" s="640"/>
      <c r="X757" s="404"/>
      <c r="Y757" s="372"/>
      <c r="Z757" s="381"/>
      <c r="AA757" s="225"/>
      <c r="AB757" s="361"/>
      <c r="AC757" s="533"/>
      <c r="AD757" s="225"/>
      <c r="AE757" s="361"/>
      <c r="AF757" s="533"/>
      <c r="AG757" s="225"/>
      <c r="AH757" s="361"/>
      <c r="AI757" s="533"/>
      <c r="AJ757" s="225"/>
      <c r="AK757" s="361"/>
      <c r="AL757" s="533"/>
      <c r="AM757" s="225"/>
      <c r="AN757" s="361"/>
      <c r="AO757" s="533"/>
      <c r="AP757" s="225"/>
      <c r="AQ757" s="361"/>
      <c r="AR757" s="533"/>
    </row>
    <row r="758" spans="1:44" ht="15.75" hidden="1" customHeight="1">
      <c r="A758" s="309"/>
      <c r="B758" s="669"/>
      <c r="C758" s="632"/>
      <c r="D758" s="632"/>
      <c r="E758" s="633"/>
      <c r="F758" s="524"/>
      <c r="G758" s="524"/>
      <c r="H758" s="362"/>
      <c r="I758" s="230"/>
      <c r="J758" s="230"/>
      <c r="K758" s="363"/>
      <c r="L758" s="364"/>
      <c r="M758" s="365"/>
      <c r="N758" s="366"/>
      <c r="O758" s="634"/>
      <c r="P758" s="429"/>
      <c r="Q758" s="442"/>
      <c r="R758" s="646"/>
      <c r="S758" s="433"/>
      <c r="T758" s="434"/>
      <c r="U758" s="376"/>
      <c r="V758" s="649"/>
      <c r="W758" s="636"/>
      <c r="X758" s="404"/>
      <c r="Y758" s="372"/>
      <c r="Z758" s="381"/>
      <c r="AA758" s="241"/>
      <c r="AB758" s="411"/>
      <c r="AC758" s="577"/>
      <c r="AD758" s="241"/>
      <c r="AE758" s="411"/>
      <c r="AF758" s="577"/>
      <c r="AG758" s="241"/>
      <c r="AH758" s="411"/>
      <c r="AI758" s="577"/>
      <c r="AJ758" s="241"/>
      <c r="AK758" s="411"/>
      <c r="AL758" s="577"/>
      <c r="AM758" s="241"/>
      <c r="AN758" s="411"/>
      <c r="AO758" s="577"/>
      <c r="AP758" s="241"/>
      <c r="AQ758" s="411"/>
      <c r="AR758" s="577"/>
    </row>
    <row r="759" spans="1:44" ht="15.75" hidden="1" customHeight="1">
      <c r="A759" s="309"/>
      <c r="B759" s="669" t="s">
        <v>2550</v>
      </c>
      <c r="C759" s="632">
        <v>6</v>
      </c>
      <c r="D759" s="632">
        <v>375</v>
      </c>
      <c r="E759" s="633"/>
      <c r="F759" s="524"/>
      <c r="G759" s="524"/>
      <c r="H759" s="362"/>
      <c r="I759" s="230"/>
      <c r="J759" s="230">
        <f ca="1">+DATEDIF(I759,TODAY(),"Y")</f>
        <v>126</v>
      </c>
      <c r="K759" s="363"/>
      <c r="L759" s="364"/>
      <c r="M759" s="365"/>
      <c r="N759" s="366"/>
      <c r="O759" s="634"/>
      <c r="P759" s="454"/>
      <c r="Q759" s="504"/>
      <c r="R759" s="639"/>
      <c r="S759" s="420"/>
      <c r="T759" s="421"/>
      <c r="U759" s="387"/>
      <c r="V759" s="648"/>
      <c r="W759" s="640"/>
      <c r="X759" s="404"/>
      <c r="Y759" s="372"/>
      <c r="Z759" s="381"/>
      <c r="AA759" s="225"/>
      <c r="AB759" s="361"/>
      <c r="AC759" s="533"/>
      <c r="AD759" s="225"/>
      <c r="AE759" s="361"/>
      <c r="AF759" s="533"/>
      <c r="AG759" s="225"/>
      <c r="AH759" s="361"/>
      <c r="AI759" s="533"/>
      <c r="AJ759" s="225"/>
      <c r="AK759" s="361"/>
      <c r="AL759" s="533"/>
      <c r="AM759" s="225"/>
      <c r="AN759" s="361"/>
      <c r="AO759" s="533"/>
      <c r="AP759" s="225"/>
      <c r="AQ759" s="361"/>
      <c r="AR759" s="533"/>
    </row>
    <row r="760" spans="1:44" ht="15.75" hidden="1" customHeight="1">
      <c r="A760" s="309"/>
      <c r="B760" s="669"/>
      <c r="C760" s="632"/>
      <c r="D760" s="632"/>
      <c r="E760" s="633"/>
      <c r="F760" s="524"/>
      <c r="G760" s="524"/>
      <c r="H760" s="362"/>
      <c r="I760" s="230"/>
      <c r="J760" s="230"/>
      <c r="K760" s="363"/>
      <c r="L760" s="364"/>
      <c r="M760" s="365"/>
      <c r="N760" s="366"/>
      <c r="O760" s="634"/>
      <c r="P760" s="429"/>
      <c r="Q760" s="442"/>
      <c r="R760" s="646"/>
      <c r="S760" s="433"/>
      <c r="T760" s="434"/>
      <c r="U760" s="376"/>
      <c r="V760" s="649"/>
      <c r="W760" s="636"/>
      <c r="X760" s="404"/>
      <c r="Y760" s="372"/>
      <c r="Z760" s="381"/>
      <c r="AA760" s="241"/>
      <c r="AB760" s="411"/>
      <c r="AC760" s="577"/>
      <c r="AD760" s="241"/>
      <c r="AE760" s="411"/>
      <c r="AF760" s="577"/>
      <c r="AG760" s="241"/>
      <c r="AH760" s="411"/>
      <c r="AI760" s="577"/>
      <c r="AJ760" s="241"/>
      <c r="AK760" s="411"/>
      <c r="AL760" s="577"/>
      <c r="AM760" s="241"/>
      <c r="AN760" s="411"/>
      <c r="AO760" s="577"/>
      <c r="AP760" s="241"/>
      <c r="AQ760" s="411"/>
      <c r="AR760" s="577"/>
    </row>
    <row r="761" spans="1:44" ht="15.75" hidden="1" customHeight="1">
      <c r="A761" s="309"/>
      <c r="B761" s="669" t="s">
        <v>2550</v>
      </c>
      <c r="C761" s="632">
        <v>7</v>
      </c>
      <c r="D761" s="632">
        <v>376</v>
      </c>
      <c r="E761" s="633"/>
      <c r="F761" s="524"/>
      <c r="G761" s="524"/>
      <c r="H761" s="362"/>
      <c r="I761" s="230"/>
      <c r="J761" s="230">
        <f ca="1">+DATEDIF(I761,TODAY(),"Y")</f>
        <v>126</v>
      </c>
      <c r="K761" s="363"/>
      <c r="L761" s="364"/>
      <c r="M761" s="365"/>
      <c r="N761" s="366"/>
      <c r="O761" s="634"/>
      <c r="P761" s="454"/>
      <c r="Q761" s="504"/>
      <c r="R761" s="639"/>
      <c r="S761" s="420"/>
      <c r="T761" s="421"/>
      <c r="U761" s="387"/>
      <c r="V761" s="648"/>
      <c r="W761" s="640"/>
      <c r="X761" s="404"/>
      <c r="Y761" s="372"/>
      <c r="Z761" s="381"/>
      <c r="AA761" s="225"/>
      <c r="AB761" s="361"/>
      <c r="AC761" s="533"/>
      <c r="AD761" s="225"/>
      <c r="AE761" s="361"/>
      <c r="AF761" s="533"/>
      <c r="AG761" s="225"/>
      <c r="AH761" s="361"/>
      <c r="AI761" s="533"/>
      <c r="AJ761" s="225"/>
      <c r="AK761" s="361"/>
      <c r="AL761" s="533"/>
      <c r="AM761" s="225"/>
      <c r="AN761" s="361"/>
      <c r="AO761" s="533"/>
      <c r="AP761" s="225"/>
      <c r="AQ761" s="361"/>
      <c r="AR761" s="533"/>
    </row>
    <row r="762" spans="1:44" ht="15.75" hidden="1" customHeight="1">
      <c r="A762" s="309"/>
      <c r="B762" s="669"/>
      <c r="C762" s="632"/>
      <c r="D762" s="632"/>
      <c r="E762" s="633"/>
      <c r="F762" s="524"/>
      <c r="G762" s="524"/>
      <c r="H762" s="362"/>
      <c r="I762" s="230"/>
      <c r="J762" s="230"/>
      <c r="K762" s="363"/>
      <c r="L762" s="364"/>
      <c r="M762" s="365"/>
      <c r="N762" s="366"/>
      <c r="O762" s="634"/>
      <c r="P762" s="429"/>
      <c r="Q762" s="442"/>
      <c r="R762" s="646"/>
      <c r="S762" s="433"/>
      <c r="T762" s="434"/>
      <c r="U762" s="376"/>
      <c r="V762" s="649"/>
      <c r="W762" s="636"/>
      <c r="X762" s="404"/>
      <c r="Y762" s="372"/>
      <c r="Z762" s="381"/>
      <c r="AA762" s="241"/>
      <c r="AB762" s="411"/>
      <c r="AC762" s="577"/>
      <c r="AD762" s="241"/>
      <c r="AE762" s="411"/>
      <c r="AF762" s="577"/>
      <c r="AG762" s="241"/>
      <c r="AH762" s="411"/>
      <c r="AI762" s="577"/>
      <c r="AJ762" s="241"/>
      <c r="AK762" s="411"/>
      <c r="AL762" s="577"/>
      <c r="AM762" s="241"/>
      <c r="AN762" s="411"/>
      <c r="AO762" s="577"/>
      <c r="AP762" s="241"/>
      <c r="AQ762" s="411"/>
      <c r="AR762" s="577"/>
    </row>
    <row r="763" spans="1:44" ht="15.75" hidden="1" customHeight="1">
      <c r="A763" s="309"/>
      <c r="B763" s="669" t="s">
        <v>2550</v>
      </c>
      <c r="C763" s="632">
        <v>8</v>
      </c>
      <c r="D763" s="632">
        <v>377</v>
      </c>
      <c r="E763" s="633"/>
      <c r="F763" s="524"/>
      <c r="G763" s="524"/>
      <c r="H763" s="362"/>
      <c r="I763" s="230"/>
      <c r="J763" s="230">
        <f ca="1">+DATEDIF(I763,TODAY(),"Y")</f>
        <v>126</v>
      </c>
      <c r="K763" s="363"/>
      <c r="L763" s="364"/>
      <c r="M763" s="365"/>
      <c r="N763" s="366"/>
      <c r="O763" s="634"/>
      <c r="P763" s="454"/>
      <c r="Q763" s="504"/>
      <c r="R763" s="639"/>
      <c r="S763" s="420"/>
      <c r="T763" s="421"/>
      <c r="U763" s="387"/>
      <c r="V763" s="648"/>
      <c r="W763" s="640"/>
      <c r="X763" s="404"/>
      <c r="Y763" s="372"/>
      <c r="Z763" s="381"/>
      <c r="AA763" s="225"/>
      <c r="AB763" s="361"/>
      <c r="AC763" s="533"/>
      <c r="AD763" s="225"/>
      <c r="AE763" s="361"/>
      <c r="AF763" s="533"/>
      <c r="AG763" s="225"/>
      <c r="AH763" s="361"/>
      <c r="AI763" s="533"/>
      <c r="AJ763" s="225"/>
      <c r="AK763" s="361"/>
      <c r="AL763" s="533"/>
      <c r="AM763" s="225"/>
      <c r="AN763" s="361"/>
      <c r="AO763" s="533"/>
      <c r="AP763" s="225"/>
      <c r="AQ763" s="361"/>
      <c r="AR763" s="533"/>
    </row>
    <row r="764" spans="1:44" ht="15.75" hidden="1" customHeight="1">
      <c r="A764" s="309"/>
      <c r="B764" s="669"/>
      <c r="C764" s="632"/>
      <c r="D764" s="632"/>
      <c r="E764" s="633"/>
      <c r="F764" s="524"/>
      <c r="G764" s="524"/>
      <c r="H764" s="362"/>
      <c r="I764" s="230"/>
      <c r="J764" s="230"/>
      <c r="K764" s="363"/>
      <c r="L764" s="364"/>
      <c r="M764" s="365"/>
      <c r="N764" s="366"/>
      <c r="O764" s="634"/>
      <c r="P764" s="429"/>
      <c r="Q764" s="442"/>
      <c r="R764" s="646"/>
      <c r="S764" s="433"/>
      <c r="T764" s="434"/>
      <c r="U764" s="376"/>
      <c r="V764" s="649"/>
      <c r="W764" s="636"/>
      <c r="X764" s="404"/>
      <c r="Y764" s="372"/>
      <c r="Z764" s="381"/>
      <c r="AA764" s="241"/>
      <c r="AB764" s="411"/>
      <c r="AC764" s="577"/>
      <c r="AD764" s="241"/>
      <c r="AE764" s="411"/>
      <c r="AF764" s="577"/>
      <c r="AG764" s="241"/>
      <c r="AH764" s="411"/>
      <c r="AI764" s="577"/>
      <c r="AJ764" s="241"/>
      <c r="AK764" s="411"/>
      <c r="AL764" s="577"/>
      <c r="AM764" s="241"/>
      <c r="AN764" s="411"/>
      <c r="AO764" s="577"/>
      <c r="AP764" s="241"/>
      <c r="AQ764" s="411"/>
      <c r="AR764" s="577"/>
    </row>
    <row r="765" spans="1:44" ht="15.75" hidden="1" customHeight="1">
      <c r="A765" s="309"/>
      <c r="B765" s="669" t="s">
        <v>2550</v>
      </c>
      <c r="C765" s="632">
        <v>9</v>
      </c>
      <c r="D765" s="632">
        <v>378</v>
      </c>
      <c r="E765" s="633"/>
      <c r="F765" s="524"/>
      <c r="G765" s="524"/>
      <c r="H765" s="362"/>
      <c r="I765" s="230"/>
      <c r="J765" s="230">
        <f ca="1">+DATEDIF(I765,TODAY(),"Y")</f>
        <v>126</v>
      </c>
      <c r="K765" s="363"/>
      <c r="L765" s="364"/>
      <c r="M765" s="365"/>
      <c r="N765" s="366"/>
      <c r="O765" s="634"/>
      <c r="P765" s="454"/>
      <c r="Q765" s="504"/>
      <c r="R765" s="639"/>
      <c r="S765" s="420"/>
      <c r="T765" s="421"/>
      <c r="U765" s="387"/>
      <c r="V765" s="648"/>
      <c r="W765" s="640"/>
      <c r="X765" s="404"/>
      <c r="Y765" s="372"/>
      <c r="Z765" s="381"/>
      <c r="AA765" s="225"/>
      <c r="AB765" s="361"/>
      <c r="AC765" s="533"/>
      <c r="AD765" s="225"/>
      <c r="AE765" s="361"/>
      <c r="AF765" s="533"/>
      <c r="AG765" s="225"/>
      <c r="AH765" s="361"/>
      <c r="AI765" s="533"/>
      <c r="AJ765" s="225"/>
      <c r="AK765" s="361"/>
      <c r="AL765" s="533"/>
      <c r="AM765" s="225"/>
      <c r="AN765" s="361"/>
      <c r="AO765" s="533"/>
      <c r="AP765" s="225"/>
      <c r="AQ765" s="361"/>
      <c r="AR765" s="533"/>
    </row>
    <row r="766" spans="1:44" ht="15.75" hidden="1" customHeight="1">
      <c r="A766" s="309"/>
      <c r="B766" s="669"/>
      <c r="C766" s="632"/>
      <c r="D766" s="632"/>
      <c r="E766" s="633"/>
      <c r="F766" s="524"/>
      <c r="G766" s="524"/>
      <c r="H766" s="362"/>
      <c r="I766" s="230"/>
      <c r="J766" s="230"/>
      <c r="K766" s="363"/>
      <c r="L766" s="364"/>
      <c r="M766" s="365"/>
      <c r="N766" s="366"/>
      <c r="O766" s="634"/>
      <c r="P766" s="429"/>
      <c r="Q766" s="442"/>
      <c r="R766" s="646"/>
      <c r="S766" s="433"/>
      <c r="T766" s="434"/>
      <c r="U766" s="376"/>
      <c r="V766" s="649"/>
      <c r="W766" s="636"/>
      <c r="X766" s="404"/>
      <c r="Y766" s="372"/>
      <c r="Z766" s="381"/>
      <c r="AA766" s="241"/>
      <c r="AB766" s="411"/>
      <c r="AC766" s="577"/>
      <c r="AD766" s="241"/>
      <c r="AE766" s="411"/>
      <c r="AF766" s="577"/>
      <c r="AG766" s="241"/>
      <c r="AH766" s="411"/>
      <c r="AI766" s="577"/>
      <c r="AJ766" s="241"/>
      <c r="AK766" s="411"/>
      <c r="AL766" s="577"/>
      <c r="AM766" s="241"/>
      <c r="AN766" s="411"/>
      <c r="AO766" s="577"/>
      <c r="AP766" s="241"/>
      <c r="AQ766" s="411"/>
      <c r="AR766" s="577"/>
    </row>
    <row r="767" spans="1:44" ht="15.75" hidden="1" customHeight="1">
      <c r="A767" s="309"/>
      <c r="B767" s="669" t="s">
        <v>2550</v>
      </c>
      <c r="C767" s="632">
        <v>10</v>
      </c>
      <c r="D767" s="632">
        <v>379</v>
      </c>
      <c r="E767" s="633"/>
      <c r="F767" s="524"/>
      <c r="G767" s="524"/>
      <c r="H767" s="362"/>
      <c r="I767" s="230"/>
      <c r="J767" s="230">
        <f ca="1">+DATEDIF(I767,TODAY(),"Y")</f>
        <v>126</v>
      </c>
      <c r="K767" s="363"/>
      <c r="L767" s="364"/>
      <c r="M767" s="365"/>
      <c r="N767" s="366"/>
      <c r="O767" s="634"/>
      <c r="P767" s="454"/>
      <c r="Q767" s="504"/>
      <c r="R767" s="639"/>
      <c r="S767" s="420"/>
      <c r="T767" s="421"/>
      <c r="U767" s="387"/>
      <c r="V767" s="648"/>
      <c r="W767" s="640"/>
      <c r="X767" s="404"/>
      <c r="Y767" s="372"/>
      <c r="Z767" s="381"/>
      <c r="AA767" s="225"/>
      <c r="AB767" s="361"/>
      <c r="AC767" s="533"/>
      <c r="AD767" s="225"/>
      <c r="AE767" s="361"/>
      <c r="AF767" s="533"/>
      <c r="AG767" s="225"/>
      <c r="AH767" s="361"/>
      <c r="AI767" s="533"/>
      <c r="AJ767" s="225"/>
      <c r="AK767" s="361"/>
      <c r="AL767" s="533"/>
      <c r="AM767" s="225"/>
      <c r="AN767" s="361"/>
      <c r="AO767" s="533"/>
      <c r="AP767" s="225"/>
      <c r="AQ767" s="361"/>
      <c r="AR767" s="533"/>
    </row>
    <row r="768" spans="1:44" ht="15.75" hidden="1" customHeight="1">
      <c r="A768" s="309"/>
      <c r="B768" s="669"/>
      <c r="C768" s="632"/>
      <c r="D768" s="632"/>
      <c r="E768" s="633"/>
      <c r="F768" s="524"/>
      <c r="G768" s="524"/>
      <c r="H768" s="362"/>
      <c r="I768" s="230"/>
      <c r="J768" s="230"/>
      <c r="K768" s="363"/>
      <c r="L768" s="364"/>
      <c r="M768" s="365"/>
      <c r="N768" s="366"/>
      <c r="O768" s="634"/>
      <c r="P768" s="429"/>
      <c r="Q768" s="442"/>
      <c r="R768" s="646"/>
      <c r="S768" s="433"/>
      <c r="T768" s="434"/>
      <c r="U768" s="376"/>
      <c r="V768" s="649"/>
      <c r="W768" s="636"/>
      <c r="X768" s="404"/>
      <c r="Y768" s="372"/>
      <c r="Z768" s="381"/>
      <c r="AA768" s="241"/>
      <c r="AB768" s="411"/>
      <c r="AC768" s="577"/>
      <c r="AD768" s="241"/>
      <c r="AE768" s="411"/>
      <c r="AF768" s="577"/>
      <c r="AG768" s="241"/>
      <c r="AH768" s="411"/>
      <c r="AI768" s="577"/>
      <c r="AJ768" s="241"/>
      <c r="AK768" s="411"/>
      <c r="AL768" s="577"/>
      <c r="AM768" s="241"/>
      <c r="AN768" s="411"/>
      <c r="AO768" s="577"/>
      <c r="AP768" s="241"/>
      <c r="AQ768" s="411"/>
      <c r="AR768" s="577"/>
    </row>
    <row r="769" spans="1:44" ht="15.75" hidden="1" customHeight="1">
      <c r="A769" s="309"/>
      <c r="B769" s="669" t="s">
        <v>2550</v>
      </c>
      <c r="C769" s="632">
        <v>11</v>
      </c>
      <c r="D769" s="632">
        <v>380</v>
      </c>
      <c r="E769" s="633"/>
      <c r="F769" s="524"/>
      <c r="G769" s="524"/>
      <c r="H769" s="362"/>
      <c r="I769" s="230"/>
      <c r="J769" s="230">
        <f ca="1">+DATEDIF(I769,TODAY(),"Y")</f>
        <v>126</v>
      </c>
      <c r="K769" s="363"/>
      <c r="L769" s="364"/>
      <c r="M769" s="365"/>
      <c r="N769" s="366"/>
      <c r="O769" s="634"/>
      <c r="P769" s="454"/>
      <c r="Q769" s="504"/>
      <c r="R769" s="639"/>
      <c r="S769" s="420"/>
      <c r="T769" s="421"/>
      <c r="U769" s="387"/>
      <c r="V769" s="648"/>
      <c r="W769" s="640"/>
      <c r="X769" s="404"/>
      <c r="Y769" s="372"/>
      <c r="Z769" s="381"/>
      <c r="AA769" s="225"/>
      <c r="AB769" s="361"/>
      <c r="AC769" s="533"/>
      <c r="AD769" s="225"/>
      <c r="AE769" s="361"/>
      <c r="AF769" s="533"/>
      <c r="AG769" s="225"/>
      <c r="AH769" s="361"/>
      <c r="AI769" s="533"/>
      <c r="AJ769" s="225"/>
      <c r="AK769" s="361"/>
      <c r="AL769" s="533"/>
      <c r="AM769" s="225"/>
      <c r="AN769" s="361"/>
      <c r="AO769" s="533"/>
      <c r="AP769" s="225"/>
      <c r="AQ769" s="361"/>
      <c r="AR769" s="533"/>
    </row>
    <row r="770" spans="1:44" ht="15.75" hidden="1" customHeight="1">
      <c r="A770" s="309"/>
      <c r="B770" s="669"/>
      <c r="C770" s="632"/>
      <c r="D770" s="632"/>
      <c r="E770" s="633"/>
      <c r="F770" s="524"/>
      <c r="G770" s="524"/>
      <c r="H770" s="362"/>
      <c r="I770" s="230"/>
      <c r="J770" s="230"/>
      <c r="K770" s="363"/>
      <c r="L770" s="364"/>
      <c r="M770" s="365"/>
      <c r="N770" s="366"/>
      <c r="O770" s="634"/>
      <c r="P770" s="429"/>
      <c r="Q770" s="442"/>
      <c r="R770" s="646"/>
      <c r="S770" s="433"/>
      <c r="T770" s="434"/>
      <c r="U770" s="376"/>
      <c r="V770" s="649"/>
      <c r="W770" s="636"/>
      <c r="X770" s="404"/>
      <c r="Y770" s="372"/>
      <c r="Z770" s="381"/>
      <c r="AA770" s="241"/>
      <c r="AB770" s="411"/>
      <c r="AC770" s="577"/>
      <c r="AD770" s="241"/>
      <c r="AE770" s="411"/>
      <c r="AF770" s="577"/>
      <c r="AG770" s="241"/>
      <c r="AH770" s="411"/>
      <c r="AI770" s="577"/>
      <c r="AJ770" s="241"/>
      <c r="AK770" s="411"/>
      <c r="AL770" s="577"/>
      <c r="AM770" s="241"/>
      <c r="AN770" s="411"/>
      <c r="AO770" s="577"/>
      <c r="AP770" s="241"/>
      <c r="AQ770" s="411"/>
      <c r="AR770" s="577"/>
    </row>
    <row r="771" spans="1:44" ht="15.75" hidden="1" customHeight="1">
      <c r="A771" s="309"/>
      <c r="B771" s="669" t="s">
        <v>2550</v>
      </c>
      <c r="C771" s="632">
        <v>12</v>
      </c>
      <c r="D771" s="632">
        <v>381</v>
      </c>
      <c r="E771" s="633"/>
      <c r="F771" s="524"/>
      <c r="G771" s="524"/>
      <c r="H771" s="362"/>
      <c r="I771" s="230"/>
      <c r="J771" s="230">
        <f ca="1">+DATEDIF(I771,TODAY(),"Y")</f>
        <v>126</v>
      </c>
      <c r="K771" s="363"/>
      <c r="L771" s="364"/>
      <c r="M771" s="365"/>
      <c r="N771" s="366"/>
      <c r="O771" s="634"/>
      <c r="P771" s="454"/>
      <c r="Q771" s="504"/>
      <c r="R771" s="639"/>
      <c r="S771" s="420"/>
      <c r="T771" s="421"/>
      <c r="U771" s="387"/>
      <c r="V771" s="648"/>
      <c r="W771" s="640"/>
      <c r="X771" s="404"/>
      <c r="Y771" s="372"/>
      <c r="Z771" s="381"/>
      <c r="AA771" s="225"/>
      <c r="AB771" s="361"/>
      <c r="AC771" s="533"/>
      <c r="AD771" s="225"/>
      <c r="AE771" s="361"/>
      <c r="AF771" s="533"/>
      <c r="AG771" s="225"/>
      <c r="AH771" s="361"/>
      <c r="AI771" s="533"/>
      <c r="AJ771" s="225"/>
      <c r="AK771" s="361"/>
      <c r="AL771" s="533"/>
      <c r="AM771" s="225"/>
      <c r="AN771" s="361"/>
      <c r="AO771" s="533"/>
      <c r="AP771" s="225"/>
      <c r="AQ771" s="361"/>
      <c r="AR771" s="533"/>
    </row>
    <row r="772" spans="1:44" ht="15.75" hidden="1" customHeight="1">
      <c r="A772" s="309"/>
      <c r="B772" s="669"/>
      <c r="C772" s="632"/>
      <c r="D772" s="632"/>
      <c r="E772" s="633"/>
      <c r="F772" s="524"/>
      <c r="G772" s="524"/>
      <c r="H772" s="362"/>
      <c r="I772" s="230"/>
      <c r="J772" s="230"/>
      <c r="K772" s="363"/>
      <c r="L772" s="364"/>
      <c r="M772" s="365"/>
      <c r="N772" s="366"/>
      <c r="O772" s="634"/>
      <c r="P772" s="429"/>
      <c r="Q772" s="442"/>
      <c r="R772" s="646"/>
      <c r="S772" s="433"/>
      <c r="T772" s="434"/>
      <c r="U772" s="376"/>
      <c r="V772" s="649"/>
      <c r="W772" s="636"/>
      <c r="X772" s="404"/>
      <c r="Y772" s="372"/>
      <c r="Z772" s="381"/>
      <c r="AA772" s="241"/>
      <c r="AB772" s="411"/>
      <c r="AC772" s="577"/>
      <c r="AD772" s="241"/>
      <c r="AE772" s="411"/>
      <c r="AF772" s="577"/>
      <c r="AG772" s="241"/>
      <c r="AH772" s="411"/>
      <c r="AI772" s="577"/>
      <c r="AJ772" s="241"/>
      <c r="AK772" s="411"/>
      <c r="AL772" s="577"/>
      <c r="AM772" s="241"/>
      <c r="AN772" s="411"/>
      <c r="AO772" s="577"/>
      <c r="AP772" s="241"/>
      <c r="AQ772" s="411"/>
      <c r="AR772" s="577"/>
    </row>
    <row r="773" spans="1:44" ht="15.75" hidden="1" customHeight="1">
      <c r="A773" s="309"/>
      <c r="B773" s="669" t="s">
        <v>2550</v>
      </c>
      <c r="C773" s="632">
        <v>13</v>
      </c>
      <c r="D773" s="632">
        <v>382</v>
      </c>
      <c r="E773" s="633"/>
      <c r="F773" s="524"/>
      <c r="G773" s="524"/>
      <c r="H773" s="362"/>
      <c r="I773" s="230"/>
      <c r="J773" s="230">
        <f ca="1">+DATEDIF(I773,TODAY(),"Y")</f>
        <v>126</v>
      </c>
      <c r="K773" s="363"/>
      <c r="L773" s="364"/>
      <c r="M773" s="365"/>
      <c r="N773" s="366"/>
      <c r="O773" s="634"/>
      <c r="P773" s="454"/>
      <c r="Q773" s="504"/>
      <c r="R773" s="639"/>
      <c r="S773" s="420"/>
      <c r="T773" s="421"/>
      <c r="U773" s="387"/>
      <c r="V773" s="648"/>
      <c r="W773" s="640"/>
      <c r="X773" s="404"/>
      <c r="Y773" s="372"/>
      <c r="Z773" s="381"/>
      <c r="AA773" s="225"/>
      <c r="AB773" s="361"/>
      <c r="AC773" s="533"/>
      <c r="AD773" s="225"/>
      <c r="AE773" s="361"/>
      <c r="AF773" s="533"/>
      <c r="AG773" s="225"/>
      <c r="AH773" s="361"/>
      <c r="AI773" s="533"/>
      <c r="AJ773" s="225"/>
      <c r="AK773" s="361"/>
      <c r="AL773" s="533"/>
      <c r="AM773" s="225"/>
      <c r="AN773" s="361"/>
      <c r="AO773" s="533"/>
      <c r="AP773" s="225"/>
      <c r="AQ773" s="361"/>
      <c r="AR773" s="533"/>
    </row>
    <row r="774" spans="1:44" ht="15.75" hidden="1" customHeight="1">
      <c r="A774" s="309"/>
      <c r="B774" s="669"/>
      <c r="C774" s="632"/>
      <c r="D774" s="632"/>
      <c r="E774" s="633"/>
      <c r="F774" s="524"/>
      <c r="G774" s="524"/>
      <c r="H774" s="362"/>
      <c r="I774" s="230"/>
      <c r="J774" s="230"/>
      <c r="K774" s="363"/>
      <c r="L774" s="364"/>
      <c r="M774" s="365"/>
      <c r="N774" s="366"/>
      <c r="O774" s="634"/>
      <c r="P774" s="429"/>
      <c r="Q774" s="442"/>
      <c r="R774" s="646"/>
      <c r="S774" s="433"/>
      <c r="T774" s="434"/>
      <c r="U774" s="376"/>
      <c r="V774" s="649"/>
      <c r="W774" s="636"/>
      <c r="X774" s="404"/>
      <c r="Y774" s="372"/>
      <c r="Z774" s="381"/>
      <c r="AA774" s="241"/>
      <c r="AB774" s="411"/>
      <c r="AC774" s="577"/>
      <c r="AD774" s="241"/>
      <c r="AE774" s="411"/>
      <c r="AF774" s="577"/>
      <c r="AG774" s="241"/>
      <c r="AH774" s="411"/>
      <c r="AI774" s="577"/>
      <c r="AJ774" s="241"/>
      <c r="AK774" s="411"/>
      <c r="AL774" s="577"/>
      <c r="AM774" s="241"/>
      <c r="AN774" s="411"/>
      <c r="AO774" s="577"/>
      <c r="AP774" s="241"/>
      <c r="AQ774" s="411"/>
      <c r="AR774" s="577"/>
    </row>
    <row r="775" spans="1:44" ht="15.75" hidden="1" customHeight="1">
      <c r="A775" s="309"/>
      <c r="B775" s="669" t="s">
        <v>2550</v>
      </c>
      <c r="C775" s="632">
        <v>14</v>
      </c>
      <c r="D775" s="632">
        <v>383</v>
      </c>
      <c r="E775" s="633"/>
      <c r="F775" s="524"/>
      <c r="G775" s="524"/>
      <c r="H775" s="362"/>
      <c r="I775" s="230"/>
      <c r="J775" s="230">
        <f ca="1">+DATEDIF(I775,TODAY(),"Y")</f>
        <v>126</v>
      </c>
      <c r="K775" s="363"/>
      <c r="L775" s="364"/>
      <c r="M775" s="365"/>
      <c r="N775" s="366"/>
      <c r="O775" s="634"/>
      <c r="P775" s="454"/>
      <c r="Q775" s="504"/>
      <c r="R775" s="639"/>
      <c r="S775" s="420"/>
      <c r="T775" s="421"/>
      <c r="U775" s="387"/>
      <c r="V775" s="648"/>
      <c r="W775" s="640"/>
      <c r="X775" s="404"/>
      <c r="Y775" s="372"/>
      <c r="Z775" s="381"/>
      <c r="AA775" s="225"/>
      <c r="AB775" s="361"/>
      <c r="AC775" s="533"/>
      <c r="AD775" s="225"/>
      <c r="AE775" s="361"/>
      <c r="AF775" s="533"/>
      <c r="AG775" s="225"/>
      <c r="AH775" s="361"/>
      <c r="AI775" s="533"/>
      <c r="AJ775" s="225"/>
      <c r="AK775" s="361"/>
      <c r="AL775" s="533"/>
      <c r="AM775" s="225"/>
      <c r="AN775" s="361"/>
      <c r="AO775" s="533"/>
      <c r="AP775" s="225"/>
      <c r="AQ775" s="361"/>
      <c r="AR775" s="533"/>
    </row>
    <row r="776" spans="1:44" ht="15.75" hidden="1" customHeight="1">
      <c r="A776" s="309"/>
      <c r="B776" s="669"/>
      <c r="C776" s="632"/>
      <c r="D776" s="632"/>
      <c r="E776" s="633"/>
      <c r="F776" s="524"/>
      <c r="G776" s="524"/>
      <c r="H776" s="362"/>
      <c r="I776" s="230"/>
      <c r="J776" s="230"/>
      <c r="K776" s="363"/>
      <c r="L776" s="364"/>
      <c r="M776" s="365"/>
      <c r="N776" s="366"/>
      <c r="O776" s="634"/>
      <c r="P776" s="429"/>
      <c r="Q776" s="442"/>
      <c r="R776" s="646"/>
      <c r="S776" s="433"/>
      <c r="T776" s="434"/>
      <c r="U776" s="376"/>
      <c r="V776" s="649"/>
      <c r="W776" s="636"/>
      <c r="X776" s="404"/>
      <c r="Y776" s="372"/>
      <c r="Z776" s="381"/>
      <c r="AA776" s="241"/>
      <c r="AB776" s="411"/>
      <c r="AC776" s="577"/>
      <c r="AD776" s="241"/>
      <c r="AE776" s="411"/>
      <c r="AF776" s="577"/>
      <c r="AG776" s="241"/>
      <c r="AH776" s="411"/>
      <c r="AI776" s="577"/>
      <c r="AJ776" s="241"/>
      <c r="AK776" s="411"/>
      <c r="AL776" s="577"/>
      <c r="AM776" s="241"/>
      <c r="AN776" s="411"/>
      <c r="AO776" s="577"/>
      <c r="AP776" s="241"/>
      <c r="AQ776" s="411"/>
      <c r="AR776" s="577"/>
    </row>
    <row r="777" spans="1:44" ht="15.75" hidden="1" customHeight="1">
      <c r="A777" s="309"/>
      <c r="B777" s="669" t="s">
        <v>2550</v>
      </c>
      <c r="C777" s="632">
        <v>15</v>
      </c>
      <c r="D777" s="632">
        <v>384</v>
      </c>
      <c r="E777" s="633"/>
      <c r="F777" s="524"/>
      <c r="G777" s="524"/>
      <c r="H777" s="362"/>
      <c r="I777" s="230"/>
      <c r="J777" s="230">
        <f ca="1">+DATEDIF(I777,TODAY(),"Y")</f>
        <v>126</v>
      </c>
      <c r="K777" s="363"/>
      <c r="L777" s="364"/>
      <c r="M777" s="365"/>
      <c r="N777" s="366"/>
      <c r="O777" s="634"/>
      <c r="P777" s="454"/>
      <c r="Q777" s="504"/>
      <c r="R777" s="639"/>
      <c r="S777" s="420"/>
      <c r="T777" s="421"/>
      <c r="U777" s="387"/>
      <c r="V777" s="648"/>
      <c r="W777" s="640"/>
      <c r="X777" s="404"/>
      <c r="Y777" s="372"/>
      <c r="Z777" s="381"/>
      <c r="AA777" s="225"/>
      <c r="AB777" s="361"/>
      <c r="AC777" s="533"/>
      <c r="AD777" s="225"/>
      <c r="AE777" s="361"/>
      <c r="AF777" s="533"/>
      <c r="AG777" s="225"/>
      <c r="AH777" s="361"/>
      <c r="AI777" s="533"/>
      <c r="AJ777" s="225"/>
      <c r="AK777" s="361"/>
      <c r="AL777" s="533"/>
      <c r="AM777" s="225"/>
      <c r="AN777" s="361"/>
      <c r="AO777" s="533"/>
      <c r="AP777" s="225"/>
      <c r="AQ777" s="361"/>
      <c r="AR777" s="533"/>
    </row>
    <row r="778" spans="1:44" ht="15.75" hidden="1" customHeight="1">
      <c r="A778" s="309"/>
      <c r="B778" s="669"/>
      <c r="C778" s="632"/>
      <c r="D778" s="632"/>
      <c r="E778" s="633"/>
      <c r="F778" s="524"/>
      <c r="G778" s="524"/>
      <c r="H778" s="362"/>
      <c r="I778" s="230"/>
      <c r="J778" s="230"/>
      <c r="K778" s="363"/>
      <c r="L778" s="364"/>
      <c r="M778" s="365"/>
      <c r="N778" s="366"/>
      <c r="O778" s="634"/>
      <c r="P778" s="429"/>
      <c r="Q778" s="442"/>
      <c r="R778" s="646"/>
      <c r="S778" s="433"/>
      <c r="T778" s="434"/>
      <c r="U778" s="376"/>
      <c r="V778" s="649"/>
      <c r="W778" s="636"/>
      <c r="X778" s="404"/>
      <c r="Y778" s="372"/>
      <c r="Z778" s="381"/>
      <c r="AA778" s="241"/>
      <c r="AB778" s="411"/>
      <c r="AC778" s="577"/>
      <c r="AD778" s="241"/>
      <c r="AE778" s="411"/>
      <c r="AF778" s="577"/>
      <c r="AG778" s="241"/>
      <c r="AH778" s="411"/>
      <c r="AI778" s="577"/>
      <c r="AJ778" s="241"/>
      <c r="AK778" s="411"/>
      <c r="AL778" s="577"/>
      <c r="AM778" s="241"/>
      <c r="AN778" s="411"/>
      <c r="AO778" s="577"/>
      <c r="AP778" s="241"/>
      <c r="AQ778" s="411"/>
      <c r="AR778" s="577"/>
    </row>
    <row r="779" spans="1:44" ht="15.75" hidden="1" customHeight="1">
      <c r="A779" s="309"/>
      <c r="B779" s="669" t="s">
        <v>2550</v>
      </c>
      <c r="C779" s="632">
        <v>16</v>
      </c>
      <c r="D779" s="632">
        <v>385</v>
      </c>
      <c r="E779" s="633"/>
      <c r="F779" s="524"/>
      <c r="G779" s="524"/>
      <c r="H779" s="362"/>
      <c r="I779" s="230"/>
      <c r="J779" s="230">
        <f ca="1">+DATEDIF(I779,TODAY(),"Y")</f>
        <v>126</v>
      </c>
      <c r="K779" s="363"/>
      <c r="L779" s="364"/>
      <c r="M779" s="365"/>
      <c r="N779" s="366"/>
      <c r="O779" s="634"/>
      <c r="P779" s="454"/>
      <c r="Q779" s="504"/>
      <c r="R779" s="639"/>
      <c r="S779" s="420"/>
      <c r="T779" s="421"/>
      <c r="U779" s="387"/>
      <c r="V779" s="648"/>
      <c r="W779" s="640"/>
      <c r="X779" s="404"/>
      <c r="Y779" s="372"/>
      <c r="Z779" s="381"/>
      <c r="AA779" s="225"/>
      <c r="AB779" s="361"/>
      <c r="AC779" s="533"/>
      <c r="AD779" s="225"/>
      <c r="AE779" s="361"/>
      <c r="AF779" s="533"/>
      <c r="AG779" s="225"/>
      <c r="AH779" s="361"/>
      <c r="AI779" s="533"/>
      <c r="AJ779" s="225"/>
      <c r="AK779" s="361"/>
      <c r="AL779" s="533"/>
      <c r="AM779" s="225"/>
      <c r="AN779" s="361"/>
      <c r="AO779" s="533"/>
      <c r="AP779" s="225"/>
      <c r="AQ779" s="361"/>
      <c r="AR779" s="533"/>
    </row>
    <row r="780" spans="1:44" ht="15.75" hidden="1" customHeight="1">
      <c r="A780" s="309"/>
      <c r="B780" s="669"/>
      <c r="C780" s="632"/>
      <c r="D780" s="632"/>
      <c r="E780" s="633"/>
      <c r="F780" s="524"/>
      <c r="G780" s="524"/>
      <c r="H780" s="362"/>
      <c r="I780" s="230"/>
      <c r="J780" s="230"/>
      <c r="K780" s="363"/>
      <c r="L780" s="364"/>
      <c r="M780" s="365"/>
      <c r="N780" s="366"/>
      <c r="O780" s="634"/>
      <c r="P780" s="429"/>
      <c r="Q780" s="442"/>
      <c r="R780" s="646"/>
      <c r="S780" s="433"/>
      <c r="T780" s="434"/>
      <c r="U780" s="376"/>
      <c r="V780" s="649"/>
      <c r="W780" s="636"/>
      <c r="X780" s="404"/>
      <c r="Y780" s="372"/>
      <c r="Z780" s="381"/>
      <c r="AA780" s="241"/>
      <c r="AB780" s="411"/>
      <c r="AC780" s="577"/>
      <c r="AD780" s="241"/>
      <c r="AE780" s="411"/>
      <c r="AF780" s="577"/>
      <c r="AG780" s="241"/>
      <c r="AH780" s="411"/>
      <c r="AI780" s="577"/>
      <c r="AJ780" s="241"/>
      <c r="AK780" s="411"/>
      <c r="AL780" s="577"/>
      <c r="AM780" s="241"/>
      <c r="AN780" s="411"/>
      <c r="AO780" s="577"/>
      <c r="AP780" s="241"/>
      <c r="AQ780" s="411"/>
      <c r="AR780" s="577"/>
    </row>
    <row r="781" spans="1:44" ht="15.75" hidden="1" customHeight="1">
      <c r="A781" s="309"/>
      <c r="B781" s="669" t="s">
        <v>2550</v>
      </c>
      <c r="C781" s="632">
        <v>17</v>
      </c>
      <c r="D781" s="632">
        <v>386</v>
      </c>
      <c r="E781" s="633"/>
      <c r="F781" s="524"/>
      <c r="G781" s="524"/>
      <c r="H781" s="362"/>
      <c r="I781" s="230"/>
      <c r="J781" s="230">
        <f ca="1">+DATEDIF(I781,TODAY(),"Y")</f>
        <v>126</v>
      </c>
      <c r="K781" s="363"/>
      <c r="L781" s="364"/>
      <c r="M781" s="365"/>
      <c r="N781" s="366"/>
      <c r="O781" s="634"/>
      <c r="P781" s="454"/>
      <c r="Q781" s="504"/>
      <c r="R781" s="639"/>
      <c r="S781" s="420"/>
      <c r="T781" s="421"/>
      <c r="U781" s="387"/>
      <c r="V781" s="648"/>
      <c r="W781" s="640"/>
      <c r="X781" s="404"/>
      <c r="Y781" s="372"/>
      <c r="Z781" s="381"/>
      <c r="AA781" s="225"/>
      <c r="AB781" s="361"/>
      <c r="AC781" s="533"/>
      <c r="AD781" s="225"/>
      <c r="AE781" s="361"/>
      <c r="AF781" s="533"/>
      <c r="AG781" s="225"/>
      <c r="AH781" s="361"/>
      <c r="AI781" s="533"/>
      <c r="AJ781" s="225"/>
      <c r="AK781" s="361"/>
      <c r="AL781" s="533"/>
      <c r="AM781" s="225"/>
      <c r="AN781" s="361"/>
      <c r="AO781" s="533"/>
      <c r="AP781" s="225"/>
      <c r="AQ781" s="361"/>
      <c r="AR781" s="533"/>
    </row>
    <row r="782" spans="1:44" ht="15.75" hidden="1" customHeight="1">
      <c r="A782" s="309"/>
      <c r="B782" s="669"/>
      <c r="C782" s="632"/>
      <c r="D782" s="632"/>
      <c r="E782" s="633"/>
      <c r="F782" s="524"/>
      <c r="G782" s="524"/>
      <c r="H782" s="362"/>
      <c r="I782" s="230"/>
      <c r="J782" s="230"/>
      <c r="K782" s="363"/>
      <c r="L782" s="364"/>
      <c r="M782" s="365"/>
      <c r="N782" s="366"/>
      <c r="O782" s="634"/>
      <c r="P782" s="429"/>
      <c r="Q782" s="442"/>
      <c r="R782" s="646"/>
      <c r="S782" s="433"/>
      <c r="T782" s="434"/>
      <c r="U782" s="376"/>
      <c r="V782" s="649"/>
      <c r="W782" s="636"/>
      <c r="X782" s="404"/>
      <c r="Y782" s="372"/>
      <c r="Z782" s="381"/>
      <c r="AA782" s="241"/>
      <c r="AB782" s="411"/>
      <c r="AC782" s="577"/>
      <c r="AD782" s="241"/>
      <c r="AE782" s="411"/>
      <c r="AF782" s="577"/>
      <c r="AG782" s="241"/>
      <c r="AH782" s="411"/>
      <c r="AI782" s="577"/>
      <c r="AJ782" s="241"/>
      <c r="AK782" s="411"/>
      <c r="AL782" s="577"/>
      <c r="AM782" s="241"/>
      <c r="AN782" s="411"/>
      <c r="AO782" s="577"/>
      <c r="AP782" s="241"/>
      <c r="AQ782" s="411"/>
      <c r="AR782" s="577"/>
    </row>
    <row r="783" spans="1:44" ht="15.75" hidden="1" customHeight="1">
      <c r="A783" s="309"/>
      <c r="B783" s="669" t="s">
        <v>2550</v>
      </c>
      <c r="C783" s="632">
        <v>18</v>
      </c>
      <c r="D783" s="632">
        <v>387</v>
      </c>
      <c r="E783" s="633"/>
      <c r="F783" s="524"/>
      <c r="G783" s="524"/>
      <c r="H783" s="362"/>
      <c r="I783" s="230"/>
      <c r="J783" s="230">
        <f ca="1">+DATEDIF(I783,TODAY(),"Y")</f>
        <v>126</v>
      </c>
      <c r="K783" s="363"/>
      <c r="L783" s="364"/>
      <c r="M783" s="365"/>
      <c r="N783" s="366"/>
      <c r="O783" s="634"/>
      <c r="P783" s="454"/>
      <c r="Q783" s="504"/>
      <c r="R783" s="639"/>
      <c r="S783" s="420"/>
      <c r="T783" s="421"/>
      <c r="U783" s="387"/>
      <c r="V783" s="648"/>
      <c r="W783" s="640"/>
      <c r="X783" s="404"/>
      <c r="Y783" s="372"/>
      <c r="Z783" s="381"/>
      <c r="AA783" s="225"/>
      <c r="AB783" s="361"/>
      <c r="AC783" s="533"/>
      <c r="AD783" s="225"/>
      <c r="AE783" s="361"/>
      <c r="AF783" s="533"/>
      <c r="AG783" s="225"/>
      <c r="AH783" s="361"/>
      <c r="AI783" s="533"/>
      <c r="AJ783" s="225"/>
      <c r="AK783" s="361"/>
      <c r="AL783" s="533"/>
      <c r="AM783" s="225"/>
      <c r="AN783" s="361"/>
      <c r="AO783" s="533"/>
      <c r="AP783" s="225"/>
      <c r="AQ783" s="361"/>
      <c r="AR783" s="533"/>
    </row>
    <row r="784" spans="1:44" ht="15.75" hidden="1" customHeight="1">
      <c r="A784" s="309"/>
      <c r="B784" s="669"/>
      <c r="C784" s="632"/>
      <c r="D784" s="632"/>
      <c r="E784" s="633"/>
      <c r="F784" s="524"/>
      <c r="G784" s="524"/>
      <c r="H784" s="362"/>
      <c r="I784" s="230"/>
      <c r="J784" s="230"/>
      <c r="K784" s="363"/>
      <c r="L784" s="364"/>
      <c r="M784" s="365"/>
      <c r="N784" s="366"/>
      <c r="O784" s="634"/>
      <c r="P784" s="429"/>
      <c r="Q784" s="442"/>
      <c r="R784" s="646"/>
      <c r="S784" s="433"/>
      <c r="T784" s="434"/>
      <c r="U784" s="376"/>
      <c r="V784" s="649"/>
      <c r="W784" s="636"/>
      <c r="X784" s="404"/>
      <c r="Y784" s="372"/>
      <c r="Z784" s="381"/>
      <c r="AA784" s="241"/>
      <c r="AB784" s="411"/>
      <c r="AC784" s="577"/>
      <c r="AD784" s="241"/>
      <c r="AE784" s="411"/>
      <c r="AF784" s="577"/>
      <c r="AG784" s="241"/>
      <c r="AH784" s="411"/>
      <c r="AI784" s="577"/>
      <c r="AJ784" s="241"/>
      <c r="AK784" s="411"/>
      <c r="AL784" s="577"/>
      <c r="AM784" s="241"/>
      <c r="AN784" s="411"/>
      <c r="AO784" s="577"/>
      <c r="AP784" s="241"/>
      <c r="AQ784" s="411"/>
      <c r="AR784" s="577"/>
    </row>
    <row r="785" spans="1:44" ht="15.75" hidden="1" customHeight="1">
      <c r="A785" s="309"/>
      <c r="B785" s="669" t="s">
        <v>2550</v>
      </c>
      <c r="C785" s="632">
        <v>19</v>
      </c>
      <c r="D785" s="632">
        <v>388</v>
      </c>
      <c r="E785" s="633"/>
      <c r="F785" s="524"/>
      <c r="G785" s="524"/>
      <c r="H785" s="362"/>
      <c r="I785" s="230"/>
      <c r="J785" s="230">
        <f ca="1">+DATEDIF(I785,TODAY(),"Y")</f>
        <v>126</v>
      </c>
      <c r="K785" s="363"/>
      <c r="L785" s="364"/>
      <c r="M785" s="365"/>
      <c r="N785" s="366"/>
      <c r="O785" s="634"/>
      <c r="P785" s="454"/>
      <c r="Q785" s="504"/>
      <c r="R785" s="639"/>
      <c r="S785" s="420"/>
      <c r="T785" s="421"/>
      <c r="U785" s="387"/>
      <c r="V785" s="648"/>
      <c r="W785" s="640"/>
      <c r="X785" s="404"/>
      <c r="Y785" s="372"/>
      <c r="Z785" s="381"/>
      <c r="AA785" s="225"/>
      <c r="AB785" s="361"/>
      <c r="AC785" s="533"/>
      <c r="AD785" s="225"/>
      <c r="AE785" s="361"/>
      <c r="AF785" s="533"/>
      <c r="AG785" s="225"/>
      <c r="AH785" s="361"/>
      <c r="AI785" s="533"/>
      <c r="AJ785" s="225"/>
      <c r="AK785" s="361"/>
      <c r="AL785" s="533"/>
      <c r="AM785" s="225"/>
      <c r="AN785" s="361"/>
      <c r="AO785" s="533"/>
      <c r="AP785" s="225"/>
      <c r="AQ785" s="361"/>
      <c r="AR785" s="533"/>
    </row>
    <row r="786" spans="1:44" ht="15.75" hidden="1" customHeight="1">
      <c r="A786" s="309"/>
      <c r="B786" s="669"/>
      <c r="C786" s="632"/>
      <c r="D786" s="632"/>
      <c r="E786" s="633"/>
      <c r="F786" s="524"/>
      <c r="G786" s="524"/>
      <c r="H786" s="362"/>
      <c r="I786" s="230"/>
      <c r="J786" s="230"/>
      <c r="K786" s="363"/>
      <c r="L786" s="364"/>
      <c r="M786" s="365"/>
      <c r="N786" s="366"/>
      <c r="O786" s="634"/>
      <c r="P786" s="429"/>
      <c r="Q786" s="442"/>
      <c r="R786" s="646"/>
      <c r="S786" s="433"/>
      <c r="T786" s="434"/>
      <c r="U786" s="376"/>
      <c r="V786" s="649"/>
      <c r="W786" s="636"/>
      <c r="X786" s="404"/>
      <c r="Y786" s="372"/>
      <c r="Z786" s="381"/>
      <c r="AA786" s="241"/>
      <c r="AB786" s="411"/>
      <c r="AC786" s="577"/>
      <c r="AD786" s="241"/>
      <c r="AE786" s="411"/>
      <c r="AF786" s="577"/>
      <c r="AG786" s="241"/>
      <c r="AH786" s="411"/>
      <c r="AI786" s="577"/>
      <c r="AJ786" s="241"/>
      <c r="AK786" s="411"/>
      <c r="AL786" s="577"/>
      <c r="AM786" s="241"/>
      <c r="AN786" s="411"/>
      <c r="AO786" s="577"/>
      <c r="AP786" s="241"/>
      <c r="AQ786" s="411"/>
      <c r="AR786" s="577"/>
    </row>
    <row r="787" spans="1:44" ht="15.75" hidden="1" customHeight="1">
      <c r="A787" s="309"/>
      <c r="B787" s="669" t="s">
        <v>2550</v>
      </c>
      <c r="C787" s="632">
        <v>20</v>
      </c>
      <c r="D787" s="632">
        <v>389</v>
      </c>
      <c r="E787" s="633"/>
      <c r="F787" s="524"/>
      <c r="G787" s="524"/>
      <c r="H787" s="362"/>
      <c r="I787" s="230"/>
      <c r="J787" s="230">
        <f ca="1">+DATEDIF(I787,TODAY(),"Y")</f>
        <v>126</v>
      </c>
      <c r="K787" s="363"/>
      <c r="L787" s="364"/>
      <c r="M787" s="365"/>
      <c r="N787" s="366"/>
      <c r="O787" s="634"/>
      <c r="P787" s="454"/>
      <c r="Q787" s="504"/>
      <c r="R787" s="639"/>
      <c r="S787" s="420"/>
      <c r="T787" s="421"/>
      <c r="U787" s="387"/>
      <c r="V787" s="648"/>
      <c r="W787" s="640"/>
      <c r="X787" s="404"/>
      <c r="Y787" s="372"/>
      <c r="Z787" s="381"/>
      <c r="AA787" s="225"/>
      <c r="AB787" s="361"/>
      <c r="AC787" s="533"/>
      <c r="AD787" s="225"/>
      <c r="AE787" s="361"/>
      <c r="AF787" s="533"/>
      <c r="AG787" s="225"/>
      <c r="AH787" s="361"/>
      <c r="AI787" s="533"/>
      <c r="AJ787" s="225"/>
      <c r="AK787" s="361"/>
      <c r="AL787" s="533"/>
      <c r="AM787" s="225"/>
      <c r="AN787" s="361"/>
      <c r="AO787" s="533"/>
      <c r="AP787" s="225"/>
      <c r="AQ787" s="361"/>
      <c r="AR787" s="533"/>
    </row>
    <row r="788" spans="1:44" ht="15.75" hidden="1" customHeight="1">
      <c r="A788" s="309"/>
      <c r="B788" s="669"/>
      <c r="C788" s="632"/>
      <c r="D788" s="632"/>
      <c r="E788" s="633"/>
      <c r="F788" s="524"/>
      <c r="G788" s="524"/>
      <c r="H788" s="362"/>
      <c r="I788" s="230"/>
      <c r="J788" s="230"/>
      <c r="K788" s="363"/>
      <c r="L788" s="364"/>
      <c r="M788" s="365"/>
      <c r="N788" s="366"/>
      <c r="O788" s="634"/>
      <c r="P788" s="429"/>
      <c r="Q788" s="442"/>
      <c r="R788" s="646"/>
      <c r="S788" s="433"/>
      <c r="T788" s="434"/>
      <c r="U788" s="376"/>
      <c r="V788" s="649"/>
      <c r="W788" s="636"/>
      <c r="X788" s="404"/>
      <c r="Y788" s="372"/>
      <c r="Z788" s="381"/>
      <c r="AA788" s="241"/>
      <c r="AB788" s="411"/>
      <c r="AC788" s="577"/>
      <c r="AD788" s="241"/>
      <c r="AE788" s="411"/>
      <c r="AF788" s="577"/>
      <c r="AG788" s="241"/>
      <c r="AH788" s="411"/>
      <c r="AI788" s="577"/>
      <c r="AJ788" s="241"/>
      <c r="AK788" s="411"/>
      <c r="AL788" s="577"/>
      <c r="AM788" s="241"/>
      <c r="AN788" s="411"/>
      <c r="AO788" s="577"/>
      <c r="AP788" s="241"/>
      <c r="AQ788" s="411"/>
      <c r="AR788" s="577"/>
    </row>
    <row r="789" spans="1:44" ht="15.75" hidden="1" customHeight="1">
      <c r="A789" s="309"/>
      <c r="B789" s="669" t="s">
        <v>2550</v>
      </c>
      <c r="C789" s="632">
        <v>21</v>
      </c>
      <c r="D789" s="632">
        <v>390</v>
      </c>
      <c r="E789" s="633"/>
      <c r="F789" s="524"/>
      <c r="G789" s="524"/>
      <c r="H789" s="362"/>
      <c r="I789" s="230"/>
      <c r="J789" s="230">
        <f ca="1">+DATEDIF(I789,TODAY(),"Y")</f>
        <v>126</v>
      </c>
      <c r="K789" s="363"/>
      <c r="L789" s="364"/>
      <c r="M789" s="365"/>
      <c r="N789" s="366"/>
      <c r="O789" s="634"/>
      <c r="P789" s="454"/>
      <c r="Q789" s="504"/>
      <c r="R789" s="639"/>
      <c r="S789" s="420"/>
      <c r="T789" s="421"/>
      <c r="U789" s="387"/>
      <c r="V789" s="648"/>
      <c r="W789" s="640"/>
      <c r="X789" s="404"/>
      <c r="Y789" s="372"/>
      <c r="Z789" s="381"/>
      <c r="AA789" s="225"/>
      <c r="AB789" s="361"/>
      <c r="AC789" s="533"/>
      <c r="AD789" s="225"/>
      <c r="AE789" s="361"/>
      <c r="AF789" s="533"/>
      <c r="AG789" s="225"/>
      <c r="AH789" s="361"/>
      <c r="AI789" s="533"/>
      <c r="AJ789" s="225"/>
      <c r="AK789" s="361"/>
      <c r="AL789" s="533"/>
      <c r="AM789" s="225"/>
      <c r="AN789" s="361"/>
      <c r="AO789" s="533"/>
      <c r="AP789" s="225"/>
      <c r="AQ789" s="361"/>
      <c r="AR789" s="533"/>
    </row>
    <row r="790" spans="1:44" ht="15.75" hidden="1" customHeight="1">
      <c r="A790" s="309"/>
      <c r="B790" s="669"/>
      <c r="C790" s="632"/>
      <c r="D790" s="632"/>
      <c r="E790" s="633"/>
      <c r="F790" s="524"/>
      <c r="G790" s="524"/>
      <c r="H790" s="362"/>
      <c r="I790" s="230"/>
      <c r="J790" s="230"/>
      <c r="K790" s="363"/>
      <c r="L790" s="364"/>
      <c r="M790" s="365"/>
      <c r="N790" s="366"/>
      <c r="O790" s="634"/>
      <c r="P790" s="429"/>
      <c r="Q790" s="442"/>
      <c r="R790" s="646"/>
      <c r="S790" s="433"/>
      <c r="T790" s="434"/>
      <c r="U790" s="376"/>
      <c r="V790" s="649"/>
      <c r="W790" s="636"/>
      <c r="X790" s="404"/>
      <c r="Y790" s="372"/>
      <c r="Z790" s="381"/>
      <c r="AA790" s="241"/>
      <c r="AB790" s="411"/>
      <c r="AC790" s="577"/>
      <c r="AD790" s="241"/>
      <c r="AE790" s="411"/>
      <c r="AF790" s="577"/>
      <c r="AG790" s="241"/>
      <c r="AH790" s="411"/>
      <c r="AI790" s="577"/>
      <c r="AJ790" s="241"/>
      <c r="AK790" s="411"/>
      <c r="AL790" s="577"/>
      <c r="AM790" s="241"/>
      <c r="AN790" s="411"/>
      <c r="AO790" s="577"/>
      <c r="AP790" s="241"/>
      <c r="AQ790" s="411"/>
      <c r="AR790" s="577"/>
    </row>
    <row r="791" spans="1:44" ht="15.75" hidden="1" customHeight="1">
      <c r="A791" s="309"/>
      <c r="B791" s="669" t="s">
        <v>2550</v>
      </c>
      <c r="C791" s="632">
        <v>22</v>
      </c>
      <c r="D791" s="632">
        <v>391</v>
      </c>
      <c r="E791" s="633"/>
      <c r="F791" s="524"/>
      <c r="G791" s="524"/>
      <c r="H791" s="362"/>
      <c r="I791" s="230"/>
      <c r="J791" s="230">
        <f ca="1">+DATEDIF(I791,TODAY(),"Y")</f>
        <v>126</v>
      </c>
      <c r="K791" s="363"/>
      <c r="L791" s="364"/>
      <c r="M791" s="365"/>
      <c r="N791" s="366"/>
      <c r="O791" s="634"/>
      <c r="P791" s="454"/>
      <c r="Q791" s="504"/>
      <c r="R791" s="639"/>
      <c r="S791" s="420"/>
      <c r="T791" s="421"/>
      <c r="U791" s="387"/>
      <c r="V791" s="648"/>
      <c r="W791" s="640"/>
      <c r="X791" s="404"/>
      <c r="Y791" s="372"/>
      <c r="Z791" s="381"/>
      <c r="AA791" s="225"/>
      <c r="AB791" s="361"/>
      <c r="AC791" s="533"/>
      <c r="AD791" s="225"/>
      <c r="AE791" s="361"/>
      <c r="AF791" s="533"/>
      <c r="AG791" s="225"/>
      <c r="AH791" s="361"/>
      <c r="AI791" s="533"/>
      <c r="AJ791" s="225"/>
      <c r="AK791" s="361"/>
      <c r="AL791" s="533"/>
      <c r="AM791" s="225"/>
      <c r="AN791" s="361"/>
      <c r="AO791" s="533"/>
      <c r="AP791" s="225"/>
      <c r="AQ791" s="361"/>
      <c r="AR791" s="533"/>
    </row>
    <row r="792" spans="1:44" ht="15.75" hidden="1" customHeight="1">
      <c r="A792" s="309"/>
      <c r="B792" s="669"/>
      <c r="C792" s="632"/>
      <c r="D792" s="632"/>
      <c r="E792" s="633"/>
      <c r="F792" s="524"/>
      <c r="G792" s="524"/>
      <c r="H792" s="362"/>
      <c r="I792" s="230"/>
      <c r="J792" s="230"/>
      <c r="K792" s="363"/>
      <c r="L792" s="364"/>
      <c r="M792" s="365"/>
      <c r="N792" s="366"/>
      <c r="O792" s="634"/>
      <c r="P792" s="429"/>
      <c r="Q792" s="442"/>
      <c r="R792" s="646"/>
      <c r="S792" s="433"/>
      <c r="T792" s="434"/>
      <c r="U792" s="376"/>
      <c r="V792" s="649"/>
      <c r="W792" s="636"/>
      <c r="X792" s="404"/>
      <c r="Y792" s="372"/>
      <c r="Z792" s="381"/>
      <c r="AA792" s="241"/>
      <c r="AB792" s="411"/>
      <c r="AC792" s="577"/>
      <c r="AD792" s="241"/>
      <c r="AE792" s="411"/>
      <c r="AF792" s="577"/>
      <c r="AG792" s="241"/>
      <c r="AH792" s="411"/>
      <c r="AI792" s="577"/>
      <c r="AJ792" s="241"/>
      <c r="AK792" s="411"/>
      <c r="AL792" s="577"/>
      <c r="AM792" s="241"/>
      <c r="AN792" s="411"/>
      <c r="AO792" s="577"/>
      <c r="AP792" s="241"/>
      <c r="AQ792" s="411"/>
      <c r="AR792" s="577"/>
    </row>
    <row r="793" spans="1:44" ht="15.75" hidden="1" customHeight="1">
      <c r="A793" s="309"/>
      <c r="B793" s="669" t="s">
        <v>2550</v>
      </c>
      <c r="C793" s="632">
        <v>23</v>
      </c>
      <c r="D793" s="632">
        <v>392</v>
      </c>
      <c r="E793" s="633"/>
      <c r="F793" s="524"/>
      <c r="G793" s="524"/>
      <c r="H793" s="362"/>
      <c r="I793" s="230"/>
      <c r="J793" s="230">
        <f ca="1">+DATEDIF(I793,TODAY(),"Y")</f>
        <v>126</v>
      </c>
      <c r="K793" s="363"/>
      <c r="L793" s="364"/>
      <c r="M793" s="365"/>
      <c r="N793" s="366"/>
      <c r="O793" s="634"/>
      <c r="P793" s="454"/>
      <c r="Q793" s="504"/>
      <c r="R793" s="639"/>
      <c r="S793" s="420"/>
      <c r="T793" s="421"/>
      <c r="U793" s="387"/>
      <c r="V793" s="648"/>
      <c r="W793" s="640"/>
      <c r="X793" s="404"/>
      <c r="Y793" s="372"/>
      <c r="Z793" s="381"/>
      <c r="AA793" s="225"/>
      <c r="AB793" s="361"/>
      <c r="AC793" s="533"/>
      <c r="AD793" s="225"/>
      <c r="AE793" s="361"/>
      <c r="AF793" s="533"/>
      <c r="AG793" s="225"/>
      <c r="AH793" s="361"/>
      <c r="AI793" s="533"/>
      <c r="AJ793" s="225"/>
      <c r="AK793" s="361"/>
      <c r="AL793" s="533"/>
      <c r="AM793" s="225"/>
      <c r="AN793" s="361"/>
      <c r="AO793" s="533"/>
      <c r="AP793" s="225"/>
      <c r="AQ793" s="361"/>
      <c r="AR793" s="533"/>
    </row>
    <row r="794" spans="1:44" ht="15.75" hidden="1" customHeight="1">
      <c r="A794" s="309"/>
      <c r="B794" s="669"/>
      <c r="C794" s="632"/>
      <c r="D794" s="632"/>
      <c r="E794" s="633"/>
      <c r="F794" s="524"/>
      <c r="G794" s="524"/>
      <c r="H794" s="362"/>
      <c r="I794" s="230"/>
      <c r="J794" s="230"/>
      <c r="K794" s="363"/>
      <c r="L794" s="364"/>
      <c r="M794" s="365"/>
      <c r="N794" s="366"/>
      <c r="O794" s="634"/>
      <c r="P794" s="429"/>
      <c r="Q794" s="442"/>
      <c r="R794" s="646"/>
      <c r="S794" s="433"/>
      <c r="T794" s="434"/>
      <c r="U794" s="376"/>
      <c r="V794" s="649"/>
      <c r="W794" s="636"/>
      <c r="X794" s="404"/>
      <c r="Y794" s="372"/>
      <c r="Z794" s="381"/>
      <c r="AA794" s="241"/>
      <c r="AB794" s="411"/>
      <c r="AC794" s="577"/>
      <c r="AD794" s="241"/>
      <c r="AE794" s="411"/>
      <c r="AF794" s="577"/>
      <c r="AG794" s="241"/>
      <c r="AH794" s="411"/>
      <c r="AI794" s="577"/>
      <c r="AJ794" s="241"/>
      <c r="AK794" s="411"/>
      <c r="AL794" s="577"/>
      <c r="AM794" s="241"/>
      <c r="AN794" s="411"/>
      <c r="AO794" s="577"/>
      <c r="AP794" s="241"/>
      <c r="AQ794" s="411"/>
      <c r="AR794" s="577"/>
    </row>
    <row r="795" spans="1:44" ht="15.75" hidden="1" customHeight="1">
      <c r="A795" s="309"/>
      <c r="B795" s="669" t="s">
        <v>2550</v>
      </c>
      <c r="C795" s="632">
        <v>24</v>
      </c>
      <c r="D795" s="632">
        <v>393</v>
      </c>
      <c r="E795" s="633"/>
      <c r="F795" s="524"/>
      <c r="G795" s="524"/>
      <c r="H795" s="362"/>
      <c r="I795" s="230"/>
      <c r="J795" s="230">
        <f ca="1">+DATEDIF(I795,TODAY(),"Y")</f>
        <v>126</v>
      </c>
      <c r="K795" s="363"/>
      <c r="L795" s="364"/>
      <c r="M795" s="365"/>
      <c r="N795" s="366"/>
      <c r="O795" s="634"/>
      <c r="P795" s="454"/>
      <c r="Q795" s="504"/>
      <c r="R795" s="639"/>
      <c r="S795" s="420"/>
      <c r="T795" s="421"/>
      <c r="U795" s="387"/>
      <c r="V795" s="648"/>
      <c r="W795" s="640"/>
      <c r="X795" s="404"/>
      <c r="Y795" s="372"/>
      <c r="Z795" s="381"/>
      <c r="AA795" s="225"/>
      <c r="AB795" s="361"/>
      <c r="AC795" s="533"/>
      <c r="AD795" s="225"/>
      <c r="AE795" s="361"/>
      <c r="AF795" s="533"/>
      <c r="AG795" s="225"/>
      <c r="AH795" s="361"/>
      <c r="AI795" s="533"/>
      <c r="AJ795" s="225"/>
      <c r="AK795" s="361"/>
      <c r="AL795" s="533"/>
      <c r="AM795" s="225"/>
      <c r="AN795" s="361"/>
      <c r="AO795" s="533"/>
      <c r="AP795" s="225"/>
      <c r="AQ795" s="361"/>
      <c r="AR795" s="533"/>
    </row>
    <row r="796" spans="1:44" ht="15.75" hidden="1" customHeight="1">
      <c r="A796" s="309"/>
      <c r="B796" s="669"/>
      <c r="C796" s="632"/>
      <c r="D796" s="632"/>
      <c r="E796" s="633"/>
      <c r="F796" s="524"/>
      <c r="G796" s="524"/>
      <c r="H796" s="362"/>
      <c r="I796" s="230"/>
      <c r="J796" s="230"/>
      <c r="K796" s="363"/>
      <c r="L796" s="364"/>
      <c r="M796" s="365"/>
      <c r="N796" s="366"/>
      <c r="O796" s="634"/>
      <c r="P796" s="429"/>
      <c r="Q796" s="442"/>
      <c r="R796" s="646"/>
      <c r="S796" s="433"/>
      <c r="T796" s="434"/>
      <c r="U796" s="376"/>
      <c r="V796" s="649"/>
      <c r="W796" s="636"/>
      <c r="X796" s="404"/>
      <c r="Y796" s="372"/>
      <c r="Z796" s="381"/>
      <c r="AA796" s="241"/>
      <c r="AB796" s="411"/>
      <c r="AC796" s="577"/>
      <c r="AD796" s="241"/>
      <c r="AE796" s="411"/>
      <c r="AF796" s="577"/>
      <c r="AG796" s="241"/>
      <c r="AH796" s="411"/>
      <c r="AI796" s="577"/>
      <c r="AJ796" s="241"/>
      <c r="AK796" s="411"/>
      <c r="AL796" s="577"/>
      <c r="AM796" s="241"/>
      <c r="AN796" s="411"/>
      <c r="AO796" s="577"/>
      <c r="AP796" s="241"/>
      <c r="AQ796" s="411"/>
      <c r="AR796" s="577"/>
    </row>
    <row r="797" spans="1:44" ht="15.75" hidden="1" customHeight="1">
      <c r="A797" s="309"/>
      <c r="B797" s="669" t="s">
        <v>2550</v>
      </c>
      <c r="C797" s="632">
        <v>25</v>
      </c>
      <c r="D797" s="632">
        <v>394</v>
      </c>
      <c r="E797" s="633"/>
      <c r="F797" s="524"/>
      <c r="G797" s="524"/>
      <c r="H797" s="362"/>
      <c r="I797" s="230"/>
      <c r="J797" s="230">
        <f ca="1">+DATEDIF(I797,TODAY(),"Y")</f>
        <v>126</v>
      </c>
      <c r="K797" s="363"/>
      <c r="L797" s="364"/>
      <c r="M797" s="365"/>
      <c r="N797" s="366"/>
      <c r="O797" s="634"/>
      <c r="P797" s="454"/>
      <c r="Q797" s="504"/>
      <c r="R797" s="639"/>
      <c r="S797" s="420"/>
      <c r="T797" s="421"/>
      <c r="U797" s="387"/>
      <c r="V797" s="648"/>
      <c r="W797" s="640"/>
      <c r="X797" s="404"/>
      <c r="Y797" s="372"/>
      <c r="Z797" s="381"/>
      <c r="AA797" s="225"/>
      <c r="AB797" s="361"/>
      <c r="AC797" s="533"/>
      <c r="AD797" s="225"/>
      <c r="AE797" s="361"/>
      <c r="AF797" s="533"/>
      <c r="AG797" s="225"/>
      <c r="AH797" s="361"/>
      <c r="AI797" s="533"/>
      <c r="AJ797" s="225"/>
      <c r="AK797" s="361"/>
      <c r="AL797" s="533"/>
      <c r="AM797" s="225"/>
      <c r="AN797" s="361"/>
      <c r="AO797" s="533"/>
      <c r="AP797" s="225"/>
      <c r="AQ797" s="361"/>
      <c r="AR797" s="533"/>
    </row>
    <row r="798" spans="1:44" ht="15.75" hidden="1" customHeight="1">
      <c r="A798" s="309"/>
      <c r="B798" s="669"/>
      <c r="C798" s="632"/>
      <c r="D798" s="632"/>
      <c r="E798" s="633"/>
      <c r="F798" s="524"/>
      <c r="G798" s="524"/>
      <c r="H798" s="362"/>
      <c r="I798" s="230"/>
      <c r="J798" s="230"/>
      <c r="K798" s="363"/>
      <c r="L798" s="364"/>
      <c r="M798" s="365"/>
      <c r="N798" s="366"/>
      <c r="O798" s="634"/>
      <c r="P798" s="429"/>
      <c r="Q798" s="442"/>
      <c r="R798" s="646"/>
      <c r="S798" s="433"/>
      <c r="T798" s="434"/>
      <c r="U798" s="376"/>
      <c r="V798" s="649"/>
      <c r="W798" s="636"/>
      <c r="X798" s="404"/>
      <c r="Y798" s="372"/>
      <c r="Z798" s="381"/>
      <c r="AA798" s="241"/>
      <c r="AB798" s="411"/>
      <c r="AC798" s="577"/>
      <c r="AD798" s="241"/>
      <c r="AE798" s="411"/>
      <c r="AF798" s="577"/>
      <c r="AG798" s="241"/>
      <c r="AH798" s="411"/>
      <c r="AI798" s="577"/>
      <c r="AJ798" s="241"/>
      <c r="AK798" s="411"/>
      <c r="AL798" s="577"/>
      <c r="AM798" s="241"/>
      <c r="AN798" s="411"/>
      <c r="AO798" s="577"/>
      <c r="AP798" s="241"/>
      <c r="AQ798" s="411"/>
      <c r="AR798" s="577"/>
    </row>
    <row r="799" spans="1:44" ht="15.75" hidden="1" customHeight="1">
      <c r="A799" s="309"/>
      <c r="B799" s="669" t="s">
        <v>2550</v>
      </c>
      <c r="C799" s="632">
        <v>26</v>
      </c>
      <c r="D799" s="632">
        <v>395</v>
      </c>
      <c r="E799" s="633"/>
      <c r="F799" s="524"/>
      <c r="G799" s="524"/>
      <c r="H799" s="362"/>
      <c r="I799" s="230"/>
      <c r="J799" s="230">
        <f ca="1">+DATEDIF(I799,TODAY(),"Y")</f>
        <v>126</v>
      </c>
      <c r="K799" s="363"/>
      <c r="L799" s="364"/>
      <c r="M799" s="365"/>
      <c r="N799" s="366"/>
      <c r="O799" s="634"/>
      <c r="P799" s="454"/>
      <c r="Q799" s="504"/>
      <c r="R799" s="639"/>
      <c r="S799" s="420"/>
      <c r="T799" s="421"/>
      <c r="U799" s="387"/>
      <c r="V799" s="648"/>
      <c r="W799" s="640"/>
      <c r="X799" s="404"/>
      <c r="Y799" s="372"/>
      <c r="Z799" s="381"/>
      <c r="AA799" s="225"/>
      <c r="AB799" s="361"/>
      <c r="AC799" s="533"/>
      <c r="AD799" s="225"/>
      <c r="AE799" s="361"/>
      <c r="AF799" s="533"/>
      <c r="AG799" s="225"/>
      <c r="AH799" s="361"/>
      <c r="AI799" s="533"/>
      <c r="AJ799" s="225"/>
      <c r="AK799" s="361"/>
      <c r="AL799" s="533"/>
      <c r="AM799" s="225"/>
      <c r="AN799" s="361"/>
      <c r="AO799" s="533"/>
      <c r="AP799" s="225"/>
      <c r="AQ799" s="361"/>
      <c r="AR799" s="533"/>
    </row>
    <row r="800" spans="1:44" ht="15.75" hidden="1" customHeight="1">
      <c r="A800" s="309"/>
      <c r="B800" s="669"/>
      <c r="C800" s="632"/>
      <c r="D800" s="632"/>
      <c r="E800" s="633"/>
      <c r="F800" s="524"/>
      <c r="G800" s="524"/>
      <c r="H800" s="362"/>
      <c r="I800" s="230"/>
      <c r="J800" s="230"/>
      <c r="K800" s="363"/>
      <c r="L800" s="364"/>
      <c r="M800" s="365"/>
      <c r="N800" s="366"/>
      <c r="O800" s="634"/>
      <c r="P800" s="429"/>
      <c r="Q800" s="442"/>
      <c r="R800" s="646"/>
      <c r="S800" s="433"/>
      <c r="T800" s="434"/>
      <c r="U800" s="376"/>
      <c r="V800" s="649"/>
      <c r="W800" s="636"/>
      <c r="X800" s="404"/>
      <c r="Y800" s="372"/>
      <c r="Z800" s="381"/>
      <c r="AA800" s="241"/>
      <c r="AB800" s="411"/>
      <c r="AC800" s="577"/>
      <c r="AD800" s="241"/>
      <c r="AE800" s="411"/>
      <c r="AF800" s="577"/>
      <c r="AG800" s="241"/>
      <c r="AH800" s="411"/>
      <c r="AI800" s="577"/>
      <c r="AJ800" s="241"/>
      <c r="AK800" s="411"/>
      <c r="AL800" s="577"/>
      <c r="AM800" s="241"/>
      <c r="AN800" s="411"/>
      <c r="AO800" s="577"/>
      <c r="AP800" s="241"/>
      <c r="AQ800" s="411"/>
      <c r="AR800" s="577"/>
    </row>
    <row r="801" spans="1:44" ht="15.75" hidden="1" customHeight="1">
      <c r="A801" s="309"/>
      <c r="B801" s="669" t="s">
        <v>2550</v>
      </c>
      <c r="C801" s="632">
        <v>27</v>
      </c>
      <c r="D801" s="632">
        <v>396</v>
      </c>
      <c r="E801" s="633"/>
      <c r="F801" s="524"/>
      <c r="G801" s="524"/>
      <c r="H801" s="362"/>
      <c r="I801" s="230"/>
      <c r="J801" s="230">
        <f ca="1">+DATEDIF(I801,TODAY(),"Y")</f>
        <v>126</v>
      </c>
      <c r="K801" s="363"/>
      <c r="L801" s="364"/>
      <c r="M801" s="365"/>
      <c r="N801" s="366"/>
      <c r="O801" s="634"/>
      <c r="P801" s="454"/>
      <c r="Q801" s="504"/>
      <c r="R801" s="639"/>
      <c r="S801" s="420"/>
      <c r="T801" s="421"/>
      <c r="U801" s="387"/>
      <c r="V801" s="648"/>
      <c r="W801" s="640"/>
      <c r="X801" s="404"/>
      <c r="Y801" s="372"/>
      <c r="Z801" s="381"/>
      <c r="AA801" s="225"/>
      <c r="AB801" s="361"/>
      <c r="AC801" s="533"/>
      <c r="AD801" s="225"/>
      <c r="AE801" s="361"/>
      <c r="AF801" s="533"/>
      <c r="AG801" s="225"/>
      <c r="AH801" s="361"/>
      <c r="AI801" s="533"/>
      <c r="AJ801" s="225"/>
      <c r="AK801" s="361"/>
      <c r="AL801" s="533"/>
      <c r="AM801" s="225"/>
      <c r="AN801" s="361"/>
      <c r="AO801" s="533"/>
      <c r="AP801" s="225"/>
      <c r="AQ801" s="361"/>
      <c r="AR801" s="533"/>
    </row>
    <row r="802" spans="1:44" ht="15.75" hidden="1" customHeight="1">
      <c r="A802" s="309"/>
      <c r="B802" s="669"/>
      <c r="C802" s="632"/>
      <c r="D802" s="632"/>
      <c r="E802" s="633"/>
      <c r="F802" s="524"/>
      <c r="G802" s="524"/>
      <c r="H802" s="362"/>
      <c r="I802" s="230"/>
      <c r="J802" s="230"/>
      <c r="K802" s="363"/>
      <c r="L802" s="364"/>
      <c r="M802" s="365"/>
      <c r="N802" s="366"/>
      <c r="O802" s="634"/>
      <c r="P802" s="429"/>
      <c r="Q802" s="442"/>
      <c r="R802" s="646"/>
      <c r="S802" s="433"/>
      <c r="T802" s="434"/>
      <c r="U802" s="376"/>
      <c r="V802" s="649"/>
      <c r="W802" s="636"/>
      <c r="X802" s="404"/>
      <c r="Y802" s="372"/>
      <c r="Z802" s="381"/>
      <c r="AA802" s="241"/>
      <c r="AB802" s="411"/>
      <c r="AC802" s="577"/>
      <c r="AD802" s="241"/>
      <c r="AE802" s="411"/>
      <c r="AF802" s="577"/>
      <c r="AG802" s="241"/>
      <c r="AH802" s="411"/>
      <c r="AI802" s="577"/>
      <c r="AJ802" s="241"/>
      <c r="AK802" s="411"/>
      <c r="AL802" s="577"/>
      <c r="AM802" s="241"/>
      <c r="AN802" s="411"/>
      <c r="AO802" s="577"/>
      <c r="AP802" s="241"/>
      <c r="AQ802" s="411"/>
      <c r="AR802" s="577"/>
    </row>
    <row r="803" spans="1:44" ht="15.75" hidden="1" customHeight="1">
      <c r="A803" s="309"/>
      <c r="B803" s="669" t="s">
        <v>2550</v>
      </c>
      <c r="C803" s="632">
        <v>28</v>
      </c>
      <c r="D803" s="632">
        <v>397</v>
      </c>
      <c r="E803" s="633"/>
      <c r="F803" s="524"/>
      <c r="G803" s="524"/>
      <c r="H803" s="362"/>
      <c r="I803" s="230"/>
      <c r="J803" s="230">
        <f ca="1">+DATEDIF(I803,TODAY(),"Y")</f>
        <v>126</v>
      </c>
      <c r="K803" s="363"/>
      <c r="L803" s="364"/>
      <c r="M803" s="365"/>
      <c r="N803" s="366"/>
      <c r="O803" s="634"/>
      <c r="P803" s="454"/>
      <c r="Q803" s="504"/>
      <c r="R803" s="639"/>
      <c r="S803" s="420"/>
      <c r="T803" s="421"/>
      <c r="U803" s="387"/>
      <c r="V803" s="648"/>
      <c r="W803" s="640"/>
      <c r="X803" s="404"/>
      <c r="Y803" s="372"/>
      <c r="Z803" s="381"/>
      <c r="AA803" s="225"/>
      <c r="AB803" s="361"/>
      <c r="AC803" s="533"/>
      <c r="AD803" s="225"/>
      <c r="AE803" s="361"/>
      <c r="AF803" s="533"/>
      <c r="AG803" s="225"/>
      <c r="AH803" s="361"/>
      <c r="AI803" s="533"/>
      <c r="AJ803" s="225"/>
      <c r="AK803" s="361"/>
      <c r="AL803" s="533"/>
      <c r="AM803" s="225"/>
      <c r="AN803" s="361"/>
      <c r="AO803" s="533"/>
      <c r="AP803" s="225"/>
      <c r="AQ803" s="361"/>
      <c r="AR803" s="533"/>
    </row>
    <row r="804" spans="1:44" ht="15.75" hidden="1" customHeight="1">
      <c r="A804" s="309"/>
      <c r="B804" s="669"/>
      <c r="C804" s="632"/>
      <c r="D804" s="632"/>
      <c r="E804" s="633"/>
      <c r="F804" s="524"/>
      <c r="G804" s="524"/>
      <c r="H804" s="362"/>
      <c r="I804" s="230"/>
      <c r="J804" s="230"/>
      <c r="K804" s="363"/>
      <c r="L804" s="364"/>
      <c r="M804" s="365"/>
      <c r="N804" s="366"/>
      <c r="O804" s="634"/>
      <c r="P804" s="429"/>
      <c r="Q804" s="442"/>
      <c r="R804" s="646"/>
      <c r="S804" s="433"/>
      <c r="T804" s="434"/>
      <c r="U804" s="376"/>
      <c r="V804" s="649"/>
      <c r="W804" s="636"/>
      <c r="X804" s="404"/>
      <c r="Y804" s="372"/>
      <c r="Z804" s="381"/>
      <c r="AA804" s="241"/>
      <c r="AB804" s="411"/>
      <c r="AC804" s="577"/>
      <c r="AD804" s="241"/>
      <c r="AE804" s="411"/>
      <c r="AF804" s="577"/>
      <c r="AG804" s="241"/>
      <c r="AH804" s="411"/>
      <c r="AI804" s="577"/>
      <c r="AJ804" s="241"/>
      <c r="AK804" s="411"/>
      <c r="AL804" s="577"/>
      <c r="AM804" s="241"/>
      <c r="AN804" s="411"/>
      <c r="AO804" s="577"/>
      <c r="AP804" s="241"/>
      <c r="AQ804" s="411"/>
      <c r="AR804" s="577"/>
    </row>
    <row r="805" spans="1:44" ht="15.75" hidden="1" customHeight="1">
      <c r="A805" s="309"/>
      <c r="B805" s="669" t="s">
        <v>2550</v>
      </c>
      <c r="C805" s="632">
        <v>29</v>
      </c>
      <c r="D805" s="632">
        <v>398</v>
      </c>
      <c r="E805" s="633"/>
      <c r="F805" s="524"/>
      <c r="G805" s="524"/>
      <c r="H805" s="362"/>
      <c r="I805" s="230"/>
      <c r="J805" s="230">
        <f ca="1">+DATEDIF(I805,TODAY(),"Y")</f>
        <v>126</v>
      </c>
      <c r="K805" s="363"/>
      <c r="L805" s="364"/>
      <c r="M805" s="365"/>
      <c r="N805" s="366"/>
      <c r="O805" s="634"/>
      <c r="P805" s="454"/>
      <c r="Q805" s="504"/>
      <c r="R805" s="639"/>
      <c r="S805" s="420"/>
      <c r="T805" s="421"/>
      <c r="U805" s="387"/>
      <c r="V805" s="648"/>
      <c r="W805" s="640"/>
      <c r="X805" s="404"/>
      <c r="Y805" s="372"/>
      <c r="Z805" s="381"/>
      <c r="AA805" s="225"/>
      <c r="AB805" s="361"/>
      <c r="AC805" s="533"/>
      <c r="AD805" s="225"/>
      <c r="AE805" s="361"/>
      <c r="AF805" s="533"/>
      <c r="AG805" s="225"/>
      <c r="AH805" s="361"/>
      <c r="AI805" s="533"/>
      <c r="AJ805" s="225"/>
      <c r="AK805" s="361"/>
      <c r="AL805" s="533"/>
      <c r="AM805" s="225"/>
      <c r="AN805" s="361"/>
      <c r="AO805" s="533"/>
      <c r="AP805" s="225"/>
      <c r="AQ805" s="361"/>
      <c r="AR805" s="533"/>
    </row>
    <row r="806" spans="1:44" ht="15.75" hidden="1" customHeight="1">
      <c r="A806" s="309"/>
      <c r="B806" s="669"/>
      <c r="C806" s="632"/>
      <c r="D806" s="632"/>
      <c r="E806" s="633"/>
      <c r="F806" s="524"/>
      <c r="G806" s="524"/>
      <c r="H806" s="362"/>
      <c r="I806" s="230"/>
      <c r="J806" s="230"/>
      <c r="K806" s="363"/>
      <c r="L806" s="364"/>
      <c r="M806" s="365"/>
      <c r="N806" s="366"/>
      <c r="O806" s="634"/>
      <c r="P806" s="429"/>
      <c r="Q806" s="442"/>
      <c r="R806" s="646"/>
      <c r="S806" s="433"/>
      <c r="T806" s="434"/>
      <c r="U806" s="376"/>
      <c r="V806" s="649"/>
      <c r="W806" s="636"/>
      <c r="X806" s="404"/>
      <c r="Y806" s="372"/>
      <c r="Z806" s="381"/>
      <c r="AA806" s="241"/>
      <c r="AB806" s="411"/>
      <c r="AC806" s="577"/>
      <c r="AD806" s="241"/>
      <c r="AE806" s="411"/>
      <c r="AF806" s="577"/>
      <c r="AG806" s="241"/>
      <c r="AH806" s="411"/>
      <c r="AI806" s="577"/>
      <c r="AJ806" s="241"/>
      <c r="AK806" s="411"/>
      <c r="AL806" s="577"/>
      <c r="AM806" s="241"/>
      <c r="AN806" s="411"/>
      <c r="AO806" s="577"/>
      <c r="AP806" s="241"/>
      <c r="AQ806" s="411"/>
      <c r="AR806" s="577"/>
    </row>
    <row r="807" spans="1:44" ht="15.75" hidden="1" customHeight="1">
      <c r="A807" s="309"/>
      <c r="B807" s="669" t="s">
        <v>2550</v>
      </c>
      <c r="C807" s="632">
        <v>30</v>
      </c>
      <c r="D807" s="632">
        <v>399</v>
      </c>
      <c r="E807" s="633"/>
      <c r="F807" s="524"/>
      <c r="G807" s="524"/>
      <c r="H807" s="362"/>
      <c r="I807" s="230"/>
      <c r="J807" s="230">
        <f ca="1">+DATEDIF(I807,TODAY(),"Y")</f>
        <v>126</v>
      </c>
      <c r="K807" s="363"/>
      <c r="L807" s="364"/>
      <c r="M807" s="365"/>
      <c r="N807" s="366"/>
      <c r="O807" s="634"/>
      <c r="P807" s="454"/>
      <c r="Q807" s="504"/>
      <c r="R807" s="639"/>
      <c r="S807" s="420"/>
      <c r="T807" s="421"/>
      <c r="U807" s="387"/>
      <c r="V807" s="648"/>
      <c r="W807" s="640"/>
      <c r="X807" s="404"/>
      <c r="Y807" s="372"/>
      <c r="Z807" s="381"/>
      <c r="AA807" s="225"/>
      <c r="AB807" s="361"/>
      <c r="AC807" s="533"/>
      <c r="AD807" s="225"/>
      <c r="AE807" s="361"/>
      <c r="AF807" s="533"/>
      <c r="AG807" s="225"/>
      <c r="AH807" s="361"/>
      <c r="AI807" s="533"/>
      <c r="AJ807" s="225"/>
      <c r="AK807" s="361"/>
      <c r="AL807" s="533"/>
      <c r="AM807" s="225"/>
      <c r="AN807" s="361"/>
      <c r="AO807" s="533"/>
      <c r="AP807" s="225"/>
      <c r="AQ807" s="361"/>
      <c r="AR807" s="533"/>
    </row>
    <row r="808" spans="1:44" ht="15.75" hidden="1" customHeight="1">
      <c r="A808" s="309"/>
      <c r="B808" s="669"/>
      <c r="C808" s="632"/>
      <c r="D808" s="632"/>
      <c r="E808" s="633"/>
      <c r="F808" s="524"/>
      <c r="G808" s="524"/>
      <c r="H808" s="362"/>
      <c r="I808" s="230"/>
      <c r="J808" s="230"/>
      <c r="K808" s="363"/>
      <c r="L808" s="364"/>
      <c r="M808" s="365"/>
      <c r="N808" s="366"/>
      <c r="O808" s="634"/>
      <c r="P808" s="429"/>
      <c r="Q808" s="442"/>
      <c r="R808" s="646"/>
      <c r="S808" s="433"/>
      <c r="T808" s="434"/>
      <c r="U808" s="376"/>
      <c r="V808" s="649"/>
      <c r="W808" s="636"/>
      <c r="X808" s="404"/>
      <c r="Y808" s="372"/>
      <c r="Z808" s="381"/>
      <c r="AA808" s="241"/>
      <c r="AB808" s="411"/>
      <c r="AC808" s="577"/>
      <c r="AD808" s="241"/>
      <c r="AE808" s="411"/>
      <c r="AF808" s="577"/>
      <c r="AG808" s="241"/>
      <c r="AH808" s="411"/>
      <c r="AI808" s="577"/>
      <c r="AJ808" s="241"/>
      <c r="AK808" s="411"/>
      <c r="AL808" s="577"/>
      <c r="AM808" s="241"/>
      <c r="AN808" s="411"/>
      <c r="AO808" s="577"/>
      <c r="AP808" s="241"/>
      <c r="AQ808" s="411"/>
      <c r="AR808" s="577"/>
    </row>
  </sheetData>
  <autoFilter ref="A6:AS808" xr:uid="{00000000-0009-0000-0000-000003000000}">
    <filterColumn colId="6">
      <filters>
        <filter val="PICACHO"/>
      </filters>
    </filterColumn>
  </autoFilter>
  <mergeCells count="16">
    <mergeCell ref="AG5:AI5"/>
    <mergeCell ref="AJ5:AL5"/>
    <mergeCell ref="AM5:AO5"/>
    <mergeCell ref="D1:E3"/>
    <mergeCell ref="F1:T3"/>
    <mergeCell ref="U1:V3"/>
    <mergeCell ref="D4:M5"/>
    <mergeCell ref="N4:Q5"/>
    <mergeCell ref="R4:V4"/>
    <mergeCell ref="X4:AR4"/>
    <mergeCell ref="AP5:AR5"/>
    <mergeCell ref="R5:S5"/>
    <mergeCell ref="T5:V5"/>
    <mergeCell ref="X5:Z5"/>
    <mergeCell ref="AA5:AC5"/>
    <mergeCell ref="AD5:AF5"/>
  </mergeCells>
  <conditionalFormatting sqref="A15">
    <cfRule type="expression" dxfId="197" priority="1" stopIfTrue="1">
      <formula>NOT(ISERROR(SEARCH("renovar",A15)))</formula>
    </cfRule>
  </conditionalFormatting>
  <conditionalFormatting sqref="A15">
    <cfRule type="expression" dxfId="196" priority="2" stopIfTrue="1">
      <formula>NOT(ISERROR(SEARCH("Renovar",A15)))</formula>
    </cfRule>
  </conditionalFormatting>
  <conditionalFormatting sqref="A31">
    <cfRule type="expression" dxfId="195" priority="3" stopIfTrue="1">
      <formula>NOT(ISERROR(SEARCH("renovar",A31)))</formula>
    </cfRule>
  </conditionalFormatting>
  <conditionalFormatting sqref="A31">
    <cfRule type="expression" dxfId="194" priority="4" stopIfTrue="1">
      <formula>NOT(ISERROR(SEARCH("Renovar",A31)))</formula>
    </cfRule>
  </conditionalFormatting>
  <conditionalFormatting sqref="A33">
    <cfRule type="expression" dxfId="193" priority="5" stopIfTrue="1">
      <formula>NOT(ISERROR(SEARCH("renovar",A33)))</formula>
    </cfRule>
  </conditionalFormatting>
  <conditionalFormatting sqref="A33">
    <cfRule type="expression" dxfId="192" priority="6" stopIfTrue="1">
      <formula>NOT(ISERROR(SEARCH("Renovar",A33)))</formula>
    </cfRule>
  </conditionalFormatting>
  <conditionalFormatting sqref="A57">
    <cfRule type="expression" dxfId="191" priority="7" stopIfTrue="1">
      <formula>NOT(ISERROR(SEARCH("renovar",A57)))</formula>
    </cfRule>
  </conditionalFormatting>
  <conditionalFormatting sqref="A57">
    <cfRule type="expression" dxfId="190" priority="8" stopIfTrue="1">
      <formula>NOT(ISERROR(SEARCH("Renovar",A57)))</formula>
    </cfRule>
  </conditionalFormatting>
  <conditionalFormatting sqref="A59">
    <cfRule type="expression" dxfId="189" priority="9" stopIfTrue="1">
      <formula>NOT(ISERROR(SEARCH("renovar",A59)))</formula>
    </cfRule>
  </conditionalFormatting>
  <conditionalFormatting sqref="A59">
    <cfRule type="expression" dxfId="188" priority="10" stopIfTrue="1">
      <formula>NOT(ISERROR(SEARCH("Renovar",A59)))</formula>
    </cfRule>
  </conditionalFormatting>
  <conditionalFormatting sqref="A61">
    <cfRule type="expression" dxfId="187" priority="11" stopIfTrue="1">
      <formula>NOT(ISERROR(SEARCH("renovar",A61)))</formula>
    </cfRule>
  </conditionalFormatting>
  <conditionalFormatting sqref="A61">
    <cfRule type="expression" dxfId="186" priority="12" stopIfTrue="1">
      <formula>NOT(ISERROR(SEARCH("Renovar",A61)))</formula>
    </cfRule>
  </conditionalFormatting>
  <conditionalFormatting sqref="A63">
    <cfRule type="expression" dxfId="185" priority="13" stopIfTrue="1">
      <formula>NOT(ISERROR(SEARCH("renovar",A63)))</formula>
    </cfRule>
  </conditionalFormatting>
  <conditionalFormatting sqref="A63">
    <cfRule type="expression" dxfId="184" priority="14" stopIfTrue="1">
      <formula>NOT(ISERROR(SEARCH("Renovar",A63)))</formula>
    </cfRule>
  </conditionalFormatting>
  <conditionalFormatting sqref="A65">
    <cfRule type="expression" dxfId="183" priority="15" stopIfTrue="1">
      <formula>NOT(ISERROR(SEARCH("renovar",A65)))</formula>
    </cfRule>
  </conditionalFormatting>
  <conditionalFormatting sqref="A65">
    <cfRule type="expression" dxfId="182" priority="16" stopIfTrue="1">
      <formula>NOT(ISERROR(SEARCH("Renovar",A65)))</formula>
    </cfRule>
  </conditionalFormatting>
  <conditionalFormatting sqref="A67">
    <cfRule type="expression" dxfId="181" priority="17" stopIfTrue="1">
      <formula>NOT(ISERROR(SEARCH("renovar",A67)))</formula>
    </cfRule>
  </conditionalFormatting>
  <conditionalFormatting sqref="A67">
    <cfRule type="expression" dxfId="180" priority="18" stopIfTrue="1">
      <formula>NOT(ISERROR(SEARCH("Renovar",A67)))</formula>
    </cfRule>
  </conditionalFormatting>
  <conditionalFormatting sqref="A69">
    <cfRule type="expression" dxfId="179" priority="19" stopIfTrue="1">
      <formula>NOT(ISERROR(SEARCH("renovar",A69)))</formula>
    </cfRule>
  </conditionalFormatting>
  <conditionalFormatting sqref="A69">
    <cfRule type="expression" dxfId="178" priority="20" stopIfTrue="1">
      <formula>NOT(ISERROR(SEARCH("Renovar",A69)))</formula>
    </cfRule>
  </conditionalFormatting>
  <conditionalFormatting sqref="A71">
    <cfRule type="expression" dxfId="177" priority="21" stopIfTrue="1">
      <formula>NOT(ISERROR(SEARCH("renovar",A71)))</formula>
    </cfRule>
  </conditionalFormatting>
  <conditionalFormatting sqref="A71">
    <cfRule type="expression" dxfId="176" priority="22" stopIfTrue="1">
      <formula>NOT(ISERROR(SEARCH("Renovar",A71)))</formula>
    </cfRule>
  </conditionalFormatting>
  <conditionalFormatting sqref="A73">
    <cfRule type="expression" dxfId="175" priority="23" stopIfTrue="1">
      <formula>NOT(ISERROR(SEARCH("renovar",A73)))</formula>
    </cfRule>
  </conditionalFormatting>
  <conditionalFormatting sqref="A73">
    <cfRule type="expression" dxfId="174" priority="24" stopIfTrue="1">
      <formula>NOT(ISERROR(SEARCH("Renovar",A73)))</formula>
    </cfRule>
  </conditionalFormatting>
  <conditionalFormatting sqref="A75">
    <cfRule type="expression" dxfId="173" priority="25" stopIfTrue="1">
      <formula>NOT(ISERROR(SEARCH("renovar",A75)))</formula>
    </cfRule>
  </conditionalFormatting>
  <conditionalFormatting sqref="A75">
    <cfRule type="expression" dxfId="172" priority="26" stopIfTrue="1">
      <formula>NOT(ISERROR(SEARCH("Renovar",A75)))</formula>
    </cfRule>
  </conditionalFormatting>
  <conditionalFormatting sqref="A119">
    <cfRule type="expression" dxfId="171" priority="27" stopIfTrue="1">
      <formula>NOT(ISERROR(SEARCH("renovar",A119)))</formula>
    </cfRule>
  </conditionalFormatting>
  <conditionalFormatting sqref="A119">
    <cfRule type="expression" dxfId="170" priority="28" stopIfTrue="1">
      <formula>NOT(ISERROR(SEARCH("Renovar",A119)))</formula>
    </cfRule>
  </conditionalFormatting>
  <conditionalFormatting sqref="A121">
    <cfRule type="expression" dxfId="169" priority="29" stopIfTrue="1">
      <formula>NOT(ISERROR(SEARCH("renovar",A121)))</formula>
    </cfRule>
  </conditionalFormatting>
  <conditionalFormatting sqref="A121">
    <cfRule type="expression" dxfId="168" priority="30" stopIfTrue="1">
      <formula>NOT(ISERROR(SEARCH("Renovar",A121)))</formula>
    </cfRule>
  </conditionalFormatting>
  <conditionalFormatting sqref="A193">
    <cfRule type="expression" dxfId="167" priority="31" stopIfTrue="1">
      <formula>NOT(ISERROR(SEARCH("renovar",A193)))</formula>
    </cfRule>
  </conditionalFormatting>
  <conditionalFormatting sqref="A193">
    <cfRule type="expression" dxfId="166" priority="32" stopIfTrue="1">
      <formula>NOT(ISERROR(SEARCH("Renovar",A193)))</formula>
    </cfRule>
  </conditionalFormatting>
  <conditionalFormatting sqref="A333">
    <cfRule type="expression" dxfId="165" priority="33" stopIfTrue="1">
      <formula>NOT(ISERROR(SEARCH("renovar",A333)))</formula>
    </cfRule>
  </conditionalFormatting>
  <conditionalFormatting sqref="A333">
    <cfRule type="expression" dxfId="164" priority="34" stopIfTrue="1">
      <formula>NOT(ISERROR(SEARCH("Renovar",A333)))</formula>
    </cfRule>
  </conditionalFormatting>
  <conditionalFormatting sqref="A339">
    <cfRule type="expression" dxfId="163" priority="35" stopIfTrue="1">
      <formula>NOT(ISERROR(SEARCH("renovar",A339)))</formula>
    </cfRule>
  </conditionalFormatting>
  <conditionalFormatting sqref="A339">
    <cfRule type="expression" dxfId="162" priority="36" stopIfTrue="1">
      <formula>NOT(ISERROR(SEARCH("Renovar",A339)))</formula>
    </cfRule>
  </conditionalFormatting>
  <conditionalFormatting sqref="A483">
    <cfRule type="expression" dxfId="161" priority="37" stopIfTrue="1">
      <formula>NOT(ISERROR(SEARCH("renovar",#REF!)))</formula>
    </cfRule>
  </conditionalFormatting>
  <conditionalFormatting sqref="A483">
    <cfRule type="expression" dxfId="160" priority="38" stopIfTrue="1">
      <formula>NOT(ISERROR(SEARCH("Renovar",#REF!)))</formula>
    </cfRule>
  </conditionalFormatting>
  <conditionalFormatting sqref="A631:A634">
    <cfRule type="expression" dxfId="159" priority="39" stopIfTrue="1">
      <formula>NOT(ISERROR(SEARCH("renovar",A631)))</formula>
    </cfRule>
  </conditionalFormatting>
  <conditionalFormatting sqref="A631:A634">
    <cfRule type="expression" dxfId="158" priority="40" stopIfTrue="1">
      <formula>NOT(ISERROR(SEARCH("Renovar",A631)))</formula>
    </cfRule>
  </conditionalFormatting>
  <conditionalFormatting sqref="A635:A636">
    <cfRule type="expression" dxfId="157" priority="41" stopIfTrue="1">
      <formula>NOT(ISERROR(SEARCH("renovar",A635)))</formula>
    </cfRule>
  </conditionalFormatting>
  <conditionalFormatting sqref="A635:A636">
    <cfRule type="expression" dxfId="156" priority="42" stopIfTrue="1">
      <formula>NOT(ISERROR(SEARCH("Renovar",A635)))</formula>
    </cfRule>
  </conditionalFormatting>
  <conditionalFormatting sqref="A637:A638">
    <cfRule type="expression" dxfId="155" priority="43" stopIfTrue="1">
      <formula>NOT(ISERROR(SEARCH("renovar",A637)))</formula>
    </cfRule>
  </conditionalFormatting>
  <conditionalFormatting sqref="A637:A638">
    <cfRule type="expression" dxfId="154" priority="44" stopIfTrue="1">
      <formula>NOT(ISERROR(SEARCH("Renovar",A637)))</formula>
    </cfRule>
  </conditionalFormatting>
  <conditionalFormatting sqref="A639:A642">
    <cfRule type="expression" dxfId="153" priority="45" stopIfTrue="1">
      <formula>NOT(ISERROR(SEARCH("renovar",A639)))</formula>
    </cfRule>
  </conditionalFormatting>
  <conditionalFormatting sqref="A639:A642">
    <cfRule type="expression" dxfId="152" priority="46" stopIfTrue="1">
      <formula>NOT(ISERROR(SEARCH("Renovar",A639)))</formula>
    </cfRule>
  </conditionalFormatting>
  <conditionalFormatting sqref="A643:A644">
    <cfRule type="expression" dxfId="151" priority="47" stopIfTrue="1">
      <formula>NOT(ISERROR(SEARCH("renovar",A643)))</formula>
    </cfRule>
  </conditionalFormatting>
  <conditionalFormatting sqref="A643:A644">
    <cfRule type="expression" dxfId="150" priority="48" stopIfTrue="1">
      <formula>NOT(ISERROR(SEARCH("Renovar",A643)))</formula>
    </cfRule>
  </conditionalFormatting>
  <conditionalFormatting sqref="A645:A646">
    <cfRule type="expression" dxfId="149" priority="49" stopIfTrue="1">
      <formula>NOT(ISERROR(SEARCH("renovar",A645)))</formula>
    </cfRule>
  </conditionalFormatting>
  <conditionalFormatting sqref="A645:A646">
    <cfRule type="expression" dxfId="148" priority="50" stopIfTrue="1">
      <formula>NOT(ISERROR(SEARCH("Renovar",A645)))</formula>
    </cfRule>
  </conditionalFormatting>
  <conditionalFormatting sqref="A647:A650">
    <cfRule type="expression" dxfId="147" priority="51" stopIfTrue="1">
      <formula>NOT(ISERROR(SEARCH("renovar",A647)))</formula>
    </cfRule>
  </conditionalFormatting>
  <conditionalFormatting sqref="A647:A650">
    <cfRule type="expression" dxfId="146" priority="52" stopIfTrue="1">
      <formula>NOT(ISERROR(SEARCH("Renovar",A647)))</formula>
    </cfRule>
  </conditionalFormatting>
  <conditionalFormatting sqref="A651:A652">
    <cfRule type="expression" dxfId="145" priority="53" stopIfTrue="1">
      <formula>NOT(ISERROR(SEARCH("renovar",A651)))</formula>
    </cfRule>
  </conditionalFormatting>
  <conditionalFormatting sqref="A651:A652">
    <cfRule type="expression" dxfId="144" priority="54" stopIfTrue="1">
      <formula>NOT(ISERROR(SEARCH("Renovar",A651)))</formula>
    </cfRule>
  </conditionalFormatting>
  <conditionalFormatting sqref="A655:A656">
    <cfRule type="expression" dxfId="143" priority="55" stopIfTrue="1">
      <formula>NOT(ISERROR(SEARCH("renovar",A655)))</formula>
    </cfRule>
  </conditionalFormatting>
  <conditionalFormatting sqref="A655:A656">
    <cfRule type="expression" dxfId="142" priority="56" stopIfTrue="1">
      <formula>NOT(ISERROR(SEARCH("Renovar",A655)))</formula>
    </cfRule>
  </conditionalFormatting>
  <conditionalFormatting sqref="A657:A658">
    <cfRule type="expression" dxfId="141" priority="57" stopIfTrue="1">
      <formula>NOT(ISERROR(SEARCH("renovar",A657)))</formula>
    </cfRule>
  </conditionalFormatting>
  <conditionalFormatting sqref="A657:A658">
    <cfRule type="expression" dxfId="140" priority="58" stopIfTrue="1">
      <formula>NOT(ISERROR(SEARCH("Renovar",A657)))</formula>
    </cfRule>
  </conditionalFormatting>
  <conditionalFormatting sqref="A661:A662">
    <cfRule type="expression" dxfId="139" priority="59" stopIfTrue="1">
      <formula>NOT(ISERROR(SEARCH("renovar",A661)))</formula>
    </cfRule>
  </conditionalFormatting>
  <conditionalFormatting sqref="A661:A662">
    <cfRule type="expression" dxfId="138" priority="60" stopIfTrue="1">
      <formula>NOT(ISERROR(SEARCH("Renovar",A661)))</formula>
    </cfRule>
  </conditionalFormatting>
  <conditionalFormatting sqref="A663:A664">
    <cfRule type="expression" dxfId="137" priority="61" stopIfTrue="1">
      <formula>NOT(ISERROR(SEARCH("renovar",A663)))</formula>
    </cfRule>
  </conditionalFormatting>
  <conditionalFormatting sqref="A663:A664">
    <cfRule type="expression" dxfId="136" priority="62" stopIfTrue="1">
      <formula>NOT(ISERROR(SEARCH("Renovar",A663)))</formula>
    </cfRule>
  </conditionalFormatting>
  <conditionalFormatting sqref="A665:A668">
    <cfRule type="expression" dxfId="135" priority="63" stopIfTrue="1">
      <formula>NOT(ISERROR(SEARCH("renovar",A665)))</formula>
    </cfRule>
  </conditionalFormatting>
  <conditionalFormatting sqref="A665:A668">
    <cfRule type="expression" dxfId="134" priority="64" stopIfTrue="1">
      <formula>NOT(ISERROR(SEARCH("Renovar",A665)))</formula>
    </cfRule>
  </conditionalFormatting>
  <conditionalFormatting sqref="A669:A670">
    <cfRule type="expression" dxfId="133" priority="65" stopIfTrue="1">
      <formula>NOT(ISERROR(SEARCH("renovar",A669)))</formula>
    </cfRule>
  </conditionalFormatting>
  <conditionalFormatting sqref="A669:A670">
    <cfRule type="expression" dxfId="132" priority="66" stopIfTrue="1">
      <formula>NOT(ISERROR(SEARCH("Renovar",A669)))</formula>
    </cfRule>
  </conditionalFormatting>
  <conditionalFormatting sqref="A671:A672">
    <cfRule type="expression" dxfId="131" priority="67" stopIfTrue="1">
      <formula>NOT(ISERROR(SEARCH("renovar",A671)))</formula>
    </cfRule>
  </conditionalFormatting>
  <conditionalFormatting sqref="A671:A672">
    <cfRule type="expression" dxfId="130" priority="68" stopIfTrue="1">
      <formula>NOT(ISERROR(SEARCH("Renovar",A671)))</formula>
    </cfRule>
  </conditionalFormatting>
  <conditionalFormatting sqref="A673:A676">
    <cfRule type="expression" dxfId="129" priority="69" stopIfTrue="1">
      <formula>NOT(ISERROR(SEARCH("renovar",A673)))</formula>
    </cfRule>
  </conditionalFormatting>
  <conditionalFormatting sqref="A673:A676">
    <cfRule type="expression" dxfId="128" priority="70" stopIfTrue="1">
      <formula>NOT(ISERROR(SEARCH("Renovar",A673)))</formula>
    </cfRule>
  </conditionalFormatting>
  <conditionalFormatting sqref="A677:A678">
    <cfRule type="expression" dxfId="127" priority="71" stopIfTrue="1">
      <formula>NOT(ISERROR(SEARCH("renovar",A677)))</formula>
    </cfRule>
  </conditionalFormatting>
  <conditionalFormatting sqref="A677:A678">
    <cfRule type="expression" dxfId="126" priority="72" stopIfTrue="1">
      <formula>NOT(ISERROR(SEARCH("Renovar",A677)))</formula>
    </cfRule>
  </conditionalFormatting>
  <conditionalFormatting sqref="A679:A680">
    <cfRule type="expression" dxfId="125" priority="73" stopIfTrue="1">
      <formula>NOT(ISERROR(SEARCH("renovar",A679)))</formula>
    </cfRule>
  </conditionalFormatting>
  <conditionalFormatting sqref="A679:A680">
    <cfRule type="expression" dxfId="124" priority="74" stopIfTrue="1">
      <formula>NOT(ISERROR(SEARCH("Renovar",A679)))</formula>
    </cfRule>
  </conditionalFormatting>
  <conditionalFormatting sqref="A681:A684">
    <cfRule type="expression" dxfId="123" priority="75" stopIfTrue="1">
      <formula>NOT(ISERROR(SEARCH("renovar",A681)))</formula>
    </cfRule>
  </conditionalFormatting>
  <conditionalFormatting sqref="A681:A684">
    <cfRule type="expression" dxfId="122" priority="76" stopIfTrue="1">
      <formula>NOT(ISERROR(SEARCH("Renovar",A681)))</formula>
    </cfRule>
  </conditionalFormatting>
  <conditionalFormatting sqref="A685:A686">
    <cfRule type="expression" dxfId="121" priority="77" stopIfTrue="1">
      <formula>NOT(ISERROR(SEARCH("renovar",A685)))</formula>
    </cfRule>
  </conditionalFormatting>
  <conditionalFormatting sqref="A685:A686">
    <cfRule type="expression" dxfId="120" priority="78" stopIfTrue="1">
      <formula>NOT(ISERROR(SEARCH("Renovar",A685)))</formula>
    </cfRule>
  </conditionalFormatting>
  <conditionalFormatting sqref="A687:A688">
    <cfRule type="expression" dxfId="119" priority="79" stopIfTrue="1">
      <formula>NOT(ISERROR(SEARCH("renovar",A687)))</formula>
    </cfRule>
  </conditionalFormatting>
  <conditionalFormatting sqref="A687:A688">
    <cfRule type="expression" dxfId="118" priority="80" stopIfTrue="1">
      <formula>NOT(ISERROR(SEARCH("Renovar",A687)))</formula>
    </cfRule>
  </conditionalFormatting>
  <conditionalFormatting sqref="A689:A690">
    <cfRule type="expression" dxfId="117" priority="81" stopIfTrue="1">
      <formula>NOT(ISERROR(SEARCH("renovar",A689)))</formula>
    </cfRule>
  </conditionalFormatting>
  <conditionalFormatting sqref="A689:A690">
    <cfRule type="expression" dxfId="116" priority="82" stopIfTrue="1">
      <formula>NOT(ISERROR(SEARCH("Renovar",A689)))</formula>
    </cfRule>
  </conditionalFormatting>
  <conditionalFormatting sqref="A691:A692">
    <cfRule type="expression" dxfId="115" priority="83" stopIfTrue="1">
      <formula>NOT(ISERROR(SEARCH("renovar",A691)))</formula>
    </cfRule>
  </conditionalFormatting>
  <conditionalFormatting sqref="A691:A692">
    <cfRule type="expression" dxfId="114" priority="84" stopIfTrue="1">
      <formula>NOT(ISERROR(SEARCH("Renovar",A691)))</formula>
    </cfRule>
  </conditionalFormatting>
  <conditionalFormatting sqref="A693:A696">
    <cfRule type="expression" dxfId="113" priority="85" stopIfTrue="1">
      <formula>NOT(ISERROR(SEARCH("renovar",A693)))</formula>
    </cfRule>
  </conditionalFormatting>
  <conditionalFormatting sqref="A693:A696">
    <cfRule type="expression" dxfId="112" priority="86" stopIfTrue="1">
      <formula>NOT(ISERROR(SEARCH("Renovar",A693)))</formula>
    </cfRule>
  </conditionalFormatting>
  <conditionalFormatting sqref="A697:A698">
    <cfRule type="expression" dxfId="111" priority="87" stopIfTrue="1">
      <formula>NOT(ISERROR(SEARCH("renovar",A697)))</formula>
    </cfRule>
  </conditionalFormatting>
  <conditionalFormatting sqref="A697:A698">
    <cfRule type="expression" dxfId="110" priority="88" stopIfTrue="1">
      <formula>NOT(ISERROR(SEARCH("Renovar",A697)))</formula>
    </cfRule>
  </conditionalFormatting>
  <conditionalFormatting sqref="A699:A700">
    <cfRule type="expression" dxfId="109" priority="89" stopIfTrue="1">
      <formula>NOT(ISERROR(SEARCH("renovar",A699)))</formula>
    </cfRule>
  </conditionalFormatting>
  <conditionalFormatting sqref="A699:A700">
    <cfRule type="expression" dxfId="108" priority="90" stopIfTrue="1">
      <formula>NOT(ISERROR(SEARCH("Renovar",A699)))</formula>
    </cfRule>
  </conditionalFormatting>
  <conditionalFormatting sqref="A701:A702">
    <cfRule type="expression" dxfId="107" priority="91" stopIfTrue="1">
      <formula>NOT(ISERROR(SEARCH("renovar",A701)))</formula>
    </cfRule>
  </conditionalFormatting>
  <conditionalFormatting sqref="A701:A702">
    <cfRule type="expression" dxfId="106" priority="92" stopIfTrue="1">
      <formula>NOT(ISERROR(SEARCH("Renovar",A701)))</formula>
    </cfRule>
  </conditionalFormatting>
  <conditionalFormatting sqref="A703:A704">
    <cfRule type="expression" dxfId="105" priority="93" stopIfTrue="1">
      <formula>NOT(ISERROR(SEARCH("renovar",A703)))</formula>
    </cfRule>
  </conditionalFormatting>
  <conditionalFormatting sqref="A703:A704">
    <cfRule type="expression" dxfId="104" priority="94" stopIfTrue="1">
      <formula>NOT(ISERROR(SEARCH("Renovar",A703)))</formula>
    </cfRule>
  </conditionalFormatting>
  <conditionalFormatting sqref="A705:A706">
    <cfRule type="expression" dxfId="103" priority="95" stopIfTrue="1">
      <formula>NOT(ISERROR(SEARCH("renovar",A705)))</formula>
    </cfRule>
  </conditionalFormatting>
  <conditionalFormatting sqref="A705:A706">
    <cfRule type="expression" dxfId="102" priority="96" stopIfTrue="1">
      <formula>NOT(ISERROR(SEARCH("Renovar",A705)))</formula>
    </cfRule>
  </conditionalFormatting>
  <conditionalFormatting sqref="A707:A708">
    <cfRule type="expression" dxfId="101" priority="97" stopIfTrue="1">
      <formula>NOT(ISERROR(SEARCH("renovar",A707)))</formula>
    </cfRule>
  </conditionalFormatting>
  <conditionalFormatting sqref="A707:A708">
    <cfRule type="expression" dxfId="100" priority="98" stopIfTrue="1">
      <formula>NOT(ISERROR(SEARCH("Renovar",A707)))</formula>
    </cfRule>
  </conditionalFormatting>
  <conditionalFormatting sqref="A709:A710">
    <cfRule type="expression" dxfId="99" priority="99" stopIfTrue="1">
      <formula>NOT(ISERROR(SEARCH("renovar",A709)))</formula>
    </cfRule>
  </conditionalFormatting>
  <conditionalFormatting sqref="A709:A710">
    <cfRule type="expression" dxfId="98" priority="100" stopIfTrue="1">
      <formula>NOT(ISERROR(SEARCH("Renovar",A709)))</formula>
    </cfRule>
  </conditionalFormatting>
  <conditionalFormatting sqref="A711:A712">
    <cfRule type="expression" dxfId="97" priority="101" stopIfTrue="1">
      <formula>NOT(ISERROR(SEARCH("renovar",A711)))</formula>
    </cfRule>
  </conditionalFormatting>
  <conditionalFormatting sqref="A711:A712">
    <cfRule type="expression" dxfId="96" priority="102" stopIfTrue="1">
      <formula>NOT(ISERROR(SEARCH("Renovar",A711)))</formula>
    </cfRule>
  </conditionalFormatting>
  <conditionalFormatting sqref="A713:A714">
    <cfRule type="expression" dxfId="95" priority="103" stopIfTrue="1">
      <formula>NOT(ISERROR(SEARCH("renovar",A713)))</formula>
    </cfRule>
  </conditionalFormatting>
  <conditionalFormatting sqref="A713:A714">
    <cfRule type="expression" dxfId="94" priority="104" stopIfTrue="1">
      <formula>NOT(ISERROR(SEARCH("Renovar",A713)))</formula>
    </cfRule>
  </conditionalFormatting>
  <conditionalFormatting sqref="A715:A716">
    <cfRule type="expression" dxfId="93" priority="105" stopIfTrue="1">
      <formula>NOT(ISERROR(SEARCH("renovar",A715)))</formula>
    </cfRule>
  </conditionalFormatting>
  <conditionalFormatting sqref="A715:A716">
    <cfRule type="expression" dxfId="92" priority="106" stopIfTrue="1">
      <formula>NOT(ISERROR(SEARCH("Renovar",A715)))</formula>
    </cfRule>
  </conditionalFormatting>
  <conditionalFormatting sqref="A717:A718">
    <cfRule type="expression" dxfId="91" priority="107" stopIfTrue="1">
      <formula>NOT(ISERROR(SEARCH("renovar",A717)))</formula>
    </cfRule>
  </conditionalFormatting>
  <conditionalFormatting sqref="A717:A718">
    <cfRule type="expression" dxfId="90" priority="108" stopIfTrue="1">
      <formula>NOT(ISERROR(SEARCH("Renovar",A717)))</formula>
    </cfRule>
  </conditionalFormatting>
  <conditionalFormatting sqref="A719:A720">
    <cfRule type="expression" dxfId="89" priority="109" stopIfTrue="1">
      <formula>NOT(ISERROR(SEARCH("renovar",A719)))</formula>
    </cfRule>
  </conditionalFormatting>
  <conditionalFormatting sqref="A719:A720">
    <cfRule type="expression" dxfId="88" priority="110" stopIfTrue="1">
      <formula>NOT(ISERROR(SEARCH("Renovar",A719)))</formula>
    </cfRule>
  </conditionalFormatting>
  <conditionalFormatting sqref="A721:A722">
    <cfRule type="expression" dxfId="87" priority="111" stopIfTrue="1">
      <formula>NOT(ISERROR(SEARCH("renovar",A721)))</formula>
    </cfRule>
  </conditionalFormatting>
  <conditionalFormatting sqref="A721:A722">
    <cfRule type="expression" dxfId="86" priority="112" stopIfTrue="1">
      <formula>NOT(ISERROR(SEARCH("Renovar",A721)))</formula>
    </cfRule>
  </conditionalFormatting>
  <conditionalFormatting sqref="A723:A724">
    <cfRule type="expression" dxfId="85" priority="113" stopIfTrue="1">
      <formula>NOT(ISERROR(SEARCH("renovar",A723)))</formula>
    </cfRule>
  </conditionalFormatting>
  <conditionalFormatting sqref="A723:A724">
    <cfRule type="expression" dxfId="84" priority="114" stopIfTrue="1">
      <formula>NOT(ISERROR(SEARCH("Renovar",A723)))</formula>
    </cfRule>
  </conditionalFormatting>
  <conditionalFormatting sqref="A725:A726">
    <cfRule type="expression" dxfId="83" priority="115" stopIfTrue="1">
      <formula>NOT(ISERROR(SEARCH("renovar",A725)))</formula>
    </cfRule>
  </conditionalFormatting>
  <conditionalFormatting sqref="A725:A726">
    <cfRule type="expression" dxfId="82" priority="116" stopIfTrue="1">
      <formula>NOT(ISERROR(SEARCH("Renovar",A725)))</formula>
    </cfRule>
  </conditionalFormatting>
  <conditionalFormatting sqref="A727:A728">
    <cfRule type="expression" dxfId="81" priority="117" stopIfTrue="1">
      <formula>NOT(ISERROR(SEARCH("renovar",A727)))</formula>
    </cfRule>
  </conditionalFormatting>
  <conditionalFormatting sqref="A727:A728">
    <cfRule type="expression" dxfId="80" priority="118" stopIfTrue="1">
      <formula>NOT(ISERROR(SEARCH("Renovar",A727)))</formula>
    </cfRule>
  </conditionalFormatting>
  <conditionalFormatting sqref="A729:A730">
    <cfRule type="expression" dxfId="79" priority="119" stopIfTrue="1">
      <formula>NOT(ISERROR(SEARCH("renovar",A729)))</formula>
    </cfRule>
  </conditionalFormatting>
  <conditionalFormatting sqref="A729:A730">
    <cfRule type="expression" dxfId="78" priority="120" stopIfTrue="1">
      <formula>NOT(ISERROR(SEARCH("Renovar",A729)))</formula>
    </cfRule>
  </conditionalFormatting>
  <conditionalFormatting sqref="A731:A732">
    <cfRule type="expression" dxfId="77" priority="121" stopIfTrue="1">
      <formula>NOT(ISERROR(SEARCH("renovar",A731)))</formula>
    </cfRule>
  </conditionalFormatting>
  <conditionalFormatting sqref="A731:A732">
    <cfRule type="expression" dxfId="76" priority="122" stopIfTrue="1">
      <formula>NOT(ISERROR(SEARCH("Renovar",A731)))</formula>
    </cfRule>
  </conditionalFormatting>
  <conditionalFormatting sqref="A733:A734">
    <cfRule type="expression" dxfId="75" priority="123" stopIfTrue="1">
      <formula>NOT(ISERROR(SEARCH("renovar",A733)))</formula>
    </cfRule>
  </conditionalFormatting>
  <conditionalFormatting sqref="A733:A734">
    <cfRule type="expression" dxfId="74" priority="124" stopIfTrue="1">
      <formula>NOT(ISERROR(SEARCH("Renovar",A733)))</formula>
    </cfRule>
  </conditionalFormatting>
  <conditionalFormatting sqref="A735:A736">
    <cfRule type="expression" dxfId="73" priority="125" stopIfTrue="1">
      <formula>NOT(ISERROR(SEARCH("renovar",A735)))</formula>
    </cfRule>
  </conditionalFormatting>
  <conditionalFormatting sqref="A735:A736">
    <cfRule type="expression" dxfId="72" priority="126" stopIfTrue="1">
      <formula>NOT(ISERROR(SEARCH("Renovar",A735)))</formula>
    </cfRule>
  </conditionalFormatting>
  <conditionalFormatting sqref="A737:A738">
    <cfRule type="expression" dxfId="71" priority="127" stopIfTrue="1">
      <formula>NOT(ISERROR(SEARCH("renovar",A737)))</formula>
    </cfRule>
  </conditionalFormatting>
  <conditionalFormatting sqref="A737:A738">
    <cfRule type="expression" dxfId="70" priority="128" stopIfTrue="1">
      <formula>NOT(ISERROR(SEARCH("Renovar",A737)))</formula>
    </cfRule>
  </conditionalFormatting>
  <conditionalFormatting sqref="A739:A740">
    <cfRule type="expression" dxfId="69" priority="129" stopIfTrue="1">
      <formula>NOT(ISERROR(SEARCH("renovar",A739)))</formula>
    </cfRule>
  </conditionalFormatting>
  <conditionalFormatting sqref="A739:A740">
    <cfRule type="expression" dxfId="68" priority="130" stopIfTrue="1">
      <formula>NOT(ISERROR(SEARCH("Renovar",A739)))</formula>
    </cfRule>
  </conditionalFormatting>
  <conditionalFormatting sqref="A741:A742">
    <cfRule type="expression" dxfId="67" priority="131" stopIfTrue="1">
      <formula>NOT(ISERROR(SEARCH("renovar",A741)))</formula>
    </cfRule>
  </conditionalFormatting>
  <conditionalFormatting sqref="A741:A742">
    <cfRule type="expression" dxfId="66" priority="132" stopIfTrue="1">
      <formula>NOT(ISERROR(SEARCH("Renovar",A741)))</formula>
    </cfRule>
  </conditionalFormatting>
  <conditionalFormatting sqref="A743:A744">
    <cfRule type="expression" dxfId="65" priority="133" stopIfTrue="1">
      <formula>NOT(ISERROR(SEARCH("renovar",A743)))</formula>
    </cfRule>
  </conditionalFormatting>
  <conditionalFormatting sqref="A743:A744">
    <cfRule type="expression" dxfId="64" priority="134" stopIfTrue="1">
      <formula>NOT(ISERROR(SEARCH("Renovar",A743)))</formula>
    </cfRule>
  </conditionalFormatting>
  <conditionalFormatting sqref="A745:A746">
    <cfRule type="expression" dxfId="63" priority="135" stopIfTrue="1">
      <formula>NOT(ISERROR(SEARCH("renovar",A745)))</formula>
    </cfRule>
  </conditionalFormatting>
  <conditionalFormatting sqref="A745:A746">
    <cfRule type="expression" dxfId="62" priority="136" stopIfTrue="1">
      <formula>NOT(ISERROR(SEARCH("Renovar",A745)))</formula>
    </cfRule>
  </conditionalFormatting>
  <conditionalFormatting sqref="A747:A748">
    <cfRule type="expression" dxfId="61" priority="137" stopIfTrue="1">
      <formula>NOT(ISERROR(SEARCH("renovar",A747)))</formula>
    </cfRule>
  </conditionalFormatting>
  <conditionalFormatting sqref="A747:A748">
    <cfRule type="expression" dxfId="60" priority="138" stopIfTrue="1">
      <formula>NOT(ISERROR(SEARCH("Renovar",A747)))</formula>
    </cfRule>
  </conditionalFormatting>
  <conditionalFormatting sqref="A749:A750">
    <cfRule type="expression" dxfId="59" priority="139" stopIfTrue="1">
      <formula>NOT(ISERROR(SEARCH("renovar",A749)))</formula>
    </cfRule>
  </conditionalFormatting>
  <conditionalFormatting sqref="A749:A750">
    <cfRule type="expression" dxfId="58" priority="140" stopIfTrue="1">
      <formula>NOT(ISERROR(SEARCH("Renovar",A749)))</formula>
    </cfRule>
  </conditionalFormatting>
  <conditionalFormatting sqref="A751:A752">
    <cfRule type="expression" dxfId="57" priority="141" stopIfTrue="1">
      <formula>NOT(ISERROR(SEARCH("renovar",A751)))</formula>
    </cfRule>
  </conditionalFormatting>
  <conditionalFormatting sqref="A751:A752">
    <cfRule type="expression" dxfId="56" priority="142" stopIfTrue="1">
      <formula>NOT(ISERROR(SEARCH("Renovar",A751)))</formula>
    </cfRule>
  </conditionalFormatting>
  <conditionalFormatting sqref="A753:A754">
    <cfRule type="expression" dxfId="55" priority="143" stopIfTrue="1">
      <formula>NOT(ISERROR(SEARCH("renovar",A753)))</formula>
    </cfRule>
  </conditionalFormatting>
  <conditionalFormatting sqref="A753:A754">
    <cfRule type="expression" dxfId="54" priority="144" stopIfTrue="1">
      <formula>NOT(ISERROR(SEARCH("Renovar",A753)))</formula>
    </cfRule>
  </conditionalFormatting>
  <conditionalFormatting sqref="A755:A756">
    <cfRule type="expression" dxfId="53" priority="145" stopIfTrue="1">
      <formula>NOT(ISERROR(SEARCH("renovar",A755)))</formula>
    </cfRule>
  </conditionalFormatting>
  <conditionalFormatting sqref="A755:A756">
    <cfRule type="expression" dxfId="52" priority="146" stopIfTrue="1">
      <formula>NOT(ISERROR(SEARCH("Renovar",A755)))</formula>
    </cfRule>
  </conditionalFormatting>
  <conditionalFormatting sqref="A757:A758">
    <cfRule type="expression" dxfId="51" priority="147" stopIfTrue="1">
      <formula>NOT(ISERROR(SEARCH("renovar",A757)))</formula>
    </cfRule>
  </conditionalFormatting>
  <conditionalFormatting sqref="A757:A758">
    <cfRule type="expression" dxfId="50" priority="148" stopIfTrue="1">
      <formula>NOT(ISERROR(SEARCH("Renovar",A757)))</formula>
    </cfRule>
  </conditionalFormatting>
  <conditionalFormatting sqref="A759:A760">
    <cfRule type="expression" dxfId="49" priority="149" stopIfTrue="1">
      <formula>NOT(ISERROR(SEARCH("renovar",A759)))</formula>
    </cfRule>
  </conditionalFormatting>
  <conditionalFormatting sqref="A759:A760">
    <cfRule type="expression" dxfId="48" priority="150" stopIfTrue="1">
      <formula>NOT(ISERROR(SEARCH("Renovar",A759)))</formula>
    </cfRule>
  </conditionalFormatting>
  <conditionalFormatting sqref="A761:A762">
    <cfRule type="expression" dxfId="47" priority="151" stopIfTrue="1">
      <formula>NOT(ISERROR(SEARCH("renovar",A761)))</formula>
    </cfRule>
  </conditionalFormatting>
  <conditionalFormatting sqref="A761:A762">
    <cfRule type="expression" dxfId="46" priority="152" stopIfTrue="1">
      <formula>NOT(ISERROR(SEARCH("Renovar",A761)))</formula>
    </cfRule>
  </conditionalFormatting>
  <conditionalFormatting sqref="A763:A764">
    <cfRule type="expression" dxfId="45" priority="153" stopIfTrue="1">
      <formula>NOT(ISERROR(SEARCH("renovar",A763)))</formula>
    </cfRule>
  </conditionalFormatting>
  <conditionalFormatting sqref="A763:A764">
    <cfRule type="expression" dxfId="44" priority="154" stopIfTrue="1">
      <formula>NOT(ISERROR(SEARCH("Renovar",A763)))</formula>
    </cfRule>
  </conditionalFormatting>
  <conditionalFormatting sqref="A765:A766">
    <cfRule type="expression" dxfId="43" priority="155" stopIfTrue="1">
      <formula>NOT(ISERROR(SEARCH("renovar",A765)))</formula>
    </cfRule>
  </conditionalFormatting>
  <conditionalFormatting sqref="A765:A766">
    <cfRule type="expression" dxfId="42" priority="156" stopIfTrue="1">
      <formula>NOT(ISERROR(SEARCH("Renovar",A765)))</formula>
    </cfRule>
  </conditionalFormatting>
  <conditionalFormatting sqref="A767:A768">
    <cfRule type="expression" dxfId="41" priority="157" stopIfTrue="1">
      <formula>NOT(ISERROR(SEARCH("renovar",A767)))</formula>
    </cfRule>
  </conditionalFormatting>
  <conditionalFormatting sqref="A767:A768">
    <cfRule type="expression" dxfId="40" priority="158" stopIfTrue="1">
      <formula>NOT(ISERROR(SEARCH("Renovar",A767)))</formula>
    </cfRule>
  </conditionalFormatting>
  <conditionalFormatting sqref="A769:A770">
    <cfRule type="expression" dxfId="39" priority="159" stopIfTrue="1">
      <formula>NOT(ISERROR(SEARCH("renovar",A769)))</formula>
    </cfRule>
  </conditionalFormatting>
  <conditionalFormatting sqref="A769:A770">
    <cfRule type="expression" dxfId="38" priority="160" stopIfTrue="1">
      <formula>NOT(ISERROR(SEARCH("Renovar",A769)))</formula>
    </cfRule>
  </conditionalFormatting>
  <conditionalFormatting sqref="A771:A772">
    <cfRule type="expression" dxfId="37" priority="161" stopIfTrue="1">
      <formula>NOT(ISERROR(SEARCH("renovar",A771)))</formula>
    </cfRule>
  </conditionalFormatting>
  <conditionalFormatting sqref="A771:A772">
    <cfRule type="expression" dxfId="36" priority="162" stopIfTrue="1">
      <formula>NOT(ISERROR(SEARCH("Renovar",A771)))</formula>
    </cfRule>
  </conditionalFormatting>
  <conditionalFormatting sqref="A773:A774">
    <cfRule type="expression" dxfId="35" priority="163" stopIfTrue="1">
      <formula>NOT(ISERROR(SEARCH("renovar",A773)))</formula>
    </cfRule>
  </conditionalFormatting>
  <conditionalFormatting sqref="A773:A774">
    <cfRule type="expression" dxfId="34" priority="164" stopIfTrue="1">
      <formula>NOT(ISERROR(SEARCH("Renovar",A773)))</formula>
    </cfRule>
  </conditionalFormatting>
  <conditionalFormatting sqref="A775:A776">
    <cfRule type="expression" dxfId="33" priority="165" stopIfTrue="1">
      <formula>NOT(ISERROR(SEARCH("renovar",A775)))</formula>
    </cfRule>
  </conditionalFormatting>
  <conditionalFormatting sqref="A775:A776">
    <cfRule type="expression" dxfId="32" priority="166" stopIfTrue="1">
      <formula>NOT(ISERROR(SEARCH("Renovar",A775)))</formula>
    </cfRule>
  </conditionalFormatting>
  <conditionalFormatting sqref="A777:A778">
    <cfRule type="expression" dxfId="31" priority="167" stopIfTrue="1">
      <formula>NOT(ISERROR(SEARCH("renovar",A777)))</formula>
    </cfRule>
  </conditionalFormatting>
  <conditionalFormatting sqref="A777:A778">
    <cfRule type="expression" dxfId="30" priority="168" stopIfTrue="1">
      <formula>NOT(ISERROR(SEARCH("Renovar",A777)))</formula>
    </cfRule>
  </conditionalFormatting>
  <conditionalFormatting sqref="A779:A780">
    <cfRule type="expression" dxfId="29" priority="169" stopIfTrue="1">
      <formula>NOT(ISERROR(SEARCH("renovar",A779)))</formula>
    </cfRule>
  </conditionalFormatting>
  <conditionalFormatting sqref="A779:A780">
    <cfRule type="expression" dxfId="28" priority="170" stopIfTrue="1">
      <formula>NOT(ISERROR(SEARCH("Renovar",A779)))</formula>
    </cfRule>
  </conditionalFormatting>
  <conditionalFormatting sqref="A781:A782">
    <cfRule type="expression" dxfId="27" priority="171" stopIfTrue="1">
      <formula>NOT(ISERROR(SEARCH("renovar",A781)))</formula>
    </cfRule>
  </conditionalFormatting>
  <conditionalFormatting sqref="A781:A782">
    <cfRule type="expression" dxfId="26" priority="172" stopIfTrue="1">
      <formula>NOT(ISERROR(SEARCH("Renovar",A781)))</formula>
    </cfRule>
  </conditionalFormatting>
  <conditionalFormatting sqref="A783:A784">
    <cfRule type="expression" dxfId="25" priority="173" stopIfTrue="1">
      <formula>NOT(ISERROR(SEARCH("renovar",A783)))</formula>
    </cfRule>
  </conditionalFormatting>
  <conditionalFormatting sqref="A783:A784">
    <cfRule type="expression" dxfId="24" priority="174" stopIfTrue="1">
      <formula>NOT(ISERROR(SEARCH("Renovar",A783)))</formula>
    </cfRule>
  </conditionalFormatting>
  <conditionalFormatting sqref="A785:A786">
    <cfRule type="expression" dxfId="23" priority="175" stopIfTrue="1">
      <formula>NOT(ISERROR(SEARCH("renovar",A785)))</formula>
    </cfRule>
  </conditionalFormatting>
  <conditionalFormatting sqref="A785:A786">
    <cfRule type="expression" dxfId="22" priority="176" stopIfTrue="1">
      <formula>NOT(ISERROR(SEARCH("Renovar",A785)))</formula>
    </cfRule>
  </conditionalFormatting>
  <conditionalFormatting sqref="A787:A788">
    <cfRule type="expression" dxfId="21" priority="177" stopIfTrue="1">
      <formula>NOT(ISERROR(SEARCH("renovar",A787)))</formula>
    </cfRule>
  </conditionalFormatting>
  <conditionalFormatting sqref="A787:A788">
    <cfRule type="expression" dxfId="20" priority="178" stopIfTrue="1">
      <formula>NOT(ISERROR(SEARCH("Renovar",A787)))</formula>
    </cfRule>
  </conditionalFormatting>
  <conditionalFormatting sqref="A789:A790">
    <cfRule type="expression" dxfId="19" priority="179" stopIfTrue="1">
      <formula>NOT(ISERROR(SEARCH("renovar",A789)))</formula>
    </cfRule>
  </conditionalFormatting>
  <conditionalFormatting sqref="A789:A790">
    <cfRule type="expression" dxfId="18" priority="180" stopIfTrue="1">
      <formula>NOT(ISERROR(SEARCH("Renovar",A789)))</formula>
    </cfRule>
  </conditionalFormatting>
  <conditionalFormatting sqref="A791:A792">
    <cfRule type="expression" dxfId="17" priority="181" stopIfTrue="1">
      <formula>NOT(ISERROR(SEARCH("renovar",A791)))</formula>
    </cfRule>
  </conditionalFormatting>
  <conditionalFormatting sqref="A791:A792">
    <cfRule type="expression" dxfId="16" priority="182" stopIfTrue="1">
      <formula>NOT(ISERROR(SEARCH("Renovar",A791)))</formula>
    </cfRule>
  </conditionalFormatting>
  <conditionalFormatting sqref="A793:A794">
    <cfRule type="expression" dxfId="15" priority="183" stopIfTrue="1">
      <formula>NOT(ISERROR(SEARCH("renovar",A793)))</formula>
    </cfRule>
  </conditionalFormatting>
  <conditionalFormatting sqref="A793:A794">
    <cfRule type="expression" dxfId="14" priority="184" stopIfTrue="1">
      <formula>NOT(ISERROR(SEARCH("Renovar",A793)))</formula>
    </cfRule>
  </conditionalFormatting>
  <conditionalFormatting sqref="A795:A796">
    <cfRule type="expression" dxfId="13" priority="185" stopIfTrue="1">
      <formula>NOT(ISERROR(SEARCH("renovar",A795)))</formula>
    </cfRule>
  </conditionalFormatting>
  <conditionalFormatting sqref="A795:A796">
    <cfRule type="expression" dxfId="12" priority="186" stopIfTrue="1">
      <formula>NOT(ISERROR(SEARCH("Renovar",A795)))</formula>
    </cfRule>
  </conditionalFormatting>
  <conditionalFormatting sqref="A797:A798">
    <cfRule type="expression" dxfId="11" priority="187" stopIfTrue="1">
      <formula>NOT(ISERROR(SEARCH("renovar",A797)))</formula>
    </cfRule>
  </conditionalFormatting>
  <conditionalFormatting sqref="A797:A798">
    <cfRule type="expression" dxfId="10" priority="188" stopIfTrue="1">
      <formula>NOT(ISERROR(SEARCH("Renovar",A797)))</formula>
    </cfRule>
  </conditionalFormatting>
  <conditionalFormatting sqref="A799:A800">
    <cfRule type="expression" dxfId="9" priority="189" stopIfTrue="1">
      <formula>NOT(ISERROR(SEARCH("renovar",A799)))</formula>
    </cfRule>
  </conditionalFormatting>
  <conditionalFormatting sqref="A799:A800">
    <cfRule type="expression" dxfId="8" priority="190" stopIfTrue="1">
      <formula>NOT(ISERROR(SEARCH("Renovar",A799)))</formula>
    </cfRule>
  </conditionalFormatting>
  <conditionalFormatting sqref="A801:A802">
    <cfRule type="expression" dxfId="7" priority="191" stopIfTrue="1">
      <formula>NOT(ISERROR(SEARCH("renovar",A801)))</formula>
    </cfRule>
  </conditionalFormatting>
  <conditionalFormatting sqref="A801:A802">
    <cfRule type="expression" dxfId="6" priority="192" stopIfTrue="1">
      <formula>NOT(ISERROR(SEARCH("Renovar",A801)))</formula>
    </cfRule>
  </conditionalFormatting>
  <conditionalFormatting sqref="A803:A804">
    <cfRule type="expression" dxfId="5" priority="193" stopIfTrue="1">
      <formula>NOT(ISERROR(SEARCH("renovar",A803)))</formula>
    </cfRule>
  </conditionalFormatting>
  <conditionalFormatting sqref="A803:A804">
    <cfRule type="expression" dxfId="4" priority="194" stopIfTrue="1">
      <formula>NOT(ISERROR(SEARCH("Renovar",A803)))</formula>
    </cfRule>
  </conditionalFormatting>
  <conditionalFormatting sqref="A805:A806">
    <cfRule type="expression" dxfId="3" priority="195" stopIfTrue="1">
      <formula>NOT(ISERROR(SEARCH("renovar",A805)))</formula>
    </cfRule>
  </conditionalFormatting>
  <conditionalFormatting sqref="A805:A806">
    <cfRule type="expression" dxfId="2" priority="196" stopIfTrue="1">
      <formula>NOT(ISERROR(SEARCH("Renovar",A805)))</formula>
    </cfRule>
  </conditionalFormatting>
  <conditionalFormatting sqref="A807:A808">
    <cfRule type="expression" dxfId="1" priority="197" stopIfTrue="1">
      <formula>NOT(ISERROR(SEARCH("renovar",A807)))</formula>
    </cfRule>
  </conditionalFormatting>
  <conditionalFormatting sqref="A807:A808">
    <cfRule type="expression" dxfId="0" priority="198" stopIfTrue="1">
      <formula>NOT(ISERROR(SEARCH("Renovar",A807)))</formula>
    </cfRule>
  </conditionalFormatting>
  <hyperlinks>
    <hyperlink ref="K7" r:id="rId1" xr:uid="{00000000-0004-0000-0300-000000000000}"/>
    <hyperlink ref="Q7" r:id="rId2" xr:uid="{00000000-0004-0000-0300-000001000000}"/>
    <hyperlink ref="K9" r:id="rId3" xr:uid="{00000000-0004-0000-0300-000002000000}"/>
    <hyperlink ref="Q9" r:id="rId4" xr:uid="{00000000-0004-0000-0300-000003000000}"/>
    <hyperlink ref="K11" r:id="rId5" xr:uid="{00000000-0004-0000-0300-000004000000}"/>
    <hyperlink ref="Q11" r:id="rId6" xr:uid="{00000000-0004-0000-0300-000005000000}"/>
    <hyperlink ref="K13" r:id="rId7" xr:uid="{00000000-0004-0000-0300-000006000000}"/>
    <hyperlink ref="Q13" r:id="rId8" xr:uid="{00000000-0004-0000-0300-000007000000}"/>
    <hyperlink ref="K15" r:id="rId9" xr:uid="{00000000-0004-0000-0300-000008000000}"/>
    <hyperlink ref="Q15" r:id="rId10" xr:uid="{00000000-0004-0000-0300-000009000000}"/>
    <hyperlink ref="K17" r:id="rId11" xr:uid="{00000000-0004-0000-0300-00000A000000}"/>
    <hyperlink ref="Q17" r:id="rId12" xr:uid="{00000000-0004-0000-0300-00000B000000}"/>
    <hyperlink ref="K19" r:id="rId13" xr:uid="{00000000-0004-0000-0300-00000C000000}"/>
    <hyperlink ref="Q19" r:id="rId14" xr:uid="{00000000-0004-0000-0300-00000D000000}"/>
    <hyperlink ref="K21" r:id="rId15" xr:uid="{00000000-0004-0000-0300-00000E000000}"/>
    <hyperlink ref="Q21" r:id="rId16" xr:uid="{00000000-0004-0000-0300-00000F000000}"/>
    <hyperlink ref="K23" r:id="rId17" xr:uid="{00000000-0004-0000-0300-000010000000}"/>
    <hyperlink ref="Q23" r:id="rId18" xr:uid="{00000000-0004-0000-0300-000011000000}"/>
    <hyperlink ref="K25" r:id="rId19" xr:uid="{00000000-0004-0000-0300-000012000000}"/>
    <hyperlink ref="Q25" r:id="rId20" xr:uid="{00000000-0004-0000-0300-000013000000}"/>
    <hyperlink ref="K27" r:id="rId21" xr:uid="{00000000-0004-0000-0300-000014000000}"/>
    <hyperlink ref="Q27" r:id="rId22" xr:uid="{00000000-0004-0000-0300-000015000000}"/>
    <hyperlink ref="K29" r:id="rId23" xr:uid="{00000000-0004-0000-0300-000016000000}"/>
    <hyperlink ref="Q29" r:id="rId24" xr:uid="{00000000-0004-0000-0300-000017000000}"/>
    <hyperlink ref="K31" r:id="rId25" xr:uid="{00000000-0004-0000-0300-000018000000}"/>
    <hyperlink ref="Q31" r:id="rId26" xr:uid="{00000000-0004-0000-0300-000019000000}"/>
    <hyperlink ref="K33" r:id="rId27" xr:uid="{00000000-0004-0000-0300-00001A000000}"/>
    <hyperlink ref="Q33" r:id="rId28" xr:uid="{00000000-0004-0000-0300-00001B000000}"/>
    <hyperlink ref="K37" r:id="rId29" xr:uid="{00000000-0004-0000-0300-00001C000000}"/>
    <hyperlink ref="Q37" r:id="rId30" xr:uid="{00000000-0004-0000-0300-00001D000000}"/>
    <hyperlink ref="K39" r:id="rId31" xr:uid="{00000000-0004-0000-0300-00001E000000}"/>
    <hyperlink ref="Q39" r:id="rId32" xr:uid="{00000000-0004-0000-0300-00001F000000}"/>
    <hyperlink ref="K41" r:id="rId33" xr:uid="{00000000-0004-0000-0300-000020000000}"/>
    <hyperlink ref="Q41" r:id="rId34" xr:uid="{00000000-0004-0000-0300-000021000000}"/>
    <hyperlink ref="K43" r:id="rId35" xr:uid="{00000000-0004-0000-0300-000022000000}"/>
    <hyperlink ref="Q43" r:id="rId36" xr:uid="{00000000-0004-0000-0300-000023000000}"/>
    <hyperlink ref="K45" r:id="rId37" xr:uid="{00000000-0004-0000-0300-000024000000}"/>
    <hyperlink ref="Q45" r:id="rId38" xr:uid="{00000000-0004-0000-0300-000025000000}"/>
    <hyperlink ref="K47" r:id="rId39" xr:uid="{00000000-0004-0000-0300-000026000000}"/>
    <hyperlink ref="Q47" r:id="rId40" xr:uid="{00000000-0004-0000-0300-000027000000}"/>
    <hyperlink ref="K49" r:id="rId41" xr:uid="{00000000-0004-0000-0300-000028000000}"/>
    <hyperlink ref="Q49" r:id="rId42" xr:uid="{00000000-0004-0000-0300-000029000000}"/>
    <hyperlink ref="K51" r:id="rId43" xr:uid="{00000000-0004-0000-0300-00002A000000}"/>
    <hyperlink ref="Q51" r:id="rId44" xr:uid="{00000000-0004-0000-0300-00002B000000}"/>
    <hyperlink ref="K53" r:id="rId45" xr:uid="{00000000-0004-0000-0300-00002C000000}"/>
    <hyperlink ref="Q53" r:id="rId46" xr:uid="{00000000-0004-0000-0300-00002D000000}"/>
    <hyperlink ref="K55" r:id="rId47" xr:uid="{00000000-0004-0000-0300-00002E000000}"/>
    <hyperlink ref="Q55" r:id="rId48" xr:uid="{00000000-0004-0000-0300-00002F000000}"/>
    <hyperlink ref="K57" r:id="rId49" xr:uid="{00000000-0004-0000-0300-000030000000}"/>
    <hyperlink ref="Q57" r:id="rId50" xr:uid="{00000000-0004-0000-0300-000031000000}"/>
    <hyperlink ref="K59" r:id="rId51" xr:uid="{00000000-0004-0000-0300-000032000000}"/>
    <hyperlink ref="Q59" r:id="rId52" xr:uid="{00000000-0004-0000-0300-000033000000}"/>
    <hyperlink ref="K61" r:id="rId53" xr:uid="{00000000-0004-0000-0300-000034000000}"/>
    <hyperlink ref="Q61" r:id="rId54" xr:uid="{00000000-0004-0000-0300-000035000000}"/>
    <hyperlink ref="K63" r:id="rId55" xr:uid="{00000000-0004-0000-0300-000036000000}"/>
    <hyperlink ref="Q63" r:id="rId56" xr:uid="{00000000-0004-0000-0300-000037000000}"/>
    <hyperlink ref="K65" r:id="rId57" xr:uid="{00000000-0004-0000-0300-000038000000}"/>
    <hyperlink ref="Q65" r:id="rId58" xr:uid="{00000000-0004-0000-0300-000039000000}"/>
    <hyperlink ref="K69" r:id="rId59" xr:uid="{00000000-0004-0000-0300-00003A000000}"/>
    <hyperlink ref="Q69" r:id="rId60" xr:uid="{00000000-0004-0000-0300-00003B000000}"/>
    <hyperlink ref="K71" r:id="rId61" xr:uid="{00000000-0004-0000-0300-00003C000000}"/>
    <hyperlink ref="Q71" r:id="rId62" xr:uid="{00000000-0004-0000-0300-00003D000000}"/>
    <hyperlink ref="K73" r:id="rId63" xr:uid="{00000000-0004-0000-0300-00003E000000}"/>
    <hyperlink ref="Q73" r:id="rId64" xr:uid="{00000000-0004-0000-0300-00003F000000}"/>
    <hyperlink ref="K75" r:id="rId65" xr:uid="{00000000-0004-0000-0300-000040000000}"/>
    <hyperlink ref="Q75" r:id="rId66" xr:uid="{00000000-0004-0000-0300-000041000000}"/>
    <hyperlink ref="K77" r:id="rId67" xr:uid="{00000000-0004-0000-0300-000042000000}"/>
    <hyperlink ref="Q77" r:id="rId68" xr:uid="{00000000-0004-0000-0300-000043000000}"/>
    <hyperlink ref="K79" r:id="rId69" xr:uid="{00000000-0004-0000-0300-000044000000}"/>
    <hyperlink ref="Q79" r:id="rId70" xr:uid="{00000000-0004-0000-0300-000045000000}"/>
    <hyperlink ref="K81" r:id="rId71" xr:uid="{00000000-0004-0000-0300-000046000000}"/>
    <hyperlink ref="K83" r:id="rId72" xr:uid="{00000000-0004-0000-0300-000047000000}"/>
    <hyperlink ref="Q83" r:id="rId73" xr:uid="{00000000-0004-0000-0300-000048000000}"/>
    <hyperlink ref="K85" r:id="rId74" xr:uid="{00000000-0004-0000-0300-000049000000}"/>
    <hyperlink ref="Q85" r:id="rId75" xr:uid="{00000000-0004-0000-0300-00004A000000}"/>
    <hyperlink ref="K87" r:id="rId76" xr:uid="{00000000-0004-0000-0300-00004B000000}"/>
    <hyperlink ref="Q87" r:id="rId77" xr:uid="{00000000-0004-0000-0300-00004C000000}"/>
    <hyperlink ref="Q89" r:id="rId78" xr:uid="{00000000-0004-0000-0300-00004D000000}"/>
    <hyperlink ref="K91" r:id="rId79" xr:uid="{00000000-0004-0000-0300-00004E000000}"/>
    <hyperlink ref="Q91" r:id="rId80" xr:uid="{00000000-0004-0000-0300-00004F000000}"/>
    <hyperlink ref="Q93" r:id="rId81" xr:uid="{00000000-0004-0000-0300-000050000000}"/>
    <hyperlink ref="K95" r:id="rId82" xr:uid="{00000000-0004-0000-0300-000051000000}"/>
    <hyperlink ref="Q95" r:id="rId83" xr:uid="{00000000-0004-0000-0300-000052000000}"/>
    <hyperlink ref="K97" r:id="rId84" xr:uid="{00000000-0004-0000-0300-000053000000}"/>
    <hyperlink ref="Q97" r:id="rId85" xr:uid="{00000000-0004-0000-0300-000054000000}"/>
    <hyperlink ref="K99" r:id="rId86" xr:uid="{00000000-0004-0000-0300-000055000000}"/>
    <hyperlink ref="Q99" r:id="rId87" xr:uid="{00000000-0004-0000-0300-000056000000}"/>
    <hyperlink ref="K101" r:id="rId88" xr:uid="{00000000-0004-0000-0300-000057000000}"/>
    <hyperlink ref="Q105" r:id="rId89" xr:uid="{00000000-0004-0000-0300-000058000000}"/>
    <hyperlink ref="K107" r:id="rId90" xr:uid="{00000000-0004-0000-0300-000059000000}"/>
    <hyperlink ref="Q107" r:id="rId91" xr:uid="{00000000-0004-0000-0300-00005A000000}"/>
    <hyperlink ref="K109" r:id="rId92" xr:uid="{00000000-0004-0000-0300-00005B000000}"/>
    <hyperlink ref="Q109" r:id="rId93" xr:uid="{00000000-0004-0000-0300-00005C000000}"/>
    <hyperlink ref="K111" r:id="rId94" xr:uid="{00000000-0004-0000-0300-00005D000000}"/>
    <hyperlink ref="Q111" r:id="rId95" xr:uid="{00000000-0004-0000-0300-00005E000000}"/>
    <hyperlink ref="K113" r:id="rId96" xr:uid="{00000000-0004-0000-0300-00005F000000}"/>
    <hyperlink ref="K115" r:id="rId97" xr:uid="{00000000-0004-0000-0300-000060000000}"/>
    <hyperlink ref="Q115" r:id="rId98" xr:uid="{00000000-0004-0000-0300-000061000000}"/>
    <hyperlink ref="K117" r:id="rId99" xr:uid="{00000000-0004-0000-0300-000062000000}"/>
    <hyperlink ref="Q117" r:id="rId100" xr:uid="{00000000-0004-0000-0300-000063000000}"/>
    <hyperlink ref="Q119" r:id="rId101" xr:uid="{00000000-0004-0000-0300-000064000000}"/>
    <hyperlink ref="Q121" r:id="rId102" xr:uid="{00000000-0004-0000-0300-000065000000}"/>
    <hyperlink ref="Q123" r:id="rId103" xr:uid="{00000000-0004-0000-0300-000066000000}"/>
    <hyperlink ref="Q125" r:id="rId104" xr:uid="{00000000-0004-0000-0300-000067000000}"/>
    <hyperlink ref="K127" r:id="rId105" xr:uid="{00000000-0004-0000-0300-000068000000}"/>
    <hyperlink ref="Q127" r:id="rId106" xr:uid="{00000000-0004-0000-0300-000069000000}"/>
    <hyperlink ref="Q129" r:id="rId107" xr:uid="{00000000-0004-0000-0300-00006A000000}"/>
    <hyperlink ref="Q131" r:id="rId108" xr:uid="{00000000-0004-0000-0300-00006B000000}"/>
    <hyperlink ref="Q133" r:id="rId109" xr:uid="{00000000-0004-0000-0300-00006C000000}"/>
    <hyperlink ref="Q135" r:id="rId110" xr:uid="{00000000-0004-0000-0300-00006D000000}"/>
    <hyperlink ref="Q137" r:id="rId111" xr:uid="{00000000-0004-0000-0300-00006E000000}"/>
    <hyperlink ref="K139" r:id="rId112" xr:uid="{00000000-0004-0000-0300-00006F000000}"/>
    <hyperlink ref="Q141" r:id="rId113" xr:uid="{00000000-0004-0000-0300-000070000000}"/>
    <hyperlink ref="K143" r:id="rId114" xr:uid="{00000000-0004-0000-0300-000071000000}"/>
    <hyperlink ref="Q143" r:id="rId115" xr:uid="{00000000-0004-0000-0300-000072000000}"/>
    <hyperlink ref="K145" r:id="rId116" xr:uid="{00000000-0004-0000-0300-000073000000}"/>
    <hyperlink ref="Q145" r:id="rId117" xr:uid="{00000000-0004-0000-0300-000074000000}"/>
    <hyperlink ref="Q147" r:id="rId118" xr:uid="{00000000-0004-0000-0300-000075000000}"/>
    <hyperlink ref="K151" r:id="rId119" xr:uid="{00000000-0004-0000-0300-000076000000}"/>
    <hyperlink ref="Q151" r:id="rId120" xr:uid="{00000000-0004-0000-0300-000077000000}"/>
    <hyperlink ref="K153" r:id="rId121" xr:uid="{00000000-0004-0000-0300-000078000000}"/>
    <hyperlink ref="Q153" r:id="rId122" xr:uid="{00000000-0004-0000-0300-000079000000}"/>
    <hyperlink ref="K155" r:id="rId123" xr:uid="{00000000-0004-0000-0300-00007A000000}"/>
    <hyperlink ref="Q155" r:id="rId124" xr:uid="{00000000-0004-0000-0300-00007B000000}"/>
    <hyperlink ref="Q157" r:id="rId125" xr:uid="{00000000-0004-0000-0300-00007C000000}"/>
    <hyperlink ref="Q159" r:id="rId126" xr:uid="{00000000-0004-0000-0300-00007D000000}"/>
    <hyperlink ref="Q163" r:id="rId127" xr:uid="{00000000-0004-0000-0300-00007E000000}"/>
    <hyperlink ref="K165" r:id="rId128" xr:uid="{00000000-0004-0000-0300-00007F000000}"/>
    <hyperlink ref="Q165" r:id="rId129" xr:uid="{00000000-0004-0000-0300-000080000000}"/>
    <hyperlink ref="Q167" r:id="rId130" xr:uid="{00000000-0004-0000-0300-000081000000}"/>
    <hyperlink ref="K169" r:id="rId131" xr:uid="{00000000-0004-0000-0300-000082000000}"/>
    <hyperlink ref="Q169" r:id="rId132" xr:uid="{00000000-0004-0000-0300-000083000000}"/>
    <hyperlink ref="K173" r:id="rId133" xr:uid="{00000000-0004-0000-0300-000084000000}"/>
    <hyperlink ref="Q173" r:id="rId134" xr:uid="{00000000-0004-0000-0300-000085000000}"/>
    <hyperlink ref="K175" r:id="rId135" xr:uid="{00000000-0004-0000-0300-000086000000}"/>
    <hyperlink ref="Q175" r:id="rId136" xr:uid="{00000000-0004-0000-0300-000087000000}"/>
    <hyperlink ref="K179" r:id="rId137" xr:uid="{00000000-0004-0000-0300-000088000000}"/>
    <hyperlink ref="K183" r:id="rId138" xr:uid="{00000000-0004-0000-0300-000089000000}"/>
    <hyperlink ref="K185" r:id="rId139" xr:uid="{00000000-0004-0000-0300-00008A000000}"/>
    <hyperlink ref="Q185" r:id="rId140" xr:uid="{00000000-0004-0000-0300-00008B000000}"/>
    <hyperlink ref="K187" r:id="rId141" xr:uid="{00000000-0004-0000-0300-00008C000000}"/>
    <hyperlink ref="K189" r:id="rId142" xr:uid="{00000000-0004-0000-0300-00008D000000}"/>
    <hyperlink ref="K191" r:id="rId143" xr:uid="{00000000-0004-0000-0300-00008E000000}"/>
    <hyperlink ref="K195" r:id="rId144" xr:uid="{00000000-0004-0000-0300-00008F000000}"/>
    <hyperlink ref="K197" r:id="rId145" xr:uid="{00000000-0004-0000-0300-000090000000}"/>
    <hyperlink ref="K199" r:id="rId146" xr:uid="{00000000-0004-0000-0300-000091000000}"/>
    <hyperlink ref="K201" r:id="rId147" xr:uid="{00000000-0004-0000-0300-000092000000}"/>
    <hyperlink ref="K205" r:id="rId148" xr:uid="{00000000-0004-0000-0300-000093000000}"/>
    <hyperlink ref="K207" r:id="rId149" xr:uid="{00000000-0004-0000-0300-000094000000}"/>
    <hyperlink ref="Q207" r:id="rId150" xr:uid="{00000000-0004-0000-0300-000095000000}"/>
    <hyperlink ref="K209" r:id="rId151" xr:uid="{00000000-0004-0000-0300-000096000000}"/>
    <hyperlink ref="Q209" r:id="rId152" xr:uid="{00000000-0004-0000-0300-000097000000}"/>
    <hyperlink ref="Q211" r:id="rId153" xr:uid="{00000000-0004-0000-0300-000098000000}"/>
    <hyperlink ref="K212" r:id="rId154" xr:uid="{00000000-0004-0000-0300-000099000000}"/>
    <hyperlink ref="K213" r:id="rId155" xr:uid="{00000000-0004-0000-0300-00009A000000}"/>
    <hyperlink ref="Q213" r:id="rId156" xr:uid="{00000000-0004-0000-0300-00009B000000}"/>
    <hyperlink ref="K215" r:id="rId157" xr:uid="{00000000-0004-0000-0300-00009C000000}"/>
    <hyperlink ref="Q215" r:id="rId158" xr:uid="{00000000-0004-0000-0300-00009D000000}"/>
    <hyperlink ref="K217" r:id="rId159" xr:uid="{00000000-0004-0000-0300-00009E000000}"/>
    <hyperlink ref="Q217" r:id="rId160" xr:uid="{00000000-0004-0000-0300-00009F000000}"/>
    <hyperlink ref="K219" r:id="rId161" xr:uid="{00000000-0004-0000-0300-0000A0000000}"/>
    <hyperlink ref="K221" r:id="rId162" xr:uid="{00000000-0004-0000-0300-0000A1000000}"/>
    <hyperlink ref="Q221" r:id="rId163" xr:uid="{00000000-0004-0000-0300-0000A2000000}"/>
    <hyperlink ref="K223" r:id="rId164" xr:uid="{00000000-0004-0000-0300-0000A3000000}"/>
    <hyperlink ref="K225" r:id="rId165" xr:uid="{00000000-0004-0000-0300-0000A4000000}"/>
    <hyperlink ref="Q225" r:id="rId166" xr:uid="{00000000-0004-0000-0300-0000A5000000}"/>
    <hyperlink ref="K227" r:id="rId167" xr:uid="{00000000-0004-0000-0300-0000A6000000}"/>
    <hyperlink ref="Q227" r:id="rId168" xr:uid="{00000000-0004-0000-0300-0000A7000000}"/>
    <hyperlink ref="K229" r:id="rId169" xr:uid="{00000000-0004-0000-0300-0000A8000000}"/>
    <hyperlink ref="Q229" r:id="rId170" xr:uid="{00000000-0004-0000-0300-0000A9000000}"/>
    <hyperlink ref="K231" r:id="rId171" xr:uid="{00000000-0004-0000-0300-0000AA000000}"/>
    <hyperlink ref="Q231" r:id="rId172" xr:uid="{00000000-0004-0000-0300-0000AB000000}"/>
    <hyperlink ref="K233" r:id="rId173" xr:uid="{00000000-0004-0000-0300-0000AC000000}"/>
    <hyperlink ref="K235" r:id="rId174" xr:uid="{00000000-0004-0000-0300-0000AD000000}"/>
    <hyperlink ref="K237" r:id="rId175" xr:uid="{00000000-0004-0000-0300-0000AE000000}"/>
    <hyperlink ref="Q237" r:id="rId176" xr:uid="{00000000-0004-0000-0300-0000AF000000}"/>
    <hyperlink ref="K239" r:id="rId177" xr:uid="{00000000-0004-0000-0300-0000B0000000}"/>
    <hyperlink ref="K241" r:id="rId178" xr:uid="{00000000-0004-0000-0300-0000B1000000}"/>
    <hyperlink ref="K243" r:id="rId179" xr:uid="{00000000-0004-0000-0300-0000B2000000}"/>
    <hyperlink ref="Q243" r:id="rId180" xr:uid="{00000000-0004-0000-0300-0000B3000000}"/>
    <hyperlink ref="K245" r:id="rId181" xr:uid="{00000000-0004-0000-0300-0000B4000000}"/>
    <hyperlink ref="Q245" r:id="rId182" xr:uid="{00000000-0004-0000-0300-0000B5000000}"/>
    <hyperlink ref="K247" r:id="rId183" xr:uid="{00000000-0004-0000-0300-0000B6000000}"/>
    <hyperlink ref="K249" r:id="rId184" xr:uid="{00000000-0004-0000-0300-0000B7000000}"/>
    <hyperlink ref="Q249" r:id="rId185" xr:uid="{00000000-0004-0000-0300-0000B8000000}"/>
    <hyperlink ref="K251" r:id="rId186" xr:uid="{00000000-0004-0000-0300-0000B9000000}"/>
    <hyperlink ref="Q251" r:id="rId187" xr:uid="{00000000-0004-0000-0300-0000BA000000}"/>
    <hyperlink ref="K253" r:id="rId188" xr:uid="{00000000-0004-0000-0300-0000BB000000}"/>
    <hyperlink ref="Q253" r:id="rId189" xr:uid="{00000000-0004-0000-0300-0000BC000000}"/>
    <hyperlink ref="K257" r:id="rId190" xr:uid="{00000000-0004-0000-0300-0000BD000000}"/>
    <hyperlink ref="Q257" r:id="rId191" xr:uid="{00000000-0004-0000-0300-0000BE000000}"/>
    <hyperlink ref="K259" r:id="rId192" xr:uid="{00000000-0004-0000-0300-0000BF000000}"/>
    <hyperlink ref="Q259" r:id="rId193" xr:uid="{00000000-0004-0000-0300-0000C0000000}"/>
    <hyperlink ref="K261" r:id="rId194" xr:uid="{00000000-0004-0000-0300-0000C1000000}"/>
    <hyperlink ref="Q261" r:id="rId195" xr:uid="{00000000-0004-0000-0300-0000C2000000}"/>
    <hyperlink ref="K263" r:id="rId196" xr:uid="{00000000-0004-0000-0300-0000C3000000}"/>
    <hyperlink ref="Q265" r:id="rId197" xr:uid="{00000000-0004-0000-0300-0000C4000000}"/>
    <hyperlink ref="Q267" r:id="rId198" xr:uid="{00000000-0004-0000-0300-0000C5000000}"/>
    <hyperlink ref="K269" r:id="rId199" xr:uid="{00000000-0004-0000-0300-0000C6000000}"/>
    <hyperlink ref="Q269" r:id="rId200" xr:uid="{00000000-0004-0000-0300-0000C7000000}"/>
    <hyperlink ref="K271" r:id="rId201" xr:uid="{00000000-0004-0000-0300-0000C8000000}"/>
    <hyperlink ref="Q271" r:id="rId202" xr:uid="{00000000-0004-0000-0300-0000C9000000}"/>
    <hyperlink ref="K273" r:id="rId203" xr:uid="{00000000-0004-0000-0300-0000CA000000}"/>
    <hyperlink ref="K275" r:id="rId204" xr:uid="{00000000-0004-0000-0300-0000CB000000}"/>
    <hyperlink ref="Q277" r:id="rId205" xr:uid="{00000000-0004-0000-0300-0000CC000000}"/>
    <hyperlink ref="K279" r:id="rId206" xr:uid="{00000000-0004-0000-0300-0000CD000000}"/>
    <hyperlink ref="K281" r:id="rId207" xr:uid="{00000000-0004-0000-0300-0000CE000000}"/>
    <hyperlink ref="Q281" r:id="rId208" xr:uid="{00000000-0004-0000-0300-0000CF000000}"/>
    <hyperlink ref="K283" r:id="rId209" xr:uid="{00000000-0004-0000-0300-0000D0000000}"/>
    <hyperlink ref="Q283" r:id="rId210" xr:uid="{00000000-0004-0000-0300-0000D1000000}"/>
    <hyperlink ref="K285" r:id="rId211" xr:uid="{00000000-0004-0000-0300-0000D2000000}"/>
    <hyperlink ref="K287" r:id="rId212" xr:uid="{00000000-0004-0000-0300-0000D3000000}"/>
    <hyperlink ref="K289" r:id="rId213" xr:uid="{00000000-0004-0000-0300-0000D4000000}"/>
    <hyperlink ref="Q289" r:id="rId214" xr:uid="{00000000-0004-0000-0300-0000D5000000}"/>
    <hyperlink ref="K291" r:id="rId215" xr:uid="{00000000-0004-0000-0300-0000D6000000}"/>
    <hyperlink ref="Q291" r:id="rId216" xr:uid="{00000000-0004-0000-0300-0000D7000000}"/>
    <hyperlink ref="K293" r:id="rId217" xr:uid="{00000000-0004-0000-0300-0000D8000000}"/>
    <hyperlink ref="Q293" r:id="rId218" xr:uid="{00000000-0004-0000-0300-0000D9000000}"/>
    <hyperlink ref="K295" r:id="rId219" xr:uid="{00000000-0004-0000-0300-0000DA000000}"/>
    <hyperlink ref="Q295" r:id="rId220" xr:uid="{00000000-0004-0000-0300-0000DB000000}"/>
    <hyperlink ref="K297" r:id="rId221" xr:uid="{00000000-0004-0000-0300-0000DC000000}"/>
    <hyperlink ref="Q297" r:id="rId222" xr:uid="{00000000-0004-0000-0300-0000DD000000}"/>
    <hyperlink ref="K299" r:id="rId223" xr:uid="{00000000-0004-0000-0300-0000DE000000}"/>
    <hyperlink ref="Q299" r:id="rId224" xr:uid="{00000000-0004-0000-0300-0000DF000000}"/>
    <hyperlink ref="K301" r:id="rId225" xr:uid="{00000000-0004-0000-0300-0000E0000000}"/>
    <hyperlink ref="Q301" r:id="rId226" xr:uid="{00000000-0004-0000-0300-0000E1000000}"/>
    <hyperlink ref="K303" r:id="rId227" xr:uid="{00000000-0004-0000-0300-0000E2000000}"/>
    <hyperlink ref="Q303" r:id="rId228" xr:uid="{00000000-0004-0000-0300-0000E3000000}"/>
    <hyperlink ref="K307" r:id="rId229" xr:uid="{00000000-0004-0000-0300-0000E4000000}"/>
    <hyperlink ref="Q307" r:id="rId230" xr:uid="{00000000-0004-0000-0300-0000E5000000}"/>
    <hyperlink ref="Q309" r:id="rId231" xr:uid="{00000000-0004-0000-0300-0000E6000000}"/>
    <hyperlink ref="K311" r:id="rId232" xr:uid="{00000000-0004-0000-0300-0000E7000000}"/>
    <hyperlink ref="Q311" r:id="rId233" xr:uid="{00000000-0004-0000-0300-0000E8000000}"/>
    <hyperlink ref="K313" r:id="rId234" xr:uid="{00000000-0004-0000-0300-0000E9000000}"/>
    <hyperlink ref="Q313" r:id="rId235" xr:uid="{00000000-0004-0000-0300-0000EA000000}"/>
    <hyperlink ref="K315" r:id="rId236" xr:uid="{00000000-0004-0000-0300-0000EB000000}"/>
    <hyperlink ref="K317" r:id="rId237" xr:uid="{00000000-0004-0000-0300-0000EC000000}"/>
    <hyperlink ref="Q317" r:id="rId238" xr:uid="{00000000-0004-0000-0300-0000ED000000}"/>
    <hyperlink ref="Q319" r:id="rId239" xr:uid="{00000000-0004-0000-0300-0000EE000000}"/>
    <hyperlink ref="K321" r:id="rId240" xr:uid="{00000000-0004-0000-0300-0000EF000000}"/>
    <hyperlink ref="K323" r:id="rId241" xr:uid="{00000000-0004-0000-0300-0000F0000000}"/>
    <hyperlink ref="Q323" r:id="rId242" xr:uid="{00000000-0004-0000-0300-0000F1000000}"/>
    <hyperlink ref="K325" r:id="rId243" xr:uid="{00000000-0004-0000-0300-0000F2000000}"/>
    <hyperlink ref="Q325" r:id="rId244" xr:uid="{00000000-0004-0000-0300-0000F3000000}"/>
    <hyperlink ref="K327" r:id="rId245" xr:uid="{00000000-0004-0000-0300-0000F4000000}"/>
    <hyperlink ref="Q327" r:id="rId246" xr:uid="{00000000-0004-0000-0300-0000F5000000}"/>
    <hyperlink ref="Q329" r:id="rId247" xr:uid="{00000000-0004-0000-0300-0000F6000000}"/>
    <hyperlink ref="K331" r:id="rId248" xr:uid="{00000000-0004-0000-0300-0000F7000000}"/>
    <hyperlink ref="Q331" r:id="rId249" xr:uid="{00000000-0004-0000-0300-0000F8000000}"/>
    <hyperlink ref="K333" r:id="rId250" xr:uid="{00000000-0004-0000-0300-0000F9000000}"/>
    <hyperlink ref="Q333" r:id="rId251" xr:uid="{00000000-0004-0000-0300-0000FA000000}"/>
    <hyperlink ref="K335" r:id="rId252" xr:uid="{00000000-0004-0000-0300-0000FB000000}"/>
    <hyperlink ref="Q335" r:id="rId253" xr:uid="{00000000-0004-0000-0300-0000FC000000}"/>
    <hyperlink ref="K337" r:id="rId254" xr:uid="{00000000-0004-0000-0300-0000FD000000}"/>
    <hyperlink ref="K339" r:id="rId255" xr:uid="{00000000-0004-0000-0300-0000FE000000}"/>
    <hyperlink ref="K341" r:id="rId256" xr:uid="{00000000-0004-0000-0300-0000FF000000}"/>
    <hyperlink ref="Q341" r:id="rId257" xr:uid="{00000000-0004-0000-0300-000000010000}"/>
  </hyperlinks>
  <pageMargins left="0.7" right="0.7" top="0.75" bottom="0.75" header="0" footer="0"/>
  <pageSetup orientation="portrait"/>
  <drawing r:id="rId258"/>
  <legacyDrawing r:id="rId2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Historico Matriculas CCLC</vt:lpstr>
      <vt:lpstr>Matriculas Cascada 2023-2024</vt:lpstr>
      <vt:lpstr>Convenio-Becas</vt:lpstr>
      <vt:lpstr>Traspasos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Usuario</cp:lastModifiedBy>
  <dcterms:created xsi:type="dcterms:W3CDTF">2022-01-19T12:05:00Z</dcterms:created>
  <dcterms:modified xsi:type="dcterms:W3CDTF">2026-06-02T23:49:55Z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09FB21A8644344408DD5CC8631932585_12</vt:lpwstr>
  </property>
  <property fmtid="{D5CDD505-2E9C-101B-9397-08002B2CF9AE}" pid="3" name="KSOProductBuildVer">
    <vt:lpwstr>3082-12.2.0.18607</vt:lpwstr>
  </property>
</Properties>
</file>